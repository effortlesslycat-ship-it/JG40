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E:\data\allbohmor\aug2014\"/>
    </mc:Choice>
  </mc:AlternateContent>
  <bookViews>
    <workbookView xWindow="0" yWindow="0" windowWidth="25200" windowHeight="11985" tabRatio="500"/>
  </bookViews>
  <sheets>
    <sheet name="Sheet1" sheetId="1" r:id="rId1"/>
    <sheet name="Sheet2" sheetId="2" r:id="rId2"/>
  </sheets>
  <definedNames>
    <definedName name="_xlnm._FilterDatabase" localSheetId="0" hidden="1">Sheet1!$A$1:$O$5301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" i="1" l="1"/>
  <c r="N3" i="1"/>
  <c r="O3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M44" i="1"/>
  <c r="N44" i="1"/>
  <c r="O44" i="1"/>
  <c r="M45" i="1"/>
  <c r="N45" i="1"/>
  <c r="O45" i="1"/>
  <c r="M46" i="1"/>
  <c r="N46" i="1"/>
  <c r="O46" i="1"/>
  <c r="M47" i="1"/>
  <c r="N47" i="1"/>
  <c r="O47" i="1"/>
  <c r="M48" i="1"/>
  <c r="N48" i="1"/>
  <c r="O48" i="1"/>
  <c r="M49" i="1"/>
  <c r="N49" i="1"/>
  <c r="O49" i="1"/>
  <c r="M50" i="1"/>
  <c r="N50" i="1"/>
  <c r="O50" i="1"/>
  <c r="M51" i="1"/>
  <c r="N51" i="1"/>
  <c r="O51" i="1"/>
  <c r="M52" i="1"/>
  <c r="N52" i="1"/>
  <c r="O52" i="1"/>
  <c r="M53" i="1"/>
  <c r="N53" i="1"/>
  <c r="O53" i="1"/>
  <c r="M54" i="1"/>
  <c r="N54" i="1"/>
  <c r="O54" i="1"/>
  <c r="M55" i="1"/>
  <c r="N55" i="1"/>
  <c r="O55" i="1"/>
  <c r="M56" i="1"/>
  <c r="N56" i="1"/>
  <c r="O56" i="1"/>
  <c r="M57" i="1"/>
  <c r="N57" i="1"/>
  <c r="O57" i="1"/>
  <c r="M58" i="1"/>
  <c r="N58" i="1"/>
  <c r="O58" i="1"/>
  <c r="M59" i="1"/>
  <c r="N59" i="1"/>
  <c r="O59" i="1"/>
  <c r="M60" i="1"/>
  <c r="N60" i="1"/>
  <c r="O60" i="1"/>
  <c r="M61" i="1"/>
  <c r="N61" i="1"/>
  <c r="O61" i="1"/>
  <c r="M62" i="1"/>
  <c r="N62" i="1"/>
  <c r="O62" i="1"/>
  <c r="M63" i="1"/>
  <c r="N63" i="1"/>
  <c r="O63" i="1"/>
  <c r="M64" i="1"/>
  <c r="N64" i="1"/>
  <c r="O64" i="1"/>
  <c r="M65" i="1"/>
  <c r="N65" i="1"/>
  <c r="O65" i="1"/>
  <c r="M66" i="1"/>
  <c r="N66" i="1"/>
  <c r="O66" i="1"/>
  <c r="M67" i="1"/>
  <c r="N67" i="1"/>
  <c r="O67" i="1"/>
  <c r="M68" i="1"/>
  <c r="N68" i="1"/>
  <c r="O68" i="1"/>
  <c r="M69" i="1"/>
  <c r="N69" i="1"/>
  <c r="O69" i="1"/>
  <c r="M70" i="1"/>
  <c r="N70" i="1"/>
  <c r="O70" i="1"/>
  <c r="M71" i="1"/>
  <c r="N71" i="1"/>
  <c r="O71" i="1"/>
  <c r="M72" i="1"/>
  <c r="N72" i="1"/>
  <c r="O72" i="1"/>
  <c r="M73" i="1"/>
  <c r="N73" i="1"/>
  <c r="O73" i="1"/>
  <c r="M74" i="1"/>
  <c r="N74" i="1"/>
  <c r="O74" i="1"/>
  <c r="M75" i="1"/>
  <c r="N75" i="1"/>
  <c r="O75" i="1"/>
  <c r="M76" i="1"/>
  <c r="N76" i="1"/>
  <c r="O76" i="1"/>
  <c r="M77" i="1"/>
  <c r="N77" i="1"/>
  <c r="O77" i="1"/>
  <c r="M78" i="1"/>
  <c r="N78" i="1"/>
  <c r="O78" i="1"/>
  <c r="M79" i="1"/>
  <c r="N79" i="1"/>
  <c r="O79" i="1"/>
  <c r="M80" i="1"/>
  <c r="N80" i="1"/>
  <c r="O80" i="1"/>
  <c r="M81" i="1"/>
  <c r="N81" i="1"/>
  <c r="O81" i="1"/>
  <c r="M82" i="1"/>
  <c r="N82" i="1"/>
  <c r="O82" i="1"/>
  <c r="M83" i="1"/>
  <c r="N83" i="1"/>
  <c r="O83" i="1"/>
  <c r="M84" i="1"/>
  <c r="N84" i="1"/>
  <c r="O84" i="1"/>
  <c r="M85" i="1"/>
  <c r="N85" i="1"/>
  <c r="O85" i="1"/>
  <c r="M86" i="1"/>
  <c r="N86" i="1"/>
  <c r="O86" i="1"/>
  <c r="M87" i="1"/>
  <c r="N87" i="1"/>
  <c r="O87" i="1"/>
  <c r="M88" i="1"/>
  <c r="N88" i="1"/>
  <c r="O88" i="1"/>
  <c r="M89" i="1"/>
  <c r="N89" i="1"/>
  <c r="O89" i="1"/>
  <c r="M90" i="1"/>
  <c r="N90" i="1"/>
  <c r="O90" i="1"/>
  <c r="M91" i="1"/>
  <c r="N91" i="1"/>
  <c r="O91" i="1"/>
  <c r="M92" i="1"/>
  <c r="N92" i="1"/>
  <c r="O92" i="1"/>
  <c r="M93" i="1"/>
  <c r="N93" i="1"/>
  <c r="O93" i="1"/>
  <c r="M94" i="1"/>
  <c r="N94" i="1"/>
  <c r="O94" i="1"/>
  <c r="M95" i="1"/>
  <c r="N95" i="1"/>
  <c r="O95" i="1"/>
  <c r="M96" i="1"/>
  <c r="N96" i="1"/>
  <c r="O96" i="1"/>
  <c r="M97" i="1"/>
  <c r="N97" i="1"/>
  <c r="O97" i="1"/>
  <c r="M98" i="1"/>
  <c r="N98" i="1"/>
  <c r="O98" i="1"/>
  <c r="M99" i="1"/>
  <c r="N99" i="1"/>
  <c r="O99" i="1"/>
  <c r="M100" i="1"/>
  <c r="N100" i="1"/>
  <c r="O100" i="1"/>
  <c r="M101" i="1"/>
  <c r="N101" i="1"/>
  <c r="O101" i="1"/>
  <c r="M102" i="1"/>
  <c r="N102" i="1"/>
  <c r="O102" i="1"/>
  <c r="M103" i="1"/>
  <c r="N103" i="1"/>
  <c r="O103" i="1"/>
  <c r="M104" i="1"/>
  <c r="N104" i="1"/>
  <c r="O104" i="1"/>
  <c r="M105" i="1"/>
  <c r="N105" i="1"/>
  <c r="O105" i="1"/>
  <c r="M106" i="1"/>
  <c r="N106" i="1"/>
  <c r="O106" i="1"/>
  <c r="M107" i="1"/>
  <c r="N107" i="1"/>
  <c r="O107" i="1"/>
  <c r="M108" i="1"/>
  <c r="N108" i="1"/>
  <c r="O108" i="1"/>
  <c r="M109" i="1"/>
  <c r="N109" i="1"/>
  <c r="O109" i="1"/>
  <c r="M110" i="1"/>
  <c r="N110" i="1"/>
  <c r="O110" i="1"/>
  <c r="M111" i="1"/>
  <c r="N111" i="1"/>
  <c r="O111" i="1"/>
  <c r="M112" i="1"/>
  <c r="N112" i="1"/>
  <c r="O112" i="1"/>
  <c r="M113" i="1"/>
  <c r="N113" i="1"/>
  <c r="O113" i="1"/>
  <c r="M114" i="1"/>
  <c r="N114" i="1"/>
  <c r="O114" i="1"/>
  <c r="M115" i="1"/>
  <c r="N115" i="1"/>
  <c r="O115" i="1"/>
  <c r="M116" i="1"/>
  <c r="N116" i="1"/>
  <c r="O116" i="1"/>
  <c r="M117" i="1"/>
  <c r="N117" i="1"/>
  <c r="O117" i="1"/>
  <c r="M118" i="1"/>
  <c r="N118" i="1"/>
  <c r="O118" i="1"/>
  <c r="M119" i="1"/>
  <c r="N119" i="1"/>
  <c r="O119" i="1"/>
  <c r="M120" i="1"/>
  <c r="N120" i="1"/>
  <c r="O120" i="1"/>
  <c r="M121" i="1"/>
  <c r="N121" i="1"/>
  <c r="O121" i="1"/>
  <c r="M122" i="1"/>
  <c r="N122" i="1"/>
  <c r="O122" i="1"/>
  <c r="M123" i="1"/>
  <c r="N123" i="1"/>
  <c r="O123" i="1"/>
  <c r="M124" i="1"/>
  <c r="N124" i="1"/>
  <c r="O124" i="1"/>
  <c r="M125" i="1"/>
  <c r="N125" i="1"/>
  <c r="O125" i="1"/>
  <c r="M126" i="1"/>
  <c r="N126" i="1"/>
  <c r="O126" i="1"/>
  <c r="M127" i="1"/>
  <c r="N127" i="1"/>
  <c r="O127" i="1"/>
  <c r="M128" i="1"/>
  <c r="N128" i="1"/>
  <c r="O128" i="1"/>
  <c r="M129" i="1"/>
  <c r="N129" i="1"/>
  <c r="O129" i="1"/>
  <c r="M130" i="1"/>
  <c r="N130" i="1"/>
  <c r="O130" i="1"/>
  <c r="M131" i="1"/>
  <c r="N131" i="1"/>
  <c r="O131" i="1"/>
  <c r="M132" i="1"/>
  <c r="N132" i="1"/>
  <c r="O132" i="1"/>
  <c r="M133" i="1"/>
  <c r="N133" i="1"/>
  <c r="O133" i="1"/>
  <c r="M134" i="1"/>
  <c r="N134" i="1"/>
  <c r="O134" i="1"/>
  <c r="M135" i="1"/>
  <c r="N135" i="1"/>
  <c r="O135" i="1"/>
  <c r="M136" i="1"/>
  <c r="N136" i="1"/>
  <c r="O136" i="1"/>
  <c r="M137" i="1"/>
  <c r="N137" i="1"/>
  <c r="O137" i="1"/>
  <c r="M138" i="1"/>
  <c r="N138" i="1"/>
  <c r="O138" i="1"/>
  <c r="M139" i="1"/>
  <c r="N139" i="1"/>
  <c r="O139" i="1"/>
  <c r="M140" i="1"/>
  <c r="N140" i="1"/>
  <c r="O140" i="1"/>
  <c r="M141" i="1"/>
  <c r="N141" i="1"/>
  <c r="O141" i="1"/>
  <c r="M142" i="1"/>
  <c r="N142" i="1"/>
  <c r="O142" i="1"/>
  <c r="M143" i="1"/>
  <c r="N143" i="1"/>
  <c r="O143" i="1"/>
  <c r="M144" i="1"/>
  <c r="N144" i="1"/>
  <c r="O144" i="1"/>
  <c r="M145" i="1"/>
  <c r="N145" i="1"/>
  <c r="O145" i="1"/>
  <c r="M146" i="1"/>
  <c r="N146" i="1"/>
  <c r="O146" i="1"/>
  <c r="M147" i="1"/>
  <c r="N147" i="1"/>
  <c r="O147" i="1"/>
  <c r="M148" i="1"/>
  <c r="N148" i="1"/>
  <c r="O148" i="1"/>
  <c r="M149" i="1"/>
  <c r="N149" i="1"/>
  <c r="O149" i="1"/>
  <c r="M150" i="1"/>
  <c r="N150" i="1"/>
  <c r="O150" i="1"/>
  <c r="M151" i="1"/>
  <c r="N151" i="1"/>
  <c r="O151" i="1"/>
  <c r="M152" i="1"/>
  <c r="N152" i="1"/>
  <c r="O152" i="1"/>
  <c r="M153" i="1"/>
  <c r="N153" i="1"/>
  <c r="O153" i="1"/>
  <c r="M154" i="1"/>
  <c r="N154" i="1"/>
  <c r="O154" i="1"/>
  <c r="M155" i="1"/>
  <c r="N155" i="1"/>
  <c r="O155" i="1"/>
  <c r="M156" i="1"/>
  <c r="N156" i="1"/>
  <c r="O156" i="1"/>
  <c r="M157" i="1"/>
  <c r="N157" i="1"/>
  <c r="O157" i="1"/>
  <c r="M158" i="1"/>
  <c r="N158" i="1"/>
  <c r="O158" i="1"/>
  <c r="M159" i="1"/>
  <c r="N159" i="1"/>
  <c r="O159" i="1"/>
  <c r="M160" i="1"/>
  <c r="N160" i="1"/>
  <c r="O160" i="1"/>
  <c r="M161" i="1"/>
  <c r="N161" i="1"/>
  <c r="O161" i="1"/>
  <c r="M162" i="1"/>
  <c r="N162" i="1"/>
  <c r="O162" i="1"/>
  <c r="M163" i="1"/>
  <c r="N163" i="1"/>
  <c r="O163" i="1"/>
  <c r="M164" i="1"/>
  <c r="N164" i="1"/>
  <c r="O164" i="1"/>
  <c r="M165" i="1"/>
  <c r="N165" i="1"/>
  <c r="O165" i="1"/>
  <c r="M166" i="1"/>
  <c r="N166" i="1"/>
  <c r="O166" i="1"/>
  <c r="M167" i="1"/>
  <c r="N167" i="1"/>
  <c r="O167" i="1"/>
  <c r="M168" i="1"/>
  <c r="N168" i="1"/>
  <c r="O168" i="1"/>
  <c r="M169" i="1"/>
  <c r="N169" i="1"/>
  <c r="O169" i="1"/>
  <c r="M170" i="1"/>
  <c r="N170" i="1"/>
  <c r="O170" i="1"/>
  <c r="M171" i="1"/>
  <c r="N171" i="1"/>
  <c r="O171" i="1"/>
  <c r="M172" i="1"/>
  <c r="N172" i="1"/>
  <c r="O172" i="1"/>
  <c r="M173" i="1"/>
  <c r="N173" i="1"/>
  <c r="O173" i="1"/>
  <c r="M174" i="1"/>
  <c r="N174" i="1"/>
  <c r="O174" i="1"/>
  <c r="M175" i="1"/>
  <c r="N175" i="1"/>
  <c r="O175" i="1"/>
  <c r="M176" i="1"/>
  <c r="N176" i="1"/>
  <c r="O176" i="1"/>
  <c r="M177" i="1"/>
  <c r="N177" i="1"/>
  <c r="O177" i="1"/>
  <c r="M178" i="1"/>
  <c r="N178" i="1"/>
  <c r="O178" i="1"/>
  <c r="M179" i="1"/>
  <c r="N179" i="1"/>
  <c r="O179" i="1"/>
  <c r="M180" i="1"/>
  <c r="N180" i="1"/>
  <c r="O180" i="1"/>
  <c r="M181" i="1"/>
  <c r="N181" i="1"/>
  <c r="O181" i="1"/>
  <c r="M182" i="1"/>
  <c r="N182" i="1"/>
  <c r="O182" i="1"/>
  <c r="M183" i="1"/>
  <c r="N183" i="1"/>
  <c r="O183" i="1"/>
  <c r="M184" i="1"/>
  <c r="N184" i="1"/>
  <c r="O184" i="1"/>
  <c r="M185" i="1"/>
  <c r="N185" i="1"/>
  <c r="O185" i="1"/>
  <c r="M186" i="1"/>
  <c r="N186" i="1"/>
  <c r="O186" i="1"/>
  <c r="M187" i="1"/>
  <c r="N187" i="1"/>
  <c r="O187" i="1"/>
  <c r="M188" i="1"/>
  <c r="N188" i="1"/>
  <c r="O188" i="1"/>
  <c r="M189" i="1"/>
  <c r="N189" i="1"/>
  <c r="O189" i="1"/>
  <c r="M190" i="1"/>
  <c r="N190" i="1"/>
  <c r="O190" i="1"/>
  <c r="M191" i="1"/>
  <c r="N191" i="1"/>
  <c r="O191" i="1"/>
  <c r="M192" i="1"/>
  <c r="N192" i="1"/>
  <c r="O192" i="1"/>
  <c r="M193" i="1"/>
  <c r="N193" i="1"/>
  <c r="O193" i="1"/>
  <c r="M194" i="1"/>
  <c r="N194" i="1"/>
  <c r="O194" i="1"/>
  <c r="M195" i="1"/>
  <c r="N195" i="1"/>
  <c r="O195" i="1"/>
  <c r="M196" i="1"/>
  <c r="N196" i="1"/>
  <c r="O196" i="1"/>
  <c r="M197" i="1"/>
  <c r="N197" i="1"/>
  <c r="O197" i="1"/>
  <c r="M198" i="1"/>
  <c r="N198" i="1"/>
  <c r="O198" i="1"/>
  <c r="M199" i="1"/>
  <c r="N199" i="1"/>
  <c r="O199" i="1"/>
  <c r="M200" i="1"/>
  <c r="N200" i="1"/>
  <c r="O200" i="1"/>
  <c r="M201" i="1"/>
  <c r="N201" i="1"/>
  <c r="O201" i="1"/>
  <c r="M202" i="1"/>
  <c r="N202" i="1"/>
  <c r="O202" i="1"/>
  <c r="M203" i="1"/>
  <c r="N203" i="1"/>
  <c r="O203" i="1"/>
  <c r="M204" i="1"/>
  <c r="N204" i="1"/>
  <c r="O204" i="1"/>
  <c r="M205" i="1"/>
  <c r="N205" i="1"/>
  <c r="O205" i="1"/>
  <c r="M206" i="1"/>
  <c r="N206" i="1"/>
  <c r="O206" i="1"/>
  <c r="M207" i="1"/>
  <c r="N207" i="1"/>
  <c r="O207" i="1"/>
  <c r="M208" i="1"/>
  <c r="N208" i="1"/>
  <c r="O208" i="1"/>
  <c r="M209" i="1"/>
  <c r="N209" i="1"/>
  <c r="O209" i="1"/>
  <c r="M210" i="1"/>
  <c r="N210" i="1"/>
  <c r="O210" i="1"/>
  <c r="M211" i="1"/>
  <c r="N211" i="1"/>
  <c r="O211" i="1"/>
  <c r="M212" i="1"/>
  <c r="N212" i="1"/>
  <c r="O212" i="1"/>
  <c r="M213" i="1"/>
  <c r="N213" i="1"/>
  <c r="O213" i="1"/>
  <c r="M214" i="1"/>
  <c r="N214" i="1"/>
  <c r="O214" i="1"/>
  <c r="M215" i="1"/>
  <c r="N215" i="1"/>
  <c r="O215" i="1"/>
  <c r="M216" i="1"/>
  <c r="N216" i="1"/>
  <c r="O216" i="1"/>
  <c r="M217" i="1"/>
  <c r="N217" i="1"/>
  <c r="O217" i="1"/>
  <c r="M218" i="1"/>
  <c r="N218" i="1"/>
  <c r="O218" i="1"/>
  <c r="M219" i="1"/>
  <c r="N219" i="1"/>
  <c r="O219" i="1"/>
  <c r="M220" i="1"/>
  <c r="N220" i="1"/>
  <c r="O220" i="1"/>
  <c r="M221" i="1"/>
  <c r="N221" i="1"/>
  <c r="O221" i="1"/>
  <c r="M222" i="1"/>
  <c r="N222" i="1"/>
  <c r="O222" i="1"/>
  <c r="M223" i="1"/>
  <c r="N223" i="1"/>
  <c r="O223" i="1"/>
  <c r="M224" i="1"/>
  <c r="N224" i="1"/>
  <c r="O224" i="1"/>
  <c r="M225" i="1"/>
  <c r="N225" i="1"/>
  <c r="O225" i="1"/>
  <c r="M226" i="1"/>
  <c r="N226" i="1"/>
  <c r="O226" i="1"/>
  <c r="M227" i="1"/>
  <c r="N227" i="1"/>
  <c r="O227" i="1"/>
  <c r="M228" i="1"/>
  <c r="N228" i="1"/>
  <c r="O228" i="1"/>
  <c r="M229" i="1"/>
  <c r="N229" i="1"/>
  <c r="O229" i="1"/>
  <c r="M230" i="1"/>
  <c r="N230" i="1"/>
  <c r="O230" i="1"/>
  <c r="M231" i="1"/>
  <c r="N231" i="1"/>
  <c r="O231" i="1"/>
  <c r="M232" i="1"/>
  <c r="N232" i="1"/>
  <c r="O232" i="1"/>
  <c r="M233" i="1"/>
  <c r="N233" i="1"/>
  <c r="O233" i="1"/>
  <c r="M234" i="1"/>
  <c r="N234" i="1"/>
  <c r="O234" i="1"/>
  <c r="M235" i="1"/>
  <c r="N235" i="1"/>
  <c r="O235" i="1"/>
  <c r="M236" i="1"/>
  <c r="N236" i="1"/>
  <c r="O236" i="1"/>
  <c r="M237" i="1"/>
  <c r="N237" i="1"/>
  <c r="O237" i="1"/>
  <c r="M238" i="1"/>
  <c r="N238" i="1"/>
  <c r="O238" i="1"/>
  <c r="M239" i="1"/>
  <c r="N239" i="1"/>
  <c r="O239" i="1"/>
  <c r="M240" i="1"/>
  <c r="N240" i="1"/>
  <c r="O240" i="1"/>
  <c r="M241" i="1"/>
  <c r="N241" i="1"/>
  <c r="O241" i="1"/>
  <c r="M242" i="1"/>
  <c r="N242" i="1"/>
  <c r="O242" i="1"/>
  <c r="M243" i="1"/>
  <c r="N243" i="1"/>
  <c r="O243" i="1"/>
  <c r="M244" i="1"/>
  <c r="N244" i="1"/>
  <c r="O244" i="1"/>
  <c r="M245" i="1"/>
  <c r="N245" i="1"/>
  <c r="O245" i="1"/>
  <c r="M246" i="1"/>
  <c r="N246" i="1"/>
  <c r="O246" i="1"/>
  <c r="M247" i="1"/>
  <c r="N247" i="1"/>
  <c r="O247" i="1"/>
  <c r="M248" i="1"/>
  <c r="N248" i="1"/>
  <c r="O248" i="1"/>
  <c r="M249" i="1"/>
  <c r="N249" i="1"/>
  <c r="O249" i="1"/>
  <c r="M250" i="1"/>
  <c r="N250" i="1"/>
  <c r="O250" i="1"/>
  <c r="M251" i="1"/>
  <c r="N251" i="1"/>
  <c r="O251" i="1"/>
  <c r="M252" i="1"/>
  <c r="N252" i="1"/>
  <c r="O252" i="1"/>
  <c r="M253" i="1"/>
  <c r="N253" i="1"/>
  <c r="O253" i="1"/>
  <c r="M254" i="1"/>
  <c r="N254" i="1"/>
  <c r="O254" i="1"/>
  <c r="M255" i="1"/>
  <c r="N255" i="1"/>
  <c r="O255" i="1"/>
  <c r="M256" i="1"/>
  <c r="N256" i="1"/>
  <c r="O256" i="1"/>
  <c r="M257" i="1"/>
  <c r="N257" i="1"/>
  <c r="O257" i="1"/>
  <c r="M258" i="1"/>
  <c r="N258" i="1"/>
  <c r="O258" i="1"/>
  <c r="M259" i="1"/>
  <c r="N259" i="1"/>
  <c r="O259" i="1"/>
  <c r="M260" i="1"/>
  <c r="N260" i="1"/>
  <c r="O260" i="1"/>
  <c r="M261" i="1"/>
  <c r="N261" i="1"/>
  <c r="O261" i="1"/>
  <c r="M262" i="1"/>
  <c r="N262" i="1"/>
  <c r="O262" i="1"/>
  <c r="M263" i="1"/>
  <c r="N263" i="1"/>
  <c r="O263" i="1"/>
  <c r="M264" i="1"/>
  <c r="N264" i="1"/>
  <c r="O264" i="1"/>
  <c r="M265" i="1"/>
  <c r="N265" i="1"/>
  <c r="O265" i="1"/>
  <c r="M266" i="1"/>
  <c r="N266" i="1"/>
  <c r="O266" i="1"/>
  <c r="M267" i="1"/>
  <c r="N267" i="1"/>
  <c r="O267" i="1"/>
  <c r="M268" i="1"/>
  <c r="N268" i="1"/>
  <c r="O268" i="1"/>
  <c r="M269" i="1"/>
  <c r="N269" i="1"/>
  <c r="O269" i="1"/>
  <c r="M270" i="1"/>
  <c r="N270" i="1"/>
  <c r="O270" i="1"/>
  <c r="M271" i="1"/>
  <c r="N271" i="1"/>
  <c r="O271" i="1"/>
  <c r="M272" i="1"/>
  <c r="N272" i="1"/>
  <c r="O272" i="1"/>
  <c r="M273" i="1"/>
  <c r="N273" i="1"/>
  <c r="O273" i="1"/>
  <c r="M274" i="1"/>
  <c r="N274" i="1"/>
  <c r="O274" i="1"/>
  <c r="M275" i="1"/>
  <c r="N275" i="1"/>
  <c r="O275" i="1"/>
  <c r="M276" i="1"/>
  <c r="N276" i="1"/>
  <c r="O276" i="1"/>
  <c r="M277" i="1"/>
  <c r="N277" i="1"/>
  <c r="O277" i="1"/>
  <c r="M278" i="1"/>
  <c r="N278" i="1"/>
  <c r="O278" i="1"/>
  <c r="M279" i="1"/>
  <c r="N279" i="1"/>
  <c r="O279" i="1"/>
  <c r="M280" i="1"/>
  <c r="N280" i="1"/>
  <c r="O280" i="1"/>
  <c r="M281" i="1"/>
  <c r="N281" i="1"/>
  <c r="O281" i="1"/>
  <c r="M282" i="1"/>
  <c r="N282" i="1"/>
  <c r="O282" i="1"/>
  <c r="M283" i="1"/>
  <c r="N283" i="1"/>
  <c r="O283" i="1"/>
  <c r="M284" i="1"/>
  <c r="N284" i="1"/>
  <c r="O284" i="1"/>
  <c r="M285" i="1"/>
  <c r="N285" i="1"/>
  <c r="O285" i="1"/>
  <c r="M286" i="1"/>
  <c r="N286" i="1"/>
  <c r="O286" i="1"/>
  <c r="M287" i="1"/>
  <c r="N287" i="1"/>
  <c r="O287" i="1"/>
  <c r="M288" i="1"/>
  <c r="N288" i="1"/>
  <c r="O288" i="1"/>
  <c r="M289" i="1"/>
  <c r="N289" i="1"/>
  <c r="O289" i="1"/>
  <c r="M290" i="1"/>
  <c r="N290" i="1"/>
  <c r="O290" i="1"/>
  <c r="M291" i="1"/>
  <c r="N291" i="1"/>
  <c r="O291" i="1"/>
  <c r="M292" i="1"/>
  <c r="N292" i="1"/>
  <c r="O292" i="1"/>
  <c r="M293" i="1"/>
  <c r="N293" i="1"/>
  <c r="O293" i="1"/>
  <c r="M294" i="1"/>
  <c r="N294" i="1"/>
  <c r="O294" i="1"/>
  <c r="M295" i="1"/>
  <c r="N295" i="1"/>
  <c r="O295" i="1"/>
  <c r="M296" i="1"/>
  <c r="N296" i="1"/>
  <c r="O296" i="1"/>
  <c r="M297" i="1"/>
  <c r="N297" i="1"/>
  <c r="O297" i="1"/>
  <c r="M298" i="1"/>
  <c r="N298" i="1"/>
  <c r="O298" i="1"/>
  <c r="M299" i="1"/>
  <c r="N299" i="1"/>
  <c r="O299" i="1"/>
  <c r="M300" i="1"/>
  <c r="N300" i="1"/>
  <c r="O300" i="1"/>
  <c r="M301" i="1"/>
  <c r="N301" i="1"/>
  <c r="O301" i="1"/>
  <c r="M302" i="1"/>
  <c r="N302" i="1"/>
  <c r="O302" i="1"/>
  <c r="M303" i="1"/>
  <c r="N303" i="1"/>
  <c r="O303" i="1"/>
  <c r="M304" i="1"/>
  <c r="N304" i="1"/>
  <c r="O304" i="1"/>
  <c r="M305" i="1"/>
  <c r="N305" i="1"/>
  <c r="O305" i="1"/>
  <c r="M306" i="1"/>
  <c r="N306" i="1"/>
  <c r="O306" i="1"/>
  <c r="M307" i="1"/>
  <c r="N307" i="1"/>
  <c r="O307" i="1"/>
  <c r="M308" i="1"/>
  <c r="N308" i="1"/>
  <c r="O308" i="1"/>
  <c r="M309" i="1"/>
  <c r="N309" i="1"/>
  <c r="O309" i="1"/>
  <c r="M310" i="1"/>
  <c r="N310" i="1"/>
  <c r="O310" i="1"/>
  <c r="M311" i="1"/>
  <c r="N311" i="1"/>
  <c r="O311" i="1"/>
  <c r="M312" i="1"/>
  <c r="N312" i="1"/>
  <c r="O312" i="1"/>
  <c r="M313" i="1"/>
  <c r="N313" i="1"/>
  <c r="O313" i="1"/>
  <c r="M314" i="1"/>
  <c r="N314" i="1"/>
  <c r="O314" i="1"/>
  <c r="M315" i="1"/>
  <c r="N315" i="1"/>
  <c r="O315" i="1"/>
  <c r="M316" i="1"/>
  <c r="N316" i="1"/>
  <c r="O316" i="1"/>
  <c r="M317" i="1"/>
  <c r="N317" i="1"/>
  <c r="O317" i="1"/>
  <c r="M318" i="1"/>
  <c r="N318" i="1"/>
  <c r="O318" i="1"/>
  <c r="M319" i="1"/>
  <c r="N319" i="1"/>
  <c r="O319" i="1"/>
  <c r="M320" i="1"/>
  <c r="N320" i="1"/>
  <c r="O320" i="1"/>
  <c r="M321" i="1"/>
  <c r="N321" i="1"/>
  <c r="O321" i="1"/>
  <c r="M322" i="1"/>
  <c r="N322" i="1"/>
  <c r="O322" i="1"/>
  <c r="M323" i="1"/>
  <c r="N323" i="1"/>
  <c r="O323" i="1"/>
  <c r="M324" i="1"/>
  <c r="N324" i="1"/>
  <c r="O324" i="1"/>
  <c r="M325" i="1"/>
  <c r="N325" i="1"/>
  <c r="O325" i="1"/>
  <c r="M326" i="1"/>
  <c r="N326" i="1"/>
  <c r="O326" i="1"/>
  <c r="M327" i="1"/>
  <c r="N327" i="1"/>
  <c r="O327" i="1"/>
  <c r="M328" i="1"/>
  <c r="N328" i="1"/>
  <c r="O328" i="1"/>
  <c r="M329" i="1"/>
  <c r="N329" i="1"/>
  <c r="O329" i="1"/>
  <c r="M330" i="1"/>
  <c r="N330" i="1"/>
  <c r="O330" i="1"/>
  <c r="M331" i="1"/>
  <c r="N331" i="1"/>
  <c r="O331" i="1"/>
  <c r="M332" i="1"/>
  <c r="N332" i="1"/>
  <c r="O332" i="1"/>
  <c r="M333" i="1"/>
  <c r="N333" i="1"/>
  <c r="O333" i="1"/>
  <c r="M334" i="1"/>
  <c r="N334" i="1"/>
  <c r="O334" i="1"/>
  <c r="M335" i="1"/>
  <c r="N335" i="1"/>
  <c r="O335" i="1"/>
  <c r="M336" i="1"/>
  <c r="N336" i="1"/>
  <c r="O336" i="1"/>
  <c r="M337" i="1"/>
  <c r="N337" i="1"/>
  <c r="O337" i="1"/>
  <c r="M338" i="1"/>
  <c r="N338" i="1"/>
  <c r="O338" i="1"/>
  <c r="M339" i="1"/>
  <c r="N339" i="1"/>
  <c r="O339" i="1"/>
  <c r="M340" i="1"/>
  <c r="N340" i="1"/>
  <c r="O340" i="1"/>
  <c r="M341" i="1"/>
  <c r="N341" i="1"/>
  <c r="O341" i="1"/>
  <c r="M342" i="1"/>
  <c r="N342" i="1"/>
  <c r="O342" i="1"/>
  <c r="M343" i="1"/>
  <c r="N343" i="1"/>
  <c r="O343" i="1"/>
  <c r="M344" i="1"/>
  <c r="N344" i="1"/>
  <c r="O344" i="1"/>
  <c r="M345" i="1"/>
  <c r="N345" i="1"/>
  <c r="O345" i="1"/>
  <c r="M346" i="1"/>
  <c r="N346" i="1"/>
  <c r="O346" i="1"/>
  <c r="M347" i="1"/>
  <c r="N347" i="1"/>
  <c r="O347" i="1"/>
  <c r="M348" i="1"/>
  <c r="N348" i="1"/>
  <c r="O348" i="1"/>
  <c r="M349" i="1"/>
  <c r="N349" i="1"/>
  <c r="O349" i="1"/>
  <c r="M350" i="1"/>
  <c r="N350" i="1"/>
  <c r="O350" i="1"/>
  <c r="M351" i="1"/>
  <c r="N351" i="1"/>
  <c r="O351" i="1"/>
  <c r="M352" i="1"/>
  <c r="N352" i="1"/>
  <c r="O352" i="1"/>
  <c r="M353" i="1"/>
  <c r="N353" i="1"/>
  <c r="O353" i="1"/>
  <c r="M354" i="1"/>
  <c r="N354" i="1"/>
  <c r="O354" i="1"/>
  <c r="M355" i="1"/>
  <c r="N355" i="1"/>
  <c r="O355" i="1"/>
  <c r="M356" i="1"/>
  <c r="N356" i="1"/>
  <c r="O356" i="1"/>
  <c r="M357" i="1"/>
  <c r="N357" i="1"/>
  <c r="O357" i="1"/>
  <c r="M358" i="1"/>
  <c r="N358" i="1"/>
  <c r="O358" i="1"/>
  <c r="M359" i="1"/>
  <c r="N359" i="1"/>
  <c r="O359" i="1"/>
  <c r="M360" i="1"/>
  <c r="N360" i="1"/>
  <c r="O360" i="1"/>
  <c r="M361" i="1"/>
  <c r="N361" i="1"/>
  <c r="O361" i="1"/>
  <c r="M362" i="1"/>
  <c r="N362" i="1"/>
  <c r="O362" i="1"/>
  <c r="M363" i="1"/>
  <c r="N363" i="1"/>
  <c r="O363" i="1"/>
  <c r="M364" i="1"/>
  <c r="N364" i="1"/>
  <c r="O364" i="1"/>
  <c r="M365" i="1"/>
  <c r="N365" i="1"/>
  <c r="O365" i="1"/>
  <c r="M366" i="1"/>
  <c r="N366" i="1"/>
  <c r="O366" i="1"/>
  <c r="M367" i="1"/>
  <c r="N367" i="1"/>
  <c r="O367" i="1"/>
  <c r="M368" i="1"/>
  <c r="N368" i="1"/>
  <c r="O368" i="1"/>
  <c r="M369" i="1"/>
  <c r="N369" i="1"/>
  <c r="O369" i="1"/>
  <c r="M370" i="1"/>
  <c r="N370" i="1"/>
  <c r="O370" i="1"/>
  <c r="M371" i="1"/>
  <c r="N371" i="1"/>
  <c r="O371" i="1"/>
  <c r="M372" i="1"/>
  <c r="N372" i="1"/>
  <c r="O372" i="1"/>
  <c r="M373" i="1"/>
  <c r="N373" i="1"/>
  <c r="O373" i="1"/>
  <c r="M374" i="1"/>
  <c r="N374" i="1"/>
  <c r="O374" i="1"/>
  <c r="M375" i="1"/>
  <c r="N375" i="1"/>
  <c r="O375" i="1"/>
  <c r="M376" i="1"/>
  <c r="N376" i="1"/>
  <c r="O376" i="1"/>
  <c r="M377" i="1"/>
  <c r="N377" i="1"/>
  <c r="O377" i="1"/>
  <c r="M378" i="1"/>
  <c r="N378" i="1"/>
  <c r="O378" i="1"/>
  <c r="M379" i="1"/>
  <c r="N379" i="1"/>
  <c r="O379" i="1"/>
  <c r="M380" i="1"/>
  <c r="N380" i="1"/>
  <c r="O380" i="1"/>
  <c r="M381" i="1"/>
  <c r="N381" i="1"/>
  <c r="O381" i="1"/>
  <c r="M382" i="1"/>
  <c r="N382" i="1"/>
  <c r="O382" i="1"/>
  <c r="M383" i="1"/>
  <c r="N383" i="1"/>
  <c r="O383" i="1"/>
  <c r="M384" i="1"/>
  <c r="N384" i="1"/>
  <c r="O384" i="1"/>
  <c r="M385" i="1"/>
  <c r="N385" i="1"/>
  <c r="O385" i="1"/>
  <c r="M386" i="1"/>
  <c r="N386" i="1"/>
  <c r="O386" i="1"/>
  <c r="M387" i="1"/>
  <c r="N387" i="1"/>
  <c r="O387" i="1"/>
  <c r="M388" i="1"/>
  <c r="N388" i="1"/>
  <c r="O388" i="1"/>
  <c r="M389" i="1"/>
  <c r="N389" i="1"/>
  <c r="O389" i="1"/>
  <c r="M390" i="1"/>
  <c r="N390" i="1"/>
  <c r="O390" i="1"/>
  <c r="M391" i="1"/>
  <c r="N391" i="1"/>
  <c r="O391" i="1"/>
  <c r="M392" i="1"/>
  <c r="N392" i="1"/>
  <c r="O392" i="1"/>
  <c r="M393" i="1"/>
  <c r="N393" i="1"/>
  <c r="O393" i="1"/>
  <c r="M394" i="1"/>
  <c r="N394" i="1"/>
  <c r="O394" i="1"/>
  <c r="M395" i="1"/>
  <c r="N395" i="1"/>
  <c r="O395" i="1"/>
  <c r="M396" i="1"/>
  <c r="N396" i="1"/>
  <c r="O396" i="1"/>
  <c r="M397" i="1"/>
  <c r="N397" i="1"/>
  <c r="O397" i="1"/>
  <c r="M398" i="1"/>
  <c r="N398" i="1"/>
  <c r="O398" i="1"/>
  <c r="M399" i="1"/>
  <c r="N399" i="1"/>
  <c r="O399" i="1"/>
  <c r="M400" i="1"/>
  <c r="N400" i="1"/>
  <c r="O400" i="1"/>
  <c r="M401" i="1"/>
  <c r="N401" i="1"/>
  <c r="O401" i="1"/>
  <c r="M402" i="1"/>
  <c r="N402" i="1"/>
  <c r="O402" i="1"/>
  <c r="M403" i="1"/>
  <c r="N403" i="1"/>
  <c r="O403" i="1"/>
  <c r="M404" i="1"/>
  <c r="N404" i="1"/>
  <c r="O404" i="1"/>
  <c r="M405" i="1"/>
  <c r="N405" i="1"/>
  <c r="O405" i="1"/>
  <c r="M406" i="1"/>
  <c r="N406" i="1"/>
  <c r="O406" i="1"/>
  <c r="M407" i="1"/>
  <c r="N407" i="1"/>
  <c r="O407" i="1"/>
  <c r="M408" i="1"/>
  <c r="N408" i="1"/>
  <c r="O408" i="1"/>
  <c r="M409" i="1"/>
  <c r="N409" i="1"/>
  <c r="O409" i="1"/>
  <c r="M410" i="1"/>
  <c r="N410" i="1"/>
  <c r="O410" i="1"/>
  <c r="M411" i="1"/>
  <c r="N411" i="1"/>
  <c r="O411" i="1"/>
  <c r="M412" i="1"/>
  <c r="N412" i="1"/>
  <c r="O412" i="1"/>
  <c r="M413" i="1"/>
  <c r="N413" i="1"/>
  <c r="O413" i="1"/>
  <c r="M414" i="1"/>
  <c r="N414" i="1"/>
  <c r="O414" i="1"/>
  <c r="M415" i="1"/>
  <c r="N415" i="1"/>
  <c r="O415" i="1"/>
  <c r="M416" i="1"/>
  <c r="N416" i="1"/>
  <c r="O416" i="1"/>
  <c r="M417" i="1"/>
  <c r="N417" i="1"/>
  <c r="O417" i="1"/>
  <c r="M418" i="1"/>
  <c r="N418" i="1"/>
  <c r="O418" i="1"/>
  <c r="M419" i="1"/>
  <c r="N419" i="1"/>
  <c r="O419" i="1"/>
  <c r="M420" i="1"/>
  <c r="N420" i="1"/>
  <c r="O420" i="1"/>
  <c r="M421" i="1"/>
  <c r="N421" i="1"/>
  <c r="O421" i="1"/>
  <c r="M422" i="1"/>
  <c r="N422" i="1"/>
  <c r="O422" i="1"/>
  <c r="M423" i="1"/>
  <c r="N423" i="1"/>
  <c r="O423" i="1"/>
  <c r="M424" i="1"/>
  <c r="N424" i="1"/>
  <c r="O424" i="1"/>
  <c r="M425" i="1"/>
  <c r="N425" i="1"/>
  <c r="O425" i="1"/>
  <c r="M426" i="1"/>
  <c r="N426" i="1"/>
  <c r="O426" i="1"/>
  <c r="M427" i="1"/>
  <c r="N427" i="1"/>
  <c r="O427" i="1"/>
  <c r="M428" i="1"/>
  <c r="N428" i="1"/>
  <c r="O428" i="1"/>
  <c r="M429" i="1"/>
  <c r="N429" i="1"/>
  <c r="O429" i="1"/>
  <c r="M430" i="1"/>
  <c r="N430" i="1"/>
  <c r="O430" i="1"/>
  <c r="M431" i="1"/>
  <c r="N431" i="1"/>
  <c r="O431" i="1"/>
  <c r="M432" i="1"/>
  <c r="N432" i="1"/>
  <c r="O432" i="1"/>
  <c r="M433" i="1"/>
  <c r="N433" i="1"/>
  <c r="O433" i="1"/>
  <c r="M434" i="1"/>
  <c r="N434" i="1"/>
  <c r="O434" i="1"/>
  <c r="M435" i="1"/>
  <c r="N435" i="1"/>
  <c r="O435" i="1"/>
  <c r="M436" i="1"/>
  <c r="N436" i="1"/>
  <c r="O436" i="1"/>
  <c r="M437" i="1"/>
  <c r="N437" i="1"/>
  <c r="O437" i="1"/>
  <c r="M438" i="1"/>
  <c r="N438" i="1"/>
  <c r="O438" i="1"/>
  <c r="M439" i="1"/>
  <c r="N439" i="1"/>
  <c r="O439" i="1"/>
  <c r="M440" i="1"/>
  <c r="N440" i="1"/>
  <c r="O440" i="1"/>
  <c r="M441" i="1"/>
  <c r="N441" i="1"/>
  <c r="O441" i="1"/>
  <c r="M442" i="1"/>
  <c r="N442" i="1"/>
  <c r="O442" i="1"/>
  <c r="M443" i="1"/>
  <c r="N443" i="1"/>
  <c r="O443" i="1"/>
  <c r="M444" i="1"/>
  <c r="N444" i="1"/>
  <c r="O444" i="1"/>
  <c r="M445" i="1"/>
  <c r="N445" i="1"/>
  <c r="O445" i="1"/>
  <c r="M446" i="1"/>
  <c r="N446" i="1"/>
  <c r="O446" i="1"/>
  <c r="M447" i="1"/>
  <c r="N447" i="1"/>
  <c r="O447" i="1"/>
  <c r="M448" i="1"/>
  <c r="N448" i="1"/>
  <c r="O448" i="1"/>
  <c r="M449" i="1"/>
  <c r="N449" i="1"/>
  <c r="O449" i="1"/>
  <c r="M450" i="1"/>
  <c r="N450" i="1"/>
  <c r="O450" i="1"/>
  <c r="M451" i="1"/>
  <c r="N451" i="1"/>
  <c r="O451" i="1"/>
  <c r="M452" i="1"/>
  <c r="N452" i="1"/>
  <c r="O452" i="1"/>
  <c r="M453" i="1"/>
  <c r="N453" i="1"/>
  <c r="O453" i="1"/>
  <c r="M454" i="1"/>
  <c r="N454" i="1"/>
  <c r="O454" i="1"/>
  <c r="M455" i="1"/>
  <c r="N455" i="1"/>
  <c r="O455" i="1"/>
  <c r="M456" i="1"/>
  <c r="N456" i="1"/>
  <c r="O456" i="1"/>
  <c r="M457" i="1"/>
  <c r="N457" i="1"/>
  <c r="O457" i="1"/>
  <c r="M458" i="1"/>
  <c r="N458" i="1"/>
  <c r="O458" i="1"/>
  <c r="M459" i="1"/>
  <c r="N459" i="1"/>
  <c r="O459" i="1"/>
  <c r="M460" i="1"/>
  <c r="N460" i="1"/>
  <c r="O460" i="1"/>
  <c r="M461" i="1"/>
  <c r="N461" i="1"/>
  <c r="O461" i="1"/>
  <c r="M462" i="1"/>
  <c r="N462" i="1"/>
  <c r="O462" i="1"/>
  <c r="M463" i="1"/>
  <c r="N463" i="1"/>
  <c r="O463" i="1"/>
  <c r="M464" i="1"/>
  <c r="N464" i="1"/>
  <c r="O464" i="1"/>
  <c r="M465" i="1"/>
  <c r="N465" i="1"/>
  <c r="O465" i="1"/>
  <c r="M466" i="1"/>
  <c r="N466" i="1"/>
  <c r="O466" i="1"/>
  <c r="M467" i="1"/>
  <c r="N467" i="1"/>
  <c r="O467" i="1"/>
  <c r="M468" i="1"/>
  <c r="N468" i="1"/>
  <c r="O468" i="1"/>
  <c r="M469" i="1"/>
  <c r="N469" i="1"/>
  <c r="O469" i="1"/>
  <c r="M470" i="1"/>
  <c r="N470" i="1"/>
  <c r="O470" i="1"/>
  <c r="M471" i="1"/>
  <c r="N471" i="1"/>
  <c r="O471" i="1"/>
  <c r="M472" i="1"/>
  <c r="N472" i="1"/>
  <c r="O472" i="1"/>
  <c r="M473" i="1"/>
  <c r="N473" i="1"/>
  <c r="O473" i="1"/>
  <c r="M474" i="1"/>
  <c r="N474" i="1"/>
  <c r="O474" i="1"/>
  <c r="M475" i="1"/>
  <c r="N475" i="1"/>
  <c r="O475" i="1"/>
  <c r="M476" i="1"/>
  <c r="N476" i="1"/>
  <c r="O476" i="1"/>
  <c r="M477" i="1"/>
  <c r="N477" i="1"/>
  <c r="O477" i="1"/>
  <c r="M478" i="1"/>
  <c r="N478" i="1"/>
  <c r="O478" i="1"/>
  <c r="M479" i="1"/>
  <c r="N479" i="1"/>
  <c r="O479" i="1"/>
  <c r="M480" i="1"/>
  <c r="N480" i="1"/>
  <c r="O480" i="1"/>
  <c r="M481" i="1"/>
  <c r="N481" i="1"/>
  <c r="O481" i="1"/>
  <c r="M482" i="1"/>
  <c r="N482" i="1"/>
  <c r="O482" i="1"/>
  <c r="M483" i="1"/>
  <c r="N483" i="1"/>
  <c r="O483" i="1"/>
  <c r="M484" i="1"/>
  <c r="N484" i="1"/>
  <c r="O484" i="1"/>
  <c r="M485" i="1"/>
  <c r="N485" i="1"/>
  <c r="O485" i="1"/>
  <c r="M486" i="1"/>
  <c r="N486" i="1"/>
  <c r="O486" i="1"/>
  <c r="M487" i="1"/>
  <c r="N487" i="1"/>
  <c r="O487" i="1"/>
  <c r="M488" i="1"/>
  <c r="N488" i="1"/>
  <c r="O488" i="1"/>
  <c r="M489" i="1"/>
  <c r="N489" i="1"/>
  <c r="O489" i="1"/>
  <c r="M490" i="1"/>
  <c r="N490" i="1"/>
  <c r="O490" i="1"/>
  <c r="M491" i="1"/>
  <c r="N491" i="1"/>
  <c r="O491" i="1"/>
  <c r="M492" i="1"/>
  <c r="N492" i="1"/>
  <c r="O492" i="1"/>
  <c r="M493" i="1"/>
  <c r="N493" i="1"/>
  <c r="O493" i="1"/>
  <c r="M494" i="1"/>
  <c r="N494" i="1"/>
  <c r="O494" i="1"/>
  <c r="M495" i="1"/>
  <c r="N495" i="1"/>
  <c r="O495" i="1"/>
  <c r="M496" i="1"/>
  <c r="N496" i="1"/>
  <c r="O496" i="1"/>
  <c r="M497" i="1"/>
  <c r="N497" i="1"/>
  <c r="O497" i="1"/>
  <c r="M498" i="1"/>
  <c r="N498" i="1"/>
  <c r="O498" i="1"/>
  <c r="M499" i="1"/>
  <c r="N499" i="1"/>
  <c r="O499" i="1"/>
  <c r="M500" i="1"/>
  <c r="N500" i="1"/>
  <c r="O500" i="1"/>
  <c r="M501" i="1"/>
  <c r="N501" i="1"/>
  <c r="O501" i="1"/>
  <c r="M502" i="1"/>
  <c r="N502" i="1"/>
  <c r="O502" i="1"/>
  <c r="M503" i="1"/>
  <c r="N503" i="1"/>
  <c r="O503" i="1"/>
  <c r="M504" i="1"/>
  <c r="N504" i="1"/>
  <c r="O504" i="1"/>
  <c r="M505" i="1"/>
  <c r="N505" i="1"/>
  <c r="O505" i="1"/>
  <c r="M506" i="1"/>
  <c r="N506" i="1"/>
  <c r="O506" i="1"/>
  <c r="M507" i="1"/>
  <c r="N507" i="1"/>
  <c r="O507" i="1"/>
  <c r="M508" i="1"/>
  <c r="N508" i="1"/>
  <c r="O508" i="1"/>
  <c r="M509" i="1"/>
  <c r="N509" i="1"/>
  <c r="O509" i="1"/>
  <c r="M510" i="1"/>
  <c r="N510" i="1"/>
  <c r="O510" i="1"/>
  <c r="M511" i="1"/>
  <c r="N511" i="1"/>
  <c r="O511" i="1"/>
  <c r="M512" i="1"/>
  <c r="N512" i="1"/>
  <c r="O512" i="1"/>
  <c r="M513" i="1"/>
  <c r="N513" i="1"/>
  <c r="O513" i="1"/>
  <c r="M514" i="1"/>
  <c r="N514" i="1"/>
  <c r="O514" i="1"/>
  <c r="M515" i="1"/>
  <c r="N515" i="1"/>
  <c r="O515" i="1"/>
  <c r="M516" i="1"/>
  <c r="N516" i="1"/>
  <c r="O516" i="1"/>
  <c r="M517" i="1"/>
  <c r="N517" i="1"/>
  <c r="O517" i="1"/>
  <c r="M518" i="1"/>
  <c r="N518" i="1"/>
  <c r="O518" i="1"/>
  <c r="M519" i="1"/>
  <c r="N519" i="1"/>
  <c r="O519" i="1"/>
  <c r="M520" i="1"/>
  <c r="N520" i="1"/>
  <c r="O520" i="1"/>
  <c r="M521" i="1"/>
  <c r="N521" i="1"/>
  <c r="O521" i="1"/>
  <c r="M522" i="1"/>
  <c r="N522" i="1"/>
  <c r="O522" i="1"/>
  <c r="M523" i="1"/>
  <c r="N523" i="1"/>
  <c r="O523" i="1"/>
  <c r="M524" i="1"/>
  <c r="N524" i="1"/>
  <c r="O524" i="1"/>
  <c r="M525" i="1"/>
  <c r="N525" i="1"/>
  <c r="O525" i="1"/>
  <c r="M526" i="1"/>
  <c r="N526" i="1"/>
  <c r="O526" i="1"/>
  <c r="M527" i="1"/>
  <c r="N527" i="1"/>
  <c r="O527" i="1"/>
  <c r="M528" i="1"/>
  <c r="N528" i="1"/>
  <c r="O528" i="1"/>
  <c r="M529" i="1"/>
  <c r="N529" i="1"/>
  <c r="O529" i="1"/>
  <c r="M530" i="1"/>
  <c r="N530" i="1"/>
  <c r="O530" i="1"/>
  <c r="M531" i="1"/>
  <c r="N531" i="1"/>
  <c r="O531" i="1"/>
  <c r="M532" i="1"/>
  <c r="N532" i="1"/>
  <c r="O532" i="1"/>
  <c r="M533" i="1"/>
  <c r="N533" i="1"/>
  <c r="O533" i="1"/>
  <c r="M534" i="1"/>
  <c r="N534" i="1"/>
  <c r="O534" i="1"/>
  <c r="M535" i="1"/>
  <c r="N535" i="1"/>
  <c r="O535" i="1"/>
  <c r="M536" i="1"/>
  <c r="N536" i="1"/>
  <c r="O536" i="1"/>
  <c r="M537" i="1"/>
  <c r="N537" i="1"/>
  <c r="O537" i="1"/>
  <c r="M538" i="1"/>
  <c r="N538" i="1"/>
  <c r="O538" i="1"/>
  <c r="M539" i="1"/>
  <c r="N539" i="1"/>
  <c r="O539" i="1"/>
  <c r="M540" i="1"/>
  <c r="N540" i="1"/>
  <c r="O540" i="1"/>
  <c r="M541" i="1"/>
  <c r="N541" i="1"/>
  <c r="O541" i="1"/>
  <c r="M542" i="1"/>
  <c r="N542" i="1"/>
  <c r="O542" i="1"/>
  <c r="M543" i="1"/>
  <c r="N543" i="1"/>
  <c r="O543" i="1"/>
  <c r="M544" i="1"/>
  <c r="N544" i="1"/>
  <c r="O544" i="1"/>
  <c r="M545" i="1"/>
  <c r="N545" i="1"/>
  <c r="O545" i="1"/>
  <c r="M546" i="1"/>
  <c r="N546" i="1"/>
  <c r="O546" i="1"/>
  <c r="M547" i="1"/>
  <c r="N547" i="1"/>
  <c r="O547" i="1"/>
  <c r="M548" i="1"/>
  <c r="N548" i="1"/>
  <c r="O548" i="1"/>
  <c r="M549" i="1"/>
  <c r="N549" i="1"/>
  <c r="O549" i="1"/>
  <c r="M550" i="1"/>
  <c r="N550" i="1"/>
  <c r="O550" i="1"/>
  <c r="M551" i="1"/>
  <c r="N551" i="1"/>
  <c r="O551" i="1"/>
  <c r="M552" i="1"/>
  <c r="N552" i="1"/>
  <c r="O552" i="1"/>
  <c r="M553" i="1"/>
  <c r="N553" i="1"/>
  <c r="O553" i="1"/>
  <c r="M554" i="1"/>
  <c r="N554" i="1"/>
  <c r="O554" i="1"/>
  <c r="M555" i="1"/>
  <c r="N555" i="1"/>
  <c r="O555" i="1"/>
  <c r="M556" i="1"/>
  <c r="N556" i="1"/>
  <c r="O556" i="1"/>
  <c r="M557" i="1"/>
  <c r="N557" i="1"/>
  <c r="O557" i="1"/>
  <c r="M558" i="1"/>
  <c r="N558" i="1"/>
  <c r="O558" i="1"/>
  <c r="M559" i="1"/>
  <c r="N559" i="1"/>
  <c r="O559" i="1"/>
  <c r="M560" i="1"/>
  <c r="N560" i="1"/>
  <c r="O560" i="1"/>
  <c r="M561" i="1"/>
  <c r="N561" i="1"/>
  <c r="O561" i="1"/>
  <c r="M562" i="1"/>
  <c r="N562" i="1"/>
  <c r="O562" i="1"/>
  <c r="M563" i="1"/>
  <c r="N563" i="1"/>
  <c r="O563" i="1"/>
  <c r="M564" i="1"/>
  <c r="N564" i="1"/>
  <c r="O564" i="1"/>
  <c r="M565" i="1"/>
  <c r="N565" i="1"/>
  <c r="O565" i="1"/>
  <c r="M566" i="1"/>
  <c r="N566" i="1"/>
  <c r="O566" i="1"/>
  <c r="M567" i="1"/>
  <c r="N567" i="1"/>
  <c r="O567" i="1"/>
  <c r="M568" i="1"/>
  <c r="N568" i="1"/>
  <c r="O568" i="1"/>
  <c r="M569" i="1"/>
  <c r="N569" i="1"/>
  <c r="O569" i="1"/>
  <c r="M570" i="1"/>
  <c r="N570" i="1"/>
  <c r="O570" i="1"/>
  <c r="M571" i="1"/>
  <c r="N571" i="1"/>
  <c r="O571" i="1"/>
  <c r="M572" i="1"/>
  <c r="N572" i="1"/>
  <c r="O572" i="1"/>
  <c r="M573" i="1"/>
  <c r="N573" i="1"/>
  <c r="O573" i="1"/>
  <c r="M574" i="1"/>
  <c r="N574" i="1"/>
  <c r="O574" i="1"/>
  <c r="M575" i="1"/>
  <c r="N575" i="1"/>
  <c r="O575" i="1"/>
  <c r="M576" i="1"/>
  <c r="N576" i="1"/>
  <c r="O576" i="1"/>
  <c r="M577" i="1"/>
  <c r="N577" i="1"/>
  <c r="O577" i="1"/>
  <c r="M578" i="1"/>
  <c r="N578" i="1"/>
  <c r="O578" i="1"/>
  <c r="M579" i="1"/>
  <c r="N579" i="1"/>
  <c r="O579" i="1"/>
  <c r="M580" i="1"/>
  <c r="N580" i="1"/>
  <c r="O580" i="1"/>
  <c r="M581" i="1"/>
  <c r="N581" i="1"/>
  <c r="O581" i="1"/>
  <c r="M582" i="1"/>
  <c r="N582" i="1"/>
  <c r="O582" i="1"/>
  <c r="M583" i="1"/>
  <c r="N583" i="1"/>
  <c r="O583" i="1"/>
  <c r="M584" i="1"/>
  <c r="N584" i="1"/>
  <c r="O584" i="1"/>
  <c r="M585" i="1"/>
  <c r="N585" i="1"/>
  <c r="O585" i="1"/>
  <c r="M586" i="1"/>
  <c r="N586" i="1"/>
  <c r="O586" i="1"/>
  <c r="M587" i="1"/>
  <c r="N587" i="1"/>
  <c r="O587" i="1"/>
  <c r="M588" i="1"/>
  <c r="N588" i="1"/>
  <c r="O588" i="1"/>
  <c r="M589" i="1"/>
  <c r="N589" i="1"/>
  <c r="O589" i="1"/>
  <c r="M590" i="1"/>
  <c r="N590" i="1"/>
  <c r="O590" i="1"/>
  <c r="M591" i="1"/>
  <c r="N591" i="1"/>
  <c r="O591" i="1"/>
  <c r="M592" i="1"/>
  <c r="N592" i="1"/>
  <c r="O592" i="1"/>
  <c r="M593" i="1"/>
  <c r="N593" i="1"/>
  <c r="O593" i="1"/>
  <c r="M594" i="1"/>
  <c r="N594" i="1"/>
  <c r="O594" i="1"/>
  <c r="M595" i="1"/>
  <c r="N595" i="1"/>
  <c r="O595" i="1"/>
  <c r="M596" i="1"/>
  <c r="N596" i="1"/>
  <c r="O596" i="1"/>
  <c r="M597" i="1"/>
  <c r="N597" i="1"/>
  <c r="O597" i="1"/>
  <c r="M598" i="1"/>
  <c r="N598" i="1"/>
  <c r="O598" i="1"/>
  <c r="M599" i="1"/>
  <c r="N599" i="1"/>
  <c r="O599" i="1"/>
  <c r="M600" i="1"/>
  <c r="N600" i="1"/>
  <c r="O600" i="1"/>
  <c r="M601" i="1"/>
  <c r="N601" i="1"/>
  <c r="O601" i="1"/>
  <c r="M602" i="1"/>
  <c r="N602" i="1"/>
  <c r="O602" i="1"/>
  <c r="M603" i="1"/>
  <c r="N603" i="1"/>
  <c r="O603" i="1"/>
  <c r="M604" i="1"/>
  <c r="N604" i="1"/>
  <c r="O604" i="1"/>
  <c r="M605" i="1"/>
  <c r="N605" i="1"/>
  <c r="O605" i="1"/>
  <c r="M606" i="1"/>
  <c r="N606" i="1"/>
  <c r="O606" i="1"/>
  <c r="M607" i="1"/>
  <c r="N607" i="1"/>
  <c r="O607" i="1"/>
  <c r="M608" i="1"/>
  <c r="N608" i="1"/>
  <c r="O608" i="1"/>
  <c r="M609" i="1"/>
  <c r="N609" i="1"/>
  <c r="O609" i="1"/>
  <c r="M610" i="1"/>
  <c r="N610" i="1"/>
  <c r="O610" i="1"/>
  <c r="M611" i="1"/>
  <c r="N611" i="1"/>
  <c r="O611" i="1"/>
  <c r="M612" i="1"/>
  <c r="N612" i="1"/>
  <c r="O612" i="1"/>
  <c r="M613" i="1"/>
  <c r="N613" i="1"/>
  <c r="O613" i="1"/>
  <c r="M614" i="1"/>
  <c r="N614" i="1"/>
  <c r="O614" i="1"/>
  <c r="M615" i="1"/>
  <c r="N615" i="1"/>
  <c r="O615" i="1"/>
  <c r="M616" i="1"/>
  <c r="N616" i="1"/>
  <c r="O616" i="1"/>
  <c r="M617" i="1"/>
  <c r="N617" i="1"/>
  <c r="O617" i="1"/>
  <c r="M618" i="1"/>
  <c r="N618" i="1"/>
  <c r="O618" i="1"/>
  <c r="M619" i="1"/>
  <c r="N619" i="1"/>
  <c r="O619" i="1"/>
  <c r="M620" i="1"/>
  <c r="N620" i="1"/>
  <c r="O620" i="1"/>
  <c r="M621" i="1"/>
  <c r="N621" i="1"/>
  <c r="O621" i="1"/>
  <c r="M622" i="1"/>
  <c r="N622" i="1"/>
  <c r="O622" i="1"/>
  <c r="M623" i="1"/>
  <c r="N623" i="1"/>
  <c r="O623" i="1"/>
  <c r="M624" i="1"/>
  <c r="N624" i="1"/>
  <c r="O624" i="1"/>
  <c r="M625" i="1"/>
  <c r="N625" i="1"/>
  <c r="O625" i="1"/>
  <c r="M626" i="1"/>
  <c r="N626" i="1"/>
  <c r="O626" i="1"/>
  <c r="M627" i="1"/>
  <c r="N627" i="1"/>
  <c r="O627" i="1"/>
  <c r="M628" i="1"/>
  <c r="N628" i="1"/>
  <c r="O628" i="1"/>
  <c r="M629" i="1"/>
  <c r="N629" i="1"/>
  <c r="O629" i="1"/>
  <c r="M630" i="1"/>
  <c r="N630" i="1"/>
  <c r="O630" i="1"/>
  <c r="M631" i="1"/>
  <c r="N631" i="1"/>
  <c r="O631" i="1"/>
  <c r="M632" i="1"/>
  <c r="N632" i="1"/>
  <c r="O632" i="1"/>
  <c r="M633" i="1"/>
  <c r="N633" i="1"/>
  <c r="O633" i="1"/>
  <c r="M634" i="1"/>
  <c r="N634" i="1"/>
  <c r="O634" i="1"/>
  <c r="M635" i="1"/>
  <c r="N635" i="1"/>
  <c r="O635" i="1"/>
  <c r="M636" i="1"/>
  <c r="N636" i="1"/>
  <c r="O636" i="1"/>
  <c r="M637" i="1"/>
  <c r="N637" i="1"/>
  <c r="O637" i="1"/>
  <c r="M638" i="1"/>
  <c r="N638" i="1"/>
  <c r="O638" i="1"/>
  <c r="M639" i="1"/>
  <c r="N639" i="1"/>
  <c r="O639" i="1"/>
  <c r="M640" i="1"/>
  <c r="N640" i="1"/>
  <c r="O640" i="1"/>
  <c r="M641" i="1"/>
  <c r="N641" i="1"/>
  <c r="O641" i="1"/>
  <c r="M642" i="1"/>
  <c r="N642" i="1"/>
  <c r="O642" i="1"/>
  <c r="M643" i="1"/>
  <c r="N643" i="1"/>
  <c r="O643" i="1"/>
  <c r="M644" i="1"/>
  <c r="N644" i="1"/>
  <c r="O644" i="1"/>
  <c r="M645" i="1"/>
  <c r="N645" i="1"/>
  <c r="O645" i="1"/>
  <c r="M646" i="1"/>
  <c r="N646" i="1"/>
  <c r="O646" i="1"/>
  <c r="M647" i="1"/>
  <c r="N647" i="1"/>
  <c r="O647" i="1"/>
  <c r="M648" i="1"/>
  <c r="N648" i="1"/>
  <c r="O648" i="1"/>
  <c r="M649" i="1"/>
  <c r="N649" i="1"/>
  <c r="O649" i="1"/>
  <c r="M650" i="1"/>
  <c r="N650" i="1"/>
  <c r="O650" i="1"/>
  <c r="M651" i="1"/>
  <c r="N651" i="1"/>
  <c r="O651" i="1"/>
  <c r="M652" i="1"/>
  <c r="N652" i="1"/>
  <c r="O652" i="1"/>
  <c r="M653" i="1"/>
  <c r="N653" i="1"/>
  <c r="O653" i="1"/>
  <c r="M654" i="1"/>
  <c r="N654" i="1"/>
  <c r="O654" i="1"/>
  <c r="M655" i="1"/>
  <c r="N655" i="1"/>
  <c r="O655" i="1"/>
  <c r="M656" i="1"/>
  <c r="N656" i="1"/>
  <c r="O656" i="1"/>
  <c r="M657" i="1"/>
  <c r="N657" i="1"/>
  <c r="O657" i="1"/>
  <c r="M658" i="1"/>
  <c r="N658" i="1"/>
  <c r="O658" i="1"/>
  <c r="M659" i="1"/>
  <c r="N659" i="1"/>
  <c r="O659" i="1"/>
  <c r="M660" i="1"/>
  <c r="N660" i="1"/>
  <c r="O660" i="1"/>
  <c r="M661" i="1"/>
  <c r="N661" i="1"/>
  <c r="O661" i="1"/>
  <c r="M662" i="1"/>
  <c r="N662" i="1"/>
  <c r="O662" i="1"/>
  <c r="M663" i="1"/>
  <c r="N663" i="1"/>
  <c r="O663" i="1"/>
  <c r="M664" i="1"/>
  <c r="N664" i="1"/>
  <c r="O664" i="1"/>
  <c r="M665" i="1"/>
  <c r="N665" i="1"/>
  <c r="O665" i="1"/>
  <c r="M666" i="1"/>
  <c r="N666" i="1"/>
  <c r="O666" i="1"/>
  <c r="M667" i="1"/>
  <c r="N667" i="1"/>
  <c r="O667" i="1"/>
  <c r="M668" i="1"/>
  <c r="N668" i="1"/>
  <c r="O668" i="1"/>
  <c r="M669" i="1"/>
  <c r="N669" i="1"/>
  <c r="O669" i="1"/>
  <c r="M670" i="1"/>
  <c r="N670" i="1"/>
  <c r="O670" i="1"/>
  <c r="M671" i="1"/>
  <c r="N671" i="1"/>
  <c r="O671" i="1"/>
  <c r="M672" i="1"/>
  <c r="N672" i="1"/>
  <c r="O672" i="1"/>
  <c r="M673" i="1"/>
  <c r="N673" i="1"/>
  <c r="O673" i="1"/>
  <c r="M674" i="1"/>
  <c r="N674" i="1"/>
  <c r="O674" i="1"/>
  <c r="M675" i="1"/>
  <c r="N675" i="1"/>
  <c r="O675" i="1"/>
  <c r="M676" i="1"/>
  <c r="N676" i="1"/>
  <c r="O676" i="1"/>
  <c r="M677" i="1"/>
  <c r="N677" i="1"/>
  <c r="O677" i="1"/>
  <c r="M678" i="1"/>
  <c r="N678" i="1"/>
  <c r="O678" i="1"/>
  <c r="M679" i="1"/>
  <c r="N679" i="1"/>
  <c r="O679" i="1"/>
  <c r="M680" i="1"/>
  <c r="N680" i="1"/>
  <c r="O680" i="1"/>
  <c r="M681" i="1"/>
  <c r="N681" i="1"/>
  <c r="O681" i="1"/>
  <c r="M682" i="1"/>
  <c r="N682" i="1"/>
  <c r="O682" i="1"/>
  <c r="M683" i="1"/>
  <c r="N683" i="1"/>
  <c r="O683" i="1"/>
  <c r="M684" i="1"/>
  <c r="N684" i="1"/>
  <c r="O684" i="1"/>
  <c r="M685" i="1"/>
  <c r="N685" i="1"/>
  <c r="O685" i="1"/>
  <c r="M686" i="1"/>
  <c r="N686" i="1"/>
  <c r="O686" i="1"/>
  <c r="M687" i="1"/>
  <c r="N687" i="1"/>
  <c r="O687" i="1"/>
  <c r="M688" i="1"/>
  <c r="N688" i="1"/>
  <c r="O688" i="1"/>
  <c r="M689" i="1"/>
  <c r="N689" i="1"/>
  <c r="O689" i="1"/>
  <c r="M690" i="1"/>
  <c r="N690" i="1"/>
  <c r="O690" i="1"/>
  <c r="M691" i="1"/>
  <c r="N691" i="1"/>
  <c r="O691" i="1"/>
  <c r="M692" i="1"/>
  <c r="N692" i="1"/>
  <c r="O692" i="1"/>
  <c r="M693" i="1"/>
  <c r="N693" i="1"/>
  <c r="O693" i="1"/>
  <c r="M694" i="1"/>
  <c r="N694" i="1"/>
  <c r="O694" i="1"/>
  <c r="M695" i="1"/>
  <c r="N695" i="1"/>
  <c r="O695" i="1"/>
  <c r="M696" i="1"/>
  <c r="N696" i="1"/>
  <c r="O696" i="1"/>
  <c r="M697" i="1"/>
  <c r="N697" i="1"/>
  <c r="O697" i="1"/>
  <c r="M698" i="1"/>
  <c r="N698" i="1"/>
  <c r="O698" i="1"/>
  <c r="M699" i="1"/>
  <c r="N699" i="1"/>
  <c r="O699" i="1"/>
  <c r="M700" i="1"/>
  <c r="N700" i="1"/>
  <c r="O700" i="1"/>
  <c r="M701" i="1"/>
  <c r="N701" i="1"/>
  <c r="O701" i="1"/>
  <c r="M702" i="1"/>
  <c r="N702" i="1"/>
  <c r="O702" i="1"/>
  <c r="M703" i="1"/>
  <c r="N703" i="1"/>
  <c r="O703" i="1"/>
  <c r="M704" i="1"/>
  <c r="N704" i="1"/>
  <c r="O704" i="1"/>
  <c r="M705" i="1"/>
  <c r="N705" i="1"/>
  <c r="O705" i="1"/>
  <c r="M706" i="1"/>
  <c r="N706" i="1"/>
  <c r="O706" i="1"/>
  <c r="M707" i="1"/>
  <c r="N707" i="1"/>
  <c r="O707" i="1"/>
  <c r="M708" i="1"/>
  <c r="N708" i="1"/>
  <c r="O708" i="1"/>
  <c r="M709" i="1"/>
  <c r="N709" i="1"/>
  <c r="O709" i="1"/>
  <c r="M710" i="1"/>
  <c r="N710" i="1"/>
  <c r="O710" i="1"/>
  <c r="M711" i="1"/>
  <c r="N711" i="1"/>
  <c r="O711" i="1"/>
  <c r="M712" i="1"/>
  <c r="N712" i="1"/>
  <c r="O712" i="1"/>
  <c r="M713" i="1"/>
  <c r="N713" i="1"/>
  <c r="O713" i="1"/>
  <c r="M714" i="1"/>
  <c r="N714" i="1"/>
  <c r="O714" i="1"/>
  <c r="M715" i="1"/>
  <c r="N715" i="1"/>
  <c r="O715" i="1"/>
  <c r="M716" i="1"/>
  <c r="N716" i="1"/>
  <c r="O716" i="1"/>
  <c r="M717" i="1"/>
  <c r="N717" i="1"/>
  <c r="O717" i="1"/>
  <c r="M718" i="1"/>
  <c r="N718" i="1"/>
  <c r="O718" i="1"/>
  <c r="M719" i="1"/>
  <c r="N719" i="1"/>
  <c r="O719" i="1"/>
  <c r="M720" i="1"/>
  <c r="N720" i="1"/>
  <c r="O720" i="1"/>
  <c r="M721" i="1"/>
  <c r="N721" i="1"/>
  <c r="O721" i="1"/>
  <c r="M722" i="1"/>
  <c r="N722" i="1"/>
  <c r="O722" i="1"/>
  <c r="M723" i="1"/>
  <c r="N723" i="1"/>
  <c r="O723" i="1"/>
  <c r="M724" i="1"/>
  <c r="N724" i="1"/>
  <c r="O724" i="1"/>
  <c r="M725" i="1"/>
  <c r="N725" i="1"/>
  <c r="O725" i="1"/>
  <c r="M726" i="1"/>
  <c r="N726" i="1"/>
  <c r="O726" i="1"/>
  <c r="M727" i="1"/>
  <c r="N727" i="1"/>
  <c r="O727" i="1"/>
  <c r="M728" i="1"/>
  <c r="N728" i="1"/>
  <c r="O728" i="1"/>
  <c r="M729" i="1"/>
  <c r="N729" i="1"/>
  <c r="O729" i="1"/>
  <c r="M730" i="1"/>
  <c r="N730" i="1"/>
  <c r="O730" i="1"/>
  <c r="M731" i="1"/>
  <c r="N731" i="1"/>
  <c r="O731" i="1"/>
  <c r="M732" i="1"/>
  <c r="N732" i="1"/>
  <c r="O732" i="1"/>
  <c r="M733" i="1"/>
  <c r="N733" i="1"/>
  <c r="O733" i="1"/>
  <c r="M734" i="1"/>
  <c r="N734" i="1"/>
  <c r="O734" i="1"/>
  <c r="M735" i="1"/>
  <c r="N735" i="1"/>
  <c r="O735" i="1"/>
  <c r="M736" i="1"/>
  <c r="N736" i="1"/>
  <c r="O736" i="1"/>
  <c r="M737" i="1"/>
  <c r="N737" i="1"/>
  <c r="O737" i="1"/>
  <c r="M738" i="1"/>
  <c r="N738" i="1"/>
  <c r="O738" i="1"/>
  <c r="M739" i="1"/>
  <c r="N739" i="1"/>
  <c r="O739" i="1"/>
  <c r="M740" i="1"/>
  <c r="N740" i="1"/>
  <c r="O740" i="1"/>
  <c r="M741" i="1"/>
  <c r="N741" i="1"/>
  <c r="O741" i="1"/>
  <c r="M742" i="1"/>
  <c r="N742" i="1"/>
  <c r="O742" i="1"/>
  <c r="M743" i="1"/>
  <c r="N743" i="1"/>
  <c r="O743" i="1"/>
  <c r="M744" i="1"/>
  <c r="N744" i="1"/>
  <c r="O744" i="1"/>
  <c r="M745" i="1"/>
  <c r="N745" i="1"/>
  <c r="O745" i="1"/>
  <c r="M746" i="1"/>
  <c r="N746" i="1"/>
  <c r="O746" i="1"/>
  <c r="M747" i="1"/>
  <c r="N747" i="1"/>
  <c r="O747" i="1"/>
  <c r="M748" i="1"/>
  <c r="N748" i="1"/>
  <c r="O748" i="1"/>
  <c r="M749" i="1"/>
  <c r="N749" i="1"/>
  <c r="O749" i="1"/>
  <c r="M750" i="1"/>
  <c r="N750" i="1"/>
  <c r="O750" i="1"/>
  <c r="M751" i="1"/>
  <c r="N751" i="1"/>
  <c r="O751" i="1"/>
  <c r="M752" i="1"/>
  <c r="N752" i="1"/>
  <c r="O752" i="1"/>
  <c r="M753" i="1"/>
  <c r="N753" i="1"/>
  <c r="O753" i="1"/>
  <c r="M754" i="1"/>
  <c r="N754" i="1"/>
  <c r="O754" i="1"/>
  <c r="M755" i="1"/>
  <c r="N755" i="1"/>
  <c r="O755" i="1"/>
  <c r="M756" i="1"/>
  <c r="N756" i="1"/>
  <c r="O756" i="1"/>
  <c r="M757" i="1"/>
  <c r="N757" i="1"/>
  <c r="O757" i="1"/>
  <c r="M758" i="1"/>
  <c r="N758" i="1"/>
  <c r="O758" i="1"/>
  <c r="M759" i="1"/>
  <c r="N759" i="1"/>
  <c r="O759" i="1"/>
  <c r="M760" i="1"/>
  <c r="N760" i="1"/>
  <c r="O760" i="1"/>
  <c r="M761" i="1"/>
  <c r="N761" i="1"/>
  <c r="O761" i="1"/>
  <c r="M762" i="1"/>
  <c r="N762" i="1"/>
  <c r="O762" i="1"/>
  <c r="M763" i="1"/>
  <c r="N763" i="1"/>
  <c r="O763" i="1"/>
  <c r="M764" i="1"/>
  <c r="N764" i="1"/>
  <c r="O764" i="1"/>
  <c r="M765" i="1"/>
  <c r="N765" i="1"/>
  <c r="O765" i="1"/>
  <c r="M766" i="1"/>
  <c r="N766" i="1"/>
  <c r="O766" i="1"/>
  <c r="M767" i="1"/>
  <c r="N767" i="1"/>
  <c r="O767" i="1"/>
  <c r="M768" i="1"/>
  <c r="N768" i="1"/>
  <c r="O768" i="1"/>
  <c r="M769" i="1"/>
  <c r="N769" i="1"/>
  <c r="O769" i="1"/>
  <c r="M770" i="1"/>
  <c r="N770" i="1"/>
  <c r="O770" i="1"/>
  <c r="M771" i="1"/>
  <c r="N771" i="1"/>
  <c r="O771" i="1"/>
  <c r="M772" i="1"/>
  <c r="N772" i="1"/>
  <c r="O772" i="1"/>
  <c r="M773" i="1"/>
  <c r="N773" i="1"/>
  <c r="O773" i="1"/>
  <c r="M774" i="1"/>
  <c r="N774" i="1"/>
  <c r="O774" i="1"/>
  <c r="M775" i="1"/>
  <c r="N775" i="1"/>
  <c r="O775" i="1"/>
  <c r="M776" i="1"/>
  <c r="N776" i="1"/>
  <c r="O776" i="1"/>
  <c r="M777" i="1"/>
  <c r="N777" i="1"/>
  <c r="O777" i="1"/>
  <c r="M778" i="1"/>
  <c r="N778" i="1"/>
  <c r="O778" i="1"/>
  <c r="M779" i="1"/>
  <c r="N779" i="1"/>
  <c r="O779" i="1"/>
  <c r="M780" i="1"/>
  <c r="N780" i="1"/>
  <c r="O780" i="1"/>
  <c r="M781" i="1"/>
  <c r="N781" i="1"/>
  <c r="O781" i="1"/>
  <c r="M782" i="1"/>
  <c r="N782" i="1"/>
  <c r="O782" i="1"/>
  <c r="M783" i="1"/>
  <c r="N783" i="1"/>
  <c r="O783" i="1"/>
  <c r="M784" i="1"/>
  <c r="N784" i="1"/>
  <c r="O784" i="1"/>
  <c r="M785" i="1"/>
  <c r="N785" i="1"/>
  <c r="O785" i="1"/>
  <c r="M786" i="1"/>
  <c r="N786" i="1"/>
  <c r="O786" i="1"/>
  <c r="M787" i="1"/>
  <c r="N787" i="1"/>
  <c r="O787" i="1"/>
  <c r="M788" i="1"/>
  <c r="N788" i="1"/>
  <c r="O788" i="1"/>
  <c r="M789" i="1"/>
  <c r="N789" i="1"/>
  <c r="O789" i="1"/>
  <c r="M790" i="1"/>
  <c r="N790" i="1"/>
  <c r="O790" i="1"/>
  <c r="M791" i="1"/>
  <c r="N791" i="1"/>
  <c r="O791" i="1"/>
  <c r="M792" i="1"/>
  <c r="N792" i="1"/>
  <c r="O792" i="1"/>
  <c r="M793" i="1"/>
  <c r="N793" i="1"/>
  <c r="O793" i="1"/>
  <c r="M794" i="1"/>
  <c r="N794" i="1"/>
  <c r="O794" i="1"/>
  <c r="M795" i="1"/>
  <c r="N795" i="1"/>
  <c r="O795" i="1"/>
  <c r="M796" i="1"/>
  <c r="N796" i="1"/>
  <c r="O796" i="1"/>
  <c r="M797" i="1"/>
  <c r="N797" i="1"/>
  <c r="O797" i="1"/>
  <c r="M798" i="1"/>
  <c r="N798" i="1"/>
  <c r="O798" i="1"/>
  <c r="M799" i="1"/>
  <c r="N799" i="1"/>
  <c r="O799" i="1"/>
  <c r="M800" i="1"/>
  <c r="N800" i="1"/>
  <c r="O800" i="1"/>
  <c r="M801" i="1"/>
  <c r="N801" i="1"/>
  <c r="O801" i="1"/>
  <c r="M802" i="1"/>
  <c r="N802" i="1"/>
  <c r="O802" i="1"/>
  <c r="M803" i="1"/>
  <c r="N803" i="1"/>
  <c r="O803" i="1"/>
  <c r="M804" i="1"/>
  <c r="N804" i="1"/>
  <c r="O804" i="1"/>
  <c r="M805" i="1"/>
  <c r="N805" i="1"/>
  <c r="O805" i="1"/>
  <c r="M806" i="1"/>
  <c r="N806" i="1"/>
  <c r="O806" i="1"/>
  <c r="M807" i="1"/>
  <c r="N807" i="1"/>
  <c r="O807" i="1"/>
  <c r="M808" i="1"/>
  <c r="N808" i="1"/>
  <c r="O808" i="1"/>
  <c r="M809" i="1"/>
  <c r="N809" i="1"/>
  <c r="O809" i="1"/>
  <c r="M810" i="1"/>
  <c r="N810" i="1"/>
  <c r="O810" i="1"/>
  <c r="M811" i="1"/>
  <c r="N811" i="1"/>
  <c r="O811" i="1"/>
  <c r="M812" i="1"/>
  <c r="N812" i="1"/>
  <c r="O812" i="1"/>
  <c r="M813" i="1"/>
  <c r="N813" i="1"/>
  <c r="O813" i="1"/>
  <c r="M814" i="1"/>
  <c r="N814" i="1"/>
  <c r="O814" i="1"/>
  <c r="M815" i="1"/>
  <c r="N815" i="1"/>
  <c r="O815" i="1"/>
  <c r="M816" i="1"/>
  <c r="N816" i="1"/>
  <c r="O816" i="1"/>
  <c r="M817" i="1"/>
  <c r="N817" i="1"/>
  <c r="O817" i="1"/>
  <c r="M818" i="1"/>
  <c r="N818" i="1"/>
  <c r="O818" i="1"/>
  <c r="M819" i="1"/>
  <c r="N819" i="1"/>
  <c r="O819" i="1"/>
  <c r="M820" i="1"/>
  <c r="N820" i="1"/>
  <c r="O820" i="1"/>
  <c r="M821" i="1"/>
  <c r="N821" i="1"/>
  <c r="O821" i="1"/>
  <c r="M822" i="1"/>
  <c r="N822" i="1"/>
  <c r="O822" i="1"/>
  <c r="M823" i="1"/>
  <c r="N823" i="1"/>
  <c r="O823" i="1"/>
  <c r="M824" i="1"/>
  <c r="N824" i="1"/>
  <c r="O824" i="1"/>
  <c r="M825" i="1"/>
  <c r="N825" i="1"/>
  <c r="O825" i="1"/>
  <c r="M826" i="1"/>
  <c r="N826" i="1"/>
  <c r="O826" i="1"/>
  <c r="M827" i="1"/>
  <c r="N827" i="1"/>
  <c r="O827" i="1"/>
  <c r="M828" i="1"/>
  <c r="N828" i="1"/>
  <c r="O828" i="1"/>
  <c r="M829" i="1"/>
  <c r="N829" i="1"/>
  <c r="O829" i="1"/>
  <c r="M830" i="1"/>
  <c r="N830" i="1"/>
  <c r="O830" i="1"/>
  <c r="M831" i="1"/>
  <c r="N831" i="1"/>
  <c r="O831" i="1"/>
  <c r="M832" i="1"/>
  <c r="N832" i="1"/>
  <c r="O832" i="1"/>
  <c r="M833" i="1"/>
  <c r="N833" i="1"/>
  <c r="O833" i="1"/>
  <c r="M834" i="1"/>
  <c r="N834" i="1"/>
  <c r="O834" i="1"/>
  <c r="M835" i="1"/>
  <c r="N835" i="1"/>
  <c r="O835" i="1"/>
  <c r="M836" i="1"/>
  <c r="N836" i="1"/>
  <c r="O836" i="1"/>
  <c r="M837" i="1"/>
  <c r="N837" i="1"/>
  <c r="O837" i="1"/>
  <c r="M838" i="1"/>
  <c r="N838" i="1"/>
  <c r="O838" i="1"/>
  <c r="M839" i="1"/>
  <c r="N839" i="1"/>
  <c r="O839" i="1"/>
  <c r="M840" i="1"/>
  <c r="N840" i="1"/>
  <c r="O840" i="1"/>
  <c r="M841" i="1"/>
  <c r="N841" i="1"/>
  <c r="O841" i="1"/>
  <c r="M842" i="1"/>
  <c r="N842" i="1"/>
  <c r="O842" i="1"/>
  <c r="M843" i="1"/>
  <c r="N843" i="1"/>
  <c r="O843" i="1"/>
  <c r="M844" i="1"/>
  <c r="N844" i="1"/>
  <c r="O844" i="1"/>
  <c r="M845" i="1"/>
  <c r="N845" i="1"/>
  <c r="O845" i="1"/>
  <c r="M846" i="1"/>
  <c r="N846" i="1"/>
  <c r="O846" i="1"/>
  <c r="M847" i="1"/>
  <c r="N847" i="1"/>
  <c r="O847" i="1"/>
  <c r="M848" i="1"/>
  <c r="N848" i="1"/>
  <c r="O848" i="1"/>
  <c r="M849" i="1"/>
  <c r="N849" i="1"/>
  <c r="O849" i="1"/>
  <c r="M850" i="1"/>
  <c r="N850" i="1"/>
  <c r="O850" i="1"/>
  <c r="M851" i="1"/>
  <c r="N851" i="1"/>
  <c r="O851" i="1"/>
  <c r="M852" i="1"/>
  <c r="N852" i="1"/>
  <c r="O852" i="1"/>
  <c r="M853" i="1"/>
  <c r="N853" i="1"/>
  <c r="O853" i="1"/>
  <c r="M854" i="1"/>
  <c r="N854" i="1"/>
  <c r="O854" i="1"/>
  <c r="M855" i="1"/>
  <c r="N855" i="1"/>
  <c r="O855" i="1"/>
  <c r="M856" i="1"/>
  <c r="N856" i="1"/>
  <c r="O856" i="1"/>
  <c r="M857" i="1"/>
  <c r="N857" i="1"/>
  <c r="O857" i="1"/>
  <c r="M858" i="1"/>
  <c r="N858" i="1"/>
  <c r="O858" i="1"/>
  <c r="M859" i="1"/>
  <c r="N859" i="1"/>
  <c r="O859" i="1"/>
  <c r="M860" i="1"/>
  <c r="N860" i="1"/>
  <c r="O860" i="1"/>
  <c r="M861" i="1"/>
  <c r="N861" i="1"/>
  <c r="O861" i="1"/>
  <c r="M862" i="1"/>
  <c r="N862" i="1"/>
  <c r="O862" i="1"/>
  <c r="M863" i="1"/>
  <c r="N863" i="1"/>
  <c r="O863" i="1"/>
  <c r="M864" i="1"/>
  <c r="N864" i="1"/>
  <c r="O864" i="1"/>
  <c r="M865" i="1"/>
  <c r="N865" i="1"/>
  <c r="O865" i="1"/>
  <c r="M866" i="1"/>
  <c r="N866" i="1"/>
  <c r="O866" i="1"/>
  <c r="M867" i="1"/>
  <c r="N867" i="1"/>
  <c r="O867" i="1"/>
  <c r="M868" i="1"/>
  <c r="N868" i="1"/>
  <c r="O868" i="1"/>
  <c r="M869" i="1"/>
  <c r="N869" i="1"/>
  <c r="O869" i="1"/>
  <c r="M870" i="1"/>
  <c r="N870" i="1"/>
  <c r="O870" i="1"/>
  <c r="M871" i="1"/>
  <c r="N871" i="1"/>
  <c r="O871" i="1"/>
  <c r="M872" i="1"/>
  <c r="N872" i="1"/>
  <c r="O872" i="1"/>
  <c r="M873" i="1"/>
  <c r="N873" i="1"/>
  <c r="O873" i="1"/>
  <c r="M874" i="1"/>
  <c r="N874" i="1"/>
  <c r="O874" i="1"/>
  <c r="M875" i="1"/>
  <c r="N875" i="1"/>
  <c r="O875" i="1"/>
  <c r="M876" i="1"/>
  <c r="N876" i="1"/>
  <c r="O876" i="1"/>
  <c r="M877" i="1"/>
  <c r="N877" i="1"/>
  <c r="O877" i="1"/>
  <c r="M878" i="1"/>
  <c r="N878" i="1"/>
  <c r="O878" i="1"/>
  <c r="M879" i="1"/>
  <c r="N879" i="1"/>
  <c r="O879" i="1"/>
  <c r="M880" i="1"/>
  <c r="N880" i="1"/>
  <c r="O880" i="1"/>
  <c r="M881" i="1"/>
  <c r="N881" i="1"/>
  <c r="O881" i="1"/>
  <c r="M882" i="1"/>
  <c r="N882" i="1"/>
  <c r="O882" i="1"/>
  <c r="M883" i="1"/>
  <c r="N883" i="1"/>
  <c r="O883" i="1"/>
  <c r="M884" i="1"/>
  <c r="N884" i="1"/>
  <c r="O884" i="1"/>
  <c r="M885" i="1"/>
  <c r="N885" i="1"/>
  <c r="O885" i="1"/>
  <c r="M886" i="1"/>
  <c r="N886" i="1"/>
  <c r="O886" i="1"/>
  <c r="M887" i="1"/>
  <c r="N887" i="1"/>
  <c r="O887" i="1"/>
  <c r="M888" i="1"/>
  <c r="N888" i="1"/>
  <c r="O888" i="1"/>
  <c r="M889" i="1"/>
  <c r="N889" i="1"/>
  <c r="O889" i="1"/>
  <c r="M890" i="1"/>
  <c r="N890" i="1"/>
  <c r="O890" i="1"/>
  <c r="M891" i="1"/>
  <c r="N891" i="1"/>
  <c r="O891" i="1"/>
  <c r="M892" i="1"/>
  <c r="N892" i="1"/>
  <c r="O892" i="1"/>
  <c r="M893" i="1"/>
  <c r="N893" i="1"/>
  <c r="O893" i="1"/>
  <c r="M894" i="1"/>
  <c r="N894" i="1"/>
  <c r="O894" i="1"/>
  <c r="M895" i="1"/>
  <c r="N895" i="1"/>
  <c r="O895" i="1"/>
  <c r="M896" i="1"/>
  <c r="N896" i="1"/>
  <c r="O896" i="1"/>
  <c r="M897" i="1"/>
  <c r="N897" i="1"/>
  <c r="O897" i="1"/>
  <c r="M898" i="1"/>
  <c r="N898" i="1"/>
  <c r="O898" i="1"/>
  <c r="M899" i="1"/>
  <c r="N899" i="1"/>
  <c r="O899" i="1"/>
  <c r="M900" i="1"/>
  <c r="N900" i="1"/>
  <c r="O900" i="1"/>
  <c r="M901" i="1"/>
  <c r="N901" i="1"/>
  <c r="O901" i="1"/>
  <c r="M902" i="1"/>
  <c r="N902" i="1"/>
  <c r="O902" i="1"/>
  <c r="M903" i="1"/>
  <c r="N903" i="1"/>
  <c r="O903" i="1"/>
  <c r="M904" i="1"/>
  <c r="N904" i="1"/>
  <c r="O904" i="1"/>
  <c r="M905" i="1"/>
  <c r="N905" i="1"/>
  <c r="O905" i="1"/>
  <c r="M906" i="1"/>
  <c r="N906" i="1"/>
  <c r="O906" i="1"/>
  <c r="M907" i="1"/>
  <c r="N907" i="1"/>
  <c r="O907" i="1"/>
  <c r="M908" i="1"/>
  <c r="N908" i="1"/>
  <c r="O908" i="1"/>
  <c r="M909" i="1"/>
  <c r="N909" i="1"/>
  <c r="O909" i="1"/>
  <c r="M910" i="1"/>
  <c r="N910" i="1"/>
  <c r="O910" i="1"/>
  <c r="M911" i="1"/>
  <c r="N911" i="1"/>
  <c r="O911" i="1"/>
  <c r="M912" i="1"/>
  <c r="N912" i="1"/>
  <c r="O912" i="1"/>
  <c r="M913" i="1"/>
  <c r="N913" i="1"/>
  <c r="O913" i="1"/>
  <c r="M914" i="1"/>
  <c r="N914" i="1"/>
  <c r="O914" i="1"/>
  <c r="M915" i="1"/>
  <c r="N915" i="1"/>
  <c r="O915" i="1"/>
  <c r="M916" i="1"/>
  <c r="N916" i="1"/>
  <c r="O916" i="1"/>
  <c r="M917" i="1"/>
  <c r="N917" i="1"/>
  <c r="O917" i="1"/>
  <c r="M918" i="1"/>
  <c r="N918" i="1"/>
  <c r="O918" i="1"/>
  <c r="M919" i="1"/>
  <c r="N919" i="1"/>
  <c r="O919" i="1"/>
  <c r="M920" i="1"/>
  <c r="N920" i="1"/>
  <c r="O920" i="1"/>
  <c r="M921" i="1"/>
  <c r="N921" i="1"/>
  <c r="O921" i="1"/>
  <c r="M922" i="1"/>
  <c r="N922" i="1"/>
  <c r="O922" i="1"/>
  <c r="M923" i="1"/>
  <c r="N923" i="1"/>
  <c r="O923" i="1"/>
  <c r="M924" i="1"/>
  <c r="N924" i="1"/>
  <c r="O924" i="1"/>
  <c r="M925" i="1"/>
  <c r="N925" i="1"/>
  <c r="O925" i="1"/>
  <c r="M926" i="1"/>
  <c r="N926" i="1"/>
  <c r="O926" i="1"/>
  <c r="M927" i="1"/>
  <c r="N927" i="1"/>
  <c r="O927" i="1"/>
  <c r="M928" i="1"/>
  <c r="N928" i="1"/>
  <c r="O928" i="1"/>
  <c r="M929" i="1"/>
  <c r="N929" i="1"/>
  <c r="O929" i="1"/>
  <c r="M930" i="1"/>
  <c r="N930" i="1"/>
  <c r="O930" i="1"/>
  <c r="M931" i="1"/>
  <c r="N931" i="1"/>
  <c r="O931" i="1"/>
  <c r="M932" i="1"/>
  <c r="N932" i="1"/>
  <c r="O932" i="1"/>
  <c r="M933" i="1"/>
  <c r="N933" i="1"/>
  <c r="O933" i="1"/>
  <c r="M934" i="1"/>
  <c r="N934" i="1"/>
  <c r="O934" i="1"/>
  <c r="M935" i="1"/>
  <c r="N935" i="1"/>
  <c r="O935" i="1"/>
  <c r="M936" i="1"/>
  <c r="N936" i="1"/>
  <c r="O936" i="1"/>
  <c r="M937" i="1"/>
  <c r="N937" i="1"/>
  <c r="O937" i="1"/>
  <c r="M938" i="1"/>
  <c r="N938" i="1"/>
  <c r="O938" i="1"/>
  <c r="M939" i="1"/>
  <c r="N939" i="1"/>
  <c r="O939" i="1"/>
  <c r="M940" i="1"/>
  <c r="N940" i="1"/>
  <c r="O940" i="1"/>
  <c r="M941" i="1"/>
  <c r="N941" i="1"/>
  <c r="O941" i="1"/>
  <c r="M942" i="1"/>
  <c r="N942" i="1"/>
  <c r="O942" i="1"/>
  <c r="M943" i="1"/>
  <c r="N943" i="1"/>
  <c r="O943" i="1"/>
  <c r="M944" i="1"/>
  <c r="N944" i="1"/>
  <c r="O944" i="1"/>
  <c r="M945" i="1"/>
  <c r="N945" i="1"/>
  <c r="O945" i="1"/>
  <c r="M946" i="1"/>
  <c r="N946" i="1"/>
  <c r="O946" i="1"/>
  <c r="M947" i="1"/>
  <c r="N947" i="1"/>
  <c r="O947" i="1"/>
  <c r="M948" i="1"/>
  <c r="N948" i="1"/>
  <c r="O948" i="1"/>
  <c r="M949" i="1"/>
  <c r="N949" i="1"/>
  <c r="O949" i="1"/>
  <c r="M950" i="1"/>
  <c r="N950" i="1"/>
  <c r="O950" i="1"/>
  <c r="M951" i="1"/>
  <c r="N951" i="1"/>
  <c r="O951" i="1"/>
  <c r="M952" i="1"/>
  <c r="N952" i="1"/>
  <c r="O952" i="1"/>
  <c r="M953" i="1"/>
  <c r="N953" i="1"/>
  <c r="O953" i="1"/>
  <c r="M954" i="1"/>
  <c r="N954" i="1"/>
  <c r="O954" i="1"/>
  <c r="M955" i="1"/>
  <c r="N955" i="1"/>
  <c r="O955" i="1"/>
  <c r="M956" i="1"/>
  <c r="N956" i="1"/>
  <c r="O956" i="1"/>
  <c r="M957" i="1"/>
  <c r="N957" i="1"/>
  <c r="O957" i="1"/>
  <c r="M958" i="1"/>
  <c r="N958" i="1"/>
  <c r="O958" i="1"/>
  <c r="M959" i="1"/>
  <c r="N959" i="1"/>
  <c r="O959" i="1"/>
  <c r="M960" i="1"/>
  <c r="N960" i="1"/>
  <c r="O960" i="1"/>
  <c r="M961" i="1"/>
  <c r="N961" i="1"/>
  <c r="O961" i="1"/>
  <c r="M962" i="1"/>
  <c r="N962" i="1"/>
  <c r="O962" i="1"/>
  <c r="M963" i="1"/>
  <c r="N963" i="1"/>
  <c r="O963" i="1"/>
  <c r="M964" i="1"/>
  <c r="N964" i="1"/>
  <c r="O964" i="1"/>
  <c r="M965" i="1"/>
  <c r="N965" i="1"/>
  <c r="O965" i="1"/>
  <c r="M966" i="1"/>
  <c r="N966" i="1"/>
  <c r="O966" i="1"/>
  <c r="M967" i="1"/>
  <c r="N967" i="1"/>
  <c r="O967" i="1"/>
  <c r="M968" i="1"/>
  <c r="N968" i="1"/>
  <c r="O968" i="1"/>
  <c r="M969" i="1"/>
  <c r="N969" i="1"/>
  <c r="O969" i="1"/>
  <c r="M970" i="1"/>
  <c r="N970" i="1"/>
  <c r="O970" i="1"/>
  <c r="M971" i="1"/>
  <c r="N971" i="1"/>
  <c r="O971" i="1"/>
  <c r="M972" i="1"/>
  <c r="N972" i="1"/>
  <c r="O972" i="1"/>
  <c r="M973" i="1"/>
  <c r="N973" i="1"/>
  <c r="O973" i="1"/>
  <c r="M974" i="1"/>
  <c r="N974" i="1"/>
  <c r="O974" i="1"/>
  <c r="M975" i="1"/>
  <c r="N975" i="1"/>
  <c r="O975" i="1"/>
  <c r="M976" i="1"/>
  <c r="N976" i="1"/>
  <c r="O976" i="1"/>
  <c r="M977" i="1"/>
  <c r="N977" i="1"/>
  <c r="O977" i="1"/>
  <c r="M978" i="1"/>
  <c r="N978" i="1"/>
  <c r="O978" i="1"/>
  <c r="M979" i="1"/>
  <c r="N979" i="1"/>
  <c r="O979" i="1"/>
  <c r="M980" i="1"/>
  <c r="N980" i="1"/>
  <c r="O980" i="1"/>
  <c r="M981" i="1"/>
  <c r="N981" i="1"/>
  <c r="O981" i="1"/>
  <c r="M982" i="1"/>
  <c r="N982" i="1"/>
  <c r="O982" i="1"/>
  <c r="M983" i="1"/>
  <c r="N983" i="1"/>
  <c r="O983" i="1"/>
  <c r="M984" i="1"/>
  <c r="N984" i="1"/>
  <c r="O984" i="1"/>
  <c r="M985" i="1"/>
  <c r="N985" i="1"/>
  <c r="O985" i="1"/>
  <c r="M986" i="1"/>
  <c r="N986" i="1"/>
  <c r="O986" i="1"/>
  <c r="M987" i="1"/>
  <c r="N987" i="1"/>
  <c r="O987" i="1"/>
  <c r="M988" i="1"/>
  <c r="N988" i="1"/>
  <c r="O988" i="1"/>
  <c r="M989" i="1"/>
  <c r="N989" i="1"/>
  <c r="O989" i="1"/>
  <c r="M990" i="1"/>
  <c r="N990" i="1"/>
  <c r="O990" i="1"/>
  <c r="M991" i="1"/>
  <c r="N991" i="1"/>
  <c r="O991" i="1"/>
  <c r="M992" i="1"/>
  <c r="N992" i="1"/>
  <c r="O992" i="1"/>
  <c r="M993" i="1"/>
  <c r="N993" i="1"/>
  <c r="O993" i="1"/>
  <c r="M994" i="1"/>
  <c r="N994" i="1"/>
  <c r="O994" i="1"/>
  <c r="M995" i="1"/>
  <c r="N995" i="1"/>
  <c r="O995" i="1"/>
  <c r="M996" i="1"/>
  <c r="N996" i="1"/>
  <c r="O996" i="1"/>
  <c r="M997" i="1"/>
  <c r="N997" i="1"/>
  <c r="O997" i="1"/>
  <c r="M998" i="1"/>
  <c r="N998" i="1"/>
  <c r="O998" i="1"/>
  <c r="M999" i="1"/>
  <c r="N999" i="1"/>
  <c r="O999" i="1"/>
  <c r="M1000" i="1"/>
  <c r="N1000" i="1"/>
  <c r="O1000" i="1"/>
  <c r="M1001" i="1"/>
  <c r="N1001" i="1"/>
  <c r="O1001" i="1"/>
  <c r="M1002" i="1"/>
  <c r="N1002" i="1"/>
  <c r="O1002" i="1"/>
  <c r="M1003" i="1"/>
  <c r="N1003" i="1"/>
  <c r="O1003" i="1"/>
  <c r="M1004" i="1"/>
  <c r="N1004" i="1"/>
  <c r="O1004" i="1"/>
  <c r="M1005" i="1"/>
  <c r="N1005" i="1"/>
  <c r="O1005" i="1"/>
  <c r="M1006" i="1"/>
  <c r="N1006" i="1"/>
  <c r="O1006" i="1"/>
  <c r="M1007" i="1"/>
  <c r="N1007" i="1"/>
  <c r="O1007" i="1"/>
  <c r="M1008" i="1"/>
  <c r="N1008" i="1"/>
  <c r="O1008" i="1"/>
  <c r="M1009" i="1"/>
  <c r="N1009" i="1"/>
  <c r="O1009" i="1"/>
  <c r="M1010" i="1"/>
  <c r="N1010" i="1"/>
  <c r="O1010" i="1"/>
  <c r="M1011" i="1"/>
  <c r="N1011" i="1"/>
  <c r="O1011" i="1"/>
  <c r="M1012" i="1"/>
  <c r="N1012" i="1"/>
  <c r="O1012" i="1"/>
  <c r="M1013" i="1"/>
  <c r="N1013" i="1"/>
  <c r="O1013" i="1"/>
  <c r="M1014" i="1"/>
  <c r="N1014" i="1"/>
  <c r="O1014" i="1"/>
  <c r="M1015" i="1"/>
  <c r="N1015" i="1"/>
  <c r="O1015" i="1"/>
  <c r="M1016" i="1"/>
  <c r="N1016" i="1"/>
  <c r="O1016" i="1"/>
  <c r="M1017" i="1"/>
  <c r="N1017" i="1"/>
  <c r="O1017" i="1"/>
  <c r="M1018" i="1"/>
  <c r="N1018" i="1"/>
  <c r="O1018" i="1"/>
  <c r="M1019" i="1"/>
  <c r="N1019" i="1"/>
  <c r="O1019" i="1"/>
  <c r="M1020" i="1"/>
  <c r="N1020" i="1"/>
  <c r="O1020" i="1"/>
  <c r="M1021" i="1"/>
  <c r="N1021" i="1"/>
  <c r="O1021" i="1"/>
  <c r="M1022" i="1"/>
  <c r="N1022" i="1"/>
  <c r="O1022" i="1"/>
  <c r="M1023" i="1"/>
  <c r="N1023" i="1"/>
  <c r="O1023" i="1"/>
  <c r="M1024" i="1"/>
  <c r="N1024" i="1"/>
  <c r="O1024" i="1"/>
  <c r="M1025" i="1"/>
  <c r="N1025" i="1"/>
  <c r="O1025" i="1"/>
  <c r="M1026" i="1"/>
  <c r="N1026" i="1"/>
  <c r="O1026" i="1"/>
  <c r="M1027" i="1"/>
  <c r="N1027" i="1"/>
  <c r="O1027" i="1"/>
  <c r="M1028" i="1"/>
  <c r="N1028" i="1"/>
  <c r="O1028" i="1"/>
  <c r="M1029" i="1"/>
  <c r="N1029" i="1"/>
  <c r="O1029" i="1"/>
  <c r="M1030" i="1"/>
  <c r="N1030" i="1"/>
  <c r="O1030" i="1"/>
  <c r="M1031" i="1"/>
  <c r="N1031" i="1"/>
  <c r="O1031" i="1"/>
  <c r="M1032" i="1"/>
  <c r="N1032" i="1"/>
  <c r="O1032" i="1"/>
  <c r="M1033" i="1"/>
  <c r="N1033" i="1"/>
  <c r="O1033" i="1"/>
  <c r="M1034" i="1"/>
  <c r="N1034" i="1"/>
  <c r="O1034" i="1"/>
  <c r="M1035" i="1"/>
  <c r="N1035" i="1"/>
  <c r="O1035" i="1"/>
  <c r="M1036" i="1"/>
  <c r="N1036" i="1"/>
  <c r="O1036" i="1"/>
  <c r="M1037" i="1"/>
  <c r="N1037" i="1"/>
  <c r="O1037" i="1"/>
  <c r="M1038" i="1"/>
  <c r="N1038" i="1"/>
  <c r="O1038" i="1"/>
  <c r="M1039" i="1"/>
  <c r="N1039" i="1"/>
  <c r="O1039" i="1"/>
  <c r="M1040" i="1"/>
  <c r="N1040" i="1"/>
  <c r="O1040" i="1"/>
  <c r="M1041" i="1"/>
  <c r="N1041" i="1"/>
  <c r="O1041" i="1"/>
  <c r="M1042" i="1"/>
  <c r="N1042" i="1"/>
  <c r="O1042" i="1"/>
  <c r="M1043" i="1"/>
  <c r="N1043" i="1"/>
  <c r="O1043" i="1"/>
  <c r="M1044" i="1"/>
  <c r="N1044" i="1"/>
  <c r="O1044" i="1"/>
  <c r="M1045" i="1"/>
  <c r="N1045" i="1"/>
  <c r="O1045" i="1"/>
  <c r="M1046" i="1"/>
  <c r="N1046" i="1"/>
  <c r="O1046" i="1"/>
  <c r="M1047" i="1"/>
  <c r="N1047" i="1"/>
  <c r="O1047" i="1"/>
  <c r="M1048" i="1"/>
  <c r="N1048" i="1"/>
  <c r="O1048" i="1"/>
  <c r="M1049" i="1"/>
  <c r="N1049" i="1"/>
  <c r="O1049" i="1"/>
  <c r="M1050" i="1"/>
  <c r="N1050" i="1"/>
  <c r="O1050" i="1"/>
  <c r="M1051" i="1"/>
  <c r="N1051" i="1"/>
  <c r="O1051" i="1"/>
  <c r="M1052" i="1"/>
  <c r="N1052" i="1"/>
  <c r="O1052" i="1"/>
  <c r="M1053" i="1"/>
  <c r="N1053" i="1"/>
  <c r="O1053" i="1"/>
  <c r="M1054" i="1"/>
  <c r="N1054" i="1"/>
  <c r="O1054" i="1"/>
  <c r="M1055" i="1"/>
  <c r="N1055" i="1"/>
  <c r="O1055" i="1"/>
  <c r="M1056" i="1"/>
  <c r="N1056" i="1"/>
  <c r="O1056" i="1"/>
  <c r="M1057" i="1"/>
  <c r="N1057" i="1"/>
  <c r="O1057" i="1"/>
  <c r="M1058" i="1"/>
  <c r="N1058" i="1"/>
  <c r="O1058" i="1"/>
  <c r="M1059" i="1"/>
  <c r="N1059" i="1"/>
  <c r="O1059" i="1"/>
  <c r="M1060" i="1"/>
  <c r="N1060" i="1"/>
  <c r="O1060" i="1"/>
  <c r="M1061" i="1"/>
  <c r="N1061" i="1"/>
  <c r="O1061" i="1"/>
  <c r="M1062" i="1"/>
  <c r="N1062" i="1"/>
  <c r="O1062" i="1"/>
  <c r="M1063" i="1"/>
  <c r="N1063" i="1"/>
  <c r="O1063" i="1"/>
  <c r="M1064" i="1"/>
  <c r="N1064" i="1"/>
  <c r="O1064" i="1"/>
  <c r="M1065" i="1"/>
  <c r="N1065" i="1"/>
  <c r="O1065" i="1"/>
  <c r="M1066" i="1"/>
  <c r="N1066" i="1"/>
  <c r="O1066" i="1"/>
  <c r="M1067" i="1"/>
  <c r="N1067" i="1"/>
  <c r="O1067" i="1"/>
  <c r="M1068" i="1"/>
  <c r="N1068" i="1"/>
  <c r="O1068" i="1"/>
  <c r="M1069" i="1"/>
  <c r="N1069" i="1"/>
  <c r="O1069" i="1"/>
  <c r="M1070" i="1"/>
  <c r="N1070" i="1"/>
  <c r="O1070" i="1"/>
  <c r="M1071" i="1"/>
  <c r="N1071" i="1"/>
  <c r="O1071" i="1"/>
  <c r="M1072" i="1"/>
  <c r="N1072" i="1"/>
  <c r="O1072" i="1"/>
  <c r="M1073" i="1"/>
  <c r="N1073" i="1"/>
  <c r="O1073" i="1"/>
  <c r="M1074" i="1"/>
  <c r="N1074" i="1"/>
  <c r="O1074" i="1"/>
  <c r="M1075" i="1"/>
  <c r="N1075" i="1"/>
  <c r="O1075" i="1"/>
  <c r="M1076" i="1"/>
  <c r="N1076" i="1"/>
  <c r="O1076" i="1"/>
  <c r="M1077" i="1"/>
  <c r="N1077" i="1"/>
  <c r="O1077" i="1"/>
  <c r="M1078" i="1"/>
  <c r="N1078" i="1"/>
  <c r="O1078" i="1"/>
  <c r="M1079" i="1"/>
  <c r="N1079" i="1"/>
  <c r="O1079" i="1"/>
  <c r="M1080" i="1"/>
  <c r="N1080" i="1"/>
  <c r="O1080" i="1"/>
  <c r="M1081" i="1"/>
  <c r="N1081" i="1"/>
  <c r="O1081" i="1"/>
  <c r="M1082" i="1"/>
  <c r="N1082" i="1"/>
  <c r="O1082" i="1"/>
  <c r="M1083" i="1"/>
  <c r="N1083" i="1"/>
  <c r="O1083" i="1"/>
  <c r="M1084" i="1"/>
  <c r="N1084" i="1"/>
  <c r="O1084" i="1"/>
  <c r="M1085" i="1"/>
  <c r="N1085" i="1"/>
  <c r="O1085" i="1"/>
  <c r="M1086" i="1"/>
  <c r="N1086" i="1"/>
  <c r="O1086" i="1"/>
  <c r="M1087" i="1"/>
  <c r="N1087" i="1"/>
  <c r="O1087" i="1"/>
  <c r="M1088" i="1"/>
  <c r="N1088" i="1"/>
  <c r="O1088" i="1"/>
  <c r="M1089" i="1"/>
  <c r="N1089" i="1"/>
  <c r="O1089" i="1"/>
  <c r="M1090" i="1"/>
  <c r="N1090" i="1"/>
  <c r="O1090" i="1"/>
  <c r="M1091" i="1"/>
  <c r="N1091" i="1"/>
  <c r="O1091" i="1"/>
  <c r="M1092" i="1"/>
  <c r="N1092" i="1"/>
  <c r="O1092" i="1"/>
  <c r="M1093" i="1"/>
  <c r="N1093" i="1"/>
  <c r="O1093" i="1"/>
  <c r="M1094" i="1"/>
  <c r="N1094" i="1"/>
  <c r="O1094" i="1"/>
  <c r="M1095" i="1"/>
  <c r="N1095" i="1"/>
  <c r="O1095" i="1"/>
  <c r="M1096" i="1"/>
  <c r="N1096" i="1"/>
  <c r="O1096" i="1"/>
  <c r="M1097" i="1"/>
  <c r="N1097" i="1"/>
  <c r="O1097" i="1"/>
  <c r="M1098" i="1"/>
  <c r="N1098" i="1"/>
  <c r="O1098" i="1"/>
  <c r="M1099" i="1"/>
  <c r="N1099" i="1"/>
  <c r="O1099" i="1"/>
  <c r="M1100" i="1"/>
  <c r="N1100" i="1"/>
  <c r="O1100" i="1"/>
  <c r="M1101" i="1"/>
  <c r="N1101" i="1"/>
  <c r="O1101" i="1"/>
  <c r="M1102" i="1"/>
  <c r="N1102" i="1"/>
  <c r="O1102" i="1"/>
  <c r="M1103" i="1"/>
  <c r="N1103" i="1"/>
  <c r="O1103" i="1"/>
  <c r="M1104" i="1"/>
  <c r="N1104" i="1"/>
  <c r="O1104" i="1"/>
  <c r="M1105" i="1"/>
  <c r="N1105" i="1"/>
  <c r="O1105" i="1"/>
  <c r="M1106" i="1"/>
  <c r="N1106" i="1"/>
  <c r="O1106" i="1"/>
  <c r="M1107" i="1"/>
  <c r="N1107" i="1"/>
  <c r="O1107" i="1"/>
  <c r="M1108" i="1"/>
  <c r="N1108" i="1"/>
  <c r="O1108" i="1"/>
  <c r="M1109" i="1"/>
  <c r="N1109" i="1"/>
  <c r="O1109" i="1"/>
  <c r="M1110" i="1"/>
  <c r="N1110" i="1"/>
  <c r="O1110" i="1"/>
  <c r="M1111" i="1"/>
  <c r="N1111" i="1"/>
  <c r="O1111" i="1"/>
  <c r="M1112" i="1"/>
  <c r="N1112" i="1"/>
  <c r="O1112" i="1"/>
  <c r="M1113" i="1"/>
  <c r="N1113" i="1"/>
  <c r="O1113" i="1"/>
  <c r="M1114" i="1"/>
  <c r="N1114" i="1"/>
  <c r="O1114" i="1"/>
  <c r="M1115" i="1"/>
  <c r="N1115" i="1"/>
  <c r="O1115" i="1"/>
  <c r="M1116" i="1"/>
  <c r="N1116" i="1"/>
  <c r="O1116" i="1"/>
  <c r="M1117" i="1"/>
  <c r="N1117" i="1"/>
  <c r="O1117" i="1"/>
  <c r="M1118" i="1"/>
  <c r="N1118" i="1"/>
  <c r="O1118" i="1"/>
  <c r="M1119" i="1"/>
  <c r="N1119" i="1"/>
  <c r="O1119" i="1"/>
  <c r="M1120" i="1"/>
  <c r="N1120" i="1"/>
  <c r="O1120" i="1"/>
  <c r="M1121" i="1"/>
  <c r="N1121" i="1"/>
  <c r="O1121" i="1"/>
  <c r="M1122" i="1"/>
  <c r="N1122" i="1"/>
  <c r="O1122" i="1"/>
  <c r="M1123" i="1"/>
  <c r="N1123" i="1"/>
  <c r="O1123" i="1"/>
  <c r="M1124" i="1"/>
  <c r="N1124" i="1"/>
  <c r="O1124" i="1"/>
  <c r="M1125" i="1"/>
  <c r="N1125" i="1"/>
  <c r="O1125" i="1"/>
  <c r="M1126" i="1"/>
  <c r="N1126" i="1"/>
  <c r="O1126" i="1"/>
  <c r="M1127" i="1"/>
  <c r="N1127" i="1"/>
  <c r="O1127" i="1"/>
  <c r="M1128" i="1"/>
  <c r="N1128" i="1"/>
  <c r="O1128" i="1"/>
  <c r="M1129" i="1"/>
  <c r="N1129" i="1"/>
  <c r="O1129" i="1"/>
  <c r="M1130" i="1"/>
  <c r="N1130" i="1"/>
  <c r="O1130" i="1"/>
  <c r="M1131" i="1"/>
  <c r="N1131" i="1"/>
  <c r="O1131" i="1"/>
  <c r="M1132" i="1"/>
  <c r="N1132" i="1"/>
  <c r="O1132" i="1"/>
  <c r="M1133" i="1"/>
  <c r="N1133" i="1"/>
  <c r="O1133" i="1"/>
  <c r="M1134" i="1"/>
  <c r="N1134" i="1"/>
  <c r="O1134" i="1"/>
  <c r="M1135" i="1"/>
  <c r="N1135" i="1"/>
  <c r="O1135" i="1"/>
  <c r="M1136" i="1"/>
  <c r="N1136" i="1"/>
  <c r="O1136" i="1"/>
  <c r="M1137" i="1"/>
  <c r="N1137" i="1"/>
  <c r="O1137" i="1"/>
  <c r="M1138" i="1"/>
  <c r="N1138" i="1"/>
  <c r="O1138" i="1"/>
  <c r="M1139" i="1"/>
  <c r="N1139" i="1"/>
  <c r="O1139" i="1"/>
  <c r="M1140" i="1"/>
  <c r="N1140" i="1"/>
  <c r="O1140" i="1"/>
  <c r="M1141" i="1"/>
  <c r="N1141" i="1"/>
  <c r="O1141" i="1"/>
  <c r="M1142" i="1"/>
  <c r="N1142" i="1"/>
  <c r="O1142" i="1"/>
  <c r="M1143" i="1"/>
  <c r="N1143" i="1"/>
  <c r="O1143" i="1"/>
  <c r="M1144" i="1"/>
  <c r="N1144" i="1"/>
  <c r="O1144" i="1"/>
  <c r="M1145" i="1"/>
  <c r="N1145" i="1"/>
  <c r="O1145" i="1"/>
  <c r="M1146" i="1"/>
  <c r="N1146" i="1"/>
  <c r="O1146" i="1"/>
  <c r="M1147" i="1"/>
  <c r="N1147" i="1"/>
  <c r="O1147" i="1"/>
  <c r="M1148" i="1"/>
  <c r="N1148" i="1"/>
  <c r="O1148" i="1"/>
  <c r="M1149" i="1"/>
  <c r="N1149" i="1"/>
  <c r="O1149" i="1"/>
  <c r="M1150" i="1"/>
  <c r="N1150" i="1"/>
  <c r="O1150" i="1"/>
  <c r="M1151" i="1"/>
  <c r="N1151" i="1"/>
  <c r="O1151" i="1"/>
  <c r="M1152" i="1"/>
  <c r="N1152" i="1"/>
  <c r="O1152" i="1"/>
  <c r="M1153" i="1"/>
  <c r="N1153" i="1"/>
  <c r="O1153" i="1"/>
  <c r="M1154" i="1"/>
  <c r="N1154" i="1"/>
  <c r="O1154" i="1"/>
  <c r="M1155" i="1"/>
  <c r="N1155" i="1"/>
  <c r="O1155" i="1"/>
  <c r="M1156" i="1"/>
  <c r="N1156" i="1"/>
  <c r="O1156" i="1"/>
  <c r="M1157" i="1"/>
  <c r="N1157" i="1"/>
  <c r="O1157" i="1"/>
  <c r="M1158" i="1"/>
  <c r="N1158" i="1"/>
  <c r="O1158" i="1"/>
  <c r="M1159" i="1"/>
  <c r="N1159" i="1"/>
  <c r="O1159" i="1"/>
  <c r="M1160" i="1"/>
  <c r="N1160" i="1"/>
  <c r="O1160" i="1"/>
  <c r="M1161" i="1"/>
  <c r="N1161" i="1"/>
  <c r="O1161" i="1"/>
  <c r="M1162" i="1"/>
  <c r="N1162" i="1"/>
  <c r="O1162" i="1"/>
  <c r="M1163" i="1"/>
  <c r="N1163" i="1"/>
  <c r="O1163" i="1"/>
  <c r="M1164" i="1"/>
  <c r="N1164" i="1"/>
  <c r="O1164" i="1"/>
  <c r="M1165" i="1"/>
  <c r="N1165" i="1"/>
  <c r="O1165" i="1"/>
  <c r="M1166" i="1"/>
  <c r="N1166" i="1"/>
  <c r="O1166" i="1"/>
  <c r="M1167" i="1"/>
  <c r="N1167" i="1"/>
  <c r="O1167" i="1"/>
  <c r="M1168" i="1"/>
  <c r="N1168" i="1"/>
  <c r="O1168" i="1"/>
  <c r="M1169" i="1"/>
  <c r="N1169" i="1"/>
  <c r="O1169" i="1"/>
  <c r="M1170" i="1"/>
  <c r="N1170" i="1"/>
  <c r="O1170" i="1"/>
  <c r="M1171" i="1"/>
  <c r="N1171" i="1"/>
  <c r="O1171" i="1"/>
  <c r="M1172" i="1"/>
  <c r="N1172" i="1"/>
  <c r="O1172" i="1"/>
  <c r="M1173" i="1"/>
  <c r="N1173" i="1"/>
  <c r="O1173" i="1"/>
  <c r="M1174" i="1"/>
  <c r="N1174" i="1"/>
  <c r="O1174" i="1"/>
  <c r="M1175" i="1"/>
  <c r="N1175" i="1"/>
  <c r="O1175" i="1"/>
  <c r="M1176" i="1"/>
  <c r="N1176" i="1"/>
  <c r="O1176" i="1"/>
  <c r="M1177" i="1"/>
  <c r="N1177" i="1"/>
  <c r="O1177" i="1"/>
  <c r="M1178" i="1"/>
  <c r="N1178" i="1"/>
  <c r="O1178" i="1"/>
  <c r="M1179" i="1"/>
  <c r="N1179" i="1"/>
  <c r="O1179" i="1"/>
  <c r="M1180" i="1"/>
  <c r="N1180" i="1"/>
  <c r="O1180" i="1"/>
  <c r="M1181" i="1"/>
  <c r="N1181" i="1"/>
  <c r="O1181" i="1"/>
  <c r="M1182" i="1"/>
  <c r="N1182" i="1"/>
  <c r="O1182" i="1"/>
  <c r="M1183" i="1"/>
  <c r="N1183" i="1"/>
  <c r="O1183" i="1"/>
  <c r="M1184" i="1"/>
  <c r="N1184" i="1"/>
  <c r="O1184" i="1"/>
  <c r="M1185" i="1"/>
  <c r="N1185" i="1"/>
  <c r="O1185" i="1"/>
  <c r="M1186" i="1"/>
  <c r="N1186" i="1"/>
  <c r="O1186" i="1"/>
  <c r="M1187" i="1"/>
  <c r="N1187" i="1"/>
  <c r="O1187" i="1"/>
  <c r="M1188" i="1"/>
  <c r="N1188" i="1"/>
  <c r="O1188" i="1"/>
  <c r="M1189" i="1"/>
  <c r="N1189" i="1"/>
  <c r="O1189" i="1"/>
  <c r="M1190" i="1"/>
  <c r="N1190" i="1"/>
  <c r="O1190" i="1"/>
  <c r="M1191" i="1"/>
  <c r="N1191" i="1"/>
  <c r="O1191" i="1"/>
  <c r="M1192" i="1"/>
  <c r="N1192" i="1"/>
  <c r="O1192" i="1"/>
  <c r="M1193" i="1"/>
  <c r="N1193" i="1"/>
  <c r="O1193" i="1"/>
  <c r="M1194" i="1"/>
  <c r="N1194" i="1"/>
  <c r="O1194" i="1"/>
  <c r="M1195" i="1"/>
  <c r="N1195" i="1"/>
  <c r="O1195" i="1"/>
  <c r="M1196" i="1"/>
  <c r="N1196" i="1"/>
  <c r="O1196" i="1"/>
  <c r="M1197" i="1"/>
  <c r="N1197" i="1"/>
  <c r="O1197" i="1"/>
  <c r="M1198" i="1"/>
  <c r="N1198" i="1"/>
  <c r="O1198" i="1"/>
  <c r="M1199" i="1"/>
  <c r="N1199" i="1"/>
  <c r="O1199" i="1"/>
  <c r="M1200" i="1"/>
  <c r="N1200" i="1"/>
  <c r="O1200" i="1"/>
  <c r="M1201" i="1"/>
  <c r="N1201" i="1"/>
  <c r="O1201" i="1"/>
  <c r="M1202" i="1"/>
  <c r="N1202" i="1"/>
  <c r="O1202" i="1"/>
  <c r="M1203" i="1"/>
  <c r="N1203" i="1"/>
  <c r="O1203" i="1"/>
  <c r="M1204" i="1"/>
  <c r="N1204" i="1"/>
  <c r="O1204" i="1"/>
  <c r="M1205" i="1"/>
  <c r="N1205" i="1"/>
  <c r="O1205" i="1"/>
  <c r="M1206" i="1"/>
  <c r="N1206" i="1"/>
  <c r="O1206" i="1"/>
  <c r="M1207" i="1"/>
  <c r="N1207" i="1"/>
  <c r="O1207" i="1"/>
  <c r="M1208" i="1"/>
  <c r="N1208" i="1"/>
  <c r="O1208" i="1"/>
  <c r="M1209" i="1"/>
  <c r="N1209" i="1"/>
  <c r="O1209" i="1"/>
  <c r="M1210" i="1"/>
  <c r="N1210" i="1"/>
  <c r="O1210" i="1"/>
  <c r="M1211" i="1"/>
  <c r="N1211" i="1"/>
  <c r="O1211" i="1"/>
  <c r="M1212" i="1"/>
  <c r="N1212" i="1"/>
  <c r="O1212" i="1"/>
  <c r="M1213" i="1"/>
  <c r="N1213" i="1"/>
  <c r="O1213" i="1"/>
  <c r="M1214" i="1"/>
  <c r="N1214" i="1"/>
  <c r="O1214" i="1"/>
  <c r="M1215" i="1"/>
  <c r="N1215" i="1"/>
  <c r="O1215" i="1"/>
  <c r="M1216" i="1"/>
  <c r="N1216" i="1"/>
  <c r="O1216" i="1"/>
  <c r="M1217" i="1"/>
  <c r="N1217" i="1"/>
  <c r="O1217" i="1"/>
  <c r="M1218" i="1"/>
  <c r="N1218" i="1"/>
  <c r="O1218" i="1"/>
  <c r="M1219" i="1"/>
  <c r="N1219" i="1"/>
  <c r="O1219" i="1"/>
  <c r="M1220" i="1"/>
  <c r="N1220" i="1"/>
  <c r="O1220" i="1"/>
  <c r="M1221" i="1"/>
  <c r="N1221" i="1"/>
  <c r="O1221" i="1"/>
  <c r="M1222" i="1"/>
  <c r="N1222" i="1"/>
  <c r="O1222" i="1"/>
  <c r="M1223" i="1"/>
  <c r="N1223" i="1"/>
  <c r="O1223" i="1"/>
  <c r="M1224" i="1"/>
  <c r="N1224" i="1"/>
  <c r="O1224" i="1"/>
  <c r="M1225" i="1"/>
  <c r="N1225" i="1"/>
  <c r="O1225" i="1"/>
  <c r="M1226" i="1"/>
  <c r="N1226" i="1"/>
  <c r="O1226" i="1"/>
  <c r="M1227" i="1"/>
  <c r="N1227" i="1"/>
  <c r="O1227" i="1"/>
  <c r="M1228" i="1"/>
  <c r="N1228" i="1"/>
  <c r="O1228" i="1"/>
  <c r="M1229" i="1"/>
  <c r="N1229" i="1"/>
  <c r="O1229" i="1"/>
  <c r="M1230" i="1"/>
  <c r="N1230" i="1"/>
  <c r="O1230" i="1"/>
  <c r="M1231" i="1"/>
  <c r="N1231" i="1"/>
  <c r="O1231" i="1"/>
  <c r="M1232" i="1"/>
  <c r="N1232" i="1"/>
  <c r="O1232" i="1"/>
  <c r="M1233" i="1"/>
  <c r="N1233" i="1"/>
  <c r="O1233" i="1"/>
  <c r="M1234" i="1"/>
  <c r="N1234" i="1"/>
  <c r="O1234" i="1"/>
  <c r="M1235" i="1"/>
  <c r="N1235" i="1"/>
  <c r="O1235" i="1"/>
  <c r="M1236" i="1"/>
  <c r="N1236" i="1"/>
  <c r="O1236" i="1"/>
  <c r="M1237" i="1"/>
  <c r="N1237" i="1"/>
  <c r="O1237" i="1"/>
  <c r="M1238" i="1"/>
  <c r="N1238" i="1"/>
  <c r="O1238" i="1"/>
  <c r="M1239" i="1"/>
  <c r="N1239" i="1"/>
  <c r="O1239" i="1"/>
  <c r="M1240" i="1"/>
  <c r="N1240" i="1"/>
  <c r="O1240" i="1"/>
  <c r="M1241" i="1"/>
  <c r="N1241" i="1"/>
  <c r="O1241" i="1"/>
  <c r="M1242" i="1"/>
  <c r="N1242" i="1"/>
  <c r="O1242" i="1"/>
  <c r="M1243" i="1"/>
  <c r="N1243" i="1"/>
  <c r="O1243" i="1"/>
  <c r="M1244" i="1"/>
  <c r="N1244" i="1"/>
  <c r="O1244" i="1"/>
  <c r="M1245" i="1"/>
  <c r="N1245" i="1"/>
  <c r="O1245" i="1"/>
  <c r="M1246" i="1"/>
  <c r="N1246" i="1"/>
  <c r="O1246" i="1"/>
  <c r="M1247" i="1"/>
  <c r="N1247" i="1"/>
  <c r="O1247" i="1"/>
  <c r="M1248" i="1"/>
  <c r="N1248" i="1"/>
  <c r="O1248" i="1"/>
  <c r="M1249" i="1"/>
  <c r="N1249" i="1"/>
  <c r="O1249" i="1"/>
  <c r="M1250" i="1"/>
  <c r="N1250" i="1"/>
  <c r="O1250" i="1"/>
  <c r="M1251" i="1"/>
  <c r="N1251" i="1"/>
  <c r="O1251" i="1"/>
  <c r="M1252" i="1"/>
  <c r="N1252" i="1"/>
  <c r="O1252" i="1"/>
  <c r="M1253" i="1"/>
  <c r="N1253" i="1"/>
  <c r="O1253" i="1"/>
  <c r="M1254" i="1"/>
  <c r="N1254" i="1"/>
  <c r="O1254" i="1"/>
  <c r="M1255" i="1"/>
  <c r="N1255" i="1"/>
  <c r="O1255" i="1"/>
  <c r="M1256" i="1"/>
  <c r="N1256" i="1"/>
  <c r="O1256" i="1"/>
  <c r="M1257" i="1"/>
  <c r="N1257" i="1"/>
  <c r="O1257" i="1"/>
  <c r="M1258" i="1"/>
  <c r="N1258" i="1"/>
  <c r="O1258" i="1"/>
  <c r="M1259" i="1"/>
  <c r="N1259" i="1"/>
  <c r="O1259" i="1"/>
  <c r="M1260" i="1"/>
  <c r="N1260" i="1"/>
  <c r="O1260" i="1"/>
  <c r="M1261" i="1"/>
  <c r="N1261" i="1"/>
  <c r="O1261" i="1"/>
  <c r="M1262" i="1"/>
  <c r="N1262" i="1"/>
  <c r="O1262" i="1"/>
  <c r="M1263" i="1"/>
  <c r="N1263" i="1"/>
  <c r="O1263" i="1"/>
  <c r="M1264" i="1"/>
  <c r="N1264" i="1"/>
  <c r="O1264" i="1"/>
  <c r="M1265" i="1"/>
  <c r="N1265" i="1"/>
  <c r="O1265" i="1"/>
  <c r="M1266" i="1"/>
  <c r="N1266" i="1"/>
  <c r="O1266" i="1"/>
  <c r="M1267" i="1"/>
  <c r="N1267" i="1"/>
  <c r="O1267" i="1"/>
  <c r="M1268" i="1"/>
  <c r="N1268" i="1"/>
  <c r="O1268" i="1"/>
  <c r="M1269" i="1"/>
  <c r="N1269" i="1"/>
  <c r="O1269" i="1"/>
  <c r="M1270" i="1"/>
  <c r="N1270" i="1"/>
  <c r="O1270" i="1"/>
  <c r="M1271" i="1"/>
  <c r="N1271" i="1"/>
  <c r="O1271" i="1"/>
  <c r="M1272" i="1"/>
  <c r="N1272" i="1"/>
  <c r="O1272" i="1"/>
  <c r="M1273" i="1"/>
  <c r="N1273" i="1"/>
  <c r="O1273" i="1"/>
  <c r="M1274" i="1"/>
  <c r="N1274" i="1"/>
  <c r="O1274" i="1"/>
  <c r="M1275" i="1"/>
  <c r="N1275" i="1"/>
  <c r="O1275" i="1"/>
  <c r="M1276" i="1"/>
  <c r="N1276" i="1"/>
  <c r="O1276" i="1"/>
  <c r="M1277" i="1"/>
  <c r="N1277" i="1"/>
  <c r="O1277" i="1"/>
  <c r="M1278" i="1"/>
  <c r="N1278" i="1"/>
  <c r="O1278" i="1"/>
  <c r="M1279" i="1"/>
  <c r="N1279" i="1"/>
  <c r="O1279" i="1"/>
  <c r="M1280" i="1"/>
  <c r="N1280" i="1"/>
  <c r="O1280" i="1"/>
  <c r="M1281" i="1"/>
  <c r="N1281" i="1"/>
  <c r="O1281" i="1"/>
  <c r="M1282" i="1"/>
  <c r="N1282" i="1"/>
  <c r="O1282" i="1"/>
  <c r="M1283" i="1"/>
  <c r="N1283" i="1"/>
  <c r="O1283" i="1"/>
  <c r="M1284" i="1"/>
  <c r="N1284" i="1"/>
  <c r="O1284" i="1"/>
  <c r="M1285" i="1"/>
  <c r="N1285" i="1"/>
  <c r="O1285" i="1"/>
  <c r="M1286" i="1"/>
  <c r="N1286" i="1"/>
  <c r="O1286" i="1"/>
  <c r="M1287" i="1"/>
  <c r="N1287" i="1"/>
  <c r="O1287" i="1"/>
  <c r="M1288" i="1"/>
  <c r="N1288" i="1"/>
  <c r="O1288" i="1"/>
  <c r="M1289" i="1"/>
  <c r="N1289" i="1"/>
  <c r="O1289" i="1"/>
  <c r="M1290" i="1"/>
  <c r="N1290" i="1"/>
  <c r="O1290" i="1"/>
  <c r="M1291" i="1"/>
  <c r="N1291" i="1"/>
  <c r="O1291" i="1"/>
  <c r="M1292" i="1"/>
  <c r="N1292" i="1"/>
  <c r="O1292" i="1"/>
  <c r="M1293" i="1"/>
  <c r="N1293" i="1"/>
  <c r="O1293" i="1"/>
  <c r="M1294" i="1"/>
  <c r="N1294" i="1"/>
  <c r="O1294" i="1"/>
  <c r="M1295" i="1"/>
  <c r="N1295" i="1"/>
  <c r="O1295" i="1"/>
  <c r="M1296" i="1"/>
  <c r="N1296" i="1"/>
  <c r="O1296" i="1"/>
  <c r="M1297" i="1"/>
  <c r="N1297" i="1"/>
  <c r="O1297" i="1"/>
  <c r="M1298" i="1"/>
  <c r="N1298" i="1"/>
  <c r="O1298" i="1"/>
  <c r="M1299" i="1"/>
  <c r="N1299" i="1"/>
  <c r="O1299" i="1"/>
  <c r="M1300" i="1"/>
  <c r="N1300" i="1"/>
  <c r="O1300" i="1"/>
  <c r="M1301" i="1"/>
  <c r="N1301" i="1"/>
  <c r="O1301" i="1"/>
  <c r="M1302" i="1"/>
  <c r="N1302" i="1"/>
  <c r="O1302" i="1"/>
  <c r="M1303" i="1"/>
  <c r="N1303" i="1"/>
  <c r="O1303" i="1"/>
  <c r="M1304" i="1"/>
  <c r="N1304" i="1"/>
  <c r="O1304" i="1"/>
  <c r="M1305" i="1"/>
  <c r="N1305" i="1"/>
  <c r="O1305" i="1"/>
  <c r="M1306" i="1"/>
  <c r="N1306" i="1"/>
  <c r="O1306" i="1"/>
  <c r="M1307" i="1"/>
  <c r="N1307" i="1"/>
  <c r="O1307" i="1"/>
  <c r="M1308" i="1"/>
  <c r="N1308" i="1"/>
  <c r="O1308" i="1"/>
  <c r="M1309" i="1"/>
  <c r="N1309" i="1"/>
  <c r="O1309" i="1"/>
  <c r="M1310" i="1"/>
  <c r="N1310" i="1"/>
  <c r="O1310" i="1"/>
  <c r="M1311" i="1"/>
  <c r="N1311" i="1"/>
  <c r="O1311" i="1"/>
  <c r="M1312" i="1"/>
  <c r="N1312" i="1"/>
  <c r="O1312" i="1"/>
  <c r="M1313" i="1"/>
  <c r="N1313" i="1"/>
  <c r="O1313" i="1"/>
  <c r="M1314" i="1"/>
  <c r="N1314" i="1"/>
  <c r="O1314" i="1"/>
  <c r="M1315" i="1"/>
  <c r="N1315" i="1"/>
  <c r="O1315" i="1"/>
  <c r="M1316" i="1"/>
  <c r="N1316" i="1"/>
  <c r="O1316" i="1"/>
  <c r="M1317" i="1"/>
  <c r="N1317" i="1"/>
  <c r="O1317" i="1"/>
  <c r="M1318" i="1"/>
  <c r="N1318" i="1"/>
  <c r="O1318" i="1"/>
  <c r="M1319" i="1"/>
  <c r="N1319" i="1"/>
  <c r="O1319" i="1"/>
  <c r="M1320" i="1"/>
  <c r="N1320" i="1"/>
  <c r="O1320" i="1"/>
  <c r="M1321" i="1"/>
  <c r="N1321" i="1"/>
  <c r="O1321" i="1"/>
  <c r="M1322" i="1"/>
  <c r="N1322" i="1"/>
  <c r="O1322" i="1"/>
  <c r="M1323" i="1"/>
  <c r="N1323" i="1"/>
  <c r="O1323" i="1"/>
  <c r="M1324" i="1"/>
  <c r="N1324" i="1"/>
  <c r="O1324" i="1"/>
  <c r="M1325" i="1"/>
  <c r="N1325" i="1"/>
  <c r="O1325" i="1"/>
  <c r="M1326" i="1"/>
  <c r="N1326" i="1"/>
  <c r="O1326" i="1"/>
  <c r="M1327" i="1"/>
  <c r="N1327" i="1"/>
  <c r="O1327" i="1"/>
  <c r="M1328" i="1"/>
  <c r="N1328" i="1"/>
  <c r="O1328" i="1"/>
  <c r="M1329" i="1"/>
  <c r="N1329" i="1"/>
  <c r="O1329" i="1"/>
  <c r="M1330" i="1"/>
  <c r="N1330" i="1"/>
  <c r="O1330" i="1"/>
  <c r="M1331" i="1"/>
  <c r="N1331" i="1"/>
  <c r="O1331" i="1"/>
  <c r="M1332" i="1"/>
  <c r="N1332" i="1"/>
  <c r="O1332" i="1"/>
  <c r="M1333" i="1"/>
  <c r="N1333" i="1"/>
  <c r="O1333" i="1"/>
  <c r="M1334" i="1"/>
  <c r="N1334" i="1"/>
  <c r="O1334" i="1"/>
  <c r="M1335" i="1"/>
  <c r="N1335" i="1"/>
  <c r="O1335" i="1"/>
  <c r="M1336" i="1"/>
  <c r="N1336" i="1"/>
  <c r="O1336" i="1"/>
  <c r="M1337" i="1"/>
  <c r="N1337" i="1"/>
  <c r="O1337" i="1"/>
  <c r="M1338" i="1"/>
  <c r="N1338" i="1"/>
  <c r="O1338" i="1"/>
  <c r="M1339" i="1"/>
  <c r="N1339" i="1"/>
  <c r="O1339" i="1"/>
  <c r="M1340" i="1"/>
  <c r="N1340" i="1"/>
  <c r="O1340" i="1"/>
  <c r="M1341" i="1"/>
  <c r="N1341" i="1"/>
  <c r="O1341" i="1"/>
  <c r="M1342" i="1"/>
  <c r="N1342" i="1"/>
  <c r="O1342" i="1"/>
  <c r="M1343" i="1"/>
  <c r="N1343" i="1"/>
  <c r="O1343" i="1"/>
  <c r="M1344" i="1"/>
  <c r="N1344" i="1"/>
  <c r="O1344" i="1"/>
  <c r="M1345" i="1"/>
  <c r="N1345" i="1"/>
  <c r="O1345" i="1"/>
  <c r="M1346" i="1"/>
  <c r="N1346" i="1"/>
  <c r="O1346" i="1"/>
  <c r="M1347" i="1"/>
  <c r="N1347" i="1"/>
  <c r="O1347" i="1"/>
  <c r="M1348" i="1"/>
  <c r="N1348" i="1"/>
  <c r="O1348" i="1"/>
  <c r="M1349" i="1"/>
  <c r="N1349" i="1"/>
  <c r="O1349" i="1"/>
  <c r="M1350" i="1"/>
  <c r="N1350" i="1"/>
  <c r="O1350" i="1"/>
  <c r="M1351" i="1"/>
  <c r="N1351" i="1"/>
  <c r="O1351" i="1"/>
  <c r="M1352" i="1"/>
  <c r="N1352" i="1"/>
  <c r="O1352" i="1"/>
  <c r="M1353" i="1"/>
  <c r="N1353" i="1"/>
  <c r="O1353" i="1"/>
  <c r="M1354" i="1"/>
  <c r="N1354" i="1"/>
  <c r="O1354" i="1"/>
  <c r="M1355" i="1"/>
  <c r="N1355" i="1"/>
  <c r="O1355" i="1"/>
  <c r="M1356" i="1"/>
  <c r="N1356" i="1"/>
  <c r="O1356" i="1"/>
  <c r="M1357" i="1"/>
  <c r="N1357" i="1"/>
  <c r="O1357" i="1"/>
  <c r="M1358" i="1"/>
  <c r="N1358" i="1"/>
  <c r="O1358" i="1"/>
  <c r="M1359" i="1"/>
  <c r="N1359" i="1"/>
  <c r="O1359" i="1"/>
  <c r="M1360" i="1"/>
  <c r="N1360" i="1"/>
  <c r="O1360" i="1"/>
  <c r="M1361" i="1"/>
  <c r="N1361" i="1"/>
  <c r="O1361" i="1"/>
  <c r="M1362" i="1"/>
  <c r="N1362" i="1"/>
  <c r="O1362" i="1"/>
  <c r="M1363" i="1"/>
  <c r="N1363" i="1"/>
  <c r="O1363" i="1"/>
  <c r="M1364" i="1"/>
  <c r="N1364" i="1"/>
  <c r="O1364" i="1"/>
  <c r="M1365" i="1"/>
  <c r="N1365" i="1"/>
  <c r="O1365" i="1"/>
  <c r="M1366" i="1"/>
  <c r="N1366" i="1"/>
  <c r="O1366" i="1"/>
  <c r="M1367" i="1"/>
  <c r="N1367" i="1"/>
  <c r="O1367" i="1"/>
  <c r="M1368" i="1"/>
  <c r="N1368" i="1"/>
  <c r="O1368" i="1"/>
  <c r="M1369" i="1"/>
  <c r="N1369" i="1"/>
  <c r="O1369" i="1"/>
  <c r="M1370" i="1"/>
  <c r="N1370" i="1"/>
  <c r="O1370" i="1"/>
  <c r="M1371" i="1"/>
  <c r="N1371" i="1"/>
  <c r="O1371" i="1"/>
  <c r="M1372" i="1"/>
  <c r="N1372" i="1"/>
  <c r="O1372" i="1"/>
  <c r="M1373" i="1"/>
  <c r="N1373" i="1"/>
  <c r="O1373" i="1"/>
  <c r="M1374" i="1"/>
  <c r="N1374" i="1"/>
  <c r="O1374" i="1"/>
  <c r="M1375" i="1"/>
  <c r="N1375" i="1"/>
  <c r="O1375" i="1"/>
  <c r="M1376" i="1"/>
  <c r="N1376" i="1"/>
  <c r="O1376" i="1"/>
  <c r="M1377" i="1"/>
  <c r="N1377" i="1"/>
  <c r="O1377" i="1"/>
  <c r="M1378" i="1"/>
  <c r="N1378" i="1"/>
  <c r="O1378" i="1"/>
  <c r="M1379" i="1"/>
  <c r="N1379" i="1"/>
  <c r="O1379" i="1"/>
  <c r="M1380" i="1"/>
  <c r="N1380" i="1"/>
  <c r="O1380" i="1"/>
  <c r="M1381" i="1"/>
  <c r="N1381" i="1"/>
  <c r="O1381" i="1"/>
  <c r="M1382" i="1"/>
  <c r="N1382" i="1"/>
  <c r="O1382" i="1"/>
  <c r="M1383" i="1"/>
  <c r="N1383" i="1"/>
  <c r="O1383" i="1"/>
  <c r="M1384" i="1"/>
  <c r="N1384" i="1"/>
  <c r="O1384" i="1"/>
  <c r="M1385" i="1"/>
  <c r="N1385" i="1"/>
  <c r="O1385" i="1"/>
  <c r="M1386" i="1"/>
  <c r="N1386" i="1"/>
  <c r="O1386" i="1"/>
  <c r="M1387" i="1"/>
  <c r="N1387" i="1"/>
  <c r="O1387" i="1"/>
  <c r="M1388" i="1"/>
  <c r="N1388" i="1"/>
  <c r="O1388" i="1"/>
  <c r="M1389" i="1"/>
  <c r="N1389" i="1"/>
  <c r="O1389" i="1"/>
  <c r="M1390" i="1"/>
  <c r="N1390" i="1"/>
  <c r="O1390" i="1"/>
  <c r="M1391" i="1"/>
  <c r="N1391" i="1"/>
  <c r="O1391" i="1"/>
  <c r="M1392" i="1"/>
  <c r="N1392" i="1"/>
  <c r="O1392" i="1"/>
  <c r="M1393" i="1"/>
  <c r="N1393" i="1"/>
  <c r="O1393" i="1"/>
  <c r="M1394" i="1"/>
  <c r="N1394" i="1"/>
  <c r="O1394" i="1"/>
  <c r="M1395" i="1"/>
  <c r="N1395" i="1"/>
  <c r="O1395" i="1"/>
  <c r="M1396" i="1"/>
  <c r="N1396" i="1"/>
  <c r="O1396" i="1"/>
  <c r="M1397" i="1"/>
  <c r="N1397" i="1"/>
  <c r="O1397" i="1"/>
  <c r="M1398" i="1"/>
  <c r="N1398" i="1"/>
  <c r="O1398" i="1"/>
  <c r="M1399" i="1"/>
  <c r="N1399" i="1"/>
  <c r="O1399" i="1"/>
  <c r="M1400" i="1"/>
  <c r="N1400" i="1"/>
  <c r="O1400" i="1"/>
  <c r="M1401" i="1"/>
  <c r="N1401" i="1"/>
  <c r="O1401" i="1"/>
  <c r="M1402" i="1"/>
  <c r="N1402" i="1"/>
  <c r="O1402" i="1"/>
  <c r="M1403" i="1"/>
  <c r="N1403" i="1"/>
  <c r="O1403" i="1"/>
  <c r="M1404" i="1"/>
  <c r="N1404" i="1"/>
  <c r="O1404" i="1"/>
  <c r="M1405" i="1"/>
  <c r="N1405" i="1"/>
  <c r="O1405" i="1"/>
  <c r="M1406" i="1"/>
  <c r="N1406" i="1"/>
  <c r="O1406" i="1"/>
  <c r="M1407" i="1"/>
  <c r="N1407" i="1"/>
  <c r="O1407" i="1"/>
  <c r="M1408" i="1"/>
  <c r="N1408" i="1"/>
  <c r="O1408" i="1"/>
  <c r="M1409" i="1"/>
  <c r="N1409" i="1"/>
  <c r="O1409" i="1"/>
  <c r="M1410" i="1"/>
  <c r="N1410" i="1"/>
  <c r="O1410" i="1"/>
  <c r="M1411" i="1"/>
  <c r="N1411" i="1"/>
  <c r="O1411" i="1"/>
  <c r="M1412" i="1"/>
  <c r="N1412" i="1"/>
  <c r="O1412" i="1"/>
  <c r="M1413" i="1"/>
  <c r="N1413" i="1"/>
  <c r="O1413" i="1"/>
  <c r="M1414" i="1"/>
  <c r="N1414" i="1"/>
  <c r="O1414" i="1"/>
  <c r="M1415" i="1"/>
  <c r="N1415" i="1"/>
  <c r="O1415" i="1"/>
  <c r="M1416" i="1"/>
  <c r="N1416" i="1"/>
  <c r="O1416" i="1"/>
  <c r="M1417" i="1"/>
  <c r="N1417" i="1"/>
  <c r="O1417" i="1"/>
  <c r="M1418" i="1"/>
  <c r="N1418" i="1"/>
  <c r="O1418" i="1"/>
  <c r="M1419" i="1"/>
  <c r="N1419" i="1"/>
  <c r="O1419" i="1"/>
  <c r="M1420" i="1"/>
  <c r="N1420" i="1"/>
  <c r="O1420" i="1"/>
  <c r="M1421" i="1"/>
  <c r="N1421" i="1"/>
  <c r="O1421" i="1"/>
  <c r="M1422" i="1"/>
  <c r="N1422" i="1"/>
  <c r="O1422" i="1"/>
  <c r="M1423" i="1"/>
  <c r="N1423" i="1"/>
  <c r="O1423" i="1"/>
  <c r="M1424" i="1"/>
  <c r="N1424" i="1"/>
  <c r="O1424" i="1"/>
  <c r="M1425" i="1"/>
  <c r="N1425" i="1"/>
  <c r="O1425" i="1"/>
  <c r="M1426" i="1"/>
  <c r="N1426" i="1"/>
  <c r="O1426" i="1"/>
  <c r="M1427" i="1"/>
  <c r="N1427" i="1"/>
  <c r="O1427" i="1"/>
  <c r="M1428" i="1"/>
  <c r="N1428" i="1"/>
  <c r="O1428" i="1"/>
  <c r="M1429" i="1"/>
  <c r="N1429" i="1"/>
  <c r="O1429" i="1"/>
  <c r="M1430" i="1"/>
  <c r="N1430" i="1"/>
  <c r="O1430" i="1"/>
  <c r="M1431" i="1"/>
  <c r="N1431" i="1"/>
  <c r="O1431" i="1"/>
  <c r="M1432" i="1"/>
  <c r="N1432" i="1"/>
  <c r="O1432" i="1"/>
  <c r="M1433" i="1"/>
  <c r="N1433" i="1"/>
  <c r="O1433" i="1"/>
  <c r="M1434" i="1"/>
  <c r="N1434" i="1"/>
  <c r="O1434" i="1"/>
  <c r="M1435" i="1"/>
  <c r="N1435" i="1"/>
  <c r="O1435" i="1"/>
  <c r="M1436" i="1"/>
  <c r="N1436" i="1"/>
  <c r="O1436" i="1"/>
  <c r="M1437" i="1"/>
  <c r="N1437" i="1"/>
  <c r="O1437" i="1"/>
  <c r="M1438" i="1"/>
  <c r="N1438" i="1"/>
  <c r="O1438" i="1"/>
  <c r="M1439" i="1"/>
  <c r="N1439" i="1"/>
  <c r="O1439" i="1"/>
  <c r="M1440" i="1"/>
  <c r="N1440" i="1"/>
  <c r="O1440" i="1"/>
  <c r="M1441" i="1"/>
  <c r="N1441" i="1"/>
  <c r="O1441" i="1"/>
  <c r="M1442" i="1"/>
  <c r="N1442" i="1"/>
  <c r="O1442" i="1"/>
  <c r="M1443" i="1"/>
  <c r="N1443" i="1"/>
  <c r="O1443" i="1"/>
  <c r="M1444" i="1"/>
  <c r="N1444" i="1"/>
  <c r="O1444" i="1"/>
  <c r="M1445" i="1"/>
  <c r="N1445" i="1"/>
  <c r="O1445" i="1"/>
  <c r="M1446" i="1"/>
  <c r="N1446" i="1"/>
  <c r="O1446" i="1"/>
  <c r="M1447" i="1"/>
  <c r="N1447" i="1"/>
  <c r="O1447" i="1"/>
  <c r="M1448" i="1"/>
  <c r="N1448" i="1"/>
  <c r="O1448" i="1"/>
  <c r="M1449" i="1"/>
  <c r="N1449" i="1"/>
  <c r="O1449" i="1"/>
  <c r="M1450" i="1"/>
  <c r="N1450" i="1"/>
  <c r="O1450" i="1"/>
  <c r="M1451" i="1"/>
  <c r="N1451" i="1"/>
  <c r="O1451" i="1"/>
  <c r="M1452" i="1"/>
  <c r="N1452" i="1"/>
  <c r="O1452" i="1"/>
  <c r="M1453" i="1"/>
  <c r="N1453" i="1"/>
  <c r="O1453" i="1"/>
  <c r="M1454" i="1"/>
  <c r="N1454" i="1"/>
  <c r="O1454" i="1"/>
  <c r="M1455" i="1"/>
  <c r="N1455" i="1"/>
  <c r="O1455" i="1"/>
  <c r="M1456" i="1"/>
  <c r="N1456" i="1"/>
  <c r="O1456" i="1"/>
  <c r="M1457" i="1"/>
  <c r="N1457" i="1"/>
  <c r="O1457" i="1"/>
  <c r="M1458" i="1"/>
  <c r="N1458" i="1"/>
  <c r="O1458" i="1"/>
  <c r="M1459" i="1"/>
  <c r="N1459" i="1"/>
  <c r="O1459" i="1"/>
  <c r="M1460" i="1"/>
  <c r="N1460" i="1"/>
  <c r="O1460" i="1"/>
  <c r="M1461" i="1"/>
  <c r="N1461" i="1"/>
  <c r="O1461" i="1"/>
  <c r="M1462" i="1"/>
  <c r="N1462" i="1"/>
  <c r="O1462" i="1"/>
  <c r="M1463" i="1"/>
  <c r="N1463" i="1"/>
  <c r="O1463" i="1"/>
  <c r="M1464" i="1"/>
  <c r="N1464" i="1"/>
  <c r="O1464" i="1"/>
  <c r="M1465" i="1"/>
  <c r="N1465" i="1"/>
  <c r="O1465" i="1"/>
  <c r="M1466" i="1"/>
  <c r="N1466" i="1"/>
  <c r="O1466" i="1"/>
  <c r="M1467" i="1"/>
  <c r="N1467" i="1"/>
  <c r="O1467" i="1"/>
  <c r="M1468" i="1"/>
  <c r="N1468" i="1"/>
  <c r="O1468" i="1"/>
  <c r="M1469" i="1"/>
  <c r="N1469" i="1"/>
  <c r="O1469" i="1"/>
  <c r="M1470" i="1"/>
  <c r="N1470" i="1"/>
  <c r="O1470" i="1"/>
  <c r="M1471" i="1"/>
  <c r="N1471" i="1"/>
  <c r="O1471" i="1"/>
  <c r="M1472" i="1"/>
  <c r="N1472" i="1"/>
  <c r="O1472" i="1"/>
  <c r="M1473" i="1"/>
  <c r="N1473" i="1"/>
  <c r="O1473" i="1"/>
  <c r="M1474" i="1"/>
  <c r="N1474" i="1"/>
  <c r="O1474" i="1"/>
  <c r="M1475" i="1"/>
  <c r="N1475" i="1"/>
  <c r="O1475" i="1"/>
  <c r="M1476" i="1"/>
  <c r="N1476" i="1"/>
  <c r="O1476" i="1"/>
  <c r="M1477" i="1"/>
  <c r="N1477" i="1"/>
  <c r="O1477" i="1"/>
  <c r="M1478" i="1"/>
  <c r="N1478" i="1"/>
  <c r="O1478" i="1"/>
  <c r="M1479" i="1"/>
  <c r="N1479" i="1"/>
  <c r="O1479" i="1"/>
  <c r="M1480" i="1"/>
  <c r="N1480" i="1"/>
  <c r="O1480" i="1"/>
  <c r="M1481" i="1"/>
  <c r="N1481" i="1"/>
  <c r="O1481" i="1"/>
  <c r="M1482" i="1"/>
  <c r="N1482" i="1"/>
  <c r="O1482" i="1"/>
  <c r="M1483" i="1"/>
  <c r="N1483" i="1"/>
  <c r="O1483" i="1"/>
  <c r="M1484" i="1"/>
  <c r="N1484" i="1"/>
  <c r="O1484" i="1"/>
  <c r="M1485" i="1"/>
  <c r="N1485" i="1"/>
  <c r="O1485" i="1"/>
  <c r="M1486" i="1"/>
  <c r="N1486" i="1"/>
  <c r="O1486" i="1"/>
  <c r="M1487" i="1"/>
  <c r="N1487" i="1"/>
  <c r="O1487" i="1"/>
  <c r="M1488" i="1"/>
  <c r="N1488" i="1"/>
  <c r="O1488" i="1"/>
  <c r="M1489" i="1"/>
  <c r="N1489" i="1"/>
  <c r="O1489" i="1"/>
  <c r="M1490" i="1"/>
  <c r="N1490" i="1"/>
  <c r="O1490" i="1"/>
  <c r="M1491" i="1"/>
  <c r="N1491" i="1"/>
  <c r="O1491" i="1"/>
  <c r="M1492" i="1"/>
  <c r="N1492" i="1"/>
  <c r="O1492" i="1"/>
  <c r="M1493" i="1"/>
  <c r="N1493" i="1"/>
  <c r="O1493" i="1"/>
  <c r="M1494" i="1"/>
  <c r="N1494" i="1"/>
  <c r="O1494" i="1"/>
  <c r="M1495" i="1"/>
  <c r="N1495" i="1"/>
  <c r="O1495" i="1"/>
  <c r="M1496" i="1"/>
  <c r="N1496" i="1"/>
  <c r="O1496" i="1"/>
  <c r="M1497" i="1"/>
  <c r="N1497" i="1"/>
  <c r="O1497" i="1"/>
  <c r="M1498" i="1"/>
  <c r="N1498" i="1"/>
  <c r="O1498" i="1"/>
  <c r="M1499" i="1"/>
  <c r="N1499" i="1"/>
  <c r="O1499" i="1"/>
  <c r="M1500" i="1"/>
  <c r="N1500" i="1"/>
  <c r="O1500" i="1"/>
  <c r="M1501" i="1"/>
  <c r="N1501" i="1"/>
  <c r="O1501" i="1"/>
  <c r="M1502" i="1"/>
  <c r="N1502" i="1"/>
  <c r="O1502" i="1"/>
  <c r="M1503" i="1"/>
  <c r="N1503" i="1"/>
  <c r="O1503" i="1"/>
  <c r="M1504" i="1"/>
  <c r="N1504" i="1"/>
  <c r="O1504" i="1"/>
  <c r="M1505" i="1"/>
  <c r="N1505" i="1"/>
  <c r="O1505" i="1"/>
  <c r="M1506" i="1"/>
  <c r="N1506" i="1"/>
  <c r="O1506" i="1"/>
  <c r="M1507" i="1"/>
  <c r="N1507" i="1"/>
  <c r="O1507" i="1"/>
  <c r="M1508" i="1"/>
  <c r="N1508" i="1"/>
  <c r="O1508" i="1"/>
  <c r="M1509" i="1"/>
  <c r="N1509" i="1"/>
  <c r="O1509" i="1"/>
  <c r="M1510" i="1"/>
  <c r="N1510" i="1"/>
  <c r="O1510" i="1"/>
  <c r="M1511" i="1"/>
  <c r="N1511" i="1"/>
  <c r="O1511" i="1"/>
  <c r="M1512" i="1"/>
  <c r="N1512" i="1"/>
  <c r="O1512" i="1"/>
  <c r="M1513" i="1"/>
  <c r="N1513" i="1"/>
  <c r="O1513" i="1"/>
  <c r="M1514" i="1"/>
  <c r="N1514" i="1"/>
  <c r="O1514" i="1"/>
  <c r="M1515" i="1"/>
  <c r="N1515" i="1"/>
  <c r="O1515" i="1"/>
  <c r="M1516" i="1"/>
  <c r="N1516" i="1"/>
  <c r="O1516" i="1"/>
  <c r="M1517" i="1"/>
  <c r="N1517" i="1"/>
  <c r="O1517" i="1"/>
  <c r="M1518" i="1"/>
  <c r="N1518" i="1"/>
  <c r="O1518" i="1"/>
  <c r="M1519" i="1"/>
  <c r="N1519" i="1"/>
  <c r="O1519" i="1"/>
  <c r="M1520" i="1"/>
  <c r="N1520" i="1"/>
  <c r="O1520" i="1"/>
  <c r="M1521" i="1"/>
  <c r="N1521" i="1"/>
  <c r="O1521" i="1"/>
  <c r="M1522" i="1"/>
  <c r="N1522" i="1"/>
  <c r="O1522" i="1"/>
  <c r="M1523" i="1"/>
  <c r="N1523" i="1"/>
  <c r="O1523" i="1"/>
  <c r="M1524" i="1"/>
  <c r="N1524" i="1"/>
  <c r="O1524" i="1"/>
  <c r="M1525" i="1"/>
  <c r="N1525" i="1"/>
  <c r="O1525" i="1"/>
  <c r="M1526" i="1"/>
  <c r="N1526" i="1"/>
  <c r="O1526" i="1"/>
  <c r="M1527" i="1"/>
  <c r="N1527" i="1"/>
  <c r="O1527" i="1"/>
  <c r="M1528" i="1"/>
  <c r="N1528" i="1"/>
  <c r="O1528" i="1"/>
  <c r="M1529" i="1"/>
  <c r="N1529" i="1"/>
  <c r="O1529" i="1"/>
  <c r="M1530" i="1"/>
  <c r="N1530" i="1"/>
  <c r="O1530" i="1"/>
  <c r="M1531" i="1"/>
  <c r="N1531" i="1"/>
  <c r="O1531" i="1"/>
  <c r="M1532" i="1"/>
  <c r="N1532" i="1"/>
  <c r="O1532" i="1"/>
  <c r="M1533" i="1"/>
  <c r="N1533" i="1"/>
  <c r="O1533" i="1"/>
  <c r="M1534" i="1"/>
  <c r="N1534" i="1"/>
  <c r="O1534" i="1"/>
  <c r="M1535" i="1"/>
  <c r="N1535" i="1"/>
  <c r="O1535" i="1"/>
  <c r="M1536" i="1"/>
  <c r="N1536" i="1"/>
  <c r="O1536" i="1"/>
  <c r="M1537" i="1"/>
  <c r="N1537" i="1"/>
  <c r="O1537" i="1"/>
  <c r="M1538" i="1"/>
  <c r="N1538" i="1"/>
  <c r="O1538" i="1"/>
  <c r="M1539" i="1"/>
  <c r="N1539" i="1"/>
  <c r="O1539" i="1"/>
  <c r="M1540" i="1"/>
  <c r="N1540" i="1"/>
  <c r="O1540" i="1"/>
  <c r="M1541" i="1"/>
  <c r="N1541" i="1"/>
  <c r="O1541" i="1"/>
  <c r="M1542" i="1"/>
  <c r="N1542" i="1"/>
  <c r="O1542" i="1"/>
  <c r="M1543" i="1"/>
  <c r="N1543" i="1"/>
  <c r="O1543" i="1"/>
  <c r="M1544" i="1"/>
  <c r="N1544" i="1"/>
  <c r="O1544" i="1"/>
  <c r="M1545" i="1"/>
  <c r="N1545" i="1"/>
  <c r="O1545" i="1"/>
  <c r="M1546" i="1"/>
  <c r="N1546" i="1"/>
  <c r="O1546" i="1"/>
  <c r="M1547" i="1"/>
  <c r="N1547" i="1"/>
  <c r="O1547" i="1"/>
  <c r="M1548" i="1"/>
  <c r="N1548" i="1"/>
  <c r="O1548" i="1"/>
  <c r="M1549" i="1"/>
  <c r="N1549" i="1"/>
  <c r="O1549" i="1"/>
  <c r="M1550" i="1"/>
  <c r="N1550" i="1"/>
  <c r="O1550" i="1"/>
  <c r="M1551" i="1"/>
  <c r="N1551" i="1"/>
  <c r="O1551" i="1"/>
  <c r="M1552" i="1"/>
  <c r="N1552" i="1"/>
  <c r="O1552" i="1"/>
  <c r="M1553" i="1"/>
  <c r="N1553" i="1"/>
  <c r="O1553" i="1"/>
  <c r="M1554" i="1"/>
  <c r="N1554" i="1"/>
  <c r="O1554" i="1"/>
  <c r="M1555" i="1"/>
  <c r="N1555" i="1"/>
  <c r="O1555" i="1"/>
  <c r="M1556" i="1"/>
  <c r="N1556" i="1"/>
  <c r="O1556" i="1"/>
  <c r="M1557" i="1"/>
  <c r="N1557" i="1"/>
  <c r="O1557" i="1"/>
  <c r="M1558" i="1"/>
  <c r="N1558" i="1"/>
  <c r="O1558" i="1"/>
  <c r="M1559" i="1"/>
  <c r="N1559" i="1"/>
  <c r="O1559" i="1"/>
  <c r="M1560" i="1"/>
  <c r="N1560" i="1"/>
  <c r="O1560" i="1"/>
  <c r="M1561" i="1"/>
  <c r="N1561" i="1"/>
  <c r="O1561" i="1"/>
  <c r="M1562" i="1"/>
  <c r="N1562" i="1"/>
  <c r="O1562" i="1"/>
  <c r="M1563" i="1"/>
  <c r="N1563" i="1"/>
  <c r="O1563" i="1"/>
  <c r="M1564" i="1"/>
  <c r="N1564" i="1"/>
  <c r="O1564" i="1"/>
  <c r="M1565" i="1"/>
  <c r="N1565" i="1"/>
  <c r="O1565" i="1"/>
  <c r="M1566" i="1"/>
  <c r="N1566" i="1"/>
  <c r="O1566" i="1"/>
  <c r="M1567" i="1"/>
  <c r="N1567" i="1"/>
  <c r="O1567" i="1"/>
  <c r="M1568" i="1"/>
  <c r="N1568" i="1"/>
  <c r="O1568" i="1"/>
  <c r="M1569" i="1"/>
  <c r="N1569" i="1"/>
  <c r="O1569" i="1"/>
  <c r="M1570" i="1"/>
  <c r="N1570" i="1"/>
  <c r="O1570" i="1"/>
  <c r="M1571" i="1"/>
  <c r="N1571" i="1"/>
  <c r="O1571" i="1"/>
  <c r="M1572" i="1"/>
  <c r="N1572" i="1"/>
  <c r="O1572" i="1"/>
  <c r="M1573" i="1"/>
  <c r="N1573" i="1"/>
  <c r="O1573" i="1"/>
  <c r="M1574" i="1"/>
  <c r="N1574" i="1"/>
  <c r="O1574" i="1"/>
  <c r="M1575" i="1"/>
  <c r="N1575" i="1"/>
  <c r="O1575" i="1"/>
  <c r="M1576" i="1"/>
  <c r="N1576" i="1"/>
  <c r="O1576" i="1"/>
  <c r="M1577" i="1"/>
  <c r="N1577" i="1"/>
  <c r="O1577" i="1"/>
  <c r="M1578" i="1"/>
  <c r="N1578" i="1"/>
  <c r="O1578" i="1"/>
  <c r="M1579" i="1"/>
  <c r="N1579" i="1"/>
  <c r="O1579" i="1"/>
  <c r="M1580" i="1"/>
  <c r="N1580" i="1"/>
  <c r="O1580" i="1"/>
  <c r="M1581" i="1"/>
  <c r="N1581" i="1"/>
  <c r="O1581" i="1"/>
  <c r="M1582" i="1"/>
  <c r="N1582" i="1"/>
  <c r="O1582" i="1"/>
  <c r="M1583" i="1"/>
  <c r="N1583" i="1"/>
  <c r="O1583" i="1"/>
  <c r="M1584" i="1"/>
  <c r="N1584" i="1"/>
  <c r="O1584" i="1"/>
  <c r="M1585" i="1"/>
  <c r="N1585" i="1"/>
  <c r="O1585" i="1"/>
  <c r="M1586" i="1"/>
  <c r="N1586" i="1"/>
  <c r="O1586" i="1"/>
  <c r="M1587" i="1"/>
  <c r="N1587" i="1"/>
  <c r="O1587" i="1"/>
  <c r="M1588" i="1"/>
  <c r="N1588" i="1"/>
  <c r="O1588" i="1"/>
  <c r="M1589" i="1"/>
  <c r="N1589" i="1"/>
  <c r="O1589" i="1"/>
  <c r="M1590" i="1"/>
  <c r="N1590" i="1"/>
  <c r="O1590" i="1"/>
  <c r="M1591" i="1"/>
  <c r="N1591" i="1"/>
  <c r="O1591" i="1"/>
  <c r="M1592" i="1"/>
  <c r="N1592" i="1"/>
  <c r="O1592" i="1"/>
  <c r="M1593" i="1"/>
  <c r="N1593" i="1"/>
  <c r="O1593" i="1"/>
  <c r="M1594" i="1"/>
  <c r="N1594" i="1"/>
  <c r="O1594" i="1"/>
  <c r="M1595" i="1"/>
  <c r="N1595" i="1"/>
  <c r="O1595" i="1"/>
  <c r="M1596" i="1"/>
  <c r="N1596" i="1"/>
  <c r="O1596" i="1"/>
  <c r="M1597" i="1"/>
  <c r="N1597" i="1"/>
  <c r="O1597" i="1"/>
  <c r="M1598" i="1"/>
  <c r="N1598" i="1"/>
  <c r="O1598" i="1"/>
  <c r="M1599" i="1"/>
  <c r="N1599" i="1"/>
  <c r="O1599" i="1"/>
  <c r="M1600" i="1"/>
  <c r="N1600" i="1"/>
  <c r="O1600" i="1"/>
  <c r="M1601" i="1"/>
  <c r="N1601" i="1"/>
  <c r="O1601" i="1"/>
  <c r="M1602" i="1"/>
  <c r="N1602" i="1"/>
  <c r="O1602" i="1"/>
  <c r="M1603" i="1"/>
  <c r="N1603" i="1"/>
  <c r="O1603" i="1"/>
  <c r="M1604" i="1"/>
  <c r="N1604" i="1"/>
  <c r="O1604" i="1"/>
  <c r="M1605" i="1"/>
  <c r="N1605" i="1"/>
  <c r="O1605" i="1"/>
  <c r="M1606" i="1"/>
  <c r="N1606" i="1"/>
  <c r="O1606" i="1"/>
  <c r="M1607" i="1"/>
  <c r="N1607" i="1"/>
  <c r="O1607" i="1"/>
  <c r="M1608" i="1"/>
  <c r="N1608" i="1"/>
  <c r="O1608" i="1"/>
  <c r="M1609" i="1"/>
  <c r="N1609" i="1"/>
  <c r="O1609" i="1"/>
  <c r="M1610" i="1"/>
  <c r="N1610" i="1"/>
  <c r="O1610" i="1"/>
  <c r="M1611" i="1"/>
  <c r="N1611" i="1"/>
  <c r="O1611" i="1"/>
  <c r="M1612" i="1"/>
  <c r="N1612" i="1"/>
  <c r="O1612" i="1"/>
  <c r="M1613" i="1"/>
  <c r="N1613" i="1"/>
  <c r="O1613" i="1"/>
  <c r="M1614" i="1"/>
  <c r="N1614" i="1"/>
  <c r="O1614" i="1"/>
  <c r="M1615" i="1"/>
  <c r="N1615" i="1"/>
  <c r="O1615" i="1"/>
  <c r="M1616" i="1"/>
  <c r="N1616" i="1"/>
  <c r="O1616" i="1"/>
  <c r="M1617" i="1"/>
  <c r="N1617" i="1"/>
  <c r="O1617" i="1"/>
  <c r="M1618" i="1"/>
  <c r="N1618" i="1"/>
  <c r="O1618" i="1"/>
  <c r="M1619" i="1"/>
  <c r="N1619" i="1"/>
  <c r="O1619" i="1"/>
  <c r="M1620" i="1"/>
  <c r="N1620" i="1"/>
  <c r="O1620" i="1"/>
  <c r="M1621" i="1"/>
  <c r="N1621" i="1"/>
  <c r="O1621" i="1"/>
  <c r="M1622" i="1"/>
  <c r="N1622" i="1"/>
  <c r="O1622" i="1"/>
  <c r="M1623" i="1"/>
  <c r="N1623" i="1"/>
  <c r="O1623" i="1"/>
  <c r="M1624" i="1"/>
  <c r="N1624" i="1"/>
  <c r="O1624" i="1"/>
  <c r="M1625" i="1"/>
  <c r="N1625" i="1"/>
  <c r="O1625" i="1"/>
  <c r="M1626" i="1"/>
  <c r="N1626" i="1"/>
  <c r="O1626" i="1"/>
  <c r="M1627" i="1"/>
  <c r="N1627" i="1"/>
  <c r="O1627" i="1"/>
  <c r="M1628" i="1"/>
  <c r="N1628" i="1"/>
  <c r="O1628" i="1"/>
  <c r="M1629" i="1"/>
  <c r="N1629" i="1"/>
  <c r="O1629" i="1"/>
  <c r="M1630" i="1"/>
  <c r="N1630" i="1"/>
  <c r="O1630" i="1"/>
  <c r="M1631" i="1"/>
  <c r="N1631" i="1"/>
  <c r="O1631" i="1"/>
  <c r="M1632" i="1"/>
  <c r="N1632" i="1"/>
  <c r="O1632" i="1"/>
  <c r="M1633" i="1"/>
  <c r="N1633" i="1"/>
  <c r="O1633" i="1"/>
  <c r="M1634" i="1"/>
  <c r="N1634" i="1"/>
  <c r="O1634" i="1"/>
  <c r="M1635" i="1"/>
  <c r="N1635" i="1"/>
  <c r="O1635" i="1"/>
  <c r="M1636" i="1"/>
  <c r="N1636" i="1"/>
  <c r="O1636" i="1"/>
  <c r="M1637" i="1"/>
  <c r="N1637" i="1"/>
  <c r="O1637" i="1"/>
  <c r="M1638" i="1"/>
  <c r="N1638" i="1"/>
  <c r="O1638" i="1"/>
  <c r="M1639" i="1"/>
  <c r="N1639" i="1"/>
  <c r="O1639" i="1"/>
  <c r="M1640" i="1"/>
  <c r="N1640" i="1"/>
  <c r="O1640" i="1"/>
  <c r="M1641" i="1"/>
  <c r="N1641" i="1"/>
  <c r="O1641" i="1"/>
  <c r="M1642" i="1"/>
  <c r="N1642" i="1"/>
  <c r="O1642" i="1"/>
  <c r="M1643" i="1"/>
  <c r="N1643" i="1"/>
  <c r="O1643" i="1"/>
  <c r="M1644" i="1"/>
  <c r="N1644" i="1"/>
  <c r="O1644" i="1"/>
  <c r="M1645" i="1"/>
  <c r="N1645" i="1"/>
  <c r="O1645" i="1"/>
  <c r="M1646" i="1"/>
  <c r="N1646" i="1"/>
  <c r="O1646" i="1"/>
  <c r="M1647" i="1"/>
  <c r="N1647" i="1"/>
  <c r="O1647" i="1"/>
  <c r="M1648" i="1"/>
  <c r="N1648" i="1"/>
  <c r="O1648" i="1"/>
  <c r="M1649" i="1"/>
  <c r="N1649" i="1"/>
  <c r="O1649" i="1"/>
  <c r="M1650" i="1"/>
  <c r="N1650" i="1"/>
  <c r="O1650" i="1"/>
  <c r="M1651" i="1"/>
  <c r="N1651" i="1"/>
  <c r="O1651" i="1"/>
  <c r="M1652" i="1"/>
  <c r="N1652" i="1"/>
  <c r="O1652" i="1"/>
  <c r="M1653" i="1"/>
  <c r="N1653" i="1"/>
  <c r="O1653" i="1"/>
  <c r="M1654" i="1"/>
  <c r="N1654" i="1"/>
  <c r="O1654" i="1"/>
  <c r="M1655" i="1"/>
  <c r="N1655" i="1"/>
  <c r="O1655" i="1"/>
  <c r="M1656" i="1"/>
  <c r="N1656" i="1"/>
  <c r="O1656" i="1"/>
  <c r="M1657" i="1"/>
  <c r="N1657" i="1"/>
  <c r="O1657" i="1"/>
  <c r="M1658" i="1"/>
  <c r="N1658" i="1"/>
  <c r="O1658" i="1"/>
  <c r="M1659" i="1"/>
  <c r="N1659" i="1"/>
  <c r="O1659" i="1"/>
  <c r="M1660" i="1"/>
  <c r="N1660" i="1"/>
  <c r="O1660" i="1"/>
  <c r="M1661" i="1"/>
  <c r="N1661" i="1"/>
  <c r="O1661" i="1"/>
  <c r="M1662" i="1"/>
  <c r="N1662" i="1"/>
  <c r="O1662" i="1"/>
  <c r="M1663" i="1"/>
  <c r="N1663" i="1"/>
  <c r="O1663" i="1"/>
  <c r="M1664" i="1"/>
  <c r="N1664" i="1"/>
  <c r="O1664" i="1"/>
  <c r="M1665" i="1"/>
  <c r="N1665" i="1"/>
  <c r="O1665" i="1"/>
  <c r="M1666" i="1"/>
  <c r="N1666" i="1"/>
  <c r="O1666" i="1"/>
  <c r="M1667" i="1"/>
  <c r="N1667" i="1"/>
  <c r="O1667" i="1"/>
  <c r="M1668" i="1"/>
  <c r="N1668" i="1"/>
  <c r="O1668" i="1"/>
  <c r="M1669" i="1"/>
  <c r="N1669" i="1"/>
  <c r="O1669" i="1"/>
  <c r="M1670" i="1"/>
  <c r="N1670" i="1"/>
  <c r="O1670" i="1"/>
  <c r="M1671" i="1"/>
  <c r="N1671" i="1"/>
  <c r="O1671" i="1"/>
  <c r="M1672" i="1"/>
  <c r="N1672" i="1"/>
  <c r="O1672" i="1"/>
  <c r="M1673" i="1"/>
  <c r="N1673" i="1"/>
  <c r="O1673" i="1"/>
  <c r="M1674" i="1"/>
  <c r="N1674" i="1"/>
  <c r="O1674" i="1"/>
  <c r="M1675" i="1"/>
  <c r="N1675" i="1"/>
  <c r="O1675" i="1"/>
  <c r="M1676" i="1"/>
  <c r="N1676" i="1"/>
  <c r="O1676" i="1"/>
  <c r="M1677" i="1"/>
  <c r="N1677" i="1"/>
  <c r="O1677" i="1"/>
  <c r="M1678" i="1"/>
  <c r="N1678" i="1"/>
  <c r="O1678" i="1"/>
  <c r="M1679" i="1"/>
  <c r="N1679" i="1"/>
  <c r="O1679" i="1"/>
  <c r="M1680" i="1"/>
  <c r="N1680" i="1"/>
  <c r="O1680" i="1"/>
  <c r="M1681" i="1"/>
  <c r="N1681" i="1"/>
  <c r="O1681" i="1"/>
  <c r="M1682" i="1"/>
  <c r="N1682" i="1"/>
  <c r="O1682" i="1"/>
  <c r="M1683" i="1"/>
  <c r="N1683" i="1"/>
  <c r="O1683" i="1"/>
  <c r="M1684" i="1"/>
  <c r="N1684" i="1"/>
  <c r="O1684" i="1"/>
  <c r="M1685" i="1"/>
  <c r="N1685" i="1"/>
  <c r="O1685" i="1"/>
  <c r="M1686" i="1"/>
  <c r="N1686" i="1"/>
  <c r="O1686" i="1"/>
  <c r="M1687" i="1"/>
  <c r="N1687" i="1"/>
  <c r="O1687" i="1"/>
  <c r="M1688" i="1"/>
  <c r="N1688" i="1"/>
  <c r="O1688" i="1"/>
  <c r="M1689" i="1"/>
  <c r="N1689" i="1"/>
  <c r="O1689" i="1"/>
  <c r="M1690" i="1"/>
  <c r="N1690" i="1"/>
  <c r="O1690" i="1"/>
  <c r="M1691" i="1"/>
  <c r="N1691" i="1"/>
  <c r="O1691" i="1"/>
  <c r="M1692" i="1"/>
  <c r="N1692" i="1"/>
  <c r="O1692" i="1"/>
  <c r="M1693" i="1"/>
  <c r="N1693" i="1"/>
  <c r="O1693" i="1"/>
  <c r="M1694" i="1"/>
  <c r="N1694" i="1"/>
  <c r="O1694" i="1"/>
  <c r="M1695" i="1"/>
  <c r="N1695" i="1"/>
  <c r="O1695" i="1"/>
  <c r="M1696" i="1"/>
  <c r="N1696" i="1"/>
  <c r="O1696" i="1"/>
  <c r="M1697" i="1"/>
  <c r="N1697" i="1"/>
  <c r="O1697" i="1"/>
  <c r="M1698" i="1"/>
  <c r="N1698" i="1"/>
  <c r="O1698" i="1"/>
  <c r="M1699" i="1"/>
  <c r="N1699" i="1"/>
  <c r="O1699" i="1"/>
  <c r="M1700" i="1"/>
  <c r="N1700" i="1"/>
  <c r="O1700" i="1"/>
  <c r="M1701" i="1"/>
  <c r="N1701" i="1"/>
  <c r="O1701" i="1"/>
  <c r="M1702" i="1"/>
  <c r="N1702" i="1"/>
  <c r="O1702" i="1"/>
  <c r="M1703" i="1"/>
  <c r="N1703" i="1"/>
  <c r="O1703" i="1"/>
  <c r="M1704" i="1"/>
  <c r="N1704" i="1"/>
  <c r="O1704" i="1"/>
  <c r="M1705" i="1"/>
  <c r="N1705" i="1"/>
  <c r="O1705" i="1"/>
  <c r="M1706" i="1"/>
  <c r="N1706" i="1"/>
  <c r="O1706" i="1"/>
  <c r="M1707" i="1"/>
  <c r="N1707" i="1"/>
  <c r="O1707" i="1"/>
  <c r="M1708" i="1"/>
  <c r="N1708" i="1"/>
  <c r="O1708" i="1"/>
  <c r="M1709" i="1"/>
  <c r="N1709" i="1"/>
  <c r="O1709" i="1"/>
  <c r="M1710" i="1"/>
  <c r="N1710" i="1"/>
  <c r="O1710" i="1"/>
  <c r="M1711" i="1"/>
  <c r="N1711" i="1"/>
  <c r="O1711" i="1"/>
  <c r="M1712" i="1"/>
  <c r="N1712" i="1"/>
  <c r="O1712" i="1"/>
  <c r="M1713" i="1"/>
  <c r="N1713" i="1"/>
  <c r="O1713" i="1"/>
  <c r="M1714" i="1"/>
  <c r="N1714" i="1"/>
  <c r="O1714" i="1"/>
  <c r="M1715" i="1"/>
  <c r="N1715" i="1"/>
  <c r="O1715" i="1"/>
  <c r="M1716" i="1"/>
  <c r="N1716" i="1"/>
  <c r="O1716" i="1"/>
  <c r="M1717" i="1"/>
  <c r="N1717" i="1"/>
  <c r="O1717" i="1"/>
  <c r="M1718" i="1"/>
  <c r="N1718" i="1"/>
  <c r="O1718" i="1"/>
  <c r="M1719" i="1"/>
  <c r="N1719" i="1"/>
  <c r="O1719" i="1"/>
  <c r="M1720" i="1"/>
  <c r="N1720" i="1"/>
  <c r="O1720" i="1"/>
  <c r="M1721" i="1"/>
  <c r="N1721" i="1"/>
  <c r="O1721" i="1"/>
  <c r="M1722" i="1"/>
  <c r="N1722" i="1"/>
  <c r="O1722" i="1"/>
  <c r="M1723" i="1"/>
  <c r="N1723" i="1"/>
  <c r="O1723" i="1"/>
  <c r="M1724" i="1"/>
  <c r="N1724" i="1"/>
  <c r="O1724" i="1"/>
  <c r="M1725" i="1"/>
  <c r="N1725" i="1"/>
  <c r="O1725" i="1"/>
  <c r="M1726" i="1"/>
  <c r="N1726" i="1"/>
  <c r="O1726" i="1"/>
  <c r="M1727" i="1"/>
  <c r="N1727" i="1"/>
  <c r="O1727" i="1"/>
  <c r="M1728" i="1"/>
  <c r="N1728" i="1"/>
  <c r="O1728" i="1"/>
  <c r="M1729" i="1"/>
  <c r="N1729" i="1"/>
  <c r="O1729" i="1"/>
  <c r="M1730" i="1"/>
  <c r="N1730" i="1"/>
  <c r="O1730" i="1"/>
  <c r="M1731" i="1"/>
  <c r="N1731" i="1"/>
  <c r="O1731" i="1"/>
  <c r="M1732" i="1"/>
  <c r="N1732" i="1"/>
  <c r="O1732" i="1"/>
  <c r="M1733" i="1"/>
  <c r="N1733" i="1"/>
  <c r="O1733" i="1"/>
  <c r="M1734" i="1"/>
  <c r="N1734" i="1"/>
  <c r="O1734" i="1"/>
  <c r="M1735" i="1"/>
  <c r="N1735" i="1"/>
  <c r="O1735" i="1"/>
  <c r="M1736" i="1"/>
  <c r="N1736" i="1"/>
  <c r="O1736" i="1"/>
  <c r="M1737" i="1"/>
  <c r="N1737" i="1"/>
  <c r="O1737" i="1"/>
  <c r="M1738" i="1"/>
  <c r="N1738" i="1"/>
  <c r="O1738" i="1"/>
  <c r="M1739" i="1"/>
  <c r="N1739" i="1"/>
  <c r="O1739" i="1"/>
  <c r="M1740" i="1"/>
  <c r="N1740" i="1"/>
  <c r="O1740" i="1"/>
  <c r="M1741" i="1"/>
  <c r="N1741" i="1"/>
  <c r="O1741" i="1"/>
  <c r="M1742" i="1"/>
  <c r="N1742" i="1"/>
  <c r="O1742" i="1"/>
  <c r="M1743" i="1"/>
  <c r="N1743" i="1"/>
  <c r="O1743" i="1"/>
  <c r="M1744" i="1"/>
  <c r="N1744" i="1"/>
  <c r="O1744" i="1"/>
  <c r="M1745" i="1"/>
  <c r="N1745" i="1"/>
  <c r="O1745" i="1"/>
  <c r="M1746" i="1"/>
  <c r="N1746" i="1"/>
  <c r="O1746" i="1"/>
  <c r="M1747" i="1"/>
  <c r="N1747" i="1"/>
  <c r="O1747" i="1"/>
  <c r="M1748" i="1"/>
  <c r="N1748" i="1"/>
  <c r="O1748" i="1"/>
  <c r="M1749" i="1"/>
  <c r="N1749" i="1"/>
  <c r="O1749" i="1"/>
  <c r="M1750" i="1"/>
  <c r="N1750" i="1"/>
  <c r="O1750" i="1"/>
  <c r="M1751" i="1"/>
  <c r="N1751" i="1"/>
  <c r="O1751" i="1"/>
  <c r="M1752" i="1"/>
  <c r="N1752" i="1"/>
  <c r="O1752" i="1"/>
  <c r="M1753" i="1"/>
  <c r="N1753" i="1"/>
  <c r="O1753" i="1"/>
  <c r="M1754" i="1"/>
  <c r="N1754" i="1"/>
  <c r="O1754" i="1"/>
  <c r="M1755" i="1"/>
  <c r="N1755" i="1"/>
  <c r="O1755" i="1"/>
  <c r="M1756" i="1"/>
  <c r="N1756" i="1"/>
  <c r="O1756" i="1"/>
  <c r="M1757" i="1"/>
  <c r="N1757" i="1"/>
  <c r="O1757" i="1"/>
  <c r="M1758" i="1"/>
  <c r="N1758" i="1"/>
  <c r="O1758" i="1"/>
  <c r="M1759" i="1"/>
  <c r="N1759" i="1"/>
  <c r="O1759" i="1"/>
  <c r="M1760" i="1"/>
  <c r="N1760" i="1"/>
  <c r="O1760" i="1"/>
  <c r="M1761" i="1"/>
  <c r="N1761" i="1"/>
  <c r="O1761" i="1"/>
  <c r="M1762" i="1"/>
  <c r="N1762" i="1"/>
  <c r="O1762" i="1"/>
  <c r="M1763" i="1"/>
  <c r="N1763" i="1"/>
  <c r="O1763" i="1"/>
  <c r="M1764" i="1"/>
  <c r="N1764" i="1"/>
  <c r="O1764" i="1"/>
  <c r="M1765" i="1"/>
  <c r="N1765" i="1"/>
  <c r="O1765" i="1"/>
  <c r="M1766" i="1"/>
  <c r="N1766" i="1"/>
  <c r="O1766" i="1"/>
  <c r="M1767" i="1"/>
  <c r="N1767" i="1"/>
  <c r="O1767" i="1"/>
  <c r="M1768" i="1"/>
  <c r="N1768" i="1"/>
  <c r="O1768" i="1"/>
  <c r="M1769" i="1"/>
  <c r="N1769" i="1"/>
  <c r="O1769" i="1"/>
  <c r="M1770" i="1"/>
  <c r="N1770" i="1"/>
  <c r="O1770" i="1"/>
  <c r="M1771" i="1"/>
  <c r="N1771" i="1"/>
  <c r="O1771" i="1"/>
  <c r="M1772" i="1"/>
  <c r="N1772" i="1"/>
  <c r="O1772" i="1"/>
  <c r="M1773" i="1"/>
  <c r="N1773" i="1"/>
  <c r="O1773" i="1"/>
  <c r="M1774" i="1"/>
  <c r="N1774" i="1"/>
  <c r="O1774" i="1"/>
  <c r="M1775" i="1"/>
  <c r="N1775" i="1"/>
  <c r="O1775" i="1"/>
  <c r="M1776" i="1"/>
  <c r="N1776" i="1"/>
  <c r="O1776" i="1"/>
  <c r="M1777" i="1"/>
  <c r="N1777" i="1"/>
  <c r="O1777" i="1"/>
  <c r="M1778" i="1"/>
  <c r="N1778" i="1"/>
  <c r="O1778" i="1"/>
  <c r="M1779" i="1"/>
  <c r="N1779" i="1"/>
  <c r="O1779" i="1"/>
  <c r="M1780" i="1"/>
  <c r="N1780" i="1"/>
  <c r="O1780" i="1"/>
  <c r="M1781" i="1"/>
  <c r="N1781" i="1"/>
  <c r="O1781" i="1"/>
  <c r="M1782" i="1"/>
  <c r="N1782" i="1"/>
  <c r="O1782" i="1"/>
  <c r="M1783" i="1"/>
  <c r="N1783" i="1"/>
  <c r="O1783" i="1"/>
  <c r="M1784" i="1"/>
  <c r="N1784" i="1"/>
  <c r="O1784" i="1"/>
  <c r="M1785" i="1"/>
  <c r="N1785" i="1"/>
  <c r="O1785" i="1"/>
  <c r="M1786" i="1"/>
  <c r="N1786" i="1"/>
  <c r="O1786" i="1"/>
  <c r="M1787" i="1"/>
  <c r="N1787" i="1"/>
  <c r="O1787" i="1"/>
  <c r="M1788" i="1"/>
  <c r="N1788" i="1"/>
  <c r="O1788" i="1"/>
  <c r="M1789" i="1"/>
  <c r="N1789" i="1"/>
  <c r="O1789" i="1"/>
  <c r="M1790" i="1"/>
  <c r="N1790" i="1"/>
  <c r="O1790" i="1"/>
  <c r="M1791" i="1"/>
  <c r="N1791" i="1"/>
  <c r="O1791" i="1"/>
  <c r="M1792" i="1"/>
  <c r="N1792" i="1"/>
  <c r="O1792" i="1"/>
  <c r="M1793" i="1"/>
  <c r="N1793" i="1"/>
  <c r="O1793" i="1"/>
  <c r="M1794" i="1"/>
  <c r="N1794" i="1"/>
  <c r="O1794" i="1"/>
  <c r="M1795" i="1"/>
  <c r="N1795" i="1"/>
  <c r="O1795" i="1"/>
  <c r="M1796" i="1"/>
  <c r="N1796" i="1"/>
  <c r="O1796" i="1"/>
  <c r="M1797" i="1"/>
  <c r="N1797" i="1"/>
  <c r="O1797" i="1"/>
  <c r="M1798" i="1"/>
  <c r="N1798" i="1"/>
  <c r="O1798" i="1"/>
  <c r="M1799" i="1"/>
  <c r="N1799" i="1"/>
  <c r="O1799" i="1"/>
  <c r="M1800" i="1"/>
  <c r="N1800" i="1"/>
  <c r="O1800" i="1"/>
  <c r="M1801" i="1"/>
  <c r="N1801" i="1"/>
  <c r="O1801" i="1"/>
  <c r="M1802" i="1"/>
  <c r="N1802" i="1"/>
  <c r="O1802" i="1"/>
  <c r="M1803" i="1"/>
  <c r="N1803" i="1"/>
  <c r="O1803" i="1"/>
  <c r="M1804" i="1"/>
  <c r="N1804" i="1"/>
  <c r="O1804" i="1"/>
  <c r="M1805" i="1"/>
  <c r="N1805" i="1"/>
  <c r="O1805" i="1"/>
  <c r="M1806" i="1"/>
  <c r="N1806" i="1"/>
  <c r="O1806" i="1"/>
  <c r="M1807" i="1"/>
  <c r="N1807" i="1"/>
  <c r="O1807" i="1"/>
  <c r="M1808" i="1"/>
  <c r="N1808" i="1"/>
  <c r="O1808" i="1"/>
  <c r="M1809" i="1"/>
  <c r="N1809" i="1"/>
  <c r="O1809" i="1"/>
  <c r="M1810" i="1"/>
  <c r="N1810" i="1"/>
  <c r="O1810" i="1"/>
  <c r="M1811" i="1"/>
  <c r="N1811" i="1"/>
  <c r="O1811" i="1"/>
  <c r="M1812" i="1"/>
  <c r="N1812" i="1"/>
  <c r="O1812" i="1"/>
  <c r="M1813" i="1"/>
  <c r="N1813" i="1"/>
  <c r="O1813" i="1"/>
  <c r="M1814" i="1"/>
  <c r="N1814" i="1"/>
  <c r="O1814" i="1"/>
  <c r="M1815" i="1"/>
  <c r="N1815" i="1"/>
  <c r="O1815" i="1"/>
  <c r="M1816" i="1"/>
  <c r="N1816" i="1"/>
  <c r="O1816" i="1"/>
  <c r="M1817" i="1"/>
  <c r="N1817" i="1"/>
  <c r="O1817" i="1"/>
  <c r="M1818" i="1"/>
  <c r="N1818" i="1"/>
  <c r="O1818" i="1"/>
  <c r="M1819" i="1"/>
  <c r="N1819" i="1"/>
  <c r="O1819" i="1"/>
  <c r="M1820" i="1"/>
  <c r="N1820" i="1"/>
  <c r="O1820" i="1"/>
  <c r="M1821" i="1"/>
  <c r="N1821" i="1"/>
  <c r="O1821" i="1"/>
  <c r="M1822" i="1"/>
  <c r="N1822" i="1"/>
  <c r="O1822" i="1"/>
  <c r="M1823" i="1"/>
  <c r="N1823" i="1"/>
  <c r="O1823" i="1"/>
  <c r="M1824" i="1"/>
  <c r="N1824" i="1"/>
  <c r="O1824" i="1"/>
  <c r="M1825" i="1"/>
  <c r="N1825" i="1"/>
  <c r="O1825" i="1"/>
  <c r="M1826" i="1"/>
  <c r="N1826" i="1"/>
  <c r="O1826" i="1"/>
  <c r="M1827" i="1"/>
  <c r="N1827" i="1"/>
  <c r="O1827" i="1"/>
  <c r="M1828" i="1"/>
  <c r="N1828" i="1"/>
  <c r="O1828" i="1"/>
  <c r="M1829" i="1"/>
  <c r="N1829" i="1"/>
  <c r="O1829" i="1"/>
  <c r="M1830" i="1"/>
  <c r="N1830" i="1"/>
  <c r="O1830" i="1"/>
  <c r="M1831" i="1"/>
  <c r="N1831" i="1"/>
  <c r="O1831" i="1"/>
  <c r="M1832" i="1"/>
  <c r="N1832" i="1"/>
  <c r="O1832" i="1"/>
  <c r="M1833" i="1"/>
  <c r="N1833" i="1"/>
  <c r="O1833" i="1"/>
  <c r="M1834" i="1"/>
  <c r="N1834" i="1"/>
  <c r="O1834" i="1"/>
  <c r="M1835" i="1"/>
  <c r="N1835" i="1"/>
  <c r="O1835" i="1"/>
  <c r="M1836" i="1"/>
  <c r="N1836" i="1"/>
  <c r="O1836" i="1"/>
  <c r="M1837" i="1"/>
  <c r="N1837" i="1"/>
  <c r="O1837" i="1"/>
  <c r="M1838" i="1"/>
  <c r="N1838" i="1"/>
  <c r="O1838" i="1"/>
  <c r="M1839" i="1"/>
  <c r="N1839" i="1"/>
  <c r="O1839" i="1"/>
  <c r="M1840" i="1"/>
  <c r="N1840" i="1"/>
  <c r="O1840" i="1"/>
  <c r="M1841" i="1"/>
  <c r="N1841" i="1"/>
  <c r="O1841" i="1"/>
  <c r="M1842" i="1"/>
  <c r="N1842" i="1"/>
  <c r="O1842" i="1"/>
  <c r="M1843" i="1"/>
  <c r="N1843" i="1"/>
  <c r="O1843" i="1"/>
  <c r="M1844" i="1"/>
  <c r="N1844" i="1"/>
  <c r="O1844" i="1"/>
  <c r="M1845" i="1"/>
  <c r="N1845" i="1"/>
  <c r="O1845" i="1"/>
  <c r="M1846" i="1"/>
  <c r="N1846" i="1"/>
  <c r="O1846" i="1"/>
  <c r="M1847" i="1"/>
  <c r="N1847" i="1"/>
  <c r="O1847" i="1"/>
  <c r="M1848" i="1"/>
  <c r="N1848" i="1"/>
  <c r="O1848" i="1"/>
  <c r="M1849" i="1"/>
  <c r="N1849" i="1"/>
  <c r="O1849" i="1"/>
  <c r="M1850" i="1"/>
  <c r="N1850" i="1"/>
  <c r="O1850" i="1"/>
  <c r="M1851" i="1"/>
  <c r="N1851" i="1"/>
  <c r="O1851" i="1"/>
  <c r="M1852" i="1"/>
  <c r="N1852" i="1"/>
  <c r="O1852" i="1"/>
  <c r="M1853" i="1"/>
  <c r="N1853" i="1"/>
  <c r="O1853" i="1"/>
  <c r="M1854" i="1"/>
  <c r="N1854" i="1"/>
  <c r="O1854" i="1"/>
  <c r="M1855" i="1"/>
  <c r="N1855" i="1"/>
  <c r="O1855" i="1"/>
  <c r="M1856" i="1"/>
  <c r="N1856" i="1"/>
  <c r="O1856" i="1"/>
  <c r="M1857" i="1"/>
  <c r="N1857" i="1"/>
  <c r="O1857" i="1"/>
  <c r="M1858" i="1"/>
  <c r="N1858" i="1"/>
  <c r="O1858" i="1"/>
  <c r="M1859" i="1"/>
  <c r="N1859" i="1"/>
  <c r="O1859" i="1"/>
  <c r="M1860" i="1"/>
  <c r="N1860" i="1"/>
  <c r="O1860" i="1"/>
  <c r="M1861" i="1"/>
  <c r="N1861" i="1"/>
  <c r="O1861" i="1"/>
  <c r="M1862" i="1"/>
  <c r="N1862" i="1"/>
  <c r="O1862" i="1"/>
  <c r="M1863" i="1"/>
  <c r="N1863" i="1"/>
  <c r="O1863" i="1"/>
  <c r="M1864" i="1"/>
  <c r="N1864" i="1"/>
  <c r="O1864" i="1"/>
  <c r="M1865" i="1"/>
  <c r="N1865" i="1"/>
  <c r="O1865" i="1"/>
  <c r="M1866" i="1"/>
  <c r="N1866" i="1"/>
  <c r="O1866" i="1"/>
  <c r="M1867" i="1"/>
  <c r="N1867" i="1"/>
  <c r="O1867" i="1"/>
  <c r="M1868" i="1"/>
  <c r="N1868" i="1"/>
  <c r="O1868" i="1"/>
  <c r="M1869" i="1"/>
  <c r="N1869" i="1"/>
  <c r="O1869" i="1"/>
  <c r="M1870" i="1"/>
  <c r="N1870" i="1"/>
  <c r="O1870" i="1"/>
  <c r="M1871" i="1"/>
  <c r="N1871" i="1"/>
  <c r="O1871" i="1"/>
  <c r="M1872" i="1"/>
  <c r="N1872" i="1"/>
  <c r="O1872" i="1"/>
  <c r="M1873" i="1"/>
  <c r="N1873" i="1"/>
  <c r="O1873" i="1"/>
  <c r="M1874" i="1"/>
  <c r="N1874" i="1"/>
  <c r="O1874" i="1"/>
  <c r="M1875" i="1"/>
  <c r="N1875" i="1"/>
  <c r="O1875" i="1"/>
  <c r="M1876" i="1"/>
  <c r="N1876" i="1"/>
  <c r="O1876" i="1"/>
  <c r="M1877" i="1"/>
  <c r="N1877" i="1"/>
  <c r="O1877" i="1"/>
  <c r="M1878" i="1"/>
  <c r="N1878" i="1"/>
  <c r="O1878" i="1"/>
  <c r="M1879" i="1"/>
  <c r="N1879" i="1"/>
  <c r="O1879" i="1"/>
  <c r="M1880" i="1"/>
  <c r="N1880" i="1"/>
  <c r="O1880" i="1"/>
  <c r="M1881" i="1"/>
  <c r="N1881" i="1"/>
  <c r="O1881" i="1"/>
  <c r="M1882" i="1"/>
  <c r="N1882" i="1"/>
  <c r="O1882" i="1"/>
  <c r="M1883" i="1"/>
  <c r="N1883" i="1"/>
  <c r="O1883" i="1"/>
  <c r="M1884" i="1"/>
  <c r="N1884" i="1"/>
  <c r="O1884" i="1"/>
  <c r="M1885" i="1"/>
  <c r="N1885" i="1"/>
  <c r="O1885" i="1"/>
  <c r="M1886" i="1"/>
  <c r="N1886" i="1"/>
  <c r="O1886" i="1"/>
  <c r="M1887" i="1"/>
  <c r="N1887" i="1"/>
  <c r="O1887" i="1"/>
  <c r="M1888" i="1"/>
  <c r="N1888" i="1"/>
  <c r="O1888" i="1"/>
  <c r="M1889" i="1"/>
  <c r="N1889" i="1"/>
  <c r="O1889" i="1"/>
  <c r="M1890" i="1"/>
  <c r="N1890" i="1"/>
  <c r="O1890" i="1"/>
  <c r="M1891" i="1"/>
  <c r="N1891" i="1"/>
  <c r="O1891" i="1"/>
  <c r="M1892" i="1"/>
  <c r="N1892" i="1"/>
  <c r="O1892" i="1"/>
  <c r="M1893" i="1"/>
  <c r="N1893" i="1"/>
  <c r="O1893" i="1"/>
  <c r="M1894" i="1"/>
  <c r="N1894" i="1"/>
  <c r="O1894" i="1"/>
  <c r="M1895" i="1"/>
  <c r="N1895" i="1"/>
  <c r="O1895" i="1"/>
  <c r="M1896" i="1"/>
  <c r="N1896" i="1"/>
  <c r="O1896" i="1"/>
  <c r="M1897" i="1"/>
  <c r="N1897" i="1"/>
  <c r="O1897" i="1"/>
  <c r="M1898" i="1"/>
  <c r="N1898" i="1"/>
  <c r="O1898" i="1"/>
  <c r="M1899" i="1"/>
  <c r="N1899" i="1"/>
  <c r="O1899" i="1"/>
  <c r="M1900" i="1"/>
  <c r="N1900" i="1"/>
  <c r="O1900" i="1"/>
  <c r="M1901" i="1"/>
  <c r="N1901" i="1"/>
  <c r="O1901" i="1"/>
  <c r="M1902" i="1"/>
  <c r="N1902" i="1"/>
  <c r="O1902" i="1"/>
  <c r="M1903" i="1"/>
  <c r="N1903" i="1"/>
  <c r="O1903" i="1"/>
  <c r="M1904" i="1"/>
  <c r="N1904" i="1"/>
  <c r="O1904" i="1"/>
  <c r="M1905" i="1"/>
  <c r="N1905" i="1"/>
  <c r="O1905" i="1"/>
  <c r="M1906" i="1"/>
  <c r="N1906" i="1"/>
  <c r="O1906" i="1"/>
  <c r="M1907" i="1"/>
  <c r="N1907" i="1"/>
  <c r="O1907" i="1"/>
  <c r="M1908" i="1"/>
  <c r="N1908" i="1"/>
  <c r="O1908" i="1"/>
  <c r="M1909" i="1"/>
  <c r="N1909" i="1"/>
  <c r="O1909" i="1"/>
  <c r="M1910" i="1"/>
  <c r="N1910" i="1"/>
  <c r="O1910" i="1"/>
  <c r="M1911" i="1"/>
  <c r="N1911" i="1"/>
  <c r="O1911" i="1"/>
  <c r="M1912" i="1"/>
  <c r="N1912" i="1"/>
  <c r="O1912" i="1"/>
  <c r="M1913" i="1"/>
  <c r="N1913" i="1"/>
  <c r="O1913" i="1"/>
  <c r="M1914" i="1"/>
  <c r="N1914" i="1"/>
  <c r="O1914" i="1"/>
  <c r="M1915" i="1"/>
  <c r="N1915" i="1"/>
  <c r="O1915" i="1"/>
  <c r="M1916" i="1"/>
  <c r="N1916" i="1"/>
  <c r="O1916" i="1"/>
  <c r="M1917" i="1"/>
  <c r="N1917" i="1"/>
  <c r="O1917" i="1"/>
  <c r="M1918" i="1"/>
  <c r="N1918" i="1"/>
  <c r="O1918" i="1"/>
  <c r="M1919" i="1"/>
  <c r="N1919" i="1"/>
  <c r="O1919" i="1"/>
  <c r="M1920" i="1"/>
  <c r="N1920" i="1"/>
  <c r="O1920" i="1"/>
  <c r="M1921" i="1"/>
  <c r="N1921" i="1"/>
  <c r="O1921" i="1"/>
  <c r="M1922" i="1"/>
  <c r="N1922" i="1"/>
  <c r="O1922" i="1"/>
  <c r="M1923" i="1"/>
  <c r="N1923" i="1"/>
  <c r="O1923" i="1"/>
  <c r="M1924" i="1"/>
  <c r="N1924" i="1"/>
  <c r="O1924" i="1"/>
  <c r="M1925" i="1"/>
  <c r="N1925" i="1"/>
  <c r="O1925" i="1"/>
  <c r="M1926" i="1"/>
  <c r="N1926" i="1"/>
  <c r="O1926" i="1"/>
  <c r="M1927" i="1"/>
  <c r="N1927" i="1"/>
  <c r="O1927" i="1"/>
  <c r="M1928" i="1"/>
  <c r="N1928" i="1"/>
  <c r="O1928" i="1"/>
  <c r="M1929" i="1"/>
  <c r="N1929" i="1"/>
  <c r="O1929" i="1"/>
  <c r="M1930" i="1"/>
  <c r="N1930" i="1"/>
  <c r="O1930" i="1"/>
  <c r="M1931" i="1"/>
  <c r="N1931" i="1"/>
  <c r="O1931" i="1"/>
  <c r="M1932" i="1"/>
  <c r="N1932" i="1"/>
  <c r="O1932" i="1"/>
  <c r="M1933" i="1"/>
  <c r="N1933" i="1"/>
  <c r="O1933" i="1"/>
  <c r="M1934" i="1"/>
  <c r="N1934" i="1"/>
  <c r="O1934" i="1"/>
  <c r="M1935" i="1"/>
  <c r="N1935" i="1"/>
  <c r="O1935" i="1"/>
  <c r="M1936" i="1"/>
  <c r="N1936" i="1"/>
  <c r="O1936" i="1"/>
  <c r="M1937" i="1"/>
  <c r="N1937" i="1"/>
  <c r="O1937" i="1"/>
  <c r="M1938" i="1"/>
  <c r="N1938" i="1"/>
  <c r="O1938" i="1"/>
  <c r="M1939" i="1"/>
  <c r="N1939" i="1"/>
  <c r="O1939" i="1"/>
  <c r="M1940" i="1"/>
  <c r="N1940" i="1"/>
  <c r="O1940" i="1"/>
  <c r="M1941" i="1"/>
  <c r="N1941" i="1"/>
  <c r="O1941" i="1"/>
  <c r="M1942" i="1"/>
  <c r="N1942" i="1"/>
  <c r="O1942" i="1"/>
  <c r="M1943" i="1"/>
  <c r="N1943" i="1"/>
  <c r="O1943" i="1"/>
  <c r="M1944" i="1"/>
  <c r="N1944" i="1"/>
  <c r="O1944" i="1"/>
  <c r="M1945" i="1"/>
  <c r="N1945" i="1"/>
  <c r="O1945" i="1"/>
  <c r="M1946" i="1"/>
  <c r="N1946" i="1"/>
  <c r="O1946" i="1"/>
  <c r="M1947" i="1"/>
  <c r="N1947" i="1"/>
  <c r="O1947" i="1"/>
  <c r="M1948" i="1"/>
  <c r="N1948" i="1"/>
  <c r="O1948" i="1"/>
  <c r="M1949" i="1"/>
  <c r="N1949" i="1"/>
  <c r="O1949" i="1"/>
  <c r="M1950" i="1"/>
  <c r="N1950" i="1"/>
  <c r="O1950" i="1"/>
  <c r="M1951" i="1"/>
  <c r="N1951" i="1"/>
  <c r="O1951" i="1"/>
  <c r="M1952" i="1"/>
  <c r="N1952" i="1"/>
  <c r="O1952" i="1"/>
  <c r="M1953" i="1"/>
  <c r="N1953" i="1"/>
  <c r="O1953" i="1"/>
  <c r="M1954" i="1"/>
  <c r="N1954" i="1"/>
  <c r="O1954" i="1"/>
  <c r="M1955" i="1"/>
  <c r="N1955" i="1"/>
  <c r="O1955" i="1"/>
  <c r="M1956" i="1"/>
  <c r="N1956" i="1"/>
  <c r="O1956" i="1"/>
  <c r="M1957" i="1"/>
  <c r="N1957" i="1"/>
  <c r="O1957" i="1"/>
  <c r="M1958" i="1"/>
  <c r="N1958" i="1"/>
  <c r="O1958" i="1"/>
  <c r="M1959" i="1"/>
  <c r="N1959" i="1"/>
  <c r="O1959" i="1"/>
  <c r="M1960" i="1"/>
  <c r="N1960" i="1"/>
  <c r="O1960" i="1"/>
  <c r="M1961" i="1"/>
  <c r="N1961" i="1"/>
  <c r="O1961" i="1"/>
  <c r="M1962" i="1"/>
  <c r="N1962" i="1"/>
  <c r="O1962" i="1"/>
  <c r="M1963" i="1"/>
  <c r="N1963" i="1"/>
  <c r="O1963" i="1"/>
  <c r="M1964" i="1"/>
  <c r="N1964" i="1"/>
  <c r="O1964" i="1"/>
  <c r="M1965" i="1"/>
  <c r="N1965" i="1"/>
  <c r="O1965" i="1"/>
  <c r="M1966" i="1"/>
  <c r="N1966" i="1"/>
  <c r="O1966" i="1"/>
  <c r="M1967" i="1"/>
  <c r="N1967" i="1"/>
  <c r="O1967" i="1"/>
  <c r="M1968" i="1"/>
  <c r="N1968" i="1"/>
  <c r="O1968" i="1"/>
  <c r="M1969" i="1"/>
  <c r="N1969" i="1"/>
  <c r="O1969" i="1"/>
  <c r="M1970" i="1"/>
  <c r="N1970" i="1"/>
  <c r="O1970" i="1"/>
  <c r="M1971" i="1"/>
  <c r="N1971" i="1"/>
  <c r="O1971" i="1"/>
  <c r="M1972" i="1"/>
  <c r="N1972" i="1"/>
  <c r="O1972" i="1"/>
  <c r="M1973" i="1"/>
  <c r="N1973" i="1"/>
  <c r="O1973" i="1"/>
  <c r="M1974" i="1"/>
  <c r="N1974" i="1"/>
  <c r="O1974" i="1"/>
  <c r="M1975" i="1"/>
  <c r="N1975" i="1"/>
  <c r="O1975" i="1"/>
  <c r="M1976" i="1"/>
  <c r="N1976" i="1"/>
  <c r="O1976" i="1"/>
  <c r="M1977" i="1"/>
  <c r="N1977" i="1"/>
  <c r="O1977" i="1"/>
  <c r="M1978" i="1"/>
  <c r="N1978" i="1"/>
  <c r="O1978" i="1"/>
  <c r="M1979" i="1"/>
  <c r="N1979" i="1"/>
  <c r="O1979" i="1"/>
  <c r="M1980" i="1"/>
  <c r="N1980" i="1"/>
  <c r="O1980" i="1"/>
  <c r="M1981" i="1"/>
  <c r="N1981" i="1"/>
  <c r="O1981" i="1"/>
  <c r="M1982" i="1"/>
  <c r="N1982" i="1"/>
  <c r="O1982" i="1"/>
  <c r="M1983" i="1"/>
  <c r="N1983" i="1"/>
  <c r="O1983" i="1"/>
  <c r="M1984" i="1"/>
  <c r="N1984" i="1"/>
  <c r="O1984" i="1"/>
  <c r="M1985" i="1"/>
  <c r="N1985" i="1"/>
  <c r="O1985" i="1"/>
  <c r="M1986" i="1"/>
  <c r="N1986" i="1"/>
  <c r="O1986" i="1"/>
  <c r="M1987" i="1"/>
  <c r="N1987" i="1"/>
  <c r="O1987" i="1"/>
  <c r="M1988" i="1"/>
  <c r="N1988" i="1"/>
  <c r="O1988" i="1"/>
  <c r="M1989" i="1"/>
  <c r="N1989" i="1"/>
  <c r="O1989" i="1"/>
  <c r="M1990" i="1"/>
  <c r="N1990" i="1"/>
  <c r="O1990" i="1"/>
  <c r="M1991" i="1"/>
  <c r="N1991" i="1"/>
  <c r="O1991" i="1"/>
  <c r="M1992" i="1"/>
  <c r="N1992" i="1"/>
  <c r="O1992" i="1"/>
  <c r="M1993" i="1"/>
  <c r="N1993" i="1"/>
  <c r="O1993" i="1"/>
  <c r="M1994" i="1"/>
  <c r="N1994" i="1"/>
  <c r="O1994" i="1"/>
  <c r="M1995" i="1"/>
  <c r="N1995" i="1"/>
  <c r="O1995" i="1"/>
  <c r="M1996" i="1"/>
  <c r="N1996" i="1"/>
  <c r="O1996" i="1"/>
  <c r="M1997" i="1"/>
  <c r="N1997" i="1"/>
  <c r="O1997" i="1"/>
  <c r="M1998" i="1"/>
  <c r="N1998" i="1"/>
  <c r="O1998" i="1"/>
  <c r="M1999" i="1"/>
  <c r="N1999" i="1"/>
  <c r="O1999" i="1"/>
  <c r="M2000" i="1"/>
  <c r="N2000" i="1"/>
  <c r="O2000" i="1"/>
  <c r="M2001" i="1"/>
  <c r="N2001" i="1"/>
  <c r="O2001" i="1"/>
  <c r="M2002" i="1"/>
  <c r="N2002" i="1"/>
  <c r="O2002" i="1"/>
  <c r="M2003" i="1"/>
  <c r="N2003" i="1"/>
  <c r="O2003" i="1"/>
  <c r="M2004" i="1"/>
  <c r="N2004" i="1"/>
  <c r="O2004" i="1"/>
  <c r="M2005" i="1"/>
  <c r="N2005" i="1"/>
  <c r="O2005" i="1"/>
  <c r="M2006" i="1"/>
  <c r="N2006" i="1"/>
  <c r="O2006" i="1"/>
  <c r="M2007" i="1"/>
  <c r="N2007" i="1"/>
  <c r="O2007" i="1"/>
  <c r="M2008" i="1"/>
  <c r="N2008" i="1"/>
  <c r="O2008" i="1"/>
  <c r="M2009" i="1"/>
  <c r="N2009" i="1"/>
  <c r="O2009" i="1"/>
  <c r="M2010" i="1"/>
  <c r="N2010" i="1"/>
  <c r="O2010" i="1"/>
  <c r="M2011" i="1"/>
  <c r="N2011" i="1"/>
  <c r="O2011" i="1"/>
  <c r="M2012" i="1"/>
  <c r="N2012" i="1"/>
  <c r="O2012" i="1"/>
  <c r="M2013" i="1"/>
  <c r="N2013" i="1"/>
  <c r="O2013" i="1"/>
  <c r="M2014" i="1"/>
  <c r="N2014" i="1"/>
  <c r="O2014" i="1"/>
  <c r="M2015" i="1"/>
  <c r="N2015" i="1"/>
  <c r="O2015" i="1"/>
  <c r="M2016" i="1"/>
  <c r="N2016" i="1"/>
  <c r="O2016" i="1"/>
  <c r="M2017" i="1"/>
  <c r="N2017" i="1"/>
  <c r="O2017" i="1"/>
  <c r="M2018" i="1"/>
  <c r="N2018" i="1"/>
  <c r="O2018" i="1"/>
  <c r="M2019" i="1"/>
  <c r="N2019" i="1"/>
  <c r="O2019" i="1"/>
  <c r="M2020" i="1"/>
  <c r="N2020" i="1"/>
  <c r="O2020" i="1"/>
  <c r="M2021" i="1"/>
  <c r="N2021" i="1"/>
  <c r="O2021" i="1"/>
  <c r="M2022" i="1"/>
  <c r="N2022" i="1"/>
  <c r="O2022" i="1"/>
  <c r="M2023" i="1"/>
  <c r="N2023" i="1"/>
  <c r="O2023" i="1"/>
  <c r="M2024" i="1"/>
  <c r="N2024" i="1"/>
  <c r="O2024" i="1"/>
  <c r="M2025" i="1"/>
  <c r="N2025" i="1"/>
  <c r="O2025" i="1"/>
  <c r="M2026" i="1"/>
  <c r="N2026" i="1"/>
  <c r="O2026" i="1"/>
  <c r="M2027" i="1"/>
  <c r="N2027" i="1"/>
  <c r="O2027" i="1"/>
  <c r="M2028" i="1"/>
  <c r="N2028" i="1"/>
  <c r="O2028" i="1"/>
  <c r="M2029" i="1"/>
  <c r="N2029" i="1"/>
  <c r="O2029" i="1"/>
  <c r="M2030" i="1"/>
  <c r="N2030" i="1"/>
  <c r="O2030" i="1"/>
  <c r="M2031" i="1"/>
  <c r="N2031" i="1"/>
  <c r="O2031" i="1"/>
  <c r="M2032" i="1"/>
  <c r="N2032" i="1"/>
  <c r="O2032" i="1"/>
  <c r="M2033" i="1"/>
  <c r="N2033" i="1"/>
  <c r="O2033" i="1"/>
  <c r="M2034" i="1"/>
  <c r="N2034" i="1"/>
  <c r="O2034" i="1"/>
  <c r="M2035" i="1"/>
  <c r="N2035" i="1"/>
  <c r="O2035" i="1"/>
  <c r="M2036" i="1"/>
  <c r="N2036" i="1"/>
  <c r="O2036" i="1"/>
  <c r="M2037" i="1"/>
  <c r="N2037" i="1"/>
  <c r="O2037" i="1"/>
  <c r="M2038" i="1"/>
  <c r="N2038" i="1"/>
  <c r="O2038" i="1"/>
  <c r="M2039" i="1"/>
  <c r="N2039" i="1"/>
  <c r="O2039" i="1"/>
  <c r="M2040" i="1"/>
  <c r="N2040" i="1"/>
  <c r="O2040" i="1"/>
  <c r="M2041" i="1"/>
  <c r="N2041" i="1"/>
  <c r="O2041" i="1"/>
  <c r="M2042" i="1"/>
  <c r="N2042" i="1"/>
  <c r="O2042" i="1"/>
  <c r="M2043" i="1"/>
  <c r="N2043" i="1"/>
  <c r="O2043" i="1"/>
  <c r="M2044" i="1"/>
  <c r="N2044" i="1"/>
  <c r="O2044" i="1"/>
  <c r="M2045" i="1"/>
  <c r="N2045" i="1"/>
  <c r="O2045" i="1"/>
  <c r="M2046" i="1"/>
  <c r="N2046" i="1"/>
  <c r="O2046" i="1"/>
  <c r="M2047" i="1"/>
  <c r="N2047" i="1"/>
  <c r="O2047" i="1"/>
  <c r="M2048" i="1"/>
  <c r="N2048" i="1"/>
  <c r="O2048" i="1"/>
  <c r="M2049" i="1"/>
  <c r="N2049" i="1"/>
  <c r="O2049" i="1"/>
  <c r="M2050" i="1"/>
  <c r="N2050" i="1"/>
  <c r="O2050" i="1"/>
  <c r="M2051" i="1"/>
  <c r="N2051" i="1"/>
  <c r="O2051" i="1"/>
  <c r="M2052" i="1"/>
  <c r="N2052" i="1"/>
  <c r="O2052" i="1"/>
  <c r="M2053" i="1"/>
  <c r="N2053" i="1"/>
  <c r="O2053" i="1"/>
  <c r="M2054" i="1"/>
  <c r="N2054" i="1"/>
  <c r="O2054" i="1"/>
  <c r="M2055" i="1"/>
  <c r="N2055" i="1"/>
  <c r="O2055" i="1"/>
  <c r="M2056" i="1"/>
  <c r="N2056" i="1"/>
  <c r="O2056" i="1"/>
  <c r="M2057" i="1"/>
  <c r="N2057" i="1"/>
  <c r="O2057" i="1"/>
  <c r="M2058" i="1"/>
  <c r="N2058" i="1"/>
  <c r="O2058" i="1"/>
  <c r="M2059" i="1"/>
  <c r="N2059" i="1"/>
  <c r="O2059" i="1"/>
  <c r="M2060" i="1"/>
  <c r="N2060" i="1"/>
  <c r="O2060" i="1"/>
  <c r="M2061" i="1"/>
  <c r="N2061" i="1"/>
  <c r="O2061" i="1"/>
  <c r="M2062" i="1"/>
  <c r="N2062" i="1"/>
  <c r="O2062" i="1"/>
  <c r="M2063" i="1"/>
  <c r="N2063" i="1"/>
  <c r="O2063" i="1"/>
  <c r="M2064" i="1"/>
  <c r="N2064" i="1"/>
  <c r="O2064" i="1"/>
  <c r="M2065" i="1"/>
  <c r="N2065" i="1"/>
  <c r="O2065" i="1"/>
  <c r="M2066" i="1"/>
  <c r="N2066" i="1"/>
  <c r="O2066" i="1"/>
  <c r="M2067" i="1"/>
  <c r="N2067" i="1"/>
  <c r="O2067" i="1"/>
  <c r="M2068" i="1"/>
  <c r="N2068" i="1"/>
  <c r="O2068" i="1"/>
  <c r="M2069" i="1"/>
  <c r="N2069" i="1"/>
  <c r="O2069" i="1"/>
  <c r="M2070" i="1"/>
  <c r="N2070" i="1"/>
  <c r="O2070" i="1"/>
  <c r="M2071" i="1"/>
  <c r="N2071" i="1"/>
  <c r="O2071" i="1"/>
  <c r="M2072" i="1"/>
  <c r="N2072" i="1"/>
  <c r="O2072" i="1"/>
  <c r="M2073" i="1"/>
  <c r="N2073" i="1"/>
  <c r="O2073" i="1"/>
  <c r="M2074" i="1"/>
  <c r="N2074" i="1"/>
  <c r="O2074" i="1"/>
  <c r="M2075" i="1"/>
  <c r="N2075" i="1"/>
  <c r="O2075" i="1"/>
  <c r="M2076" i="1"/>
  <c r="N2076" i="1"/>
  <c r="O2076" i="1"/>
  <c r="M2077" i="1"/>
  <c r="N2077" i="1"/>
  <c r="O2077" i="1"/>
  <c r="M2078" i="1"/>
  <c r="N2078" i="1"/>
  <c r="O2078" i="1"/>
  <c r="M2079" i="1"/>
  <c r="N2079" i="1"/>
  <c r="O2079" i="1"/>
  <c r="M2080" i="1"/>
  <c r="N2080" i="1"/>
  <c r="O2080" i="1"/>
  <c r="M2081" i="1"/>
  <c r="N2081" i="1"/>
  <c r="O2081" i="1"/>
  <c r="M2082" i="1"/>
  <c r="N2082" i="1"/>
  <c r="O2082" i="1"/>
  <c r="M2083" i="1"/>
  <c r="N2083" i="1"/>
  <c r="O2083" i="1"/>
  <c r="M2084" i="1"/>
  <c r="N2084" i="1"/>
  <c r="O2084" i="1"/>
  <c r="M2085" i="1"/>
  <c r="N2085" i="1"/>
  <c r="O2085" i="1"/>
  <c r="M2086" i="1"/>
  <c r="N2086" i="1"/>
  <c r="O2086" i="1"/>
  <c r="M2087" i="1"/>
  <c r="N2087" i="1"/>
  <c r="O2087" i="1"/>
  <c r="M2088" i="1"/>
  <c r="N2088" i="1"/>
  <c r="O2088" i="1"/>
  <c r="M2089" i="1"/>
  <c r="N2089" i="1"/>
  <c r="O2089" i="1"/>
  <c r="M2090" i="1"/>
  <c r="N2090" i="1"/>
  <c r="O2090" i="1"/>
  <c r="M2091" i="1"/>
  <c r="N2091" i="1"/>
  <c r="O2091" i="1"/>
  <c r="M2092" i="1"/>
  <c r="N2092" i="1"/>
  <c r="O2092" i="1"/>
  <c r="M2093" i="1"/>
  <c r="N2093" i="1"/>
  <c r="O2093" i="1"/>
  <c r="M2094" i="1"/>
  <c r="N2094" i="1"/>
  <c r="O2094" i="1"/>
  <c r="M2095" i="1"/>
  <c r="N2095" i="1"/>
  <c r="O2095" i="1"/>
  <c r="M2096" i="1"/>
  <c r="N2096" i="1"/>
  <c r="O2096" i="1"/>
  <c r="M2097" i="1"/>
  <c r="N2097" i="1"/>
  <c r="O2097" i="1"/>
  <c r="M2098" i="1"/>
  <c r="N2098" i="1"/>
  <c r="O2098" i="1"/>
  <c r="M2099" i="1"/>
  <c r="N2099" i="1"/>
  <c r="O2099" i="1"/>
  <c r="M2100" i="1"/>
  <c r="N2100" i="1"/>
  <c r="O2100" i="1"/>
  <c r="M2101" i="1"/>
  <c r="N2101" i="1"/>
  <c r="O2101" i="1"/>
  <c r="M2102" i="1"/>
  <c r="N2102" i="1"/>
  <c r="O2102" i="1"/>
  <c r="M2103" i="1"/>
  <c r="N2103" i="1"/>
  <c r="O2103" i="1"/>
  <c r="M2104" i="1"/>
  <c r="N2104" i="1"/>
  <c r="O2104" i="1"/>
  <c r="M2105" i="1"/>
  <c r="N2105" i="1"/>
  <c r="O2105" i="1"/>
  <c r="M2106" i="1"/>
  <c r="N2106" i="1"/>
  <c r="O2106" i="1"/>
  <c r="M2107" i="1"/>
  <c r="N2107" i="1"/>
  <c r="O2107" i="1"/>
  <c r="M2108" i="1"/>
  <c r="N2108" i="1"/>
  <c r="O2108" i="1"/>
  <c r="M2109" i="1"/>
  <c r="N2109" i="1"/>
  <c r="O2109" i="1"/>
  <c r="M2110" i="1"/>
  <c r="N2110" i="1"/>
  <c r="O2110" i="1"/>
  <c r="M2111" i="1"/>
  <c r="N2111" i="1"/>
  <c r="O2111" i="1"/>
  <c r="M2112" i="1"/>
  <c r="N2112" i="1"/>
  <c r="O2112" i="1"/>
  <c r="M2113" i="1"/>
  <c r="N2113" i="1"/>
  <c r="O2113" i="1"/>
  <c r="M2114" i="1"/>
  <c r="N2114" i="1"/>
  <c r="O2114" i="1"/>
  <c r="M2115" i="1"/>
  <c r="N2115" i="1"/>
  <c r="O2115" i="1"/>
  <c r="M2116" i="1"/>
  <c r="N2116" i="1"/>
  <c r="O2116" i="1"/>
  <c r="M2117" i="1"/>
  <c r="N2117" i="1"/>
  <c r="O2117" i="1"/>
  <c r="M2118" i="1"/>
  <c r="N2118" i="1"/>
  <c r="O2118" i="1"/>
  <c r="M2119" i="1"/>
  <c r="N2119" i="1"/>
  <c r="O2119" i="1"/>
  <c r="M2120" i="1"/>
  <c r="N2120" i="1"/>
  <c r="O2120" i="1"/>
  <c r="M2121" i="1"/>
  <c r="N2121" i="1"/>
  <c r="O2121" i="1"/>
  <c r="M2122" i="1"/>
  <c r="N2122" i="1"/>
  <c r="O2122" i="1"/>
  <c r="M2123" i="1"/>
  <c r="N2123" i="1"/>
  <c r="O2123" i="1"/>
  <c r="M2124" i="1"/>
  <c r="N2124" i="1"/>
  <c r="O2124" i="1"/>
  <c r="M2125" i="1"/>
  <c r="N2125" i="1"/>
  <c r="O2125" i="1"/>
  <c r="M2126" i="1"/>
  <c r="N2126" i="1"/>
  <c r="O2126" i="1"/>
  <c r="M2127" i="1"/>
  <c r="N2127" i="1"/>
  <c r="O2127" i="1"/>
  <c r="M2128" i="1"/>
  <c r="N2128" i="1"/>
  <c r="O2128" i="1"/>
  <c r="M2129" i="1"/>
  <c r="N2129" i="1"/>
  <c r="O2129" i="1"/>
  <c r="M2130" i="1"/>
  <c r="N2130" i="1"/>
  <c r="O2130" i="1"/>
  <c r="M2131" i="1"/>
  <c r="N2131" i="1"/>
  <c r="O2131" i="1"/>
  <c r="M2132" i="1"/>
  <c r="N2132" i="1"/>
  <c r="O2132" i="1"/>
  <c r="M2133" i="1"/>
  <c r="N2133" i="1"/>
  <c r="O2133" i="1"/>
  <c r="M2134" i="1"/>
  <c r="N2134" i="1"/>
  <c r="O2134" i="1"/>
  <c r="M2135" i="1"/>
  <c r="N2135" i="1"/>
  <c r="O2135" i="1"/>
  <c r="M2136" i="1"/>
  <c r="N2136" i="1"/>
  <c r="O2136" i="1"/>
  <c r="M2137" i="1"/>
  <c r="N2137" i="1"/>
  <c r="O2137" i="1"/>
  <c r="M2138" i="1"/>
  <c r="N2138" i="1"/>
  <c r="O2138" i="1"/>
  <c r="M2139" i="1"/>
  <c r="N2139" i="1"/>
  <c r="O2139" i="1"/>
  <c r="M2140" i="1"/>
  <c r="N2140" i="1"/>
  <c r="O2140" i="1"/>
  <c r="M2141" i="1"/>
  <c r="N2141" i="1"/>
  <c r="O2141" i="1"/>
  <c r="M2142" i="1"/>
  <c r="N2142" i="1"/>
  <c r="O2142" i="1"/>
  <c r="M2143" i="1"/>
  <c r="N2143" i="1"/>
  <c r="O2143" i="1"/>
  <c r="M2144" i="1"/>
  <c r="N2144" i="1"/>
  <c r="O2144" i="1"/>
  <c r="M2145" i="1"/>
  <c r="N2145" i="1"/>
  <c r="O2145" i="1"/>
  <c r="M2146" i="1"/>
  <c r="N2146" i="1"/>
  <c r="O2146" i="1"/>
  <c r="M2147" i="1"/>
  <c r="N2147" i="1"/>
  <c r="O2147" i="1"/>
  <c r="M2148" i="1"/>
  <c r="N2148" i="1"/>
  <c r="O2148" i="1"/>
  <c r="M2149" i="1"/>
  <c r="N2149" i="1"/>
  <c r="O2149" i="1"/>
  <c r="M2150" i="1"/>
  <c r="N2150" i="1"/>
  <c r="O2150" i="1"/>
  <c r="M2151" i="1"/>
  <c r="N2151" i="1"/>
  <c r="O2151" i="1"/>
  <c r="M2152" i="1"/>
  <c r="N2152" i="1"/>
  <c r="O2152" i="1"/>
  <c r="M2153" i="1"/>
  <c r="N2153" i="1"/>
  <c r="O2153" i="1"/>
  <c r="M2154" i="1"/>
  <c r="N2154" i="1"/>
  <c r="O2154" i="1"/>
  <c r="M2155" i="1"/>
  <c r="N2155" i="1"/>
  <c r="O2155" i="1"/>
  <c r="M2156" i="1"/>
  <c r="N2156" i="1"/>
  <c r="O2156" i="1"/>
  <c r="M2157" i="1"/>
  <c r="N2157" i="1"/>
  <c r="O2157" i="1"/>
  <c r="M2158" i="1"/>
  <c r="N2158" i="1"/>
  <c r="O2158" i="1"/>
  <c r="M2159" i="1"/>
  <c r="N2159" i="1"/>
  <c r="O2159" i="1"/>
  <c r="M2160" i="1"/>
  <c r="N2160" i="1"/>
  <c r="O2160" i="1"/>
  <c r="M2161" i="1"/>
  <c r="N2161" i="1"/>
  <c r="O2161" i="1"/>
  <c r="M2162" i="1"/>
  <c r="N2162" i="1"/>
  <c r="O2162" i="1"/>
  <c r="M2163" i="1"/>
  <c r="N2163" i="1"/>
  <c r="O2163" i="1"/>
  <c r="M2164" i="1"/>
  <c r="N2164" i="1"/>
  <c r="O2164" i="1"/>
  <c r="M2165" i="1"/>
  <c r="N2165" i="1"/>
  <c r="O2165" i="1"/>
  <c r="M2166" i="1"/>
  <c r="N2166" i="1"/>
  <c r="O2166" i="1"/>
  <c r="M2167" i="1"/>
  <c r="N2167" i="1"/>
  <c r="O2167" i="1"/>
  <c r="M2168" i="1"/>
  <c r="N2168" i="1"/>
  <c r="O2168" i="1"/>
  <c r="M2169" i="1"/>
  <c r="N2169" i="1"/>
  <c r="O2169" i="1"/>
  <c r="M2170" i="1"/>
  <c r="N2170" i="1"/>
  <c r="O2170" i="1"/>
  <c r="M2171" i="1"/>
  <c r="N2171" i="1"/>
  <c r="O2171" i="1"/>
  <c r="M2172" i="1"/>
  <c r="N2172" i="1"/>
  <c r="O2172" i="1"/>
  <c r="M2173" i="1"/>
  <c r="N2173" i="1"/>
  <c r="O2173" i="1"/>
  <c r="M2174" i="1"/>
  <c r="N2174" i="1"/>
  <c r="O2174" i="1"/>
  <c r="M2175" i="1"/>
  <c r="N2175" i="1"/>
  <c r="O2175" i="1"/>
  <c r="M2176" i="1"/>
  <c r="N2176" i="1"/>
  <c r="O2176" i="1"/>
  <c r="M2177" i="1"/>
  <c r="N2177" i="1"/>
  <c r="O2177" i="1"/>
  <c r="M2178" i="1"/>
  <c r="N2178" i="1"/>
  <c r="O2178" i="1"/>
  <c r="M2179" i="1"/>
  <c r="N2179" i="1"/>
  <c r="O2179" i="1"/>
  <c r="M2180" i="1"/>
  <c r="N2180" i="1"/>
  <c r="O2180" i="1"/>
  <c r="M2181" i="1"/>
  <c r="N2181" i="1"/>
  <c r="O2181" i="1"/>
  <c r="M2182" i="1"/>
  <c r="N2182" i="1"/>
  <c r="O2182" i="1"/>
  <c r="M2183" i="1"/>
  <c r="N2183" i="1"/>
  <c r="O2183" i="1"/>
  <c r="M2184" i="1"/>
  <c r="N2184" i="1"/>
  <c r="O2184" i="1"/>
  <c r="M2185" i="1"/>
  <c r="N2185" i="1"/>
  <c r="O2185" i="1"/>
  <c r="M2186" i="1"/>
  <c r="N2186" i="1"/>
  <c r="O2186" i="1"/>
  <c r="M2187" i="1"/>
  <c r="N2187" i="1"/>
  <c r="O2187" i="1"/>
  <c r="M2188" i="1"/>
  <c r="N2188" i="1"/>
  <c r="O2188" i="1"/>
  <c r="M2189" i="1"/>
  <c r="N2189" i="1"/>
  <c r="O2189" i="1"/>
  <c r="M2190" i="1"/>
  <c r="N2190" i="1"/>
  <c r="O2190" i="1"/>
  <c r="M2191" i="1"/>
  <c r="N2191" i="1"/>
  <c r="O2191" i="1"/>
  <c r="M2192" i="1"/>
  <c r="N2192" i="1"/>
  <c r="O2192" i="1"/>
  <c r="M2193" i="1"/>
  <c r="N2193" i="1"/>
  <c r="O2193" i="1"/>
  <c r="M2194" i="1"/>
  <c r="N2194" i="1"/>
  <c r="O2194" i="1"/>
  <c r="M2195" i="1"/>
  <c r="N2195" i="1"/>
  <c r="O2195" i="1"/>
  <c r="M2196" i="1"/>
  <c r="N2196" i="1"/>
  <c r="O2196" i="1"/>
  <c r="M2197" i="1"/>
  <c r="N2197" i="1"/>
  <c r="O2197" i="1"/>
  <c r="M2198" i="1"/>
  <c r="N2198" i="1"/>
  <c r="O2198" i="1"/>
  <c r="M2199" i="1"/>
  <c r="N2199" i="1"/>
  <c r="O2199" i="1"/>
  <c r="M2200" i="1"/>
  <c r="N2200" i="1"/>
  <c r="O2200" i="1"/>
  <c r="M2201" i="1"/>
  <c r="N2201" i="1"/>
  <c r="O2201" i="1"/>
  <c r="M2202" i="1"/>
  <c r="N2202" i="1"/>
  <c r="O2202" i="1"/>
  <c r="M2203" i="1"/>
  <c r="N2203" i="1"/>
  <c r="O2203" i="1"/>
  <c r="M2204" i="1"/>
  <c r="N2204" i="1"/>
  <c r="O2204" i="1"/>
  <c r="M2205" i="1"/>
  <c r="N2205" i="1"/>
  <c r="O2205" i="1"/>
  <c r="M2206" i="1"/>
  <c r="N2206" i="1"/>
  <c r="O2206" i="1"/>
  <c r="M2207" i="1"/>
  <c r="N2207" i="1"/>
  <c r="O2207" i="1"/>
  <c r="M2208" i="1"/>
  <c r="N2208" i="1"/>
  <c r="O2208" i="1"/>
  <c r="M2209" i="1"/>
  <c r="N2209" i="1"/>
  <c r="O2209" i="1"/>
  <c r="M2210" i="1"/>
  <c r="N2210" i="1"/>
  <c r="O2210" i="1"/>
  <c r="M2211" i="1"/>
  <c r="N2211" i="1"/>
  <c r="O2211" i="1"/>
  <c r="M2212" i="1"/>
  <c r="N2212" i="1"/>
  <c r="O2212" i="1"/>
  <c r="M2213" i="1"/>
  <c r="N2213" i="1"/>
  <c r="O2213" i="1"/>
  <c r="M2214" i="1"/>
  <c r="N2214" i="1"/>
  <c r="O2214" i="1"/>
  <c r="M2215" i="1"/>
  <c r="N2215" i="1"/>
  <c r="O2215" i="1"/>
  <c r="M2216" i="1"/>
  <c r="N2216" i="1"/>
  <c r="O2216" i="1"/>
  <c r="M2217" i="1"/>
  <c r="N2217" i="1"/>
  <c r="O2217" i="1"/>
  <c r="M2218" i="1"/>
  <c r="N2218" i="1"/>
  <c r="O2218" i="1"/>
  <c r="M2219" i="1"/>
  <c r="N2219" i="1"/>
  <c r="O2219" i="1"/>
  <c r="M2220" i="1"/>
  <c r="N2220" i="1"/>
  <c r="O2220" i="1"/>
  <c r="M2221" i="1"/>
  <c r="N2221" i="1"/>
  <c r="O2221" i="1"/>
  <c r="M2222" i="1"/>
  <c r="N2222" i="1"/>
  <c r="O2222" i="1"/>
  <c r="M2223" i="1"/>
  <c r="N2223" i="1"/>
  <c r="O2223" i="1"/>
  <c r="M2224" i="1"/>
  <c r="N2224" i="1"/>
  <c r="O2224" i="1"/>
  <c r="M2225" i="1"/>
  <c r="N2225" i="1"/>
  <c r="O2225" i="1"/>
  <c r="M2226" i="1"/>
  <c r="N2226" i="1"/>
  <c r="O2226" i="1"/>
  <c r="M2227" i="1"/>
  <c r="N2227" i="1"/>
  <c r="O2227" i="1"/>
  <c r="M2228" i="1"/>
  <c r="N2228" i="1"/>
  <c r="O2228" i="1"/>
  <c r="M2229" i="1"/>
  <c r="N2229" i="1"/>
  <c r="O2229" i="1"/>
  <c r="M2230" i="1"/>
  <c r="N2230" i="1"/>
  <c r="O2230" i="1"/>
  <c r="M2231" i="1"/>
  <c r="N2231" i="1"/>
  <c r="O2231" i="1"/>
  <c r="M2232" i="1"/>
  <c r="N2232" i="1"/>
  <c r="O2232" i="1"/>
  <c r="M2233" i="1"/>
  <c r="N2233" i="1"/>
  <c r="O2233" i="1"/>
  <c r="M2234" i="1"/>
  <c r="N2234" i="1"/>
  <c r="O2234" i="1"/>
  <c r="M2235" i="1"/>
  <c r="N2235" i="1"/>
  <c r="O2235" i="1"/>
  <c r="M2236" i="1"/>
  <c r="N2236" i="1"/>
  <c r="O2236" i="1"/>
  <c r="M2237" i="1"/>
  <c r="N2237" i="1"/>
  <c r="O2237" i="1"/>
  <c r="M2238" i="1"/>
  <c r="N2238" i="1"/>
  <c r="O2238" i="1"/>
  <c r="M2239" i="1"/>
  <c r="N2239" i="1"/>
  <c r="O2239" i="1"/>
  <c r="M2240" i="1"/>
  <c r="N2240" i="1"/>
  <c r="O2240" i="1"/>
  <c r="M2241" i="1"/>
  <c r="N2241" i="1"/>
  <c r="O2241" i="1"/>
  <c r="M2242" i="1"/>
  <c r="N2242" i="1"/>
  <c r="O2242" i="1"/>
  <c r="M2243" i="1"/>
  <c r="N2243" i="1"/>
  <c r="O2243" i="1"/>
  <c r="M2244" i="1"/>
  <c r="N2244" i="1"/>
  <c r="O2244" i="1"/>
  <c r="M2245" i="1"/>
  <c r="N2245" i="1"/>
  <c r="O2245" i="1"/>
  <c r="M2246" i="1"/>
  <c r="N2246" i="1"/>
  <c r="O2246" i="1"/>
  <c r="M2247" i="1"/>
  <c r="N2247" i="1"/>
  <c r="O2247" i="1"/>
  <c r="M2248" i="1"/>
  <c r="N2248" i="1"/>
  <c r="O2248" i="1"/>
  <c r="M2249" i="1"/>
  <c r="N2249" i="1"/>
  <c r="O2249" i="1"/>
  <c r="M2250" i="1"/>
  <c r="N2250" i="1"/>
  <c r="O2250" i="1"/>
  <c r="M2251" i="1"/>
  <c r="N2251" i="1"/>
  <c r="O2251" i="1"/>
  <c r="M2252" i="1"/>
  <c r="N2252" i="1"/>
  <c r="O2252" i="1"/>
  <c r="M2253" i="1"/>
  <c r="N2253" i="1"/>
  <c r="O2253" i="1"/>
  <c r="M2254" i="1"/>
  <c r="N2254" i="1"/>
  <c r="O2254" i="1"/>
  <c r="M2255" i="1"/>
  <c r="N2255" i="1"/>
  <c r="O2255" i="1"/>
  <c r="M2256" i="1"/>
  <c r="N2256" i="1"/>
  <c r="O2256" i="1"/>
  <c r="M2257" i="1"/>
  <c r="N2257" i="1"/>
  <c r="O2257" i="1"/>
  <c r="M2258" i="1"/>
  <c r="N2258" i="1"/>
  <c r="O2258" i="1"/>
  <c r="M2259" i="1"/>
  <c r="N2259" i="1"/>
  <c r="O2259" i="1"/>
  <c r="M2260" i="1"/>
  <c r="N2260" i="1"/>
  <c r="O2260" i="1"/>
  <c r="M2261" i="1"/>
  <c r="N2261" i="1"/>
  <c r="O2261" i="1"/>
  <c r="M2262" i="1"/>
  <c r="N2262" i="1"/>
  <c r="O2262" i="1"/>
  <c r="M2263" i="1"/>
  <c r="N2263" i="1"/>
  <c r="O2263" i="1"/>
  <c r="M2264" i="1"/>
  <c r="N2264" i="1"/>
  <c r="O2264" i="1"/>
  <c r="M2265" i="1"/>
  <c r="N2265" i="1"/>
  <c r="O2265" i="1"/>
  <c r="M2266" i="1"/>
  <c r="N2266" i="1"/>
  <c r="O2266" i="1"/>
  <c r="M2267" i="1"/>
  <c r="N2267" i="1"/>
  <c r="O2267" i="1"/>
  <c r="M2268" i="1"/>
  <c r="N2268" i="1"/>
  <c r="O2268" i="1"/>
  <c r="M2269" i="1"/>
  <c r="N2269" i="1"/>
  <c r="O2269" i="1"/>
  <c r="M2270" i="1"/>
  <c r="N2270" i="1"/>
  <c r="O2270" i="1"/>
  <c r="M2271" i="1"/>
  <c r="N2271" i="1"/>
  <c r="O2271" i="1"/>
  <c r="M2272" i="1"/>
  <c r="N2272" i="1"/>
  <c r="O2272" i="1"/>
  <c r="M2273" i="1"/>
  <c r="N2273" i="1"/>
  <c r="O2273" i="1"/>
  <c r="M2274" i="1"/>
  <c r="N2274" i="1"/>
  <c r="O2274" i="1"/>
  <c r="M2275" i="1"/>
  <c r="N2275" i="1"/>
  <c r="O2275" i="1"/>
  <c r="M2276" i="1"/>
  <c r="N2276" i="1"/>
  <c r="O2276" i="1"/>
  <c r="M2277" i="1"/>
  <c r="N2277" i="1"/>
  <c r="O2277" i="1"/>
  <c r="M2278" i="1"/>
  <c r="N2278" i="1"/>
  <c r="O2278" i="1"/>
  <c r="M2279" i="1"/>
  <c r="N2279" i="1"/>
  <c r="O2279" i="1"/>
  <c r="M2280" i="1"/>
  <c r="N2280" i="1"/>
  <c r="O2280" i="1"/>
  <c r="M2281" i="1"/>
  <c r="N2281" i="1"/>
  <c r="O2281" i="1"/>
  <c r="M2282" i="1"/>
  <c r="N2282" i="1"/>
  <c r="O2282" i="1"/>
  <c r="M2283" i="1"/>
  <c r="N2283" i="1"/>
  <c r="O2283" i="1"/>
  <c r="M2284" i="1"/>
  <c r="N2284" i="1"/>
  <c r="O2284" i="1"/>
  <c r="M2285" i="1"/>
  <c r="N2285" i="1"/>
  <c r="O2285" i="1"/>
  <c r="M2286" i="1"/>
  <c r="N2286" i="1"/>
  <c r="O2286" i="1"/>
  <c r="M2287" i="1"/>
  <c r="N2287" i="1"/>
  <c r="O2287" i="1"/>
  <c r="M2288" i="1"/>
  <c r="N2288" i="1"/>
  <c r="O2288" i="1"/>
  <c r="M2289" i="1"/>
  <c r="N2289" i="1"/>
  <c r="O2289" i="1"/>
  <c r="M2290" i="1"/>
  <c r="N2290" i="1"/>
  <c r="O2290" i="1"/>
  <c r="M2291" i="1"/>
  <c r="N2291" i="1"/>
  <c r="O2291" i="1"/>
  <c r="M2292" i="1"/>
  <c r="N2292" i="1"/>
  <c r="O2292" i="1"/>
  <c r="M2293" i="1"/>
  <c r="N2293" i="1"/>
  <c r="O2293" i="1"/>
  <c r="M2294" i="1"/>
  <c r="N2294" i="1"/>
  <c r="O2294" i="1"/>
  <c r="M2295" i="1"/>
  <c r="N2295" i="1"/>
  <c r="O2295" i="1"/>
  <c r="M2296" i="1"/>
  <c r="N2296" i="1"/>
  <c r="O2296" i="1"/>
  <c r="M2297" i="1"/>
  <c r="N2297" i="1"/>
  <c r="O2297" i="1"/>
  <c r="M2298" i="1"/>
  <c r="N2298" i="1"/>
  <c r="O2298" i="1"/>
  <c r="M2299" i="1"/>
  <c r="N2299" i="1"/>
  <c r="O2299" i="1"/>
  <c r="M2300" i="1"/>
  <c r="N2300" i="1"/>
  <c r="O2300" i="1"/>
  <c r="M2301" i="1"/>
  <c r="N2301" i="1"/>
  <c r="O2301" i="1"/>
  <c r="M2302" i="1"/>
  <c r="N2302" i="1"/>
  <c r="O2302" i="1"/>
  <c r="M2303" i="1"/>
  <c r="N2303" i="1"/>
  <c r="O2303" i="1"/>
  <c r="M2304" i="1"/>
  <c r="N2304" i="1"/>
  <c r="O2304" i="1"/>
  <c r="M2305" i="1"/>
  <c r="N2305" i="1"/>
  <c r="O2305" i="1"/>
  <c r="M2306" i="1"/>
  <c r="N2306" i="1"/>
  <c r="O2306" i="1"/>
  <c r="M2307" i="1"/>
  <c r="N2307" i="1"/>
  <c r="O2307" i="1"/>
  <c r="M2308" i="1"/>
  <c r="N2308" i="1"/>
  <c r="O2308" i="1"/>
  <c r="M2309" i="1"/>
  <c r="N2309" i="1"/>
  <c r="O2309" i="1"/>
  <c r="M2310" i="1"/>
  <c r="N2310" i="1"/>
  <c r="O2310" i="1"/>
  <c r="M2311" i="1"/>
  <c r="N2311" i="1"/>
  <c r="O2311" i="1"/>
  <c r="M2312" i="1"/>
  <c r="N2312" i="1"/>
  <c r="O2312" i="1"/>
  <c r="M2313" i="1"/>
  <c r="N2313" i="1"/>
  <c r="O2313" i="1"/>
  <c r="M2314" i="1"/>
  <c r="N2314" i="1"/>
  <c r="O2314" i="1"/>
  <c r="M2315" i="1"/>
  <c r="N2315" i="1"/>
  <c r="O2315" i="1"/>
  <c r="M2316" i="1"/>
  <c r="N2316" i="1"/>
  <c r="O2316" i="1"/>
  <c r="M2317" i="1"/>
  <c r="N2317" i="1"/>
  <c r="O2317" i="1"/>
  <c r="M2318" i="1"/>
  <c r="N2318" i="1"/>
  <c r="O2318" i="1"/>
  <c r="M2319" i="1"/>
  <c r="N2319" i="1"/>
  <c r="O2319" i="1"/>
  <c r="M2320" i="1"/>
  <c r="N2320" i="1"/>
  <c r="O2320" i="1"/>
  <c r="M2321" i="1"/>
  <c r="N2321" i="1"/>
  <c r="O2321" i="1"/>
  <c r="M2322" i="1"/>
  <c r="N2322" i="1"/>
  <c r="O2322" i="1"/>
  <c r="M2323" i="1"/>
  <c r="N2323" i="1"/>
  <c r="O2323" i="1"/>
  <c r="M2324" i="1"/>
  <c r="N2324" i="1"/>
  <c r="O2324" i="1"/>
  <c r="M2325" i="1"/>
  <c r="N2325" i="1"/>
  <c r="O2325" i="1"/>
  <c r="M2326" i="1"/>
  <c r="N2326" i="1"/>
  <c r="O2326" i="1"/>
  <c r="M2327" i="1"/>
  <c r="N2327" i="1"/>
  <c r="O2327" i="1"/>
  <c r="M2328" i="1"/>
  <c r="N2328" i="1"/>
  <c r="O2328" i="1"/>
  <c r="M2329" i="1"/>
  <c r="N2329" i="1"/>
  <c r="O2329" i="1"/>
  <c r="M2330" i="1"/>
  <c r="N2330" i="1"/>
  <c r="O2330" i="1"/>
  <c r="M2331" i="1"/>
  <c r="N2331" i="1"/>
  <c r="O2331" i="1"/>
  <c r="M2332" i="1"/>
  <c r="N2332" i="1"/>
  <c r="O2332" i="1"/>
  <c r="M2333" i="1"/>
  <c r="N2333" i="1"/>
  <c r="O2333" i="1"/>
  <c r="M2334" i="1"/>
  <c r="N2334" i="1"/>
  <c r="O2334" i="1"/>
  <c r="M2335" i="1"/>
  <c r="N2335" i="1"/>
  <c r="O2335" i="1"/>
  <c r="M2336" i="1"/>
  <c r="N2336" i="1"/>
  <c r="O2336" i="1"/>
  <c r="M2337" i="1"/>
  <c r="N2337" i="1"/>
  <c r="O2337" i="1"/>
  <c r="M2338" i="1"/>
  <c r="N2338" i="1"/>
  <c r="O2338" i="1"/>
  <c r="M2339" i="1"/>
  <c r="N2339" i="1"/>
  <c r="O2339" i="1"/>
  <c r="M2340" i="1"/>
  <c r="N2340" i="1"/>
  <c r="O2340" i="1"/>
  <c r="M2341" i="1"/>
  <c r="N2341" i="1"/>
  <c r="O2341" i="1"/>
  <c r="M2342" i="1"/>
  <c r="N2342" i="1"/>
  <c r="O2342" i="1"/>
  <c r="M2343" i="1"/>
  <c r="N2343" i="1"/>
  <c r="O2343" i="1"/>
  <c r="M2344" i="1"/>
  <c r="N2344" i="1"/>
  <c r="O2344" i="1"/>
  <c r="M2345" i="1"/>
  <c r="N2345" i="1"/>
  <c r="O2345" i="1"/>
  <c r="M2346" i="1"/>
  <c r="N2346" i="1"/>
  <c r="O2346" i="1"/>
  <c r="M2347" i="1"/>
  <c r="N2347" i="1"/>
  <c r="O2347" i="1"/>
  <c r="M2348" i="1"/>
  <c r="N2348" i="1"/>
  <c r="O2348" i="1"/>
  <c r="M2349" i="1"/>
  <c r="N2349" i="1"/>
  <c r="O2349" i="1"/>
  <c r="M2350" i="1"/>
  <c r="N2350" i="1"/>
  <c r="O2350" i="1"/>
  <c r="M2351" i="1"/>
  <c r="N2351" i="1"/>
  <c r="O2351" i="1"/>
  <c r="M2352" i="1"/>
  <c r="N2352" i="1"/>
  <c r="O2352" i="1"/>
  <c r="M2353" i="1"/>
  <c r="N2353" i="1"/>
  <c r="O2353" i="1"/>
  <c r="M2354" i="1"/>
  <c r="N2354" i="1"/>
  <c r="O2354" i="1"/>
  <c r="M2355" i="1"/>
  <c r="N2355" i="1"/>
  <c r="O2355" i="1"/>
  <c r="M2356" i="1"/>
  <c r="N2356" i="1"/>
  <c r="O2356" i="1"/>
  <c r="M2357" i="1"/>
  <c r="N2357" i="1"/>
  <c r="O2357" i="1"/>
  <c r="M2358" i="1"/>
  <c r="N2358" i="1"/>
  <c r="O2358" i="1"/>
  <c r="M2359" i="1"/>
  <c r="N2359" i="1"/>
  <c r="O2359" i="1"/>
  <c r="M2360" i="1"/>
  <c r="N2360" i="1"/>
  <c r="O2360" i="1"/>
  <c r="M2361" i="1"/>
  <c r="N2361" i="1"/>
  <c r="O2361" i="1"/>
  <c r="M2362" i="1"/>
  <c r="N2362" i="1"/>
  <c r="O2362" i="1"/>
  <c r="M2363" i="1"/>
  <c r="N2363" i="1"/>
  <c r="O2363" i="1"/>
  <c r="M2364" i="1"/>
  <c r="N2364" i="1"/>
  <c r="O2364" i="1"/>
  <c r="M2365" i="1"/>
  <c r="N2365" i="1"/>
  <c r="O2365" i="1"/>
  <c r="M2366" i="1"/>
  <c r="N2366" i="1"/>
  <c r="O2366" i="1"/>
  <c r="M2367" i="1"/>
  <c r="N2367" i="1"/>
  <c r="O2367" i="1"/>
  <c r="M2368" i="1"/>
  <c r="N2368" i="1"/>
  <c r="O2368" i="1"/>
  <c r="M2369" i="1"/>
  <c r="N2369" i="1"/>
  <c r="O2369" i="1"/>
  <c r="M2370" i="1"/>
  <c r="N2370" i="1"/>
  <c r="O2370" i="1"/>
  <c r="M2371" i="1"/>
  <c r="N2371" i="1"/>
  <c r="O2371" i="1"/>
  <c r="M2372" i="1"/>
  <c r="N2372" i="1"/>
  <c r="O2372" i="1"/>
  <c r="M2373" i="1"/>
  <c r="N2373" i="1"/>
  <c r="O2373" i="1"/>
  <c r="M2374" i="1"/>
  <c r="N2374" i="1"/>
  <c r="O2374" i="1"/>
  <c r="M2375" i="1"/>
  <c r="N2375" i="1"/>
  <c r="O2375" i="1"/>
  <c r="M2376" i="1"/>
  <c r="N2376" i="1"/>
  <c r="O2376" i="1"/>
  <c r="M2377" i="1"/>
  <c r="N2377" i="1"/>
  <c r="O2377" i="1"/>
  <c r="M2378" i="1"/>
  <c r="N2378" i="1"/>
  <c r="O2378" i="1"/>
  <c r="M2379" i="1"/>
  <c r="N2379" i="1"/>
  <c r="O2379" i="1"/>
  <c r="M2380" i="1"/>
  <c r="N2380" i="1"/>
  <c r="O2380" i="1"/>
  <c r="M2381" i="1"/>
  <c r="N2381" i="1"/>
  <c r="O2381" i="1"/>
  <c r="M2382" i="1"/>
  <c r="N2382" i="1"/>
  <c r="O2382" i="1"/>
  <c r="M2383" i="1"/>
  <c r="N2383" i="1"/>
  <c r="O2383" i="1"/>
  <c r="M2384" i="1"/>
  <c r="N2384" i="1"/>
  <c r="O2384" i="1"/>
  <c r="M2385" i="1"/>
  <c r="N2385" i="1"/>
  <c r="O2385" i="1"/>
  <c r="M2386" i="1"/>
  <c r="N2386" i="1"/>
  <c r="O2386" i="1"/>
  <c r="M2387" i="1"/>
  <c r="N2387" i="1"/>
  <c r="O2387" i="1"/>
  <c r="M2388" i="1"/>
  <c r="N2388" i="1"/>
  <c r="O2388" i="1"/>
  <c r="M2389" i="1"/>
  <c r="N2389" i="1"/>
  <c r="O2389" i="1"/>
  <c r="M2390" i="1"/>
  <c r="N2390" i="1"/>
  <c r="O2390" i="1"/>
  <c r="M2391" i="1"/>
  <c r="N2391" i="1"/>
  <c r="O2391" i="1"/>
  <c r="M2392" i="1"/>
  <c r="N2392" i="1"/>
  <c r="O2392" i="1"/>
  <c r="M2393" i="1"/>
  <c r="N2393" i="1"/>
  <c r="O2393" i="1"/>
  <c r="M2394" i="1"/>
  <c r="N2394" i="1"/>
  <c r="O2394" i="1"/>
  <c r="M2395" i="1"/>
  <c r="N2395" i="1"/>
  <c r="O2395" i="1"/>
  <c r="M2396" i="1"/>
  <c r="N2396" i="1"/>
  <c r="O2396" i="1"/>
  <c r="M2397" i="1"/>
  <c r="N2397" i="1"/>
  <c r="O2397" i="1"/>
  <c r="M2398" i="1"/>
  <c r="N2398" i="1"/>
  <c r="O2398" i="1"/>
  <c r="M2399" i="1"/>
  <c r="N2399" i="1"/>
  <c r="O2399" i="1"/>
  <c r="M2400" i="1"/>
  <c r="N2400" i="1"/>
  <c r="O2400" i="1"/>
  <c r="M2401" i="1"/>
  <c r="N2401" i="1"/>
  <c r="O2401" i="1"/>
  <c r="M2402" i="1"/>
  <c r="N2402" i="1"/>
  <c r="O2402" i="1"/>
  <c r="M2403" i="1"/>
  <c r="N2403" i="1"/>
  <c r="O2403" i="1"/>
  <c r="M2404" i="1"/>
  <c r="N2404" i="1"/>
  <c r="O2404" i="1"/>
  <c r="M2405" i="1"/>
  <c r="N2405" i="1"/>
  <c r="O2405" i="1"/>
  <c r="M2406" i="1"/>
  <c r="N2406" i="1"/>
  <c r="O2406" i="1"/>
  <c r="M2407" i="1"/>
  <c r="N2407" i="1"/>
  <c r="O2407" i="1"/>
  <c r="M2408" i="1"/>
  <c r="N2408" i="1"/>
  <c r="O2408" i="1"/>
  <c r="M2409" i="1"/>
  <c r="N2409" i="1"/>
  <c r="O2409" i="1"/>
  <c r="M2410" i="1"/>
  <c r="N2410" i="1"/>
  <c r="O2410" i="1"/>
  <c r="M2411" i="1"/>
  <c r="N2411" i="1"/>
  <c r="O2411" i="1"/>
  <c r="M2412" i="1"/>
  <c r="N2412" i="1"/>
  <c r="O2412" i="1"/>
  <c r="M2413" i="1"/>
  <c r="N2413" i="1"/>
  <c r="O2413" i="1"/>
  <c r="M2414" i="1"/>
  <c r="N2414" i="1"/>
  <c r="O2414" i="1"/>
  <c r="M2415" i="1"/>
  <c r="N2415" i="1"/>
  <c r="O2415" i="1"/>
  <c r="M2416" i="1"/>
  <c r="N2416" i="1"/>
  <c r="O2416" i="1"/>
  <c r="M2417" i="1"/>
  <c r="N2417" i="1"/>
  <c r="O2417" i="1"/>
  <c r="M2418" i="1"/>
  <c r="N2418" i="1"/>
  <c r="O2418" i="1"/>
  <c r="M2419" i="1"/>
  <c r="N2419" i="1"/>
  <c r="O2419" i="1"/>
  <c r="M2420" i="1"/>
  <c r="N2420" i="1"/>
  <c r="O2420" i="1"/>
  <c r="M2421" i="1"/>
  <c r="N2421" i="1"/>
  <c r="O2421" i="1"/>
  <c r="M2422" i="1"/>
  <c r="N2422" i="1"/>
  <c r="O2422" i="1"/>
  <c r="M2423" i="1"/>
  <c r="N2423" i="1"/>
  <c r="O2423" i="1"/>
  <c r="M2424" i="1"/>
  <c r="N2424" i="1"/>
  <c r="O2424" i="1"/>
  <c r="M2425" i="1"/>
  <c r="N2425" i="1"/>
  <c r="O2425" i="1"/>
  <c r="M2426" i="1"/>
  <c r="N2426" i="1"/>
  <c r="O2426" i="1"/>
  <c r="M2427" i="1"/>
  <c r="N2427" i="1"/>
  <c r="O2427" i="1"/>
  <c r="M2428" i="1"/>
  <c r="N2428" i="1"/>
  <c r="O2428" i="1"/>
  <c r="M2429" i="1"/>
  <c r="N2429" i="1"/>
  <c r="O2429" i="1"/>
  <c r="M2430" i="1"/>
  <c r="N2430" i="1"/>
  <c r="O2430" i="1"/>
  <c r="M2431" i="1"/>
  <c r="N2431" i="1"/>
  <c r="O2431" i="1"/>
  <c r="M2432" i="1"/>
  <c r="N2432" i="1"/>
  <c r="O2432" i="1"/>
  <c r="M2433" i="1"/>
  <c r="N2433" i="1"/>
  <c r="O2433" i="1"/>
  <c r="M2434" i="1"/>
  <c r="N2434" i="1"/>
  <c r="O2434" i="1"/>
  <c r="M2435" i="1"/>
  <c r="N2435" i="1"/>
  <c r="O2435" i="1"/>
  <c r="M2436" i="1"/>
  <c r="N2436" i="1"/>
  <c r="O2436" i="1"/>
  <c r="M2437" i="1"/>
  <c r="N2437" i="1"/>
  <c r="O2437" i="1"/>
  <c r="M2438" i="1"/>
  <c r="N2438" i="1"/>
  <c r="O2438" i="1"/>
  <c r="M2439" i="1"/>
  <c r="N2439" i="1"/>
  <c r="O2439" i="1"/>
  <c r="M2440" i="1"/>
  <c r="N2440" i="1"/>
  <c r="O2440" i="1"/>
  <c r="M2441" i="1"/>
  <c r="N2441" i="1"/>
  <c r="O2441" i="1"/>
  <c r="M2442" i="1"/>
  <c r="N2442" i="1"/>
  <c r="O2442" i="1"/>
  <c r="M2443" i="1"/>
  <c r="N2443" i="1"/>
  <c r="O2443" i="1"/>
  <c r="M2444" i="1"/>
  <c r="N2444" i="1"/>
  <c r="O2444" i="1"/>
  <c r="M2445" i="1"/>
  <c r="N2445" i="1"/>
  <c r="O2445" i="1"/>
  <c r="M2446" i="1"/>
  <c r="N2446" i="1"/>
  <c r="O2446" i="1"/>
  <c r="M2447" i="1"/>
  <c r="N2447" i="1"/>
  <c r="O2447" i="1"/>
  <c r="M2448" i="1"/>
  <c r="N2448" i="1"/>
  <c r="O2448" i="1"/>
  <c r="M2449" i="1"/>
  <c r="N2449" i="1"/>
  <c r="O2449" i="1"/>
  <c r="M2450" i="1"/>
  <c r="N2450" i="1"/>
  <c r="O2450" i="1"/>
  <c r="M2451" i="1"/>
  <c r="N2451" i="1"/>
  <c r="O2451" i="1"/>
  <c r="M2452" i="1"/>
  <c r="N2452" i="1"/>
  <c r="O2452" i="1"/>
  <c r="M2453" i="1"/>
  <c r="N2453" i="1"/>
  <c r="O2453" i="1"/>
  <c r="M2454" i="1"/>
  <c r="N2454" i="1"/>
  <c r="O2454" i="1"/>
  <c r="M2455" i="1"/>
  <c r="N2455" i="1"/>
  <c r="O2455" i="1"/>
  <c r="M2456" i="1"/>
  <c r="N2456" i="1"/>
  <c r="O2456" i="1"/>
  <c r="M2457" i="1"/>
  <c r="N2457" i="1"/>
  <c r="O2457" i="1"/>
  <c r="M2458" i="1"/>
  <c r="N2458" i="1"/>
  <c r="O2458" i="1"/>
  <c r="M2459" i="1"/>
  <c r="N2459" i="1"/>
  <c r="O2459" i="1"/>
  <c r="M2460" i="1"/>
  <c r="N2460" i="1"/>
  <c r="O2460" i="1"/>
  <c r="M2461" i="1"/>
  <c r="N2461" i="1"/>
  <c r="O2461" i="1"/>
  <c r="M2462" i="1"/>
  <c r="N2462" i="1"/>
  <c r="O2462" i="1"/>
  <c r="M2463" i="1"/>
  <c r="N2463" i="1"/>
  <c r="O2463" i="1"/>
  <c r="M2464" i="1"/>
  <c r="N2464" i="1"/>
  <c r="O2464" i="1"/>
  <c r="M2465" i="1"/>
  <c r="N2465" i="1"/>
  <c r="O2465" i="1"/>
  <c r="M2466" i="1"/>
  <c r="N2466" i="1"/>
  <c r="O2466" i="1"/>
  <c r="M2467" i="1"/>
  <c r="N2467" i="1"/>
  <c r="O2467" i="1"/>
  <c r="M2468" i="1"/>
  <c r="N2468" i="1"/>
  <c r="O2468" i="1"/>
  <c r="M2469" i="1"/>
  <c r="N2469" i="1"/>
  <c r="O2469" i="1"/>
  <c r="M2470" i="1"/>
  <c r="N2470" i="1"/>
  <c r="O2470" i="1"/>
  <c r="M2471" i="1"/>
  <c r="N2471" i="1"/>
  <c r="O2471" i="1"/>
  <c r="M2472" i="1"/>
  <c r="N2472" i="1"/>
  <c r="O2472" i="1"/>
  <c r="M2473" i="1"/>
  <c r="N2473" i="1"/>
  <c r="O2473" i="1"/>
  <c r="M2474" i="1"/>
  <c r="N2474" i="1"/>
  <c r="O2474" i="1"/>
  <c r="M2475" i="1"/>
  <c r="N2475" i="1"/>
  <c r="O2475" i="1"/>
  <c r="M2476" i="1"/>
  <c r="N2476" i="1"/>
  <c r="O2476" i="1"/>
  <c r="M2477" i="1"/>
  <c r="N2477" i="1"/>
  <c r="O2477" i="1"/>
  <c r="M2478" i="1"/>
  <c r="N2478" i="1"/>
  <c r="O2478" i="1"/>
  <c r="M2479" i="1"/>
  <c r="N2479" i="1"/>
  <c r="O2479" i="1"/>
  <c r="M2480" i="1"/>
  <c r="N2480" i="1"/>
  <c r="O2480" i="1"/>
  <c r="M2481" i="1"/>
  <c r="N2481" i="1"/>
  <c r="O2481" i="1"/>
  <c r="M2482" i="1"/>
  <c r="N2482" i="1"/>
  <c r="O2482" i="1"/>
  <c r="M2483" i="1"/>
  <c r="N2483" i="1"/>
  <c r="O2483" i="1"/>
  <c r="M2484" i="1"/>
  <c r="N2484" i="1"/>
  <c r="O2484" i="1"/>
  <c r="M2485" i="1"/>
  <c r="N2485" i="1"/>
  <c r="O2485" i="1"/>
  <c r="M2486" i="1"/>
  <c r="N2486" i="1"/>
  <c r="O2486" i="1"/>
  <c r="M2487" i="1"/>
  <c r="N2487" i="1"/>
  <c r="O2487" i="1"/>
  <c r="M2488" i="1"/>
  <c r="N2488" i="1"/>
  <c r="O2488" i="1"/>
  <c r="M2489" i="1"/>
  <c r="N2489" i="1"/>
  <c r="O2489" i="1"/>
  <c r="M2490" i="1"/>
  <c r="N2490" i="1"/>
  <c r="O2490" i="1"/>
  <c r="M2491" i="1"/>
  <c r="N2491" i="1"/>
  <c r="O2491" i="1"/>
  <c r="M2492" i="1"/>
  <c r="N2492" i="1"/>
  <c r="O2492" i="1"/>
  <c r="M2493" i="1"/>
  <c r="N2493" i="1"/>
  <c r="O2493" i="1"/>
  <c r="M2494" i="1"/>
  <c r="N2494" i="1"/>
  <c r="O2494" i="1"/>
  <c r="M2495" i="1"/>
  <c r="N2495" i="1"/>
  <c r="O2495" i="1"/>
  <c r="M2496" i="1"/>
  <c r="N2496" i="1"/>
  <c r="O2496" i="1"/>
  <c r="M2497" i="1"/>
  <c r="N2497" i="1"/>
  <c r="O2497" i="1"/>
  <c r="M2498" i="1"/>
  <c r="N2498" i="1"/>
  <c r="O2498" i="1"/>
  <c r="M2499" i="1"/>
  <c r="N2499" i="1"/>
  <c r="O2499" i="1"/>
  <c r="M2500" i="1"/>
  <c r="N2500" i="1"/>
  <c r="O2500" i="1"/>
  <c r="M2501" i="1"/>
  <c r="N2501" i="1"/>
  <c r="O2501" i="1"/>
  <c r="M2502" i="1"/>
  <c r="N2502" i="1"/>
  <c r="O2502" i="1"/>
  <c r="M2503" i="1"/>
  <c r="N2503" i="1"/>
  <c r="O2503" i="1"/>
  <c r="M2504" i="1"/>
  <c r="N2504" i="1"/>
  <c r="O2504" i="1"/>
  <c r="M2505" i="1"/>
  <c r="N2505" i="1"/>
  <c r="O2505" i="1"/>
  <c r="M2506" i="1"/>
  <c r="N2506" i="1"/>
  <c r="O2506" i="1"/>
  <c r="M2507" i="1"/>
  <c r="N2507" i="1"/>
  <c r="O2507" i="1"/>
  <c r="M2508" i="1"/>
  <c r="N2508" i="1"/>
  <c r="O2508" i="1"/>
  <c r="M2509" i="1"/>
  <c r="N2509" i="1"/>
  <c r="O2509" i="1"/>
  <c r="M2510" i="1"/>
  <c r="N2510" i="1"/>
  <c r="O2510" i="1"/>
  <c r="M2511" i="1"/>
  <c r="N2511" i="1"/>
  <c r="O2511" i="1"/>
  <c r="M2512" i="1"/>
  <c r="N2512" i="1"/>
  <c r="O2512" i="1"/>
  <c r="M2513" i="1"/>
  <c r="N2513" i="1"/>
  <c r="O2513" i="1"/>
  <c r="M2514" i="1"/>
  <c r="N2514" i="1"/>
  <c r="O2514" i="1"/>
  <c r="M2515" i="1"/>
  <c r="N2515" i="1"/>
  <c r="O2515" i="1"/>
  <c r="M2516" i="1"/>
  <c r="N2516" i="1"/>
  <c r="O2516" i="1"/>
  <c r="M2517" i="1"/>
  <c r="N2517" i="1"/>
  <c r="O2517" i="1"/>
  <c r="M2518" i="1"/>
  <c r="N2518" i="1"/>
  <c r="O2518" i="1"/>
  <c r="M2519" i="1"/>
  <c r="N2519" i="1"/>
  <c r="O2519" i="1"/>
  <c r="M2520" i="1"/>
  <c r="N2520" i="1"/>
  <c r="O2520" i="1"/>
  <c r="M2521" i="1"/>
  <c r="N2521" i="1"/>
  <c r="O2521" i="1"/>
  <c r="M2522" i="1"/>
  <c r="N2522" i="1"/>
  <c r="O2522" i="1"/>
  <c r="M2523" i="1"/>
  <c r="N2523" i="1"/>
  <c r="O2523" i="1"/>
  <c r="M2524" i="1"/>
  <c r="N2524" i="1"/>
  <c r="O2524" i="1"/>
  <c r="M2525" i="1"/>
  <c r="N2525" i="1"/>
  <c r="O2525" i="1"/>
  <c r="M2526" i="1"/>
  <c r="N2526" i="1"/>
  <c r="O2526" i="1"/>
  <c r="M2527" i="1"/>
  <c r="N2527" i="1"/>
  <c r="O2527" i="1"/>
  <c r="M2528" i="1"/>
  <c r="N2528" i="1"/>
  <c r="O2528" i="1"/>
  <c r="M2529" i="1"/>
  <c r="N2529" i="1"/>
  <c r="O2529" i="1"/>
  <c r="M2530" i="1"/>
  <c r="N2530" i="1"/>
  <c r="O2530" i="1"/>
  <c r="M2531" i="1"/>
  <c r="N2531" i="1"/>
  <c r="O2531" i="1"/>
  <c r="M2532" i="1"/>
  <c r="N2532" i="1"/>
  <c r="O2532" i="1"/>
  <c r="M2533" i="1"/>
  <c r="N2533" i="1"/>
  <c r="O2533" i="1"/>
  <c r="M2534" i="1"/>
  <c r="N2534" i="1"/>
  <c r="O2534" i="1"/>
  <c r="M2535" i="1"/>
  <c r="N2535" i="1"/>
  <c r="O2535" i="1"/>
  <c r="M2536" i="1"/>
  <c r="N2536" i="1"/>
  <c r="O2536" i="1"/>
  <c r="M2537" i="1"/>
  <c r="N2537" i="1"/>
  <c r="O2537" i="1"/>
  <c r="M2538" i="1"/>
  <c r="N2538" i="1"/>
  <c r="O2538" i="1"/>
  <c r="M2539" i="1"/>
  <c r="N2539" i="1"/>
  <c r="O2539" i="1"/>
  <c r="M2540" i="1"/>
  <c r="N2540" i="1"/>
  <c r="O2540" i="1"/>
  <c r="M2541" i="1"/>
  <c r="N2541" i="1"/>
  <c r="O2541" i="1"/>
  <c r="M2542" i="1"/>
  <c r="N2542" i="1"/>
  <c r="O2542" i="1"/>
  <c r="M2543" i="1"/>
  <c r="N2543" i="1"/>
  <c r="O2543" i="1"/>
  <c r="M2544" i="1"/>
  <c r="N2544" i="1"/>
  <c r="O2544" i="1"/>
  <c r="M2545" i="1"/>
  <c r="N2545" i="1"/>
  <c r="O2545" i="1"/>
  <c r="M2546" i="1"/>
  <c r="N2546" i="1"/>
  <c r="O2546" i="1"/>
  <c r="M2547" i="1"/>
  <c r="N2547" i="1"/>
  <c r="O2547" i="1"/>
  <c r="M2548" i="1"/>
  <c r="N2548" i="1"/>
  <c r="O2548" i="1"/>
  <c r="M2549" i="1"/>
  <c r="N2549" i="1"/>
  <c r="O2549" i="1"/>
  <c r="M2550" i="1"/>
  <c r="N2550" i="1"/>
  <c r="O2550" i="1"/>
  <c r="M2551" i="1"/>
  <c r="N2551" i="1"/>
  <c r="O2551" i="1"/>
  <c r="M2552" i="1"/>
  <c r="N2552" i="1"/>
  <c r="O2552" i="1"/>
  <c r="M2553" i="1"/>
  <c r="N2553" i="1"/>
  <c r="O2553" i="1"/>
  <c r="M2554" i="1"/>
  <c r="N2554" i="1"/>
  <c r="O2554" i="1"/>
  <c r="M2555" i="1"/>
  <c r="N2555" i="1"/>
  <c r="O2555" i="1"/>
  <c r="M2556" i="1"/>
  <c r="N2556" i="1"/>
  <c r="O2556" i="1"/>
  <c r="M2557" i="1"/>
  <c r="N2557" i="1"/>
  <c r="O2557" i="1"/>
  <c r="M2558" i="1"/>
  <c r="N2558" i="1"/>
  <c r="O2558" i="1"/>
  <c r="M2559" i="1"/>
  <c r="N2559" i="1"/>
  <c r="O2559" i="1"/>
  <c r="M2560" i="1"/>
  <c r="N2560" i="1"/>
  <c r="O2560" i="1"/>
  <c r="M2561" i="1"/>
  <c r="N2561" i="1"/>
  <c r="O2561" i="1"/>
  <c r="M2562" i="1"/>
  <c r="N2562" i="1"/>
  <c r="O2562" i="1"/>
  <c r="M2563" i="1"/>
  <c r="N2563" i="1"/>
  <c r="O2563" i="1"/>
  <c r="M2564" i="1"/>
  <c r="N2564" i="1"/>
  <c r="O2564" i="1"/>
  <c r="M2565" i="1"/>
  <c r="N2565" i="1"/>
  <c r="O2565" i="1"/>
  <c r="M2566" i="1"/>
  <c r="N2566" i="1"/>
  <c r="O2566" i="1"/>
  <c r="M2567" i="1"/>
  <c r="N2567" i="1"/>
  <c r="O2567" i="1"/>
  <c r="M2568" i="1"/>
  <c r="N2568" i="1"/>
  <c r="O2568" i="1"/>
  <c r="M2569" i="1"/>
  <c r="N2569" i="1"/>
  <c r="O2569" i="1"/>
  <c r="M2570" i="1"/>
  <c r="N2570" i="1"/>
  <c r="O2570" i="1"/>
  <c r="M2571" i="1"/>
  <c r="N2571" i="1"/>
  <c r="O2571" i="1"/>
  <c r="M2572" i="1"/>
  <c r="N2572" i="1"/>
  <c r="O2572" i="1"/>
  <c r="M2573" i="1"/>
  <c r="N2573" i="1"/>
  <c r="O2573" i="1"/>
  <c r="M2574" i="1"/>
  <c r="N2574" i="1"/>
  <c r="O2574" i="1"/>
  <c r="M2575" i="1"/>
  <c r="N2575" i="1"/>
  <c r="O2575" i="1"/>
  <c r="M2576" i="1"/>
  <c r="N2576" i="1"/>
  <c r="O2576" i="1"/>
  <c r="M2577" i="1"/>
  <c r="N2577" i="1"/>
  <c r="O2577" i="1"/>
  <c r="M2578" i="1"/>
  <c r="N2578" i="1"/>
  <c r="O2578" i="1"/>
  <c r="M2579" i="1"/>
  <c r="N2579" i="1"/>
  <c r="O2579" i="1"/>
  <c r="M2580" i="1"/>
  <c r="N2580" i="1"/>
  <c r="O2580" i="1"/>
  <c r="M2581" i="1"/>
  <c r="N2581" i="1"/>
  <c r="O2581" i="1"/>
  <c r="M2582" i="1"/>
  <c r="N2582" i="1"/>
  <c r="O2582" i="1"/>
  <c r="M2583" i="1"/>
  <c r="N2583" i="1"/>
  <c r="O2583" i="1"/>
  <c r="M2584" i="1"/>
  <c r="N2584" i="1"/>
  <c r="O2584" i="1"/>
  <c r="M2585" i="1"/>
  <c r="N2585" i="1"/>
  <c r="O2585" i="1"/>
  <c r="M2586" i="1"/>
  <c r="N2586" i="1"/>
  <c r="O2586" i="1"/>
  <c r="M2587" i="1"/>
  <c r="N2587" i="1"/>
  <c r="O2587" i="1"/>
  <c r="M2588" i="1"/>
  <c r="N2588" i="1"/>
  <c r="O2588" i="1"/>
  <c r="M2589" i="1"/>
  <c r="N2589" i="1"/>
  <c r="O2589" i="1"/>
  <c r="M2590" i="1"/>
  <c r="N2590" i="1"/>
  <c r="O2590" i="1"/>
  <c r="M2591" i="1"/>
  <c r="N2591" i="1"/>
  <c r="O2591" i="1"/>
  <c r="M2592" i="1"/>
  <c r="N2592" i="1"/>
  <c r="O2592" i="1"/>
  <c r="M2593" i="1"/>
  <c r="N2593" i="1"/>
  <c r="O2593" i="1"/>
  <c r="M2594" i="1"/>
  <c r="N2594" i="1"/>
  <c r="O2594" i="1"/>
  <c r="M2595" i="1"/>
  <c r="N2595" i="1"/>
  <c r="O2595" i="1"/>
  <c r="M2596" i="1"/>
  <c r="N2596" i="1"/>
  <c r="O2596" i="1"/>
  <c r="M2597" i="1"/>
  <c r="N2597" i="1"/>
  <c r="O2597" i="1"/>
  <c r="M2598" i="1"/>
  <c r="N2598" i="1"/>
  <c r="O2598" i="1"/>
  <c r="M2599" i="1"/>
  <c r="N2599" i="1"/>
  <c r="O2599" i="1"/>
  <c r="M2600" i="1"/>
  <c r="N2600" i="1"/>
  <c r="O2600" i="1"/>
  <c r="M2601" i="1"/>
  <c r="N2601" i="1"/>
  <c r="O2601" i="1"/>
  <c r="M2602" i="1"/>
  <c r="N2602" i="1"/>
  <c r="O2602" i="1"/>
  <c r="M2603" i="1"/>
  <c r="N2603" i="1"/>
  <c r="O2603" i="1"/>
  <c r="M2604" i="1"/>
  <c r="N2604" i="1"/>
  <c r="O2604" i="1"/>
  <c r="M2605" i="1"/>
  <c r="N2605" i="1"/>
  <c r="O2605" i="1"/>
  <c r="M2606" i="1"/>
  <c r="N2606" i="1"/>
  <c r="O2606" i="1"/>
  <c r="M2607" i="1"/>
  <c r="N2607" i="1"/>
  <c r="O2607" i="1"/>
  <c r="M2608" i="1"/>
  <c r="N2608" i="1"/>
  <c r="O2608" i="1"/>
  <c r="M2609" i="1"/>
  <c r="N2609" i="1"/>
  <c r="O2609" i="1"/>
  <c r="M2610" i="1"/>
  <c r="N2610" i="1"/>
  <c r="O2610" i="1"/>
  <c r="M2611" i="1"/>
  <c r="N2611" i="1"/>
  <c r="O2611" i="1"/>
  <c r="M2612" i="1"/>
  <c r="N2612" i="1"/>
  <c r="O2612" i="1"/>
  <c r="M2613" i="1"/>
  <c r="N2613" i="1"/>
  <c r="O2613" i="1"/>
  <c r="M2614" i="1"/>
  <c r="N2614" i="1"/>
  <c r="O2614" i="1"/>
  <c r="M2615" i="1"/>
  <c r="N2615" i="1"/>
  <c r="O2615" i="1"/>
  <c r="M2616" i="1"/>
  <c r="N2616" i="1"/>
  <c r="O2616" i="1"/>
  <c r="M2617" i="1"/>
  <c r="N2617" i="1"/>
  <c r="O2617" i="1"/>
  <c r="M2618" i="1"/>
  <c r="N2618" i="1"/>
  <c r="O2618" i="1"/>
  <c r="M2619" i="1"/>
  <c r="N2619" i="1"/>
  <c r="O2619" i="1"/>
  <c r="M2620" i="1"/>
  <c r="N2620" i="1"/>
  <c r="O2620" i="1"/>
  <c r="M2621" i="1"/>
  <c r="N2621" i="1"/>
  <c r="O2621" i="1"/>
  <c r="M2622" i="1"/>
  <c r="N2622" i="1"/>
  <c r="O2622" i="1"/>
  <c r="M2623" i="1"/>
  <c r="N2623" i="1"/>
  <c r="O2623" i="1"/>
  <c r="M2624" i="1"/>
  <c r="N2624" i="1"/>
  <c r="O2624" i="1"/>
  <c r="M2625" i="1"/>
  <c r="N2625" i="1"/>
  <c r="O2625" i="1"/>
  <c r="M2626" i="1"/>
  <c r="N2626" i="1"/>
  <c r="O2626" i="1"/>
  <c r="M2627" i="1"/>
  <c r="N2627" i="1"/>
  <c r="O2627" i="1"/>
  <c r="M2628" i="1"/>
  <c r="N2628" i="1"/>
  <c r="O2628" i="1"/>
  <c r="M2629" i="1"/>
  <c r="N2629" i="1"/>
  <c r="O2629" i="1"/>
  <c r="M2630" i="1"/>
  <c r="N2630" i="1"/>
  <c r="O2630" i="1"/>
  <c r="M2631" i="1"/>
  <c r="N2631" i="1"/>
  <c r="O2631" i="1"/>
  <c r="M2632" i="1"/>
  <c r="N2632" i="1"/>
  <c r="O2632" i="1"/>
  <c r="M2633" i="1"/>
  <c r="N2633" i="1"/>
  <c r="O2633" i="1"/>
  <c r="M2634" i="1"/>
  <c r="N2634" i="1"/>
  <c r="O2634" i="1"/>
  <c r="M2635" i="1"/>
  <c r="N2635" i="1"/>
  <c r="O2635" i="1"/>
  <c r="M2636" i="1"/>
  <c r="N2636" i="1"/>
  <c r="O2636" i="1"/>
  <c r="M2637" i="1"/>
  <c r="N2637" i="1"/>
  <c r="O2637" i="1"/>
  <c r="M2638" i="1"/>
  <c r="N2638" i="1"/>
  <c r="O2638" i="1"/>
  <c r="M2639" i="1"/>
  <c r="N2639" i="1"/>
  <c r="O2639" i="1"/>
  <c r="M2640" i="1"/>
  <c r="N2640" i="1"/>
  <c r="O2640" i="1"/>
  <c r="M2641" i="1"/>
  <c r="N2641" i="1"/>
  <c r="O2641" i="1"/>
  <c r="M2642" i="1"/>
  <c r="N2642" i="1"/>
  <c r="O2642" i="1"/>
  <c r="M2643" i="1"/>
  <c r="N2643" i="1"/>
  <c r="O2643" i="1"/>
  <c r="M2644" i="1"/>
  <c r="N2644" i="1"/>
  <c r="O2644" i="1"/>
  <c r="M2645" i="1"/>
  <c r="N2645" i="1"/>
  <c r="O2645" i="1"/>
  <c r="M2646" i="1"/>
  <c r="N2646" i="1"/>
  <c r="O2646" i="1"/>
  <c r="M2647" i="1"/>
  <c r="N2647" i="1"/>
  <c r="O2647" i="1"/>
  <c r="M2648" i="1"/>
  <c r="N2648" i="1"/>
  <c r="O2648" i="1"/>
  <c r="M2649" i="1"/>
  <c r="N2649" i="1"/>
  <c r="O2649" i="1"/>
  <c r="M2650" i="1"/>
  <c r="N2650" i="1"/>
  <c r="O2650" i="1"/>
  <c r="M2651" i="1"/>
  <c r="N2651" i="1"/>
  <c r="O2651" i="1"/>
  <c r="M2652" i="1"/>
  <c r="N2652" i="1"/>
  <c r="O2652" i="1"/>
  <c r="M2653" i="1"/>
  <c r="N2653" i="1"/>
  <c r="O2653" i="1"/>
  <c r="M2654" i="1"/>
  <c r="N2654" i="1"/>
  <c r="O2654" i="1"/>
  <c r="M2655" i="1"/>
  <c r="N2655" i="1"/>
  <c r="O2655" i="1"/>
  <c r="M2656" i="1"/>
  <c r="N2656" i="1"/>
  <c r="O2656" i="1"/>
  <c r="M2657" i="1"/>
  <c r="N2657" i="1"/>
  <c r="O2657" i="1"/>
  <c r="M2658" i="1"/>
  <c r="N2658" i="1"/>
  <c r="O2658" i="1"/>
  <c r="M2659" i="1"/>
  <c r="N2659" i="1"/>
  <c r="O2659" i="1"/>
  <c r="M2660" i="1"/>
  <c r="N2660" i="1"/>
  <c r="O2660" i="1"/>
  <c r="M2661" i="1"/>
  <c r="N2661" i="1"/>
  <c r="O2661" i="1"/>
  <c r="M2662" i="1"/>
  <c r="N2662" i="1"/>
  <c r="O2662" i="1"/>
  <c r="M2663" i="1"/>
  <c r="N2663" i="1"/>
  <c r="O2663" i="1"/>
  <c r="M2664" i="1"/>
  <c r="N2664" i="1"/>
  <c r="O2664" i="1"/>
  <c r="M2665" i="1"/>
  <c r="N2665" i="1"/>
  <c r="O2665" i="1"/>
  <c r="M2666" i="1"/>
  <c r="N2666" i="1"/>
  <c r="O2666" i="1"/>
  <c r="M2667" i="1"/>
  <c r="N2667" i="1"/>
  <c r="O2667" i="1"/>
  <c r="M2668" i="1"/>
  <c r="N2668" i="1"/>
  <c r="O2668" i="1"/>
  <c r="M2669" i="1"/>
  <c r="N2669" i="1"/>
  <c r="O2669" i="1"/>
  <c r="M2670" i="1"/>
  <c r="N2670" i="1"/>
  <c r="O2670" i="1"/>
  <c r="M2671" i="1"/>
  <c r="N2671" i="1"/>
  <c r="O2671" i="1"/>
  <c r="M2672" i="1"/>
  <c r="N2672" i="1"/>
  <c r="O2672" i="1"/>
  <c r="M2673" i="1"/>
  <c r="N2673" i="1"/>
  <c r="O2673" i="1"/>
  <c r="M2674" i="1"/>
  <c r="N2674" i="1"/>
  <c r="O2674" i="1"/>
  <c r="M2675" i="1"/>
  <c r="N2675" i="1"/>
  <c r="O2675" i="1"/>
  <c r="M2676" i="1"/>
  <c r="N2676" i="1"/>
  <c r="O2676" i="1"/>
  <c r="M2677" i="1"/>
  <c r="N2677" i="1"/>
  <c r="O2677" i="1"/>
  <c r="M2678" i="1"/>
  <c r="N2678" i="1"/>
  <c r="O2678" i="1"/>
  <c r="M2679" i="1"/>
  <c r="N2679" i="1"/>
  <c r="O2679" i="1"/>
  <c r="M2680" i="1"/>
  <c r="N2680" i="1"/>
  <c r="O2680" i="1"/>
  <c r="M2681" i="1"/>
  <c r="N2681" i="1"/>
  <c r="O2681" i="1"/>
  <c r="M2682" i="1"/>
  <c r="N2682" i="1"/>
  <c r="O2682" i="1"/>
  <c r="M2683" i="1"/>
  <c r="N2683" i="1"/>
  <c r="O2683" i="1"/>
  <c r="M2684" i="1"/>
  <c r="N2684" i="1"/>
  <c r="O2684" i="1"/>
  <c r="M2685" i="1"/>
  <c r="N2685" i="1"/>
  <c r="O2685" i="1"/>
  <c r="M2686" i="1"/>
  <c r="N2686" i="1"/>
  <c r="O2686" i="1"/>
  <c r="M2687" i="1"/>
  <c r="N2687" i="1"/>
  <c r="O2687" i="1"/>
  <c r="M2688" i="1"/>
  <c r="N2688" i="1"/>
  <c r="O2688" i="1"/>
  <c r="M2689" i="1"/>
  <c r="N2689" i="1"/>
  <c r="O2689" i="1"/>
  <c r="M2690" i="1"/>
  <c r="N2690" i="1"/>
  <c r="O2690" i="1"/>
  <c r="M2691" i="1"/>
  <c r="N2691" i="1"/>
  <c r="O2691" i="1"/>
  <c r="M2692" i="1"/>
  <c r="N2692" i="1"/>
  <c r="O2692" i="1"/>
  <c r="M2693" i="1"/>
  <c r="N2693" i="1"/>
  <c r="O2693" i="1"/>
  <c r="M2694" i="1"/>
  <c r="N2694" i="1"/>
  <c r="O2694" i="1"/>
  <c r="M2695" i="1"/>
  <c r="N2695" i="1"/>
  <c r="O2695" i="1"/>
  <c r="M2696" i="1"/>
  <c r="N2696" i="1"/>
  <c r="O2696" i="1"/>
  <c r="M2697" i="1"/>
  <c r="N2697" i="1"/>
  <c r="O2697" i="1"/>
  <c r="M2698" i="1"/>
  <c r="N2698" i="1"/>
  <c r="O2698" i="1"/>
  <c r="M2699" i="1"/>
  <c r="N2699" i="1"/>
  <c r="O2699" i="1"/>
  <c r="M2700" i="1"/>
  <c r="N2700" i="1"/>
  <c r="O2700" i="1"/>
  <c r="M2701" i="1"/>
  <c r="N2701" i="1"/>
  <c r="O2701" i="1"/>
  <c r="M2702" i="1"/>
  <c r="N2702" i="1"/>
  <c r="O2702" i="1"/>
  <c r="M2703" i="1"/>
  <c r="N2703" i="1"/>
  <c r="O2703" i="1"/>
  <c r="M2704" i="1"/>
  <c r="N2704" i="1"/>
  <c r="O2704" i="1"/>
  <c r="M2705" i="1"/>
  <c r="N2705" i="1"/>
  <c r="O2705" i="1"/>
  <c r="M2706" i="1"/>
  <c r="N2706" i="1"/>
  <c r="O2706" i="1"/>
  <c r="M2707" i="1"/>
  <c r="N2707" i="1"/>
  <c r="O2707" i="1"/>
  <c r="M2708" i="1"/>
  <c r="N2708" i="1"/>
  <c r="O2708" i="1"/>
  <c r="M2709" i="1"/>
  <c r="N2709" i="1"/>
  <c r="O2709" i="1"/>
  <c r="M2710" i="1"/>
  <c r="N2710" i="1"/>
  <c r="O2710" i="1"/>
  <c r="M2711" i="1"/>
  <c r="N2711" i="1"/>
  <c r="O2711" i="1"/>
  <c r="M2712" i="1"/>
  <c r="N2712" i="1"/>
  <c r="O2712" i="1"/>
  <c r="M2713" i="1"/>
  <c r="N2713" i="1"/>
  <c r="O2713" i="1"/>
  <c r="M2714" i="1"/>
  <c r="N2714" i="1"/>
  <c r="O2714" i="1"/>
  <c r="M2715" i="1"/>
  <c r="N2715" i="1"/>
  <c r="O2715" i="1"/>
  <c r="M2716" i="1"/>
  <c r="N2716" i="1"/>
  <c r="O2716" i="1"/>
  <c r="M2717" i="1"/>
  <c r="N2717" i="1"/>
  <c r="O2717" i="1"/>
  <c r="M2718" i="1"/>
  <c r="N2718" i="1"/>
  <c r="O2718" i="1"/>
  <c r="M2719" i="1"/>
  <c r="N2719" i="1"/>
  <c r="O2719" i="1"/>
  <c r="M2720" i="1"/>
  <c r="N2720" i="1"/>
  <c r="O2720" i="1"/>
  <c r="M2721" i="1"/>
  <c r="N2721" i="1"/>
  <c r="O2721" i="1"/>
  <c r="M2722" i="1"/>
  <c r="N2722" i="1"/>
  <c r="O2722" i="1"/>
  <c r="M2723" i="1"/>
  <c r="N2723" i="1"/>
  <c r="O2723" i="1"/>
  <c r="M2724" i="1"/>
  <c r="N2724" i="1"/>
  <c r="O2724" i="1"/>
  <c r="M2725" i="1"/>
  <c r="N2725" i="1"/>
  <c r="O2725" i="1"/>
  <c r="M2726" i="1"/>
  <c r="N2726" i="1"/>
  <c r="O2726" i="1"/>
  <c r="M2727" i="1"/>
  <c r="N2727" i="1"/>
  <c r="O2727" i="1"/>
  <c r="M2728" i="1"/>
  <c r="N2728" i="1"/>
  <c r="O2728" i="1"/>
  <c r="M2729" i="1"/>
  <c r="N2729" i="1"/>
  <c r="O2729" i="1"/>
  <c r="M2730" i="1"/>
  <c r="N2730" i="1"/>
  <c r="O2730" i="1"/>
  <c r="M2731" i="1"/>
  <c r="N2731" i="1"/>
  <c r="O2731" i="1"/>
  <c r="M2732" i="1"/>
  <c r="N2732" i="1"/>
  <c r="O2732" i="1"/>
  <c r="M2733" i="1"/>
  <c r="N2733" i="1"/>
  <c r="O2733" i="1"/>
  <c r="M2734" i="1"/>
  <c r="N2734" i="1"/>
  <c r="O2734" i="1"/>
  <c r="M2735" i="1"/>
  <c r="N2735" i="1"/>
  <c r="O2735" i="1"/>
  <c r="M2736" i="1"/>
  <c r="N2736" i="1"/>
  <c r="O2736" i="1"/>
  <c r="M2737" i="1"/>
  <c r="N2737" i="1"/>
  <c r="O2737" i="1"/>
  <c r="M2738" i="1"/>
  <c r="N2738" i="1"/>
  <c r="O2738" i="1"/>
  <c r="M2739" i="1"/>
  <c r="N2739" i="1"/>
  <c r="O2739" i="1"/>
  <c r="M2740" i="1"/>
  <c r="N2740" i="1"/>
  <c r="O2740" i="1"/>
  <c r="M2741" i="1"/>
  <c r="N2741" i="1"/>
  <c r="O2741" i="1"/>
  <c r="M2742" i="1"/>
  <c r="N2742" i="1"/>
  <c r="O2742" i="1"/>
  <c r="M2743" i="1"/>
  <c r="N2743" i="1"/>
  <c r="O2743" i="1"/>
  <c r="M2744" i="1"/>
  <c r="N2744" i="1"/>
  <c r="O2744" i="1"/>
  <c r="M2745" i="1"/>
  <c r="N2745" i="1"/>
  <c r="O2745" i="1"/>
  <c r="M2746" i="1"/>
  <c r="N2746" i="1"/>
  <c r="O2746" i="1"/>
  <c r="M2747" i="1"/>
  <c r="N2747" i="1"/>
  <c r="L2747" i="1" s="1"/>
  <c r="O2747" i="1"/>
  <c r="M2748" i="1"/>
  <c r="N2748" i="1"/>
  <c r="O2748" i="1"/>
  <c r="M2749" i="1"/>
  <c r="N2749" i="1"/>
  <c r="O2749" i="1"/>
  <c r="M2750" i="1"/>
  <c r="N2750" i="1"/>
  <c r="O2750" i="1"/>
  <c r="M2751" i="1"/>
  <c r="N2751" i="1"/>
  <c r="O2751" i="1"/>
  <c r="M2752" i="1"/>
  <c r="N2752" i="1"/>
  <c r="O2752" i="1"/>
  <c r="M2753" i="1"/>
  <c r="N2753" i="1"/>
  <c r="O2753" i="1"/>
  <c r="M2754" i="1"/>
  <c r="N2754" i="1"/>
  <c r="O2754" i="1"/>
  <c r="M2755" i="1"/>
  <c r="N2755" i="1"/>
  <c r="O2755" i="1"/>
  <c r="M2756" i="1"/>
  <c r="N2756" i="1"/>
  <c r="O2756" i="1"/>
  <c r="M2757" i="1"/>
  <c r="N2757" i="1"/>
  <c r="O2757" i="1"/>
  <c r="M2758" i="1"/>
  <c r="N2758" i="1"/>
  <c r="O2758" i="1"/>
  <c r="M2759" i="1"/>
  <c r="N2759" i="1"/>
  <c r="O2759" i="1"/>
  <c r="M2760" i="1"/>
  <c r="N2760" i="1"/>
  <c r="O2760" i="1"/>
  <c r="M2761" i="1"/>
  <c r="N2761" i="1"/>
  <c r="O2761" i="1"/>
  <c r="M2762" i="1"/>
  <c r="N2762" i="1"/>
  <c r="O2762" i="1"/>
  <c r="M2763" i="1"/>
  <c r="N2763" i="1"/>
  <c r="O2763" i="1"/>
  <c r="M2764" i="1"/>
  <c r="N2764" i="1"/>
  <c r="O2764" i="1"/>
  <c r="M2765" i="1"/>
  <c r="N2765" i="1"/>
  <c r="O2765" i="1"/>
  <c r="M2766" i="1"/>
  <c r="N2766" i="1"/>
  <c r="O2766" i="1"/>
  <c r="M2767" i="1"/>
  <c r="N2767" i="1"/>
  <c r="O2767" i="1"/>
  <c r="M2768" i="1"/>
  <c r="N2768" i="1"/>
  <c r="O2768" i="1"/>
  <c r="M2769" i="1"/>
  <c r="N2769" i="1"/>
  <c r="O2769" i="1"/>
  <c r="M2770" i="1"/>
  <c r="N2770" i="1"/>
  <c r="O2770" i="1"/>
  <c r="M2771" i="1"/>
  <c r="N2771" i="1"/>
  <c r="O2771" i="1"/>
  <c r="M2772" i="1"/>
  <c r="N2772" i="1"/>
  <c r="O2772" i="1"/>
  <c r="M2773" i="1"/>
  <c r="N2773" i="1"/>
  <c r="O2773" i="1"/>
  <c r="M2774" i="1"/>
  <c r="N2774" i="1"/>
  <c r="O2774" i="1"/>
  <c r="M2775" i="1"/>
  <c r="N2775" i="1"/>
  <c r="O2775" i="1"/>
  <c r="M2776" i="1"/>
  <c r="N2776" i="1"/>
  <c r="O2776" i="1"/>
  <c r="M2777" i="1"/>
  <c r="N2777" i="1"/>
  <c r="O2777" i="1"/>
  <c r="M2778" i="1"/>
  <c r="N2778" i="1"/>
  <c r="O2778" i="1"/>
  <c r="M2779" i="1"/>
  <c r="N2779" i="1"/>
  <c r="O2779" i="1"/>
  <c r="M2780" i="1"/>
  <c r="N2780" i="1"/>
  <c r="O2780" i="1"/>
  <c r="M2781" i="1"/>
  <c r="N2781" i="1"/>
  <c r="O2781" i="1"/>
  <c r="M2782" i="1"/>
  <c r="N2782" i="1"/>
  <c r="O2782" i="1"/>
  <c r="M2783" i="1"/>
  <c r="N2783" i="1"/>
  <c r="O2783" i="1"/>
  <c r="M2784" i="1"/>
  <c r="N2784" i="1"/>
  <c r="O2784" i="1"/>
  <c r="M2785" i="1"/>
  <c r="N2785" i="1"/>
  <c r="O2785" i="1"/>
  <c r="M2786" i="1"/>
  <c r="N2786" i="1"/>
  <c r="O2786" i="1"/>
  <c r="M2787" i="1"/>
  <c r="N2787" i="1"/>
  <c r="O2787" i="1"/>
  <c r="M2788" i="1"/>
  <c r="N2788" i="1"/>
  <c r="O2788" i="1"/>
  <c r="M2789" i="1"/>
  <c r="N2789" i="1"/>
  <c r="O2789" i="1"/>
  <c r="M2790" i="1"/>
  <c r="N2790" i="1"/>
  <c r="O2790" i="1"/>
  <c r="M2791" i="1"/>
  <c r="N2791" i="1"/>
  <c r="O2791" i="1"/>
  <c r="M2792" i="1"/>
  <c r="N2792" i="1"/>
  <c r="O2792" i="1"/>
  <c r="M2793" i="1"/>
  <c r="N2793" i="1"/>
  <c r="O2793" i="1"/>
  <c r="M2794" i="1"/>
  <c r="N2794" i="1"/>
  <c r="O2794" i="1"/>
  <c r="M2795" i="1"/>
  <c r="N2795" i="1"/>
  <c r="O2795" i="1"/>
  <c r="M2796" i="1"/>
  <c r="N2796" i="1"/>
  <c r="O2796" i="1"/>
  <c r="M2797" i="1"/>
  <c r="N2797" i="1"/>
  <c r="O2797" i="1"/>
  <c r="M2798" i="1"/>
  <c r="N2798" i="1"/>
  <c r="O2798" i="1"/>
  <c r="M2799" i="1"/>
  <c r="N2799" i="1"/>
  <c r="O2799" i="1"/>
  <c r="M2800" i="1"/>
  <c r="N2800" i="1"/>
  <c r="O2800" i="1"/>
  <c r="M2801" i="1"/>
  <c r="N2801" i="1"/>
  <c r="O2801" i="1"/>
  <c r="M2802" i="1"/>
  <c r="N2802" i="1"/>
  <c r="O2802" i="1"/>
  <c r="M2803" i="1"/>
  <c r="N2803" i="1"/>
  <c r="O2803" i="1"/>
  <c r="M2804" i="1"/>
  <c r="N2804" i="1"/>
  <c r="O2804" i="1"/>
  <c r="M2805" i="1"/>
  <c r="N2805" i="1"/>
  <c r="O2805" i="1"/>
  <c r="M2806" i="1"/>
  <c r="N2806" i="1"/>
  <c r="O2806" i="1"/>
  <c r="M2807" i="1"/>
  <c r="N2807" i="1"/>
  <c r="O2807" i="1"/>
  <c r="M2808" i="1"/>
  <c r="N2808" i="1"/>
  <c r="O2808" i="1"/>
  <c r="M2809" i="1"/>
  <c r="N2809" i="1"/>
  <c r="O2809" i="1"/>
  <c r="M2810" i="1"/>
  <c r="N2810" i="1"/>
  <c r="O2810" i="1"/>
  <c r="M2811" i="1"/>
  <c r="N2811" i="1"/>
  <c r="O2811" i="1"/>
  <c r="M2812" i="1"/>
  <c r="N2812" i="1"/>
  <c r="O2812" i="1"/>
  <c r="M2813" i="1"/>
  <c r="N2813" i="1"/>
  <c r="O2813" i="1"/>
  <c r="M2814" i="1"/>
  <c r="N2814" i="1"/>
  <c r="O2814" i="1"/>
  <c r="M2815" i="1"/>
  <c r="N2815" i="1"/>
  <c r="O2815" i="1"/>
  <c r="M2816" i="1"/>
  <c r="N2816" i="1"/>
  <c r="O2816" i="1"/>
  <c r="M2817" i="1"/>
  <c r="N2817" i="1"/>
  <c r="O2817" i="1"/>
  <c r="M2818" i="1"/>
  <c r="N2818" i="1"/>
  <c r="O2818" i="1"/>
  <c r="M2819" i="1"/>
  <c r="N2819" i="1"/>
  <c r="O2819" i="1"/>
  <c r="M2820" i="1"/>
  <c r="N2820" i="1"/>
  <c r="O2820" i="1"/>
  <c r="M2821" i="1"/>
  <c r="N2821" i="1"/>
  <c r="O2821" i="1"/>
  <c r="M2822" i="1"/>
  <c r="N2822" i="1"/>
  <c r="O2822" i="1"/>
  <c r="M2823" i="1"/>
  <c r="N2823" i="1"/>
  <c r="O2823" i="1"/>
  <c r="M2824" i="1"/>
  <c r="N2824" i="1"/>
  <c r="O2824" i="1"/>
  <c r="M2825" i="1"/>
  <c r="N2825" i="1"/>
  <c r="O2825" i="1"/>
  <c r="M2826" i="1"/>
  <c r="N2826" i="1"/>
  <c r="O2826" i="1"/>
  <c r="M2827" i="1"/>
  <c r="N2827" i="1"/>
  <c r="O2827" i="1"/>
  <c r="M2828" i="1"/>
  <c r="N2828" i="1"/>
  <c r="O2828" i="1"/>
  <c r="M2829" i="1"/>
  <c r="N2829" i="1"/>
  <c r="O2829" i="1"/>
  <c r="M2830" i="1"/>
  <c r="N2830" i="1"/>
  <c r="O2830" i="1"/>
  <c r="M2831" i="1"/>
  <c r="N2831" i="1"/>
  <c r="O2831" i="1"/>
  <c r="M2832" i="1"/>
  <c r="N2832" i="1"/>
  <c r="O2832" i="1"/>
  <c r="M2833" i="1"/>
  <c r="N2833" i="1"/>
  <c r="O2833" i="1"/>
  <c r="M2834" i="1"/>
  <c r="N2834" i="1"/>
  <c r="O2834" i="1"/>
  <c r="M2835" i="1"/>
  <c r="N2835" i="1"/>
  <c r="O2835" i="1"/>
  <c r="M2836" i="1"/>
  <c r="N2836" i="1"/>
  <c r="O2836" i="1"/>
  <c r="M2837" i="1"/>
  <c r="N2837" i="1"/>
  <c r="O2837" i="1"/>
  <c r="M2838" i="1"/>
  <c r="N2838" i="1"/>
  <c r="O2838" i="1"/>
  <c r="M2839" i="1"/>
  <c r="N2839" i="1"/>
  <c r="O2839" i="1"/>
  <c r="M2840" i="1"/>
  <c r="N2840" i="1"/>
  <c r="O2840" i="1"/>
  <c r="M2841" i="1"/>
  <c r="N2841" i="1"/>
  <c r="O2841" i="1"/>
  <c r="M2842" i="1"/>
  <c r="N2842" i="1"/>
  <c r="O2842" i="1"/>
  <c r="M2843" i="1"/>
  <c r="N2843" i="1"/>
  <c r="O2843" i="1"/>
  <c r="M2844" i="1"/>
  <c r="N2844" i="1"/>
  <c r="O2844" i="1"/>
  <c r="M2845" i="1"/>
  <c r="N2845" i="1"/>
  <c r="O2845" i="1"/>
  <c r="M2846" i="1"/>
  <c r="N2846" i="1"/>
  <c r="O2846" i="1"/>
  <c r="M2847" i="1"/>
  <c r="N2847" i="1"/>
  <c r="O2847" i="1"/>
  <c r="M2848" i="1"/>
  <c r="N2848" i="1"/>
  <c r="O2848" i="1"/>
  <c r="M2849" i="1"/>
  <c r="N2849" i="1"/>
  <c r="O2849" i="1"/>
  <c r="M2850" i="1"/>
  <c r="N2850" i="1"/>
  <c r="O2850" i="1"/>
  <c r="M2851" i="1"/>
  <c r="N2851" i="1"/>
  <c r="O2851" i="1"/>
  <c r="M2852" i="1"/>
  <c r="N2852" i="1"/>
  <c r="O2852" i="1"/>
  <c r="M2853" i="1"/>
  <c r="N2853" i="1"/>
  <c r="O2853" i="1"/>
  <c r="M2854" i="1"/>
  <c r="N2854" i="1"/>
  <c r="O2854" i="1"/>
  <c r="M2855" i="1"/>
  <c r="N2855" i="1"/>
  <c r="O2855" i="1"/>
  <c r="M2856" i="1"/>
  <c r="N2856" i="1"/>
  <c r="O2856" i="1"/>
  <c r="M2857" i="1"/>
  <c r="N2857" i="1"/>
  <c r="O2857" i="1"/>
  <c r="M2858" i="1"/>
  <c r="N2858" i="1"/>
  <c r="O2858" i="1"/>
  <c r="M2859" i="1"/>
  <c r="N2859" i="1"/>
  <c r="O2859" i="1"/>
  <c r="M2860" i="1"/>
  <c r="N2860" i="1"/>
  <c r="O2860" i="1"/>
  <c r="M2861" i="1"/>
  <c r="N2861" i="1"/>
  <c r="O2861" i="1"/>
  <c r="M2862" i="1"/>
  <c r="N2862" i="1"/>
  <c r="O2862" i="1"/>
  <c r="M2863" i="1"/>
  <c r="N2863" i="1"/>
  <c r="O2863" i="1"/>
  <c r="M2864" i="1"/>
  <c r="N2864" i="1"/>
  <c r="O2864" i="1"/>
  <c r="M2865" i="1"/>
  <c r="N2865" i="1"/>
  <c r="O2865" i="1"/>
  <c r="M2866" i="1"/>
  <c r="N2866" i="1"/>
  <c r="O2866" i="1"/>
  <c r="M2867" i="1"/>
  <c r="N2867" i="1"/>
  <c r="O2867" i="1"/>
  <c r="M2868" i="1"/>
  <c r="N2868" i="1"/>
  <c r="O2868" i="1"/>
  <c r="M2869" i="1"/>
  <c r="N2869" i="1"/>
  <c r="O2869" i="1"/>
  <c r="M2870" i="1"/>
  <c r="N2870" i="1"/>
  <c r="O2870" i="1"/>
  <c r="M2871" i="1"/>
  <c r="N2871" i="1"/>
  <c r="O2871" i="1"/>
  <c r="M2872" i="1"/>
  <c r="N2872" i="1"/>
  <c r="O2872" i="1"/>
  <c r="M2873" i="1"/>
  <c r="N2873" i="1"/>
  <c r="O2873" i="1"/>
  <c r="M2874" i="1"/>
  <c r="N2874" i="1"/>
  <c r="O2874" i="1"/>
  <c r="M2875" i="1"/>
  <c r="N2875" i="1"/>
  <c r="O2875" i="1"/>
  <c r="M2876" i="1"/>
  <c r="N2876" i="1"/>
  <c r="O2876" i="1"/>
  <c r="M2877" i="1"/>
  <c r="N2877" i="1"/>
  <c r="O2877" i="1"/>
  <c r="M2878" i="1"/>
  <c r="N2878" i="1"/>
  <c r="O2878" i="1"/>
  <c r="M2879" i="1"/>
  <c r="N2879" i="1"/>
  <c r="O2879" i="1"/>
  <c r="M2880" i="1"/>
  <c r="N2880" i="1"/>
  <c r="O2880" i="1"/>
  <c r="M2881" i="1"/>
  <c r="N2881" i="1"/>
  <c r="O2881" i="1"/>
  <c r="M2882" i="1"/>
  <c r="N2882" i="1"/>
  <c r="O2882" i="1"/>
  <c r="M2883" i="1"/>
  <c r="N2883" i="1"/>
  <c r="O2883" i="1"/>
  <c r="M2884" i="1"/>
  <c r="N2884" i="1"/>
  <c r="O2884" i="1"/>
  <c r="M2885" i="1"/>
  <c r="N2885" i="1"/>
  <c r="O2885" i="1"/>
  <c r="M2886" i="1"/>
  <c r="N2886" i="1"/>
  <c r="O2886" i="1"/>
  <c r="M2887" i="1"/>
  <c r="N2887" i="1"/>
  <c r="O2887" i="1"/>
  <c r="M2888" i="1"/>
  <c r="N2888" i="1"/>
  <c r="O2888" i="1"/>
  <c r="M2889" i="1"/>
  <c r="N2889" i="1"/>
  <c r="O2889" i="1"/>
  <c r="M2890" i="1"/>
  <c r="N2890" i="1"/>
  <c r="O2890" i="1"/>
  <c r="M2891" i="1"/>
  <c r="N2891" i="1"/>
  <c r="O2891" i="1"/>
  <c r="M2892" i="1"/>
  <c r="N2892" i="1"/>
  <c r="O2892" i="1"/>
  <c r="M2893" i="1"/>
  <c r="N2893" i="1"/>
  <c r="O2893" i="1"/>
  <c r="M2894" i="1"/>
  <c r="N2894" i="1"/>
  <c r="O2894" i="1"/>
  <c r="M2895" i="1"/>
  <c r="N2895" i="1"/>
  <c r="O2895" i="1"/>
  <c r="M2896" i="1"/>
  <c r="N2896" i="1"/>
  <c r="O2896" i="1"/>
  <c r="M2897" i="1"/>
  <c r="N2897" i="1"/>
  <c r="O2897" i="1"/>
  <c r="M2898" i="1"/>
  <c r="N2898" i="1"/>
  <c r="O2898" i="1"/>
  <c r="M2899" i="1"/>
  <c r="N2899" i="1"/>
  <c r="O2899" i="1"/>
  <c r="M2900" i="1"/>
  <c r="N2900" i="1"/>
  <c r="O2900" i="1"/>
  <c r="M2901" i="1"/>
  <c r="N2901" i="1"/>
  <c r="O2901" i="1"/>
  <c r="M2902" i="1"/>
  <c r="N2902" i="1"/>
  <c r="O2902" i="1"/>
  <c r="M2903" i="1"/>
  <c r="N2903" i="1"/>
  <c r="O2903" i="1"/>
  <c r="M2904" i="1"/>
  <c r="N2904" i="1"/>
  <c r="O2904" i="1"/>
  <c r="M2905" i="1"/>
  <c r="N2905" i="1"/>
  <c r="O2905" i="1"/>
  <c r="M2906" i="1"/>
  <c r="N2906" i="1"/>
  <c r="O2906" i="1"/>
  <c r="M2907" i="1"/>
  <c r="N2907" i="1"/>
  <c r="O2907" i="1"/>
  <c r="M2908" i="1"/>
  <c r="N2908" i="1"/>
  <c r="O2908" i="1"/>
  <c r="M2909" i="1"/>
  <c r="N2909" i="1"/>
  <c r="O2909" i="1"/>
  <c r="M2910" i="1"/>
  <c r="N2910" i="1"/>
  <c r="O2910" i="1"/>
  <c r="M2911" i="1"/>
  <c r="N2911" i="1"/>
  <c r="O2911" i="1"/>
  <c r="M2912" i="1"/>
  <c r="N2912" i="1"/>
  <c r="O2912" i="1"/>
  <c r="M2913" i="1"/>
  <c r="N2913" i="1"/>
  <c r="O2913" i="1"/>
  <c r="M2914" i="1"/>
  <c r="N2914" i="1"/>
  <c r="O2914" i="1"/>
  <c r="M2915" i="1"/>
  <c r="N2915" i="1"/>
  <c r="O2915" i="1"/>
  <c r="M2916" i="1"/>
  <c r="N2916" i="1"/>
  <c r="O2916" i="1"/>
  <c r="M2917" i="1"/>
  <c r="N2917" i="1"/>
  <c r="O2917" i="1"/>
  <c r="M2918" i="1"/>
  <c r="N2918" i="1"/>
  <c r="O2918" i="1"/>
  <c r="M2919" i="1"/>
  <c r="N2919" i="1"/>
  <c r="O2919" i="1"/>
  <c r="M2920" i="1"/>
  <c r="N2920" i="1"/>
  <c r="O2920" i="1"/>
  <c r="M2921" i="1"/>
  <c r="N2921" i="1"/>
  <c r="O2921" i="1"/>
  <c r="M2922" i="1"/>
  <c r="N2922" i="1"/>
  <c r="O2922" i="1"/>
  <c r="M2923" i="1"/>
  <c r="N2923" i="1"/>
  <c r="O2923" i="1"/>
  <c r="M2924" i="1"/>
  <c r="N2924" i="1"/>
  <c r="O2924" i="1"/>
  <c r="M2925" i="1"/>
  <c r="N2925" i="1"/>
  <c r="O2925" i="1"/>
  <c r="M2926" i="1"/>
  <c r="N2926" i="1"/>
  <c r="O2926" i="1"/>
  <c r="M2927" i="1"/>
  <c r="N2927" i="1"/>
  <c r="O2927" i="1"/>
  <c r="M2928" i="1"/>
  <c r="N2928" i="1"/>
  <c r="O2928" i="1"/>
  <c r="M2929" i="1"/>
  <c r="N2929" i="1"/>
  <c r="O2929" i="1"/>
  <c r="M2930" i="1"/>
  <c r="N2930" i="1"/>
  <c r="O2930" i="1"/>
  <c r="M2931" i="1"/>
  <c r="N2931" i="1"/>
  <c r="O2931" i="1"/>
  <c r="M2932" i="1"/>
  <c r="N2932" i="1"/>
  <c r="O2932" i="1"/>
  <c r="M2933" i="1"/>
  <c r="N2933" i="1"/>
  <c r="O2933" i="1"/>
  <c r="M2934" i="1"/>
  <c r="N2934" i="1"/>
  <c r="O2934" i="1"/>
  <c r="M2935" i="1"/>
  <c r="N2935" i="1"/>
  <c r="O2935" i="1"/>
  <c r="M2936" i="1"/>
  <c r="N2936" i="1"/>
  <c r="O2936" i="1"/>
  <c r="M2937" i="1"/>
  <c r="N2937" i="1"/>
  <c r="O2937" i="1"/>
  <c r="M2938" i="1"/>
  <c r="N2938" i="1"/>
  <c r="O2938" i="1"/>
  <c r="M2939" i="1"/>
  <c r="N2939" i="1"/>
  <c r="O2939" i="1"/>
  <c r="M2940" i="1"/>
  <c r="N2940" i="1"/>
  <c r="O2940" i="1"/>
  <c r="M2941" i="1"/>
  <c r="N2941" i="1"/>
  <c r="O2941" i="1"/>
  <c r="M2942" i="1"/>
  <c r="N2942" i="1"/>
  <c r="O2942" i="1"/>
  <c r="M2943" i="1"/>
  <c r="N2943" i="1"/>
  <c r="O2943" i="1"/>
  <c r="M2944" i="1"/>
  <c r="N2944" i="1"/>
  <c r="O2944" i="1"/>
  <c r="M2945" i="1"/>
  <c r="N2945" i="1"/>
  <c r="O2945" i="1"/>
  <c r="M2946" i="1"/>
  <c r="N2946" i="1"/>
  <c r="O2946" i="1"/>
  <c r="M2947" i="1"/>
  <c r="N2947" i="1"/>
  <c r="O2947" i="1"/>
  <c r="M2948" i="1"/>
  <c r="N2948" i="1"/>
  <c r="O2948" i="1"/>
  <c r="M2949" i="1"/>
  <c r="N2949" i="1"/>
  <c r="O2949" i="1"/>
  <c r="M2950" i="1"/>
  <c r="N2950" i="1"/>
  <c r="O2950" i="1"/>
  <c r="M2951" i="1"/>
  <c r="N2951" i="1"/>
  <c r="O2951" i="1"/>
  <c r="M2952" i="1"/>
  <c r="N2952" i="1"/>
  <c r="O2952" i="1"/>
  <c r="M2953" i="1"/>
  <c r="N2953" i="1"/>
  <c r="O2953" i="1"/>
  <c r="M2954" i="1"/>
  <c r="N2954" i="1"/>
  <c r="O2954" i="1"/>
  <c r="M2955" i="1"/>
  <c r="N2955" i="1"/>
  <c r="O2955" i="1"/>
  <c r="M2956" i="1"/>
  <c r="N2956" i="1"/>
  <c r="O2956" i="1"/>
  <c r="M2957" i="1"/>
  <c r="N2957" i="1"/>
  <c r="O2957" i="1"/>
  <c r="M2958" i="1"/>
  <c r="N2958" i="1"/>
  <c r="O2958" i="1"/>
  <c r="M2959" i="1"/>
  <c r="N2959" i="1"/>
  <c r="O2959" i="1"/>
  <c r="M2960" i="1"/>
  <c r="N2960" i="1"/>
  <c r="O2960" i="1"/>
  <c r="M2961" i="1"/>
  <c r="N2961" i="1"/>
  <c r="O2961" i="1"/>
  <c r="M2962" i="1"/>
  <c r="N2962" i="1"/>
  <c r="O2962" i="1"/>
  <c r="M2963" i="1"/>
  <c r="N2963" i="1"/>
  <c r="O2963" i="1"/>
  <c r="M2964" i="1"/>
  <c r="N2964" i="1"/>
  <c r="O2964" i="1"/>
  <c r="M2965" i="1"/>
  <c r="N2965" i="1"/>
  <c r="O2965" i="1"/>
  <c r="M2966" i="1"/>
  <c r="N2966" i="1"/>
  <c r="O2966" i="1"/>
  <c r="M2967" i="1"/>
  <c r="N2967" i="1"/>
  <c r="O2967" i="1"/>
  <c r="M2968" i="1"/>
  <c r="N2968" i="1"/>
  <c r="O2968" i="1"/>
  <c r="M2969" i="1"/>
  <c r="N2969" i="1"/>
  <c r="O2969" i="1"/>
  <c r="M2970" i="1"/>
  <c r="N2970" i="1"/>
  <c r="O2970" i="1"/>
  <c r="M2971" i="1"/>
  <c r="N2971" i="1"/>
  <c r="O2971" i="1"/>
  <c r="M2972" i="1"/>
  <c r="N2972" i="1"/>
  <c r="O2972" i="1"/>
  <c r="M2973" i="1"/>
  <c r="N2973" i="1"/>
  <c r="O2973" i="1"/>
  <c r="M2974" i="1"/>
  <c r="N2974" i="1"/>
  <c r="O2974" i="1"/>
  <c r="M2975" i="1"/>
  <c r="N2975" i="1"/>
  <c r="O2975" i="1"/>
  <c r="M2976" i="1"/>
  <c r="N2976" i="1"/>
  <c r="O2976" i="1"/>
  <c r="M2977" i="1"/>
  <c r="N2977" i="1"/>
  <c r="O2977" i="1"/>
  <c r="M2978" i="1"/>
  <c r="N2978" i="1"/>
  <c r="O2978" i="1"/>
  <c r="M2979" i="1"/>
  <c r="N2979" i="1"/>
  <c r="O2979" i="1"/>
  <c r="M2980" i="1"/>
  <c r="N2980" i="1"/>
  <c r="O2980" i="1"/>
  <c r="M2981" i="1"/>
  <c r="N2981" i="1"/>
  <c r="O2981" i="1"/>
  <c r="M2982" i="1"/>
  <c r="N2982" i="1"/>
  <c r="O2982" i="1"/>
  <c r="M2983" i="1"/>
  <c r="N2983" i="1"/>
  <c r="O2983" i="1"/>
  <c r="M2984" i="1"/>
  <c r="N2984" i="1"/>
  <c r="O2984" i="1"/>
  <c r="M2985" i="1"/>
  <c r="N2985" i="1"/>
  <c r="O2985" i="1"/>
  <c r="M2986" i="1"/>
  <c r="N2986" i="1"/>
  <c r="O2986" i="1"/>
  <c r="M2987" i="1"/>
  <c r="N2987" i="1"/>
  <c r="O2987" i="1"/>
  <c r="M2988" i="1"/>
  <c r="N2988" i="1"/>
  <c r="O2988" i="1"/>
  <c r="M2989" i="1"/>
  <c r="N2989" i="1"/>
  <c r="O2989" i="1"/>
  <c r="M2990" i="1"/>
  <c r="N2990" i="1"/>
  <c r="O2990" i="1"/>
  <c r="M2991" i="1"/>
  <c r="N2991" i="1"/>
  <c r="O2991" i="1"/>
  <c r="M2992" i="1"/>
  <c r="N2992" i="1"/>
  <c r="O2992" i="1"/>
  <c r="M2993" i="1"/>
  <c r="N2993" i="1"/>
  <c r="O2993" i="1"/>
  <c r="M2994" i="1"/>
  <c r="N2994" i="1"/>
  <c r="O2994" i="1"/>
  <c r="M2995" i="1"/>
  <c r="N2995" i="1"/>
  <c r="O2995" i="1"/>
  <c r="M2996" i="1"/>
  <c r="N2996" i="1"/>
  <c r="O2996" i="1"/>
  <c r="M2997" i="1"/>
  <c r="N2997" i="1"/>
  <c r="O2997" i="1"/>
  <c r="M2998" i="1"/>
  <c r="N2998" i="1"/>
  <c r="O2998" i="1"/>
  <c r="M2999" i="1"/>
  <c r="N2999" i="1"/>
  <c r="O2999" i="1"/>
  <c r="M3000" i="1"/>
  <c r="N3000" i="1"/>
  <c r="O3000" i="1"/>
  <c r="M3001" i="1"/>
  <c r="N3001" i="1"/>
  <c r="O3001" i="1"/>
  <c r="M3002" i="1"/>
  <c r="N3002" i="1"/>
  <c r="O3002" i="1"/>
  <c r="M3003" i="1"/>
  <c r="N3003" i="1"/>
  <c r="O3003" i="1"/>
  <c r="M3004" i="1"/>
  <c r="N3004" i="1"/>
  <c r="O3004" i="1"/>
  <c r="M3005" i="1"/>
  <c r="N3005" i="1"/>
  <c r="O3005" i="1"/>
  <c r="M3006" i="1"/>
  <c r="N3006" i="1"/>
  <c r="O3006" i="1"/>
  <c r="M3007" i="1"/>
  <c r="N3007" i="1"/>
  <c r="O3007" i="1"/>
  <c r="M3008" i="1"/>
  <c r="N3008" i="1"/>
  <c r="O3008" i="1"/>
  <c r="M3009" i="1"/>
  <c r="N3009" i="1"/>
  <c r="O3009" i="1"/>
  <c r="M3010" i="1"/>
  <c r="N3010" i="1"/>
  <c r="O3010" i="1"/>
  <c r="M3011" i="1"/>
  <c r="N3011" i="1"/>
  <c r="O3011" i="1"/>
  <c r="M3012" i="1"/>
  <c r="N3012" i="1"/>
  <c r="O3012" i="1"/>
  <c r="M3013" i="1"/>
  <c r="N3013" i="1"/>
  <c r="O3013" i="1"/>
  <c r="M3014" i="1"/>
  <c r="N3014" i="1"/>
  <c r="O3014" i="1"/>
  <c r="M3015" i="1"/>
  <c r="N3015" i="1"/>
  <c r="O3015" i="1"/>
  <c r="M3016" i="1"/>
  <c r="N3016" i="1"/>
  <c r="O3016" i="1"/>
  <c r="M3017" i="1"/>
  <c r="N3017" i="1"/>
  <c r="O3017" i="1"/>
  <c r="M3018" i="1"/>
  <c r="N3018" i="1"/>
  <c r="O3018" i="1"/>
  <c r="M3019" i="1"/>
  <c r="N3019" i="1"/>
  <c r="O3019" i="1"/>
  <c r="M3020" i="1"/>
  <c r="N3020" i="1"/>
  <c r="O3020" i="1"/>
  <c r="M3021" i="1"/>
  <c r="N3021" i="1"/>
  <c r="O3021" i="1"/>
  <c r="M3022" i="1"/>
  <c r="N3022" i="1"/>
  <c r="O3022" i="1"/>
  <c r="M3023" i="1"/>
  <c r="N3023" i="1"/>
  <c r="O3023" i="1"/>
  <c r="M3024" i="1"/>
  <c r="N3024" i="1"/>
  <c r="O3024" i="1"/>
  <c r="M3025" i="1"/>
  <c r="N3025" i="1"/>
  <c r="O3025" i="1"/>
  <c r="M3026" i="1"/>
  <c r="N3026" i="1"/>
  <c r="O3026" i="1"/>
  <c r="M3027" i="1"/>
  <c r="N3027" i="1"/>
  <c r="O3027" i="1"/>
  <c r="M3028" i="1"/>
  <c r="N3028" i="1"/>
  <c r="O3028" i="1"/>
  <c r="M3029" i="1"/>
  <c r="N3029" i="1"/>
  <c r="O3029" i="1"/>
  <c r="M3030" i="1"/>
  <c r="N3030" i="1"/>
  <c r="O3030" i="1"/>
  <c r="M3031" i="1"/>
  <c r="N3031" i="1"/>
  <c r="O3031" i="1"/>
  <c r="M3032" i="1"/>
  <c r="N3032" i="1"/>
  <c r="O3032" i="1"/>
  <c r="M3033" i="1"/>
  <c r="N3033" i="1"/>
  <c r="O3033" i="1"/>
  <c r="M3034" i="1"/>
  <c r="N3034" i="1"/>
  <c r="O3034" i="1"/>
  <c r="M3035" i="1"/>
  <c r="N3035" i="1"/>
  <c r="O3035" i="1"/>
  <c r="M3036" i="1"/>
  <c r="N3036" i="1"/>
  <c r="O3036" i="1"/>
  <c r="M3037" i="1"/>
  <c r="N3037" i="1"/>
  <c r="O3037" i="1"/>
  <c r="M3038" i="1"/>
  <c r="N3038" i="1"/>
  <c r="O3038" i="1"/>
  <c r="M3039" i="1"/>
  <c r="N3039" i="1"/>
  <c r="O3039" i="1"/>
  <c r="M3040" i="1"/>
  <c r="N3040" i="1"/>
  <c r="O3040" i="1"/>
  <c r="M3041" i="1"/>
  <c r="N3041" i="1"/>
  <c r="O3041" i="1"/>
  <c r="M3042" i="1"/>
  <c r="N3042" i="1"/>
  <c r="O3042" i="1"/>
  <c r="M3043" i="1"/>
  <c r="N3043" i="1"/>
  <c r="O3043" i="1"/>
  <c r="M3044" i="1"/>
  <c r="N3044" i="1"/>
  <c r="O3044" i="1"/>
  <c r="M3045" i="1"/>
  <c r="N3045" i="1"/>
  <c r="O3045" i="1"/>
  <c r="M3046" i="1"/>
  <c r="N3046" i="1"/>
  <c r="O3046" i="1"/>
  <c r="M3047" i="1"/>
  <c r="N3047" i="1"/>
  <c r="O3047" i="1"/>
  <c r="M3048" i="1"/>
  <c r="N3048" i="1"/>
  <c r="O3048" i="1"/>
  <c r="M3049" i="1"/>
  <c r="N3049" i="1"/>
  <c r="O3049" i="1"/>
  <c r="M3050" i="1"/>
  <c r="N3050" i="1"/>
  <c r="O3050" i="1"/>
  <c r="M3051" i="1"/>
  <c r="N3051" i="1"/>
  <c r="O3051" i="1"/>
  <c r="M3052" i="1"/>
  <c r="N3052" i="1"/>
  <c r="O3052" i="1"/>
  <c r="M3053" i="1"/>
  <c r="N3053" i="1"/>
  <c r="O3053" i="1"/>
  <c r="M3054" i="1"/>
  <c r="N3054" i="1"/>
  <c r="O3054" i="1"/>
  <c r="M3055" i="1"/>
  <c r="N3055" i="1"/>
  <c r="O3055" i="1"/>
  <c r="M3056" i="1"/>
  <c r="N3056" i="1"/>
  <c r="O3056" i="1"/>
  <c r="M3057" i="1"/>
  <c r="N3057" i="1"/>
  <c r="O3057" i="1"/>
  <c r="M3058" i="1"/>
  <c r="N3058" i="1"/>
  <c r="O3058" i="1"/>
  <c r="M3059" i="1"/>
  <c r="N3059" i="1"/>
  <c r="O3059" i="1"/>
  <c r="M3060" i="1"/>
  <c r="N3060" i="1"/>
  <c r="O3060" i="1"/>
  <c r="M3061" i="1"/>
  <c r="N3061" i="1"/>
  <c r="O3061" i="1"/>
  <c r="M3062" i="1"/>
  <c r="N3062" i="1"/>
  <c r="O3062" i="1"/>
  <c r="M3063" i="1"/>
  <c r="N3063" i="1"/>
  <c r="O3063" i="1"/>
  <c r="M3064" i="1"/>
  <c r="N3064" i="1"/>
  <c r="O3064" i="1"/>
  <c r="M3065" i="1"/>
  <c r="N3065" i="1"/>
  <c r="O3065" i="1"/>
  <c r="M3066" i="1"/>
  <c r="N3066" i="1"/>
  <c r="O3066" i="1"/>
  <c r="M3067" i="1"/>
  <c r="N3067" i="1"/>
  <c r="O3067" i="1"/>
  <c r="M3068" i="1"/>
  <c r="N3068" i="1"/>
  <c r="O3068" i="1"/>
  <c r="M3069" i="1"/>
  <c r="N3069" i="1"/>
  <c r="O3069" i="1"/>
  <c r="M3070" i="1"/>
  <c r="N3070" i="1"/>
  <c r="O3070" i="1"/>
  <c r="M3071" i="1"/>
  <c r="N3071" i="1"/>
  <c r="O3071" i="1"/>
  <c r="M3072" i="1"/>
  <c r="N3072" i="1"/>
  <c r="O3072" i="1"/>
  <c r="M3073" i="1"/>
  <c r="N3073" i="1"/>
  <c r="O3073" i="1"/>
  <c r="M3074" i="1"/>
  <c r="N3074" i="1"/>
  <c r="O3074" i="1"/>
  <c r="M3075" i="1"/>
  <c r="N3075" i="1"/>
  <c r="O3075" i="1"/>
  <c r="M3076" i="1"/>
  <c r="N3076" i="1"/>
  <c r="O3076" i="1"/>
  <c r="M3077" i="1"/>
  <c r="N3077" i="1"/>
  <c r="O3077" i="1"/>
  <c r="M3078" i="1"/>
  <c r="N3078" i="1"/>
  <c r="O3078" i="1"/>
  <c r="M3079" i="1"/>
  <c r="N3079" i="1"/>
  <c r="O3079" i="1"/>
  <c r="M3080" i="1"/>
  <c r="N3080" i="1"/>
  <c r="O3080" i="1"/>
  <c r="M3081" i="1"/>
  <c r="N3081" i="1"/>
  <c r="O3081" i="1"/>
  <c r="M3082" i="1"/>
  <c r="N3082" i="1"/>
  <c r="O3082" i="1"/>
  <c r="M3083" i="1"/>
  <c r="N3083" i="1"/>
  <c r="O3083" i="1"/>
  <c r="M3084" i="1"/>
  <c r="N3084" i="1"/>
  <c r="O3084" i="1"/>
  <c r="M3085" i="1"/>
  <c r="N3085" i="1"/>
  <c r="O3085" i="1"/>
  <c r="M3086" i="1"/>
  <c r="N3086" i="1"/>
  <c r="O3086" i="1"/>
  <c r="M3087" i="1"/>
  <c r="N3087" i="1"/>
  <c r="O3087" i="1"/>
  <c r="M3088" i="1"/>
  <c r="N3088" i="1"/>
  <c r="O3088" i="1"/>
  <c r="M3089" i="1"/>
  <c r="N3089" i="1"/>
  <c r="O3089" i="1"/>
  <c r="M3090" i="1"/>
  <c r="N3090" i="1"/>
  <c r="O3090" i="1"/>
  <c r="M3091" i="1"/>
  <c r="N3091" i="1"/>
  <c r="O3091" i="1"/>
  <c r="M3092" i="1"/>
  <c r="N3092" i="1"/>
  <c r="O3092" i="1"/>
  <c r="M3093" i="1"/>
  <c r="N3093" i="1"/>
  <c r="O3093" i="1"/>
  <c r="M3094" i="1"/>
  <c r="N3094" i="1"/>
  <c r="O3094" i="1"/>
  <c r="M3095" i="1"/>
  <c r="N3095" i="1"/>
  <c r="O3095" i="1"/>
  <c r="M3096" i="1"/>
  <c r="N3096" i="1"/>
  <c r="O3096" i="1"/>
  <c r="M3097" i="1"/>
  <c r="N3097" i="1"/>
  <c r="O3097" i="1"/>
  <c r="M3098" i="1"/>
  <c r="N3098" i="1"/>
  <c r="O3098" i="1"/>
  <c r="M3099" i="1"/>
  <c r="N3099" i="1"/>
  <c r="O3099" i="1"/>
  <c r="M3100" i="1"/>
  <c r="N3100" i="1"/>
  <c r="O3100" i="1"/>
  <c r="M3101" i="1"/>
  <c r="N3101" i="1"/>
  <c r="O3101" i="1"/>
  <c r="M3102" i="1"/>
  <c r="N3102" i="1"/>
  <c r="O3102" i="1"/>
  <c r="M3103" i="1"/>
  <c r="N3103" i="1"/>
  <c r="O3103" i="1"/>
  <c r="M3104" i="1"/>
  <c r="N3104" i="1"/>
  <c r="O3104" i="1"/>
  <c r="M3105" i="1"/>
  <c r="N3105" i="1"/>
  <c r="O3105" i="1"/>
  <c r="M3106" i="1"/>
  <c r="N3106" i="1"/>
  <c r="O3106" i="1"/>
  <c r="M3107" i="1"/>
  <c r="N3107" i="1"/>
  <c r="O3107" i="1"/>
  <c r="M3108" i="1"/>
  <c r="N3108" i="1"/>
  <c r="O3108" i="1"/>
  <c r="M3109" i="1"/>
  <c r="N3109" i="1"/>
  <c r="O3109" i="1"/>
  <c r="M3110" i="1"/>
  <c r="N3110" i="1"/>
  <c r="O3110" i="1"/>
  <c r="M3111" i="1"/>
  <c r="N3111" i="1"/>
  <c r="O3111" i="1"/>
  <c r="M3112" i="1"/>
  <c r="N3112" i="1"/>
  <c r="O3112" i="1"/>
  <c r="M3113" i="1"/>
  <c r="N3113" i="1"/>
  <c r="O3113" i="1"/>
  <c r="M3114" i="1"/>
  <c r="N3114" i="1"/>
  <c r="O3114" i="1"/>
  <c r="M3115" i="1"/>
  <c r="N3115" i="1"/>
  <c r="O3115" i="1"/>
  <c r="M3116" i="1"/>
  <c r="N3116" i="1"/>
  <c r="O3116" i="1"/>
  <c r="M3117" i="1"/>
  <c r="N3117" i="1"/>
  <c r="O3117" i="1"/>
  <c r="M3118" i="1"/>
  <c r="N3118" i="1"/>
  <c r="O3118" i="1"/>
  <c r="M3119" i="1"/>
  <c r="N3119" i="1"/>
  <c r="O3119" i="1"/>
  <c r="M3120" i="1"/>
  <c r="N3120" i="1"/>
  <c r="O3120" i="1"/>
  <c r="M3121" i="1"/>
  <c r="N3121" i="1"/>
  <c r="O3121" i="1"/>
  <c r="M3122" i="1"/>
  <c r="N3122" i="1"/>
  <c r="O3122" i="1"/>
  <c r="M3123" i="1"/>
  <c r="N3123" i="1"/>
  <c r="O3123" i="1"/>
  <c r="M3124" i="1"/>
  <c r="N3124" i="1"/>
  <c r="O3124" i="1"/>
  <c r="M3125" i="1"/>
  <c r="N3125" i="1"/>
  <c r="O3125" i="1"/>
  <c r="M3126" i="1"/>
  <c r="N3126" i="1"/>
  <c r="O3126" i="1"/>
  <c r="M3127" i="1"/>
  <c r="N3127" i="1"/>
  <c r="O3127" i="1"/>
  <c r="M3128" i="1"/>
  <c r="N3128" i="1"/>
  <c r="O3128" i="1"/>
  <c r="M3129" i="1"/>
  <c r="N3129" i="1"/>
  <c r="O3129" i="1"/>
  <c r="M3130" i="1"/>
  <c r="N3130" i="1"/>
  <c r="O3130" i="1"/>
  <c r="M3131" i="1"/>
  <c r="N3131" i="1"/>
  <c r="O3131" i="1"/>
  <c r="M3132" i="1"/>
  <c r="N3132" i="1"/>
  <c r="O3132" i="1"/>
  <c r="M3133" i="1"/>
  <c r="N3133" i="1"/>
  <c r="O3133" i="1"/>
  <c r="M3134" i="1"/>
  <c r="N3134" i="1"/>
  <c r="O3134" i="1"/>
  <c r="M3135" i="1"/>
  <c r="N3135" i="1"/>
  <c r="O3135" i="1"/>
  <c r="M3136" i="1"/>
  <c r="N3136" i="1"/>
  <c r="O3136" i="1"/>
  <c r="M3137" i="1"/>
  <c r="N3137" i="1"/>
  <c r="O3137" i="1"/>
  <c r="M3138" i="1"/>
  <c r="N3138" i="1"/>
  <c r="O3138" i="1"/>
  <c r="M3139" i="1"/>
  <c r="N3139" i="1"/>
  <c r="O3139" i="1"/>
  <c r="M3140" i="1"/>
  <c r="N3140" i="1"/>
  <c r="O3140" i="1"/>
  <c r="M3141" i="1"/>
  <c r="N3141" i="1"/>
  <c r="O3141" i="1"/>
  <c r="M3142" i="1"/>
  <c r="N3142" i="1"/>
  <c r="O3142" i="1"/>
  <c r="M3143" i="1"/>
  <c r="N3143" i="1"/>
  <c r="O3143" i="1"/>
  <c r="M3144" i="1"/>
  <c r="N3144" i="1"/>
  <c r="O3144" i="1"/>
  <c r="M3145" i="1"/>
  <c r="N3145" i="1"/>
  <c r="O3145" i="1"/>
  <c r="M3146" i="1"/>
  <c r="N3146" i="1"/>
  <c r="O3146" i="1"/>
  <c r="M3147" i="1"/>
  <c r="N3147" i="1"/>
  <c r="O3147" i="1"/>
  <c r="M3148" i="1"/>
  <c r="N3148" i="1"/>
  <c r="O3148" i="1"/>
  <c r="M3149" i="1"/>
  <c r="N3149" i="1"/>
  <c r="O3149" i="1"/>
  <c r="M3150" i="1"/>
  <c r="N3150" i="1"/>
  <c r="O3150" i="1"/>
  <c r="M3151" i="1"/>
  <c r="N3151" i="1"/>
  <c r="O3151" i="1"/>
  <c r="M3152" i="1"/>
  <c r="N3152" i="1"/>
  <c r="O3152" i="1"/>
  <c r="M3153" i="1"/>
  <c r="N3153" i="1"/>
  <c r="O3153" i="1"/>
  <c r="M3154" i="1"/>
  <c r="N3154" i="1"/>
  <c r="O3154" i="1"/>
  <c r="M3155" i="1"/>
  <c r="N3155" i="1"/>
  <c r="O3155" i="1"/>
  <c r="M3156" i="1"/>
  <c r="N3156" i="1"/>
  <c r="O3156" i="1"/>
  <c r="M3157" i="1"/>
  <c r="N3157" i="1"/>
  <c r="O3157" i="1"/>
  <c r="M3158" i="1"/>
  <c r="N3158" i="1"/>
  <c r="O3158" i="1"/>
  <c r="M3159" i="1"/>
  <c r="N3159" i="1"/>
  <c r="O3159" i="1"/>
  <c r="M3160" i="1"/>
  <c r="N3160" i="1"/>
  <c r="O3160" i="1"/>
  <c r="M3161" i="1"/>
  <c r="N3161" i="1"/>
  <c r="O3161" i="1"/>
  <c r="M3162" i="1"/>
  <c r="N3162" i="1"/>
  <c r="O3162" i="1"/>
  <c r="M3163" i="1"/>
  <c r="N3163" i="1"/>
  <c r="O3163" i="1"/>
  <c r="M3164" i="1"/>
  <c r="N3164" i="1"/>
  <c r="O3164" i="1"/>
  <c r="M3165" i="1"/>
  <c r="N3165" i="1"/>
  <c r="O3165" i="1"/>
  <c r="M3166" i="1"/>
  <c r="N3166" i="1"/>
  <c r="O3166" i="1"/>
  <c r="M3167" i="1"/>
  <c r="N3167" i="1"/>
  <c r="O3167" i="1"/>
  <c r="M3168" i="1"/>
  <c r="N3168" i="1"/>
  <c r="O3168" i="1"/>
  <c r="M3169" i="1"/>
  <c r="N3169" i="1"/>
  <c r="O3169" i="1"/>
  <c r="M3170" i="1"/>
  <c r="N3170" i="1"/>
  <c r="O3170" i="1"/>
  <c r="M3171" i="1"/>
  <c r="N3171" i="1"/>
  <c r="O3171" i="1"/>
  <c r="M3172" i="1"/>
  <c r="N3172" i="1"/>
  <c r="O3172" i="1"/>
  <c r="M3173" i="1"/>
  <c r="N3173" i="1"/>
  <c r="O3173" i="1"/>
  <c r="M3174" i="1"/>
  <c r="N3174" i="1"/>
  <c r="O3174" i="1"/>
  <c r="M3175" i="1"/>
  <c r="N3175" i="1"/>
  <c r="O3175" i="1"/>
  <c r="M3176" i="1"/>
  <c r="N3176" i="1"/>
  <c r="O3176" i="1"/>
  <c r="M3177" i="1"/>
  <c r="N3177" i="1"/>
  <c r="O3177" i="1"/>
  <c r="M3178" i="1"/>
  <c r="N3178" i="1"/>
  <c r="O3178" i="1"/>
  <c r="M3179" i="1"/>
  <c r="N3179" i="1"/>
  <c r="O3179" i="1"/>
  <c r="M3180" i="1"/>
  <c r="N3180" i="1"/>
  <c r="O3180" i="1"/>
  <c r="M3181" i="1"/>
  <c r="N3181" i="1"/>
  <c r="O3181" i="1"/>
  <c r="M3182" i="1"/>
  <c r="N3182" i="1"/>
  <c r="O3182" i="1"/>
  <c r="M3183" i="1"/>
  <c r="N3183" i="1"/>
  <c r="O3183" i="1"/>
  <c r="M3184" i="1"/>
  <c r="N3184" i="1"/>
  <c r="O3184" i="1"/>
  <c r="M3185" i="1"/>
  <c r="N3185" i="1"/>
  <c r="O3185" i="1"/>
  <c r="M3186" i="1"/>
  <c r="N3186" i="1"/>
  <c r="O3186" i="1"/>
  <c r="M3187" i="1"/>
  <c r="N3187" i="1"/>
  <c r="O3187" i="1"/>
  <c r="M3188" i="1"/>
  <c r="N3188" i="1"/>
  <c r="O3188" i="1"/>
  <c r="M3189" i="1"/>
  <c r="N3189" i="1"/>
  <c r="O3189" i="1"/>
  <c r="M3190" i="1"/>
  <c r="N3190" i="1"/>
  <c r="O3190" i="1"/>
  <c r="M3191" i="1"/>
  <c r="N3191" i="1"/>
  <c r="O3191" i="1"/>
  <c r="M3192" i="1"/>
  <c r="N3192" i="1"/>
  <c r="O3192" i="1"/>
  <c r="M3193" i="1"/>
  <c r="N3193" i="1"/>
  <c r="O3193" i="1"/>
  <c r="M3194" i="1"/>
  <c r="N3194" i="1"/>
  <c r="O3194" i="1"/>
  <c r="M3195" i="1"/>
  <c r="N3195" i="1"/>
  <c r="O3195" i="1"/>
  <c r="M3196" i="1"/>
  <c r="N3196" i="1"/>
  <c r="O3196" i="1"/>
  <c r="M3197" i="1"/>
  <c r="N3197" i="1"/>
  <c r="O3197" i="1"/>
  <c r="M3198" i="1"/>
  <c r="N3198" i="1"/>
  <c r="O3198" i="1"/>
  <c r="M3199" i="1"/>
  <c r="N3199" i="1"/>
  <c r="O3199" i="1"/>
  <c r="M3200" i="1"/>
  <c r="N3200" i="1"/>
  <c r="O3200" i="1"/>
  <c r="M3201" i="1"/>
  <c r="N3201" i="1"/>
  <c r="O3201" i="1"/>
  <c r="M3202" i="1"/>
  <c r="N3202" i="1"/>
  <c r="O3202" i="1"/>
  <c r="M3203" i="1"/>
  <c r="N3203" i="1"/>
  <c r="O3203" i="1"/>
  <c r="M3204" i="1"/>
  <c r="N3204" i="1"/>
  <c r="O3204" i="1"/>
  <c r="M3205" i="1"/>
  <c r="N3205" i="1"/>
  <c r="O3205" i="1"/>
  <c r="M3206" i="1"/>
  <c r="N3206" i="1"/>
  <c r="O3206" i="1"/>
  <c r="M3207" i="1"/>
  <c r="N3207" i="1"/>
  <c r="O3207" i="1"/>
  <c r="M3208" i="1"/>
  <c r="N3208" i="1"/>
  <c r="O3208" i="1"/>
  <c r="M3209" i="1"/>
  <c r="N3209" i="1"/>
  <c r="O3209" i="1"/>
  <c r="M3210" i="1"/>
  <c r="N3210" i="1"/>
  <c r="O3210" i="1"/>
  <c r="M3211" i="1"/>
  <c r="N3211" i="1"/>
  <c r="O3211" i="1"/>
  <c r="M3212" i="1"/>
  <c r="N3212" i="1"/>
  <c r="O3212" i="1"/>
  <c r="M3213" i="1"/>
  <c r="N3213" i="1"/>
  <c r="O3213" i="1"/>
  <c r="M3214" i="1"/>
  <c r="N3214" i="1"/>
  <c r="O3214" i="1"/>
  <c r="M3215" i="1"/>
  <c r="N3215" i="1"/>
  <c r="O3215" i="1"/>
  <c r="M3216" i="1"/>
  <c r="N3216" i="1"/>
  <c r="O3216" i="1"/>
  <c r="M3217" i="1"/>
  <c r="N3217" i="1"/>
  <c r="O3217" i="1"/>
  <c r="M3218" i="1"/>
  <c r="N3218" i="1"/>
  <c r="O3218" i="1"/>
  <c r="M3219" i="1"/>
  <c r="N3219" i="1"/>
  <c r="O3219" i="1"/>
  <c r="M3220" i="1"/>
  <c r="N3220" i="1"/>
  <c r="O3220" i="1"/>
  <c r="M3221" i="1"/>
  <c r="N3221" i="1"/>
  <c r="O3221" i="1"/>
  <c r="M3222" i="1"/>
  <c r="N3222" i="1"/>
  <c r="O3222" i="1"/>
  <c r="M3223" i="1"/>
  <c r="N3223" i="1"/>
  <c r="O3223" i="1"/>
  <c r="M3224" i="1"/>
  <c r="N3224" i="1"/>
  <c r="O3224" i="1"/>
  <c r="M3225" i="1"/>
  <c r="N3225" i="1"/>
  <c r="O3225" i="1"/>
  <c r="M3226" i="1"/>
  <c r="N3226" i="1"/>
  <c r="O3226" i="1"/>
  <c r="M3227" i="1"/>
  <c r="N3227" i="1"/>
  <c r="O3227" i="1"/>
  <c r="M3228" i="1"/>
  <c r="N3228" i="1"/>
  <c r="O3228" i="1"/>
  <c r="M3229" i="1"/>
  <c r="N3229" i="1"/>
  <c r="O3229" i="1"/>
  <c r="M3230" i="1"/>
  <c r="N3230" i="1"/>
  <c r="O3230" i="1"/>
  <c r="M3231" i="1"/>
  <c r="N3231" i="1"/>
  <c r="O3231" i="1"/>
  <c r="M3232" i="1"/>
  <c r="N3232" i="1"/>
  <c r="O3232" i="1"/>
  <c r="M3233" i="1"/>
  <c r="N3233" i="1"/>
  <c r="O3233" i="1"/>
  <c r="M3234" i="1"/>
  <c r="N3234" i="1"/>
  <c r="O3234" i="1"/>
  <c r="M3235" i="1"/>
  <c r="N3235" i="1"/>
  <c r="O3235" i="1"/>
  <c r="M3236" i="1"/>
  <c r="N3236" i="1"/>
  <c r="O3236" i="1"/>
  <c r="M3237" i="1"/>
  <c r="N3237" i="1"/>
  <c r="O3237" i="1"/>
  <c r="M3238" i="1"/>
  <c r="N3238" i="1"/>
  <c r="O3238" i="1"/>
  <c r="M3239" i="1"/>
  <c r="N3239" i="1"/>
  <c r="O3239" i="1"/>
  <c r="M3240" i="1"/>
  <c r="N3240" i="1"/>
  <c r="O3240" i="1"/>
  <c r="M3241" i="1"/>
  <c r="N3241" i="1"/>
  <c r="O3241" i="1"/>
  <c r="M3242" i="1"/>
  <c r="N3242" i="1"/>
  <c r="O3242" i="1"/>
  <c r="M3243" i="1"/>
  <c r="N3243" i="1"/>
  <c r="O3243" i="1"/>
  <c r="M3244" i="1"/>
  <c r="N3244" i="1"/>
  <c r="O3244" i="1"/>
  <c r="M3245" i="1"/>
  <c r="N3245" i="1"/>
  <c r="O3245" i="1"/>
  <c r="M3246" i="1"/>
  <c r="N3246" i="1"/>
  <c r="O3246" i="1"/>
  <c r="M3247" i="1"/>
  <c r="N3247" i="1"/>
  <c r="O3247" i="1"/>
  <c r="M3248" i="1"/>
  <c r="N3248" i="1"/>
  <c r="O3248" i="1"/>
  <c r="M3249" i="1"/>
  <c r="N3249" i="1"/>
  <c r="O3249" i="1"/>
  <c r="M3250" i="1"/>
  <c r="N3250" i="1"/>
  <c r="O3250" i="1"/>
  <c r="M3251" i="1"/>
  <c r="N3251" i="1"/>
  <c r="O3251" i="1"/>
  <c r="M3252" i="1"/>
  <c r="N3252" i="1"/>
  <c r="O3252" i="1"/>
  <c r="M3253" i="1"/>
  <c r="N3253" i="1"/>
  <c r="O3253" i="1"/>
  <c r="M3254" i="1"/>
  <c r="N3254" i="1"/>
  <c r="O3254" i="1"/>
  <c r="M3255" i="1"/>
  <c r="N3255" i="1"/>
  <c r="O3255" i="1"/>
  <c r="M3256" i="1"/>
  <c r="N3256" i="1"/>
  <c r="O3256" i="1"/>
  <c r="M3257" i="1"/>
  <c r="N3257" i="1"/>
  <c r="O3257" i="1"/>
  <c r="M3258" i="1"/>
  <c r="N3258" i="1"/>
  <c r="O3258" i="1"/>
  <c r="M3259" i="1"/>
  <c r="N3259" i="1"/>
  <c r="O3259" i="1"/>
  <c r="M3260" i="1"/>
  <c r="N3260" i="1"/>
  <c r="O3260" i="1"/>
  <c r="M3261" i="1"/>
  <c r="N3261" i="1"/>
  <c r="O3261" i="1"/>
  <c r="M3262" i="1"/>
  <c r="N3262" i="1"/>
  <c r="O3262" i="1"/>
  <c r="M3263" i="1"/>
  <c r="N3263" i="1"/>
  <c r="O3263" i="1"/>
  <c r="M3264" i="1"/>
  <c r="N3264" i="1"/>
  <c r="O3264" i="1"/>
  <c r="M3265" i="1"/>
  <c r="N3265" i="1"/>
  <c r="O3265" i="1"/>
  <c r="M3266" i="1"/>
  <c r="N3266" i="1"/>
  <c r="O3266" i="1"/>
  <c r="M3267" i="1"/>
  <c r="N3267" i="1"/>
  <c r="O3267" i="1"/>
  <c r="M3268" i="1"/>
  <c r="N3268" i="1"/>
  <c r="O3268" i="1"/>
  <c r="M3269" i="1"/>
  <c r="N3269" i="1"/>
  <c r="O3269" i="1"/>
  <c r="M3270" i="1"/>
  <c r="N3270" i="1"/>
  <c r="O3270" i="1"/>
  <c r="M3271" i="1"/>
  <c r="N3271" i="1"/>
  <c r="O3271" i="1"/>
  <c r="M3272" i="1"/>
  <c r="N3272" i="1"/>
  <c r="O3272" i="1"/>
  <c r="M3273" i="1"/>
  <c r="N3273" i="1"/>
  <c r="O3273" i="1"/>
  <c r="M3274" i="1"/>
  <c r="N3274" i="1"/>
  <c r="O3274" i="1"/>
  <c r="M3275" i="1"/>
  <c r="N3275" i="1"/>
  <c r="O3275" i="1"/>
  <c r="M3276" i="1"/>
  <c r="N3276" i="1"/>
  <c r="O3276" i="1"/>
  <c r="M3277" i="1"/>
  <c r="N3277" i="1"/>
  <c r="O3277" i="1"/>
  <c r="M3278" i="1"/>
  <c r="N3278" i="1"/>
  <c r="O3278" i="1"/>
  <c r="M3279" i="1"/>
  <c r="N3279" i="1"/>
  <c r="O3279" i="1"/>
  <c r="M3280" i="1"/>
  <c r="N3280" i="1"/>
  <c r="O3280" i="1"/>
  <c r="M3281" i="1"/>
  <c r="N3281" i="1"/>
  <c r="O3281" i="1"/>
  <c r="M3282" i="1"/>
  <c r="N3282" i="1"/>
  <c r="O3282" i="1"/>
  <c r="M3283" i="1"/>
  <c r="N3283" i="1"/>
  <c r="O3283" i="1"/>
  <c r="M3284" i="1"/>
  <c r="N3284" i="1"/>
  <c r="O3284" i="1"/>
  <c r="M3285" i="1"/>
  <c r="N3285" i="1"/>
  <c r="O3285" i="1"/>
  <c r="M3286" i="1"/>
  <c r="N3286" i="1"/>
  <c r="O3286" i="1"/>
  <c r="M3287" i="1"/>
  <c r="N3287" i="1"/>
  <c r="O3287" i="1"/>
  <c r="M3288" i="1"/>
  <c r="N3288" i="1"/>
  <c r="O3288" i="1"/>
  <c r="M3289" i="1"/>
  <c r="N3289" i="1"/>
  <c r="O3289" i="1"/>
  <c r="M3290" i="1"/>
  <c r="N3290" i="1"/>
  <c r="O3290" i="1"/>
  <c r="M3291" i="1"/>
  <c r="N3291" i="1"/>
  <c r="O3291" i="1"/>
  <c r="M3292" i="1"/>
  <c r="N3292" i="1"/>
  <c r="O3292" i="1"/>
  <c r="M3293" i="1"/>
  <c r="N3293" i="1"/>
  <c r="O3293" i="1"/>
  <c r="M3294" i="1"/>
  <c r="N3294" i="1"/>
  <c r="O3294" i="1"/>
  <c r="M3295" i="1"/>
  <c r="N3295" i="1"/>
  <c r="O3295" i="1"/>
  <c r="M3296" i="1"/>
  <c r="N3296" i="1"/>
  <c r="O3296" i="1"/>
  <c r="M3297" i="1"/>
  <c r="N3297" i="1"/>
  <c r="O3297" i="1"/>
  <c r="M3298" i="1"/>
  <c r="N3298" i="1"/>
  <c r="O3298" i="1"/>
  <c r="M3299" i="1"/>
  <c r="N3299" i="1"/>
  <c r="O3299" i="1"/>
  <c r="M3300" i="1"/>
  <c r="N3300" i="1"/>
  <c r="O3300" i="1"/>
  <c r="M3301" i="1"/>
  <c r="N3301" i="1"/>
  <c r="O3301" i="1"/>
  <c r="M3302" i="1"/>
  <c r="N3302" i="1"/>
  <c r="O3302" i="1"/>
  <c r="M3303" i="1"/>
  <c r="N3303" i="1"/>
  <c r="O3303" i="1"/>
  <c r="M3304" i="1"/>
  <c r="N3304" i="1"/>
  <c r="O3304" i="1"/>
  <c r="M3305" i="1"/>
  <c r="N3305" i="1"/>
  <c r="O3305" i="1"/>
  <c r="M3306" i="1"/>
  <c r="N3306" i="1"/>
  <c r="O3306" i="1"/>
  <c r="M3307" i="1"/>
  <c r="N3307" i="1"/>
  <c r="O3307" i="1"/>
  <c r="M3308" i="1"/>
  <c r="N3308" i="1"/>
  <c r="O3308" i="1"/>
  <c r="M3309" i="1"/>
  <c r="N3309" i="1"/>
  <c r="O3309" i="1"/>
  <c r="M3310" i="1"/>
  <c r="N3310" i="1"/>
  <c r="O3310" i="1"/>
  <c r="M3311" i="1"/>
  <c r="N3311" i="1"/>
  <c r="O3311" i="1"/>
  <c r="M3312" i="1"/>
  <c r="N3312" i="1"/>
  <c r="O3312" i="1"/>
  <c r="M3313" i="1"/>
  <c r="N3313" i="1"/>
  <c r="O3313" i="1"/>
  <c r="M3314" i="1"/>
  <c r="N3314" i="1"/>
  <c r="O3314" i="1"/>
  <c r="M3315" i="1"/>
  <c r="N3315" i="1"/>
  <c r="O3315" i="1"/>
  <c r="M3316" i="1"/>
  <c r="N3316" i="1"/>
  <c r="O3316" i="1"/>
  <c r="M3317" i="1"/>
  <c r="N3317" i="1"/>
  <c r="O3317" i="1"/>
  <c r="M3318" i="1"/>
  <c r="N3318" i="1"/>
  <c r="O3318" i="1"/>
  <c r="M3319" i="1"/>
  <c r="N3319" i="1"/>
  <c r="O3319" i="1"/>
  <c r="M3320" i="1"/>
  <c r="N3320" i="1"/>
  <c r="O3320" i="1"/>
  <c r="M3321" i="1"/>
  <c r="N3321" i="1"/>
  <c r="O3321" i="1"/>
  <c r="M3322" i="1"/>
  <c r="N3322" i="1"/>
  <c r="O3322" i="1"/>
  <c r="M3323" i="1"/>
  <c r="N3323" i="1"/>
  <c r="O3323" i="1"/>
  <c r="M3324" i="1"/>
  <c r="N3324" i="1"/>
  <c r="O3324" i="1"/>
  <c r="M3325" i="1"/>
  <c r="N3325" i="1"/>
  <c r="O3325" i="1"/>
  <c r="M3326" i="1"/>
  <c r="N3326" i="1"/>
  <c r="O3326" i="1"/>
  <c r="M3327" i="1"/>
  <c r="N3327" i="1"/>
  <c r="O3327" i="1"/>
  <c r="M3328" i="1"/>
  <c r="N3328" i="1"/>
  <c r="O3328" i="1"/>
  <c r="M3329" i="1"/>
  <c r="N3329" i="1"/>
  <c r="O3329" i="1"/>
  <c r="M3330" i="1"/>
  <c r="N3330" i="1"/>
  <c r="O3330" i="1"/>
  <c r="M3331" i="1"/>
  <c r="N3331" i="1"/>
  <c r="O3331" i="1"/>
  <c r="M3332" i="1"/>
  <c r="N3332" i="1"/>
  <c r="O3332" i="1"/>
  <c r="M3333" i="1"/>
  <c r="N3333" i="1"/>
  <c r="O3333" i="1"/>
  <c r="M3334" i="1"/>
  <c r="N3334" i="1"/>
  <c r="O3334" i="1"/>
  <c r="M3335" i="1"/>
  <c r="N3335" i="1"/>
  <c r="O3335" i="1"/>
  <c r="M3336" i="1"/>
  <c r="N3336" i="1"/>
  <c r="O3336" i="1"/>
  <c r="M3337" i="1"/>
  <c r="N3337" i="1"/>
  <c r="O3337" i="1"/>
  <c r="M3338" i="1"/>
  <c r="N3338" i="1"/>
  <c r="O3338" i="1"/>
  <c r="M3339" i="1"/>
  <c r="N3339" i="1"/>
  <c r="O3339" i="1"/>
  <c r="M3340" i="1"/>
  <c r="N3340" i="1"/>
  <c r="O3340" i="1"/>
  <c r="M3341" i="1"/>
  <c r="N3341" i="1"/>
  <c r="O3341" i="1"/>
  <c r="M3342" i="1"/>
  <c r="N3342" i="1"/>
  <c r="O3342" i="1"/>
  <c r="M3343" i="1"/>
  <c r="N3343" i="1"/>
  <c r="O3343" i="1"/>
  <c r="M3344" i="1"/>
  <c r="N3344" i="1"/>
  <c r="O3344" i="1"/>
  <c r="M3345" i="1"/>
  <c r="N3345" i="1"/>
  <c r="O3345" i="1"/>
  <c r="M3346" i="1"/>
  <c r="N3346" i="1"/>
  <c r="O3346" i="1"/>
  <c r="M3347" i="1"/>
  <c r="N3347" i="1"/>
  <c r="O3347" i="1"/>
  <c r="M3348" i="1"/>
  <c r="N3348" i="1"/>
  <c r="O3348" i="1"/>
  <c r="M3349" i="1"/>
  <c r="N3349" i="1"/>
  <c r="O3349" i="1"/>
  <c r="M3350" i="1"/>
  <c r="N3350" i="1"/>
  <c r="O3350" i="1"/>
  <c r="M3351" i="1"/>
  <c r="N3351" i="1"/>
  <c r="O3351" i="1"/>
  <c r="M3352" i="1"/>
  <c r="N3352" i="1"/>
  <c r="O3352" i="1"/>
  <c r="M3353" i="1"/>
  <c r="N3353" i="1"/>
  <c r="O3353" i="1"/>
  <c r="M3354" i="1"/>
  <c r="N3354" i="1"/>
  <c r="O3354" i="1"/>
  <c r="M3355" i="1"/>
  <c r="N3355" i="1"/>
  <c r="O3355" i="1"/>
  <c r="M3356" i="1"/>
  <c r="N3356" i="1"/>
  <c r="O3356" i="1"/>
  <c r="M3357" i="1"/>
  <c r="N3357" i="1"/>
  <c r="O3357" i="1"/>
  <c r="M3358" i="1"/>
  <c r="N3358" i="1"/>
  <c r="O3358" i="1"/>
  <c r="M3359" i="1"/>
  <c r="N3359" i="1"/>
  <c r="O3359" i="1"/>
  <c r="M3360" i="1"/>
  <c r="N3360" i="1"/>
  <c r="O3360" i="1"/>
  <c r="M3361" i="1"/>
  <c r="N3361" i="1"/>
  <c r="O3361" i="1"/>
  <c r="M3362" i="1"/>
  <c r="N3362" i="1"/>
  <c r="O3362" i="1"/>
  <c r="M3363" i="1"/>
  <c r="N3363" i="1"/>
  <c r="O3363" i="1"/>
  <c r="M3364" i="1"/>
  <c r="N3364" i="1"/>
  <c r="O3364" i="1"/>
  <c r="M3365" i="1"/>
  <c r="N3365" i="1"/>
  <c r="O3365" i="1"/>
  <c r="M3366" i="1"/>
  <c r="N3366" i="1"/>
  <c r="O3366" i="1"/>
  <c r="M3367" i="1"/>
  <c r="N3367" i="1"/>
  <c r="O3367" i="1"/>
  <c r="M3368" i="1"/>
  <c r="N3368" i="1"/>
  <c r="O3368" i="1"/>
  <c r="M3369" i="1"/>
  <c r="N3369" i="1"/>
  <c r="O3369" i="1"/>
  <c r="M3370" i="1"/>
  <c r="N3370" i="1"/>
  <c r="O3370" i="1"/>
  <c r="M3371" i="1"/>
  <c r="N3371" i="1"/>
  <c r="O3371" i="1"/>
  <c r="M3372" i="1"/>
  <c r="N3372" i="1"/>
  <c r="O3372" i="1"/>
  <c r="M3373" i="1"/>
  <c r="N3373" i="1"/>
  <c r="O3373" i="1"/>
  <c r="M3374" i="1"/>
  <c r="N3374" i="1"/>
  <c r="O3374" i="1"/>
  <c r="M3375" i="1"/>
  <c r="N3375" i="1"/>
  <c r="O3375" i="1"/>
  <c r="M3376" i="1"/>
  <c r="N3376" i="1"/>
  <c r="O3376" i="1"/>
  <c r="M3377" i="1"/>
  <c r="N3377" i="1"/>
  <c r="O3377" i="1"/>
  <c r="M3378" i="1"/>
  <c r="N3378" i="1"/>
  <c r="O3378" i="1"/>
  <c r="M3379" i="1"/>
  <c r="N3379" i="1"/>
  <c r="O3379" i="1"/>
  <c r="M3380" i="1"/>
  <c r="N3380" i="1"/>
  <c r="O3380" i="1"/>
  <c r="M3381" i="1"/>
  <c r="N3381" i="1"/>
  <c r="O3381" i="1"/>
  <c r="M3382" i="1"/>
  <c r="N3382" i="1"/>
  <c r="O3382" i="1"/>
  <c r="M3383" i="1"/>
  <c r="N3383" i="1"/>
  <c r="O3383" i="1"/>
  <c r="M3384" i="1"/>
  <c r="N3384" i="1"/>
  <c r="O3384" i="1"/>
  <c r="M3385" i="1"/>
  <c r="N3385" i="1"/>
  <c r="O3385" i="1"/>
  <c r="M3386" i="1"/>
  <c r="N3386" i="1"/>
  <c r="O3386" i="1"/>
  <c r="M3387" i="1"/>
  <c r="N3387" i="1"/>
  <c r="O3387" i="1"/>
  <c r="M3388" i="1"/>
  <c r="N3388" i="1"/>
  <c r="O3388" i="1"/>
  <c r="M3389" i="1"/>
  <c r="N3389" i="1"/>
  <c r="O3389" i="1"/>
  <c r="M3390" i="1"/>
  <c r="N3390" i="1"/>
  <c r="O3390" i="1"/>
  <c r="M3391" i="1"/>
  <c r="N3391" i="1"/>
  <c r="O3391" i="1"/>
  <c r="M3392" i="1"/>
  <c r="N3392" i="1"/>
  <c r="O3392" i="1"/>
  <c r="M3393" i="1"/>
  <c r="N3393" i="1"/>
  <c r="O3393" i="1"/>
  <c r="M3394" i="1"/>
  <c r="N3394" i="1"/>
  <c r="O3394" i="1"/>
  <c r="M3395" i="1"/>
  <c r="N3395" i="1"/>
  <c r="O3395" i="1"/>
  <c r="M3396" i="1"/>
  <c r="N3396" i="1"/>
  <c r="O3396" i="1"/>
  <c r="M3397" i="1"/>
  <c r="N3397" i="1"/>
  <c r="O3397" i="1"/>
  <c r="M3398" i="1"/>
  <c r="N3398" i="1"/>
  <c r="O3398" i="1"/>
  <c r="M3399" i="1"/>
  <c r="N3399" i="1"/>
  <c r="O3399" i="1"/>
  <c r="M3400" i="1"/>
  <c r="N3400" i="1"/>
  <c r="O3400" i="1"/>
  <c r="M3401" i="1"/>
  <c r="N3401" i="1"/>
  <c r="O3401" i="1"/>
  <c r="M3402" i="1"/>
  <c r="N3402" i="1"/>
  <c r="O3402" i="1"/>
  <c r="M3403" i="1"/>
  <c r="N3403" i="1"/>
  <c r="O3403" i="1"/>
  <c r="M3404" i="1"/>
  <c r="N3404" i="1"/>
  <c r="O3404" i="1"/>
  <c r="M3405" i="1"/>
  <c r="N3405" i="1"/>
  <c r="O3405" i="1"/>
  <c r="M3406" i="1"/>
  <c r="N3406" i="1"/>
  <c r="O3406" i="1"/>
  <c r="M3407" i="1"/>
  <c r="N3407" i="1"/>
  <c r="O3407" i="1"/>
  <c r="M3408" i="1"/>
  <c r="N3408" i="1"/>
  <c r="O3408" i="1"/>
  <c r="M3409" i="1"/>
  <c r="N3409" i="1"/>
  <c r="O3409" i="1"/>
  <c r="M3410" i="1"/>
  <c r="N3410" i="1"/>
  <c r="O3410" i="1"/>
  <c r="M3411" i="1"/>
  <c r="N3411" i="1"/>
  <c r="O3411" i="1"/>
  <c r="M3412" i="1"/>
  <c r="N3412" i="1"/>
  <c r="O3412" i="1"/>
  <c r="M3413" i="1"/>
  <c r="N3413" i="1"/>
  <c r="O3413" i="1"/>
  <c r="M3414" i="1"/>
  <c r="N3414" i="1"/>
  <c r="O3414" i="1"/>
  <c r="M3415" i="1"/>
  <c r="N3415" i="1"/>
  <c r="O3415" i="1"/>
  <c r="M3416" i="1"/>
  <c r="N3416" i="1"/>
  <c r="O3416" i="1"/>
  <c r="M3417" i="1"/>
  <c r="N3417" i="1"/>
  <c r="O3417" i="1"/>
  <c r="M3418" i="1"/>
  <c r="N3418" i="1"/>
  <c r="O3418" i="1"/>
  <c r="M3419" i="1"/>
  <c r="N3419" i="1"/>
  <c r="O3419" i="1"/>
  <c r="M3420" i="1"/>
  <c r="N3420" i="1"/>
  <c r="O3420" i="1"/>
  <c r="M3421" i="1"/>
  <c r="N3421" i="1"/>
  <c r="O3421" i="1"/>
  <c r="M3422" i="1"/>
  <c r="N3422" i="1"/>
  <c r="O3422" i="1"/>
  <c r="M3423" i="1"/>
  <c r="N3423" i="1"/>
  <c r="O3423" i="1"/>
  <c r="M3424" i="1"/>
  <c r="N3424" i="1"/>
  <c r="O3424" i="1"/>
  <c r="M3425" i="1"/>
  <c r="N3425" i="1"/>
  <c r="O3425" i="1"/>
  <c r="M3426" i="1"/>
  <c r="N3426" i="1"/>
  <c r="O3426" i="1"/>
  <c r="M3427" i="1"/>
  <c r="N3427" i="1"/>
  <c r="O3427" i="1"/>
  <c r="M3428" i="1"/>
  <c r="N3428" i="1"/>
  <c r="O3428" i="1"/>
  <c r="M3429" i="1"/>
  <c r="N3429" i="1"/>
  <c r="O3429" i="1"/>
  <c r="M3430" i="1"/>
  <c r="N3430" i="1"/>
  <c r="O3430" i="1"/>
  <c r="M3431" i="1"/>
  <c r="N3431" i="1"/>
  <c r="O3431" i="1"/>
  <c r="M3432" i="1"/>
  <c r="N3432" i="1"/>
  <c r="O3432" i="1"/>
  <c r="M3433" i="1"/>
  <c r="N3433" i="1"/>
  <c r="O3433" i="1"/>
  <c r="M3434" i="1"/>
  <c r="N3434" i="1"/>
  <c r="O3434" i="1"/>
  <c r="M3435" i="1"/>
  <c r="N3435" i="1"/>
  <c r="O3435" i="1"/>
  <c r="M3436" i="1"/>
  <c r="N3436" i="1"/>
  <c r="O3436" i="1"/>
  <c r="M3437" i="1"/>
  <c r="N3437" i="1"/>
  <c r="O3437" i="1"/>
  <c r="M3438" i="1"/>
  <c r="N3438" i="1"/>
  <c r="O3438" i="1"/>
  <c r="M3439" i="1"/>
  <c r="N3439" i="1"/>
  <c r="O3439" i="1"/>
  <c r="M3440" i="1"/>
  <c r="N3440" i="1"/>
  <c r="O3440" i="1"/>
  <c r="M3441" i="1"/>
  <c r="N3441" i="1"/>
  <c r="O3441" i="1"/>
  <c r="M3442" i="1"/>
  <c r="N3442" i="1"/>
  <c r="O3442" i="1"/>
  <c r="M3443" i="1"/>
  <c r="N3443" i="1"/>
  <c r="O3443" i="1"/>
  <c r="M3444" i="1"/>
  <c r="N3444" i="1"/>
  <c r="O3444" i="1"/>
  <c r="M3445" i="1"/>
  <c r="N3445" i="1"/>
  <c r="O3445" i="1"/>
  <c r="M3446" i="1"/>
  <c r="N3446" i="1"/>
  <c r="O3446" i="1"/>
  <c r="M3447" i="1"/>
  <c r="N3447" i="1"/>
  <c r="O3447" i="1"/>
  <c r="M3448" i="1"/>
  <c r="N3448" i="1"/>
  <c r="O3448" i="1"/>
  <c r="M3449" i="1"/>
  <c r="N3449" i="1"/>
  <c r="O3449" i="1"/>
  <c r="M3450" i="1"/>
  <c r="N3450" i="1"/>
  <c r="O3450" i="1"/>
  <c r="M3451" i="1"/>
  <c r="N3451" i="1"/>
  <c r="O3451" i="1"/>
  <c r="M3452" i="1"/>
  <c r="N3452" i="1"/>
  <c r="O3452" i="1"/>
  <c r="M3453" i="1"/>
  <c r="N3453" i="1"/>
  <c r="O3453" i="1"/>
  <c r="M3454" i="1"/>
  <c r="N3454" i="1"/>
  <c r="O3454" i="1"/>
  <c r="M3455" i="1"/>
  <c r="N3455" i="1"/>
  <c r="O3455" i="1"/>
  <c r="M3456" i="1"/>
  <c r="N3456" i="1"/>
  <c r="O3456" i="1"/>
  <c r="M3457" i="1"/>
  <c r="N3457" i="1"/>
  <c r="O3457" i="1"/>
  <c r="M3458" i="1"/>
  <c r="N3458" i="1"/>
  <c r="O3458" i="1"/>
  <c r="M3459" i="1"/>
  <c r="N3459" i="1"/>
  <c r="O3459" i="1"/>
  <c r="M3460" i="1"/>
  <c r="N3460" i="1"/>
  <c r="O3460" i="1"/>
  <c r="M3461" i="1"/>
  <c r="N3461" i="1"/>
  <c r="O3461" i="1"/>
  <c r="M3462" i="1"/>
  <c r="N3462" i="1"/>
  <c r="O3462" i="1"/>
  <c r="M3463" i="1"/>
  <c r="N3463" i="1"/>
  <c r="O3463" i="1"/>
  <c r="M3464" i="1"/>
  <c r="N3464" i="1"/>
  <c r="O3464" i="1"/>
  <c r="M3465" i="1"/>
  <c r="N3465" i="1"/>
  <c r="O3465" i="1"/>
  <c r="M3466" i="1"/>
  <c r="N3466" i="1"/>
  <c r="O3466" i="1"/>
  <c r="M3467" i="1"/>
  <c r="N3467" i="1"/>
  <c r="O3467" i="1"/>
  <c r="M3468" i="1"/>
  <c r="N3468" i="1"/>
  <c r="O3468" i="1"/>
  <c r="M3469" i="1"/>
  <c r="N3469" i="1"/>
  <c r="O3469" i="1"/>
  <c r="M3470" i="1"/>
  <c r="N3470" i="1"/>
  <c r="O3470" i="1"/>
  <c r="M3471" i="1"/>
  <c r="N3471" i="1"/>
  <c r="O3471" i="1"/>
  <c r="M3472" i="1"/>
  <c r="N3472" i="1"/>
  <c r="O3472" i="1"/>
  <c r="M3473" i="1"/>
  <c r="N3473" i="1"/>
  <c r="O3473" i="1"/>
  <c r="M3474" i="1"/>
  <c r="N3474" i="1"/>
  <c r="O3474" i="1"/>
  <c r="M3475" i="1"/>
  <c r="N3475" i="1"/>
  <c r="O3475" i="1"/>
  <c r="M3476" i="1"/>
  <c r="N3476" i="1"/>
  <c r="O3476" i="1"/>
  <c r="M3477" i="1"/>
  <c r="N3477" i="1"/>
  <c r="O3477" i="1"/>
  <c r="M3478" i="1"/>
  <c r="N3478" i="1"/>
  <c r="O3478" i="1"/>
  <c r="M3479" i="1"/>
  <c r="N3479" i="1"/>
  <c r="O3479" i="1"/>
  <c r="M3480" i="1"/>
  <c r="N3480" i="1"/>
  <c r="O3480" i="1"/>
  <c r="M3481" i="1"/>
  <c r="N3481" i="1"/>
  <c r="O3481" i="1"/>
  <c r="M3482" i="1"/>
  <c r="N3482" i="1"/>
  <c r="O3482" i="1"/>
  <c r="M3483" i="1"/>
  <c r="N3483" i="1"/>
  <c r="O3483" i="1"/>
  <c r="M3484" i="1"/>
  <c r="N3484" i="1"/>
  <c r="O3484" i="1"/>
  <c r="M3485" i="1"/>
  <c r="N3485" i="1"/>
  <c r="O3485" i="1"/>
  <c r="M3486" i="1"/>
  <c r="N3486" i="1"/>
  <c r="O3486" i="1"/>
  <c r="M3487" i="1"/>
  <c r="N3487" i="1"/>
  <c r="O3487" i="1"/>
  <c r="M3488" i="1"/>
  <c r="N3488" i="1"/>
  <c r="O3488" i="1"/>
  <c r="M3489" i="1"/>
  <c r="N3489" i="1"/>
  <c r="O3489" i="1"/>
  <c r="M3490" i="1"/>
  <c r="N3490" i="1"/>
  <c r="O3490" i="1"/>
  <c r="M3491" i="1"/>
  <c r="N3491" i="1"/>
  <c r="O3491" i="1"/>
  <c r="M3492" i="1"/>
  <c r="N3492" i="1"/>
  <c r="O3492" i="1"/>
  <c r="M3493" i="1"/>
  <c r="N3493" i="1"/>
  <c r="O3493" i="1"/>
  <c r="M3494" i="1"/>
  <c r="N3494" i="1"/>
  <c r="O3494" i="1"/>
  <c r="M3495" i="1"/>
  <c r="N3495" i="1"/>
  <c r="O3495" i="1"/>
  <c r="M3496" i="1"/>
  <c r="N3496" i="1"/>
  <c r="O3496" i="1"/>
  <c r="M3497" i="1"/>
  <c r="N3497" i="1"/>
  <c r="O3497" i="1"/>
  <c r="M3498" i="1"/>
  <c r="N3498" i="1"/>
  <c r="O3498" i="1"/>
  <c r="M3499" i="1"/>
  <c r="N3499" i="1"/>
  <c r="O3499" i="1"/>
  <c r="M3500" i="1"/>
  <c r="N3500" i="1"/>
  <c r="O3500" i="1"/>
  <c r="M3501" i="1"/>
  <c r="N3501" i="1"/>
  <c r="O3501" i="1"/>
  <c r="M3502" i="1"/>
  <c r="N3502" i="1"/>
  <c r="O3502" i="1"/>
  <c r="M3503" i="1"/>
  <c r="N3503" i="1"/>
  <c r="O3503" i="1"/>
  <c r="M3504" i="1"/>
  <c r="N3504" i="1"/>
  <c r="O3504" i="1"/>
  <c r="M3505" i="1"/>
  <c r="N3505" i="1"/>
  <c r="O3505" i="1"/>
  <c r="M3506" i="1"/>
  <c r="N3506" i="1"/>
  <c r="O3506" i="1"/>
  <c r="M3507" i="1"/>
  <c r="N3507" i="1"/>
  <c r="O3507" i="1"/>
  <c r="M3508" i="1"/>
  <c r="N3508" i="1"/>
  <c r="O3508" i="1"/>
  <c r="M3509" i="1"/>
  <c r="N3509" i="1"/>
  <c r="O3509" i="1"/>
  <c r="M3510" i="1"/>
  <c r="N3510" i="1"/>
  <c r="O3510" i="1"/>
  <c r="M3511" i="1"/>
  <c r="N3511" i="1"/>
  <c r="O3511" i="1"/>
  <c r="M3512" i="1"/>
  <c r="N3512" i="1"/>
  <c r="O3512" i="1"/>
  <c r="M3513" i="1"/>
  <c r="N3513" i="1"/>
  <c r="O3513" i="1"/>
  <c r="M3514" i="1"/>
  <c r="N3514" i="1"/>
  <c r="O3514" i="1"/>
  <c r="M3515" i="1"/>
  <c r="N3515" i="1"/>
  <c r="O3515" i="1"/>
  <c r="M3516" i="1"/>
  <c r="N3516" i="1"/>
  <c r="O3516" i="1"/>
  <c r="M3517" i="1"/>
  <c r="N3517" i="1"/>
  <c r="O3517" i="1"/>
  <c r="M3518" i="1"/>
  <c r="N3518" i="1"/>
  <c r="O3518" i="1"/>
  <c r="M3519" i="1"/>
  <c r="N3519" i="1"/>
  <c r="O3519" i="1"/>
  <c r="M3520" i="1"/>
  <c r="N3520" i="1"/>
  <c r="O3520" i="1"/>
  <c r="M3521" i="1"/>
  <c r="N3521" i="1"/>
  <c r="O3521" i="1"/>
  <c r="M3522" i="1"/>
  <c r="N3522" i="1"/>
  <c r="O3522" i="1"/>
  <c r="M3523" i="1"/>
  <c r="N3523" i="1"/>
  <c r="O3523" i="1"/>
  <c r="M3524" i="1"/>
  <c r="N3524" i="1"/>
  <c r="O3524" i="1"/>
  <c r="M3525" i="1"/>
  <c r="N3525" i="1"/>
  <c r="O3525" i="1"/>
  <c r="M3526" i="1"/>
  <c r="N3526" i="1"/>
  <c r="O3526" i="1"/>
  <c r="M3527" i="1"/>
  <c r="N3527" i="1"/>
  <c r="O3527" i="1"/>
  <c r="M3528" i="1"/>
  <c r="N3528" i="1"/>
  <c r="O3528" i="1"/>
  <c r="M3529" i="1"/>
  <c r="N3529" i="1"/>
  <c r="O3529" i="1"/>
  <c r="M3530" i="1"/>
  <c r="N3530" i="1"/>
  <c r="O3530" i="1"/>
  <c r="M3531" i="1"/>
  <c r="N3531" i="1"/>
  <c r="O3531" i="1"/>
  <c r="M3532" i="1"/>
  <c r="N3532" i="1"/>
  <c r="O3532" i="1"/>
  <c r="M3533" i="1"/>
  <c r="N3533" i="1"/>
  <c r="O3533" i="1"/>
  <c r="M3534" i="1"/>
  <c r="N3534" i="1"/>
  <c r="O3534" i="1"/>
  <c r="M3535" i="1"/>
  <c r="N3535" i="1"/>
  <c r="O3535" i="1"/>
  <c r="M3536" i="1"/>
  <c r="N3536" i="1"/>
  <c r="O3536" i="1"/>
  <c r="M3537" i="1"/>
  <c r="N3537" i="1"/>
  <c r="O3537" i="1"/>
  <c r="M3538" i="1"/>
  <c r="N3538" i="1"/>
  <c r="O3538" i="1"/>
  <c r="M3539" i="1"/>
  <c r="N3539" i="1"/>
  <c r="O3539" i="1"/>
  <c r="M3540" i="1"/>
  <c r="N3540" i="1"/>
  <c r="O3540" i="1"/>
  <c r="M3541" i="1"/>
  <c r="N3541" i="1"/>
  <c r="O3541" i="1"/>
  <c r="M3542" i="1"/>
  <c r="N3542" i="1"/>
  <c r="O3542" i="1"/>
  <c r="M3543" i="1"/>
  <c r="N3543" i="1"/>
  <c r="O3543" i="1"/>
  <c r="M3544" i="1"/>
  <c r="N3544" i="1"/>
  <c r="O3544" i="1"/>
  <c r="M3545" i="1"/>
  <c r="N3545" i="1"/>
  <c r="O3545" i="1"/>
  <c r="M3546" i="1"/>
  <c r="N3546" i="1"/>
  <c r="O3546" i="1"/>
  <c r="M3547" i="1"/>
  <c r="N3547" i="1"/>
  <c r="O3547" i="1"/>
  <c r="M3548" i="1"/>
  <c r="N3548" i="1"/>
  <c r="O3548" i="1"/>
  <c r="M3549" i="1"/>
  <c r="N3549" i="1"/>
  <c r="O3549" i="1"/>
  <c r="M3550" i="1"/>
  <c r="N3550" i="1"/>
  <c r="O3550" i="1"/>
  <c r="M3551" i="1"/>
  <c r="N3551" i="1"/>
  <c r="O3551" i="1"/>
  <c r="M3552" i="1"/>
  <c r="N3552" i="1"/>
  <c r="O3552" i="1"/>
  <c r="M3553" i="1"/>
  <c r="N3553" i="1"/>
  <c r="O3553" i="1"/>
  <c r="M3554" i="1"/>
  <c r="N3554" i="1"/>
  <c r="O3554" i="1"/>
  <c r="M3555" i="1"/>
  <c r="N3555" i="1"/>
  <c r="O3555" i="1"/>
  <c r="M3556" i="1"/>
  <c r="N3556" i="1"/>
  <c r="O3556" i="1"/>
  <c r="M3557" i="1"/>
  <c r="N3557" i="1"/>
  <c r="O3557" i="1"/>
  <c r="M3558" i="1"/>
  <c r="N3558" i="1"/>
  <c r="O3558" i="1"/>
  <c r="M3559" i="1"/>
  <c r="N3559" i="1"/>
  <c r="O3559" i="1"/>
  <c r="M3560" i="1"/>
  <c r="N3560" i="1"/>
  <c r="O3560" i="1"/>
  <c r="M3561" i="1"/>
  <c r="N3561" i="1"/>
  <c r="O3561" i="1"/>
  <c r="M3562" i="1"/>
  <c r="N3562" i="1"/>
  <c r="O3562" i="1"/>
  <c r="M3563" i="1"/>
  <c r="N3563" i="1"/>
  <c r="O3563" i="1"/>
  <c r="M3564" i="1"/>
  <c r="N3564" i="1"/>
  <c r="O3564" i="1"/>
  <c r="M3565" i="1"/>
  <c r="N3565" i="1"/>
  <c r="O3565" i="1"/>
  <c r="M3566" i="1"/>
  <c r="N3566" i="1"/>
  <c r="O3566" i="1"/>
  <c r="M3567" i="1"/>
  <c r="N3567" i="1"/>
  <c r="O3567" i="1"/>
  <c r="M3568" i="1"/>
  <c r="N3568" i="1"/>
  <c r="O3568" i="1"/>
  <c r="M3569" i="1"/>
  <c r="N3569" i="1"/>
  <c r="O3569" i="1"/>
  <c r="M3570" i="1"/>
  <c r="N3570" i="1"/>
  <c r="O3570" i="1"/>
  <c r="M3571" i="1"/>
  <c r="N3571" i="1"/>
  <c r="O3571" i="1"/>
  <c r="M3572" i="1"/>
  <c r="N3572" i="1"/>
  <c r="O3572" i="1"/>
  <c r="M3573" i="1"/>
  <c r="N3573" i="1"/>
  <c r="O3573" i="1"/>
  <c r="M3574" i="1"/>
  <c r="N3574" i="1"/>
  <c r="O3574" i="1"/>
  <c r="M3575" i="1"/>
  <c r="N3575" i="1"/>
  <c r="O3575" i="1"/>
  <c r="M3576" i="1"/>
  <c r="N3576" i="1"/>
  <c r="O3576" i="1"/>
  <c r="M3577" i="1"/>
  <c r="N3577" i="1"/>
  <c r="O3577" i="1"/>
  <c r="M3578" i="1"/>
  <c r="N3578" i="1"/>
  <c r="O3578" i="1"/>
  <c r="M3579" i="1"/>
  <c r="N3579" i="1"/>
  <c r="O3579" i="1"/>
  <c r="M3580" i="1"/>
  <c r="N3580" i="1"/>
  <c r="O3580" i="1"/>
  <c r="M3581" i="1"/>
  <c r="N3581" i="1"/>
  <c r="O3581" i="1"/>
  <c r="M3582" i="1"/>
  <c r="N3582" i="1"/>
  <c r="O3582" i="1"/>
  <c r="M3583" i="1"/>
  <c r="N3583" i="1"/>
  <c r="O3583" i="1"/>
  <c r="M3584" i="1"/>
  <c r="N3584" i="1"/>
  <c r="O3584" i="1"/>
  <c r="M3585" i="1"/>
  <c r="N3585" i="1"/>
  <c r="O3585" i="1"/>
  <c r="M3586" i="1"/>
  <c r="N3586" i="1"/>
  <c r="O3586" i="1"/>
  <c r="M3587" i="1"/>
  <c r="N3587" i="1"/>
  <c r="O3587" i="1"/>
  <c r="M3588" i="1"/>
  <c r="N3588" i="1"/>
  <c r="O3588" i="1"/>
  <c r="M3589" i="1"/>
  <c r="N3589" i="1"/>
  <c r="O3589" i="1"/>
  <c r="M3590" i="1"/>
  <c r="N3590" i="1"/>
  <c r="O3590" i="1"/>
  <c r="M3591" i="1"/>
  <c r="N3591" i="1"/>
  <c r="O3591" i="1"/>
  <c r="M3592" i="1"/>
  <c r="N3592" i="1"/>
  <c r="O3592" i="1"/>
  <c r="M3593" i="1"/>
  <c r="N3593" i="1"/>
  <c r="O3593" i="1"/>
  <c r="M3594" i="1"/>
  <c r="N3594" i="1"/>
  <c r="O3594" i="1"/>
  <c r="M3595" i="1"/>
  <c r="N3595" i="1"/>
  <c r="O3595" i="1"/>
  <c r="M3596" i="1"/>
  <c r="N3596" i="1"/>
  <c r="O3596" i="1"/>
  <c r="M3597" i="1"/>
  <c r="N3597" i="1"/>
  <c r="O3597" i="1"/>
  <c r="M3598" i="1"/>
  <c r="N3598" i="1"/>
  <c r="O3598" i="1"/>
  <c r="M3599" i="1"/>
  <c r="N3599" i="1"/>
  <c r="O3599" i="1"/>
  <c r="M3600" i="1"/>
  <c r="N3600" i="1"/>
  <c r="O3600" i="1"/>
  <c r="M3601" i="1"/>
  <c r="N3601" i="1"/>
  <c r="O3601" i="1"/>
  <c r="M3602" i="1"/>
  <c r="N3602" i="1"/>
  <c r="O3602" i="1"/>
  <c r="M3603" i="1"/>
  <c r="N3603" i="1"/>
  <c r="O3603" i="1"/>
  <c r="M3604" i="1"/>
  <c r="N3604" i="1"/>
  <c r="O3604" i="1"/>
  <c r="M3605" i="1"/>
  <c r="N3605" i="1"/>
  <c r="O3605" i="1"/>
  <c r="M3606" i="1"/>
  <c r="N3606" i="1"/>
  <c r="O3606" i="1"/>
  <c r="M3607" i="1"/>
  <c r="N3607" i="1"/>
  <c r="O3607" i="1"/>
  <c r="M3608" i="1"/>
  <c r="N3608" i="1"/>
  <c r="O3608" i="1"/>
  <c r="M3609" i="1"/>
  <c r="N3609" i="1"/>
  <c r="O3609" i="1"/>
  <c r="M3610" i="1"/>
  <c r="N3610" i="1"/>
  <c r="O3610" i="1"/>
  <c r="M3611" i="1"/>
  <c r="N3611" i="1"/>
  <c r="O3611" i="1"/>
  <c r="M3612" i="1"/>
  <c r="N3612" i="1"/>
  <c r="O3612" i="1"/>
  <c r="M3613" i="1"/>
  <c r="N3613" i="1"/>
  <c r="O3613" i="1"/>
  <c r="M3614" i="1"/>
  <c r="N3614" i="1"/>
  <c r="O3614" i="1"/>
  <c r="M3615" i="1"/>
  <c r="N3615" i="1"/>
  <c r="O3615" i="1"/>
  <c r="M3616" i="1"/>
  <c r="N3616" i="1"/>
  <c r="O3616" i="1"/>
  <c r="M3617" i="1"/>
  <c r="N3617" i="1"/>
  <c r="O3617" i="1"/>
  <c r="M3618" i="1"/>
  <c r="N3618" i="1"/>
  <c r="O3618" i="1"/>
  <c r="M3619" i="1"/>
  <c r="N3619" i="1"/>
  <c r="O3619" i="1"/>
  <c r="M3620" i="1"/>
  <c r="N3620" i="1"/>
  <c r="O3620" i="1"/>
  <c r="M3621" i="1"/>
  <c r="N3621" i="1"/>
  <c r="O3621" i="1"/>
  <c r="M3622" i="1"/>
  <c r="N3622" i="1"/>
  <c r="O3622" i="1"/>
  <c r="M3623" i="1"/>
  <c r="N3623" i="1"/>
  <c r="O3623" i="1"/>
  <c r="M3624" i="1"/>
  <c r="N3624" i="1"/>
  <c r="O3624" i="1"/>
  <c r="M3625" i="1"/>
  <c r="N3625" i="1"/>
  <c r="O3625" i="1"/>
  <c r="M3626" i="1"/>
  <c r="N3626" i="1"/>
  <c r="O3626" i="1"/>
  <c r="M3627" i="1"/>
  <c r="N3627" i="1"/>
  <c r="O3627" i="1"/>
  <c r="M3628" i="1"/>
  <c r="N3628" i="1"/>
  <c r="O3628" i="1"/>
  <c r="M3629" i="1"/>
  <c r="N3629" i="1"/>
  <c r="O3629" i="1"/>
  <c r="M3630" i="1"/>
  <c r="N3630" i="1"/>
  <c r="O3630" i="1"/>
  <c r="M3631" i="1"/>
  <c r="N3631" i="1"/>
  <c r="O3631" i="1"/>
  <c r="M3632" i="1"/>
  <c r="N3632" i="1"/>
  <c r="O3632" i="1"/>
  <c r="M3633" i="1"/>
  <c r="N3633" i="1"/>
  <c r="O3633" i="1"/>
  <c r="M3634" i="1"/>
  <c r="N3634" i="1"/>
  <c r="O3634" i="1"/>
  <c r="M3635" i="1"/>
  <c r="N3635" i="1"/>
  <c r="O3635" i="1"/>
  <c r="M3636" i="1"/>
  <c r="N3636" i="1"/>
  <c r="O3636" i="1"/>
  <c r="M3637" i="1"/>
  <c r="N3637" i="1"/>
  <c r="O3637" i="1"/>
  <c r="M3638" i="1"/>
  <c r="N3638" i="1"/>
  <c r="O3638" i="1"/>
  <c r="M3639" i="1"/>
  <c r="N3639" i="1"/>
  <c r="O3639" i="1"/>
  <c r="M3640" i="1"/>
  <c r="N3640" i="1"/>
  <c r="O3640" i="1"/>
  <c r="M3641" i="1"/>
  <c r="N3641" i="1"/>
  <c r="O3641" i="1"/>
  <c r="M3642" i="1"/>
  <c r="N3642" i="1"/>
  <c r="O3642" i="1"/>
  <c r="M3643" i="1"/>
  <c r="N3643" i="1"/>
  <c r="O3643" i="1"/>
  <c r="M3644" i="1"/>
  <c r="N3644" i="1"/>
  <c r="O3644" i="1"/>
  <c r="M3645" i="1"/>
  <c r="N3645" i="1"/>
  <c r="O3645" i="1"/>
  <c r="M3646" i="1"/>
  <c r="N3646" i="1"/>
  <c r="O3646" i="1"/>
  <c r="M3647" i="1"/>
  <c r="N3647" i="1"/>
  <c r="O3647" i="1"/>
  <c r="M3648" i="1"/>
  <c r="N3648" i="1"/>
  <c r="O3648" i="1"/>
  <c r="M3649" i="1"/>
  <c r="N3649" i="1"/>
  <c r="O3649" i="1"/>
  <c r="M3650" i="1"/>
  <c r="N3650" i="1"/>
  <c r="O3650" i="1"/>
  <c r="M3651" i="1"/>
  <c r="N3651" i="1"/>
  <c r="O3651" i="1"/>
  <c r="M3652" i="1"/>
  <c r="N3652" i="1"/>
  <c r="O3652" i="1"/>
  <c r="M3653" i="1"/>
  <c r="N3653" i="1"/>
  <c r="O3653" i="1"/>
  <c r="M3654" i="1"/>
  <c r="N3654" i="1"/>
  <c r="O3654" i="1"/>
  <c r="M3655" i="1"/>
  <c r="N3655" i="1"/>
  <c r="O3655" i="1"/>
  <c r="M3656" i="1"/>
  <c r="N3656" i="1"/>
  <c r="O3656" i="1"/>
  <c r="M3657" i="1"/>
  <c r="N3657" i="1"/>
  <c r="O3657" i="1"/>
  <c r="M3658" i="1"/>
  <c r="N3658" i="1"/>
  <c r="O3658" i="1"/>
  <c r="M3659" i="1"/>
  <c r="N3659" i="1"/>
  <c r="O3659" i="1"/>
  <c r="M3660" i="1"/>
  <c r="N3660" i="1"/>
  <c r="O3660" i="1"/>
  <c r="M3661" i="1"/>
  <c r="N3661" i="1"/>
  <c r="O3661" i="1"/>
  <c r="M3662" i="1"/>
  <c r="N3662" i="1"/>
  <c r="O3662" i="1"/>
  <c r="M3663" i="1"/>
  <c r="N3663" i="1"/>
  <c r="O3663" i="1"/>
  <c r="M3664" i="1"/>
  <c r="N3664" i="1"/>
  <c r="O3664" i="1"/>
  <c r="M3665" i="1"/>
  <c r="N3665" i="1"/>
  <c r="O3665" i="1"/>
  <c r="M3666" i="1"/>
  <c r="N3666" i="1"/>
  <c r="O3666" i="1"/>
  <c r="M3667" i="1"/>
  <c r="N3667" i="1"/>
  <c r="O3667" i="1"/>
  <c r="M3668" i="1"/>
  <c r="N3668" i="1"/>
  <c r="O3668" i="1"/>
  <c r="M3669" i="1"/>
  <c r="N3669" i="1"/>
  <c r="O3669" i="1"/>
  <c r="M3670" i="1"/>
  <c r="N3670" i="1"/>
  <c r="O3670" i="1"/>
  <c r="M3671" i="1"/>
  <c r="N3671" i="1"/>
  <c r="O3671" i="1"/>
  <c r="M3672" i="1"/>
  <c r="N3672" i="1"/>
  <c r="O3672" i="1"/>
  <c r="M3673" i="1"/>
  <c r="N3673" i="1"/>
  <c r="O3673" i="1"/>
  <c r="M3674" i="1"/>
  <c r="N3674" i="1"/>
  <c r="O3674" i="1"/>
  <c r="M3675" i="1"/>
  <c r="N3675" i="1"/>
  <c r="O3675" i="1"/>
  <c r="M3676" i="1"/>
  <c r="N3676" i="1"/>
  <c r="O3676" i="1"/>
  <c r="M3677" i="1"/>
  <c r="N3677" i="1"/>
  <c r="O3677" i="1"/>
  <c r="M3678" i="1"/>
  <c r="N3678" i="1"/>
  <c r="O3678" i="1"/>
  <c r="M3679" i="1"/>
  <c r="N3679" i="1"/>
  <c r="O3679" i="1"/>
  <c r="M3680" i="1"/>
  <c r="N3680" i="1"/>
  <c r="O3680" i="1"/>
  <c r="M3681" i="1"/>
  <c r="N3681" i="1"/>
  <c r="O3681" i="1"/>
  <c r="M3682" i="1"/>
  <c r="N3682" i="1"/>
  <c r="O3682" i="1"/>
  <c r="M3683" i="1"/>
  <c r="N3683" i="1"/>
  <c r="O3683" i="1"/>
  <c r="M3684" i="1"/>
  <c r="N3684" i="1"/>
  <c r="O3684" i="1"/>
  <c r="M3685" i="1"/>
  <c r="N3685" i="1"/>
  <c r="O3685" i="1"/>
  <c r="M3686" i="1"/>
  <c r="N3686" i="1"/>
  <c r="O3686" i="1"/>
  <c r="M3687" i="1"/>
  <c r="N3687" i="1"/>
  <c r="O3687" i="1"/>
  <c r="M3688" i="1"/>
  <c r="N3688" i="1"/>
  <c r="O3688" i="1"/>
  <c r="M3689" i="1"/>
  <c r="N3689" i="1"/>
  <c r="O3689" i="1"/>
  <c r="M3690" i="1"/>
  <c r="N3690" i="1"/>
  <c r="O3690" i="1"/>
  <c r="M3691" i="1"/>
  <c r="N3691" i="1"/>
  <c r="O3691" i="1"/>
  <c r="M3692" i="1"/>
  <c r="N3692" i="1"/>
  <c r="O3692" i="1"/>
  <c r="M3693" i="1"/>
  <c r="N3693" i="1"/>
  <c r="O3693" i="1"/>
  <c r="M3694" i="1"/>
  <c r="N3694" i="1"/>
  <c r="O3694" i="1"/>
  <c r="M3695" i="1"/>
  <c r="N3695" i="1"/>
  <c r="O3695" i="1"/>
  <c r="M3696" i="1"/>
  <c r="N3696" i="1"/>
  <c r="O3696" i="1"/>
  <c r="M3697" i="1"/>
  <c r="N3697" i="1"/>
  <c r="O3697" i="1"/>
  <c r="M3698" i="1"/>
  <c r="N3698" i="1"/>
  <c r="O3698" i="1"/>
  <c r="M3699" i="1"/>
  <c r="N3699" i="1"/>
  <c r="O3699" i="1"/>
  <c r="M3700" i="1"/>
  <c r="N3700" i="1"/>
  <c r="O3700" i="1"/>
  <c r="M3701" i="1"/>
  <c r="N3701" i="1"/>
  <c r="O3701" i="1"/>
  <c r="M3702" i="1"/>
  <c r="N3702" i="1"/>
  <c r="O3702" i="1"/>
  <c r="M3703" i="1"/>
  <c r="N3703" i="1"/>
  <c r="O3703" i="1"/>
  <c r="M3704" i="1"/>
  <c r="N3704" i="1"/>
  <c r="O3704" i="1"/>
  <c r="M3705" i="1"/>
  <c r="N3705" i="1"/>
  <c r="O3705" i="1"/>
  <c r="M3706" i="1"/>
  <c r="N3706" i="1"/>
  <c r="O3706" i="1"/>
  <c r="M3707" i="1"/>
  <c r="N3707" i="1"/>
  <c r="L3707" i="1" s="1"/>
  <c r="O3707" i="1"/>
  <c r="M3708" i="1"/>
  <c r="N3708" i="1"/>
  <c r="O3708" i="1"/>
  <c r="M3709" i="1"/>
  <c r="N3709" i="1"/>
  <c r="O3709" i="1"/>
  <c r="M3710" i="1"/>
  <c r="N3710" i="1"/>
  <c r="O3710" i="1"/>
  <c r="M3711" i="1"/>
  <c r="N3711" i="1"/>
  <c r="O3711" i="1"/>
  <c r="M3712" i="1"/>
  <c r="N3712" i="1"/>
  <c r="O3712" i="1"/>
  <c r="M3713" i="1"/>
  <c r="N3713" i="1"/>
  <c r="O3713" i="1"/>
  <c r="M3714" i="1"/>
  <c r="N3714" i="1"/>
  <c r="O3714" i="1"/>
  <c r="M3715" i="1"/>
  <c r="N3715" i="1"/>
  <c r="O3715" i="1"/>
  <c r="M3716" i="1"/>
  <c r="N3716" i="1"/>
  <c r="O3716" i="1"/>
  <c r="M3717" i="1"/>
  <c r="N3717" i="1"/>
  <c r="O3717" i="1"/>
  <c r="M3718" i="1"/>
  <c r="N3718" i="1"/>
  <c r="O3718" i="1"/>
  <c r="M3719" i="1"/>
  <c r="N3719" i="1"/>
  <c r="O3719" i="1"/>
  <c r="M3720" i="1"/>
  <c r="N3720" i="1"/>
  <c r="O3720" i="1"/>
  <c r="M3721" i="1"/>
  <c r="N3721" i="1"/>
  <c r="O3721" i="1"/>
  <c r="M3722" i="1"/>
  <c r="N3722" i="1"/>
  <c r="O3722" i="1"/>
  <c r="M3723" i="1"/>
  <c r="N3723" i="1"/>
  <c r="O3723" i="1"/>
  <c r="M3724" i="1"/>
  <c r="N3724" i="1"/>
  <c r="O3724" i="1"/>
  <c r="M3725" i="1"/>
  <c r="N3725" i="1"/>
  <c r="O3725" i="1"/>
  <c r="M3726" i="1"/>
  <c r="N3726" i="1"/>
  <c r="O3726" i="1"/>
  <c r="M3727" i="1"/>
  <c r="N3727" i="1"/>
  <c r="O3727" i="1"/>
  <c r="M3728" i="1"/>
  <c r="N3728" i="1"/>
  <c r="O3728" i="1"/>
  <c r="M3729" i="1"/>
  <c r="N3729" i="1"/>
  <c r="O3729" i="1"/>
  <c r="M3730" i="1"/>
  <c r="N3730" i="1"/>
  <c r="O3730" i="1"/>
  <c r="M3731" i="1"/>
  <c r="N3731" i="1"/>
  <c r="O3731" i="1"/>
  <c r="M3732" i="1"/>
  <c r="N3732" i="1"/>
  <c r="O3732" i="1"/>
  <c r="M3733" i="1"/>
  <c r="N3733" i="1"/>
  <c r="O3733" i="1"/>
  <c r="M3734" i="1"/>
  <c r="N3734" i="1"/>
  <c r="O3734" i="1"/>
  <c r="M3735" i="1"/>
  <c r="N3735" i="1"/>
  <c r="O3735" i="1"/>
  <c r="M3736" i="1"/>
  <c r="N3736" i="1"/>
  <c r="O3736" i="1"/>
  <c r="M3737" i="1"/>
  <c r="N3737" i="1"/>
  <c r="O3737" i="1"/>
  <c r="M3738" i="1"/>
  <c r="N3738" i="1"/>
  <c r="O3738" i="1"/>
  <c r="M3739" i="1"/>
  <c r="N3739" i="1"/>
  <c r="O3739" i="1"/>
  <c r="M3740" i="1"/>
  <c r="N3740" i="1"/>
  <c r="O3740" i="1"/>
  <c r="M3741" i="1"/>
  <c r="N3741" i="1"/>
  <c r="O3741" i="1"/>
  <c r="M3742" i="1"/>
  <c r="N3742" i="1"/>
  <c r="O3742" i="1"/>
  <c r="M3743" i="1"/>
  <c r="N3743" i="1"/>
  <c r="O3743" i="1"/>
  <c r="M3744" i="1"/>
  <c r="N3744" i="1"/>
  <c r="O3744" i="1"/>
  <c r="M3745" i="1"/>
  <c r="N3745" i="1"/>
  <c r="O3745" i="1"/>
  <c r="M3746" i="1"/>
  <c r="N3746" i="1"/>
  <c r="O3746" i="1"/>
  <c r="M3747" i="1"/>
  <c r="N3747" i="1"/>
  <c r="O3747" i="1"/>
  <c r="M3748" i="1"/>
  <c r="N3748" i="1"/>
  <c r="O3748" i="1"/>
  <c r="M3749" i="1"/>
  <c r="N3749" i="1"/>
  <c r="O3749" i="1"/>
  <c r="M3750" i="1"/>
  <c r="N3750" i="1"/>
  <c r="O3750" i="1"/>
  <c r="M3751" i="1"/>
  <c r="N3751" i="1"/>
  <c r="O3751" i="1"/>
  <c r="M3752" i="1"/>
  <c r="N3752" i="1"/>
  <c r="O3752" i="1"/>
  <c r="M3753" i="1"/>
  <c r="N3753" i="1"/>
  <c r="O3753" i="1"/>
  <c r="M3754" i="1"/>
  <c r="N3754" i="1"/>
  <c r="O3754" i="1"/>
  <c r="M3755" i="1"/>
  <c r="N3755" i="1"/>
  <c r="O3755" i="1"/>
  <c r="M3756" i="1"/>
  <c r="N3756" i="1"/>
  <c r="O3756" i="1"/>
  <c r="M3757" i="1"/>
  <c r="N3757" i="1"/>
  <c r="O3757" i="1"/>
  <c r="M3758" i="1"/>
  <c r="N3758" i="1"/>
  <c r="O3758" i="1"/>
  <c r="M3759" i="1"/>
  <c r="N3759" i="1"/>
  <c r="O3759" i="1"/>
  <c r="M3760" i="1"/>
  <c r="N3760" i="1"/>
  <c r="O3760" i="1"/>
  <c r="M3761" i="1"/>
  <c r="N3761" i="1"/>
  <c r="O3761" i="1"/>
  <c r="M3762" i="1"/>
  <c r="N3762" i="1"/>
  <c r="O3762" i="1"/>
  <c r="M3763" i="1"/>
  <c r="N3763" i="1"/>
  <c r="O3763" i="1"/>
  <c r="M3764" i="1"/>
  <c r="N3764" i="1"/>
  <c r="O3764" i="1"/>
  <c r="M3765" i="1"/>
  <c r="N3765" i="1"/>
  <c r="O3765" i="1"/>
  <c r="M3766" i="1"/>
  <c r="N3766" i="1"/>
  <c r="O3766" i="1"/>
  <c r="M3767" i="1"/>
  <c r="N3767" i="1"/>
  <c r="O3767" i="1"/>
  <c r="M3768" i="1"/>
  <c r="N3768" i="1"/>
  <c r="O3768" i="1"/>
  <c r="M3769" i="1"/>
  <c r="N3769" i="1"/>
  <c r="O3769" i="1"/>
  <c r="M3770" i="1"/>
  <c r="N3770" i="1"/>
  <c r="O3770" i="1"/>
  <c r="M3771" i="1"/>
  <c r="N3771" i="1"/>
  <c r="O3771" i="1"/>
  <c r="M3772" i="1"/>
  <c r="N3772" i="1"/>
  <c r="O3772" i="1"/>
  <c r="M3773" i="1"/>
  <c r="N3773" i="1"/>
  <c r="O3773" i="1"/>
  <c r="M3774" i="1"/>
  <c r="N3774" i="1"/>
  <c r="O3774" i="1"/>
  <c r="M3775" i="1"/>
  <c r="N3775" i="1"/>
  <c r="O3775" i="1"/>
  <c r="M3776" i="1"/>
  <c r="N3776" i="1"/>
  <c r="O3776" i="1"/>
  <c r="M3777" i="1"/>
  <c r="N3777" i="1"/>
  <c r="O3777" i="1"/>
  <c r="M3778" i="1"/>
  <c r="N3778" i="1"/>
  <c r="O3778" i="1"/>
  <c r="M3779" i="1"/>
  <c r="N3779" i="1"/>
  <c r="O3779" i="1"/>
  <c r="M3780" i="1"/>
  <c r="N3780" i="1"/>
  <c r="O3780" i="1"/>
  <c r="M3781" i="1"/>
  <c r="N3781" i="1"/>
  <c r="O3781" i="1"/>
  <c r="M3782" i="1"/>
  <c r="N3782" i="1"/>
  <c r="O3782" i="1"/>
  <c r="M3783" i="1"/>
  <c r="N3783" i="1"/>
  <c r="O3783" i="1"/>
  <c r="M3784" i="1"/>
  <c r="N3784" i="1"/>
  <c r="O3784" i="1"/>
  <c r="M3785" i="1"/>
  <c r="N3785" i="1"/>
  <c r="O3785" i="1"/>
  <c r="M3786" i="1"/>
  <c r="N3786" i="1"/>
  <c r="O3786" i="1"/>
  <c r="M3787" i="1"/>
  <c r="N3787" i="1"/>
  <c r="O3787" i="1"/>
  <c r="M3788" i="1"/>
  <c r="N3788" i="1"/>
  <c r="O3788" i="1"/>
  <c r="M3789" i="1"/>
  <c r="N3789" i="1"/>
  <c r="O3789" i="1"/>
  <c r="M3790" i="1"/>
  <c r="N3790" i="1"/>
  <c r="O3790" i="1"/>
  <c r="M3791" i="1"/>
  <c r="N3791" i="1"/>
  <c r="O3791" i="1"/>
  <c r="M3792" i="1"/>
  <c r="N3792" i="1"/>
  <c r="O3792" i="1"/>
  <c r="M3793" i="1"/>
  <c r="N3793" i="1"/>
  <c r="O3793" i="1"/>
  <c r="M3794" i="1"/>
  <c r="N3794" i="1"/>
  <c r="O3794" i="1"/>
  <c r="M3795" i="1"/>
  <c r="N3795" i="1"/>
  <c r="O3795" i="1"/>
  <c r="M3796" i="1"/>
  <c r="N3796" i="1"/>
  <c r="O3796" i="1"/>
  <c r="M3797" i="1"/>
  <c r="N3797" i="1"/>
  <c r="O3797" i="1"/>
  <c r="M3798" i="1"/>
  <c r="N3798" i="1"/>
  <c r="O3798" i="1"/>
  <c r="M3799" i="1"/>
  <c r="N3799" i="1"/>
  <c r="O3799" i="1"/>
  <c r="M3800" i="1"/>
  <c r="N3800" i="1"/>
  <c r="O3800" i="1"/>
  <c r="M3801" i="1"/>
  <c r="N3801" i="1"/>
  <c r="O3801" i="1"/>
  <c r="M3802" i="1"/>
  <c r="N3802" i="1"/>
  <c r="O3802" i="1"/>
  <c r="M3803" i="1"/>
  <c r="N3803" i="1"/>
  <c r="O3803" i="1"/>
  <c r="M3804" i="1"/>
  <c r="N3804" i="1"/>
  <c r="O3804" i="1"/>
  <c r="M3805" i="1"/>
  <c r="N3805" i="1"/>
  <c r="O3805" i="1"/>
  <c r="M3806" i="1"/>
  <c r="N3806" i="1"/>
  <c r="O3806" i="1"/>
  <c r="M3807" i="1"/>
  <c r="N3807" i="1"/>
  <c r="O3807" i="1"/>
  <c r="M3808" i="1"/>
  <c r="N3808" i="1"/>
  <c r="O3808" i="1"/>
  <c r="M3809" i="1"/>
  <c r="N3809" i="1"/>
  <c r="O3809" i="1"/>
  <c r="M3810" i="1"/>
  <c r="N3810" i="1"/>
  <c r="O3810" i="1"/>
  <c r="M3811" i="1"/>
  <c r="N3811" i="1"/>
  <c r="O3811" i="1"/>
  <c r="M3812" i="1"/>
  <c r="N3812" i="1"/>
  <c r="O3812" i="1"/>
  <c r="M3813" i="1"/>
  <c r="N3813" i="1"/>
  <c r="O3813" i="1"/>
  <c r="M3814" i="1"/>
  <c r="N3814" i="1"/>
  <c r="O3814" i="1"/>
  <c r="M3815" i="1"/>
  <c r="N3815" i="1"/>
  <c r="O3815" i="1"/>
  <c r="M3816" i="1"/>
  <c r="N3816" i="1"/>
  <c r="O3816" i="1"/>
  <c r="M3817" i="1"/>
  <c r="N3817" i="1"/>
  <c r="O3817" i="1"/>
  <c r="M3818" i="1"/>
  <c r="N3818" i="1"/>
  <c r="O3818" i="1"/>
  <c r="M3819" i="1"/>
  <c r="N3819" i="1"/>
  <c r="O3819" i="1"/>
  <c r="M3820" i="1"/>
  <c r="N3820" i="1"/>
  <c r="O3820" i="1"/>
  <c r="M3821" i="1"/>
  <c r="N3821" i="1"/>
  <c r="O3821" i="1"/>
  <c r="M3822" i="1"/>
  <c r="N3822" i="1"/>
  <c r="O3822" i="1"/>
  <c r="M3823" i="1"/>
  <c r="N3823" i="1"/>
  <c r="O3823" i="1"/>
  <c r="M3824" i="1"/>
  <c r="N3824" i="1"/>
  <c r="O3824" i="1"/>
  <c r="M3825" i="1"/>
  <c r="N3825" i="1"/>
  <c r="O3825" i="1"/>
  <c r="M3826" i="1"/>
  <c r="N3826" i="1"/>
  <c r="O3826" i="1"/>
  <c r="M3827" i="1"/>
  <c r="N3827" i="1"/>
  <c r="O3827" i="1"/>
  <c r="M3828" i="1"/>
  <c r="N3828" i="1"/>
  <c r="O3828" i="1"/>
  <c r="M3829" i="1"/>
  <c r="N3829" i="1"/>
  <c r="O3829" i="1"/>
  <c r="M3830" i="1"/>
  <c r="N3830" i="1"/>
  <c r="O3830" i="1"/>
  <c r="M3831" i="1"/>
  <c r="N3831" i="1"/>
  <c r="O3831" i="1"/>
  <c r="M3832" i="1"/>
  <c r="N3832" i="1"/>
  <c r="O3832" i="1"/>
  <c r="M3833" i="1"/>
  <c r="N3833" i="1"/>
  <c r="O3833" i="1"/>
  <c r="M3834" i="1"/>
  <c r="N3834" i="1"/>
  <c r="O3834" i="1"/>
  <c r="M3835" i="1"/>
  <c r="N3835" i="1"/>
  <c r="O3835" i="1"/>
  <c r="M3836" i="1"/>
  <c r="N3836" i="1"/>
  <c r="O3836" i="1"/>
  <c r="M3837" i="1"/>
  <c r="N3837" i="1"/>
  <c r="O3837" i="1"/>
  <c r="M3838" i="1"/>
  <c r="N3838" i="1"/>
  <c r="O3838" i="1"/>
  <c r="M3839" i="1"/>
  <c r="N3839" i="1"/>
  <c r="O3839" i="1"/>
  <c r="M3840" i="1"/>
  <c r="N3840" i="1"/>
  <c r="O3840" i="1"/>
  <c r="M3841" i="1"/>
  <c r="N3841" i="1"/>
  <c r="O3841" i="1"/>
  <c r="M3842" i="1"/>
  <c r="N3842" i="1"/>
  <c r="O3842" i="1"/>
  <c r="M3843" i="1"/>
  <c r="N3843" i="1"/>
  <c r="O3843" i="1"/>
  <c r="M3844" i="1"/>
  <c r="N3844" i="1"/>
  <c r="O3844" i="1"/>
  <c r="M3845" i="1"/>
  <c r="N3845" i="1"/>
  <c r="O3845" i="1"/>
  <c r="M3846" i="1"/>
  <c r="N3846" i="1"/>
  <c r="O3846" i="1"/>
  <c r="M3847" i="1"/>
  <c r="N3847" i="1"/>
  <c r="O3847" i="1"/>
  <c r="M3848" i="1"/>
  <c r="N3848" i="1"/>
  <c r="O3848" i="1"/>
  <c r="M3849" i="1"/>
  <c r="N3849" i="1"/>
  <c r="O3849" i="1"/>
  <c r="M3850" i="1"/>
  <c r="N3850" i="1"/>
  <c r="O3850" i="1"/>
  <c r="M3851" i="1"/>
  <c r="N3851" i="1"/>
  <c r="O3851" i="1"/>
  <c r="M3852" i="1"/>
  <c r="N3852" i="1"/>
  <c r="O3852" i="1"/>
  <c r="M3853" i="1"/>
  <c r="N3853" i="1"/>
  <c r="O3853" i="1"/>
  <c r="M3854" i="1"/>
  <c r="N3854" i="1"/>
  <c r="O3854" i="1"/>
  <c r="M3855" i="1"/>
  <c r="N3855" i="1"/>
  <c r="O3855" i="1"/>
  <c r="M3856" i="1"/>
  <c r="N3856" i="1"/>
  <c r="O3856" i="1"/>
  <c r="M3857" i="1"/>
  <c r="N3857" i="1"/>
  <c r="O3857" i="1"/>
  <c r="M3858" i="1"/>
  <c r="N3858" i="1"/>
  <c r="O3858" i="1"/>
  <c r="M3859" i="1"/>
  <c r="N3859" i="1"/>
  <c r="O3859" i="1"/>
  <c r="M3860" i="1"/>
  <c r="N3860" i="1"/>
  <c r="O3860" i="1"/>
  <c r="M3861" i="1"/>
  <c r="N3861" i="1"/>
  <c r="O3861" i="1"/>
  <c r="M3862" i="1"/>
  <c r="N3862" i="1"/>
  <c r="O3862" i="1"/>
  <c r="M3863" i="1"/>
  <c r="N3863" i="1"/>
  <c r="O3863" i="1"/>
  <c r="M3864" i="1"/>
  <c r="N3864" i="1"/>
  <c r="O3864" i="1"/>
  <c r="M3865" i="1"/>
  <c r="N3865" i="1"/>
  <c r="O3865" i="1"/>
  <c r="M3866" i="1"/>
  <c r="N3866" i="1"/>
  <c r="O3866" i="1"/>
  <c r="M3867" i="1"/>
  <c r="N3867" i="1"/>
  <c r="O3867" i="1"/>
  <c r="M3868" i="1"/>
  <c r="N3868" i="1"/>
  <c r="O3868" i="1"/>
  <c r="M3869" i="1"/>
  <c r="N3869" i="1"/>
  <c r="O3869" i="1"/>
  <c r="M3870" i="1"/>
  <c r="N3870" i="1"/>
  <c r="O3870" i="1"/>
  <c r="M3871" i="1"/>
  <c r="N3871" i="1"/>
  <c r="O3871" i="1"/>
  <c r="M3872" i="1"/>
  <c r="N3872" i="1"/>
  <c r="O3872" i="1"/>
  <c r="M3873" i="1"/>
  <c r="N3873" i="1"/>
  <c r="O3873" i="1"/>
  <c r="M3874" i="1"/>
  <c r="N3874" i="1"/>
  <c r="O3874" i="1"/>
  <c r="M3875" i="1"/>
  <c r="N3875" i="1"/>
  <c r="O3875" i="1"/>
  <c r="M3876" i="1"/>
  <c r="N3876" i="1"/>
  <c r="O3876" i="1"/>
  <c r="M3877" i="1"/>
  <c r="N3877" i="1"/>
  <c r="O3877" i="1"/>
  <c r="M3878" i="1"/>
  <c r="N3878" i="1"/>
  <c r="O3878" i="1"/>
  <c r="M3879" i="1"/>
  <c r="N3879" i="1"/>
  <c r="O3879" i="1"/>
  <c r="M3880" i="1"/>
  <c r="N3880" i="1"/>
  <c r="O3880" i="1"/>
  <c r="M3881" i="1"/>
  <c r="N3881" i="1"/>
  <c r="O3881" i="1"/>
  <c r="M3882" i="1"/>
  <c r="N3882" i="1"/>
  <c r="O3882" i="1"/>
  <c r="M3883" i="1"/>
  <c r="N3883" i="1"/>
  <c r="O3883" i="1"/>
  <c r="M3884" i="1"/>
  <c r="N3884" i="1"/>
  <c r="O3884" i="1"/>
  <c r="M3885" i="1"/>
  <c r="N3885" i="1"/>
  <c r="O3885" i="1"/>
  <c r="M3886" i="1"/>
  <c r="N3886" i="1"/>
  <c r="O3886" i="1"/>
  <c r="M3887" i="1"/>
  <c r="N3887" i="1"/>
  <c r="O3887" i="1"/>
  <c r="M3888" i="1"/>
  <c r="N3888" i="1"/>
  <c r="O3888" i="1"/>
  <c r="M3889" i="1"/>
  <c r="N3889" i="1"/>
  <c r="O3889" i="1"/>
  <c r="M3890" i="1"/>
  <c r="N3890" i="1"/>
  <c r="O3890" i="1"/>
  <c r="M3891" i="1"/>
  <c r="N3891" i="1"/>
  <c r="O3891" i="1"/>
  <c r="M3892" i="1"/>
  <c r="N3892" i="1"/>
  <c r="O3892" i="1"/>
  <c r="M3893" i="1"/>
  <c r="N3893" i="1"/>
  <c r="O3893" i="1"/>
  <c r="M3894" i="1"/>
  <c r="N3894" i="1"/>
  <c r="O3894" i="1"/>
  <c r="M3895" i="1"/>
  <c r="N3895" i="1"/>
  <c r="O3895" i="1"/>
  <c r="M3896" i="1"/>
  <c r="N3896" i="1"/>
  <c r="O3896" i="1"/>
  <c r="M3897" i="1"/>
  <c r="N3897" i="1"/>
  <c r="O3897" i="1"/>
  <c r="M3898" i="1"/>
  <c r="N3898" i="1"/>
  <c r="O3898" i="1"/>
  <c r="M3899" i="1"/>
  <c r="N3899" i="1"/>
  <c r="O3899" i="1"/>
  <c r="M3900" i="1"/>
  <c r="N3900" i="1"/>
  <c r="O3900" i="1"/>
  <c r="M3901" i="1"/>
  <c r="N3901" i="1"/>
  <c r="O3901" i="1"/>
  <c r="M3902" i="1"/>
  <c r="N3902" i="1"/>
  <c r="O3902" i="1"/>
  <c r="M3903" i="1"/>
  <c r="N3903" i="1"/>
  <c r="O3903" i="1"/>
  <c r="M3904" i="1"/>
  <c r="N3904" i="1"/>
  <c r="O3904" i="1"/>
  <c r="M3905" i="1"/>
  <c r="N3905" i="1"/>
  <c r="O3905" i="1"/>
  <c r="M3906" i="1"/>
  <c r="N3906" i="1"/>
  <c r="O3906" i="1"/>
  <c r="M3907" i="1"/>
  <c r="N3907" i="1"/>
  <c r="O3907" i="1"/>
  <c r="M3908" i="1"/>
  <c r="N3908" i="1"/>
  <c r="O3908" i="1"/>
  <c r="M3909" i="1"/>
  <c r="N3909" i="1"/>
  <c r="O3909" i="1"/>
  <c r="M3910" i="1"/>
  <c r="N3910" i="1"/>
  <c r="O3910" i="1"/>
  <c r="M3911" i="1"/>
  <c r="N3911" i="1"/>
  <c r="O3911" i="1"/>
  <c r="M3912" i="1"/>
  <c r="N3912" i="1"/>
  <c r="O3912" i="1"/>
  <c r="M3913" i="1"/>
  <c r="N3913" i="1"/>
  <c r="O3913" i="1"/>
  <c r="M3914" i="1"/>
  <c r="N3914" i="1"/>
  <c r="O3914" i="1"/>
  <c r="M3915" i="1"/>
  <c r="N3915" i="1"/>
  <c r="O3915" i="1"/>
  <c r="M3916" i="1"/>
  <c r="N3916" i="1"/>
  <c r="O3916" i="1"/>
  <c r="M3917" i="1"/>
  <c r="N3917" i="1"/>
  <c r="O3917" i="1"/>
  <c r="M3918" i="1"/>
  <c r="N3918" i="1"/>
  <c r="O3918" i="1"/>
  <c r="M3919" i="1"/>
  <c r="N3919" i="1"/>
  <c r="O3919" i="1"/>
  <c r="M3920" i="1"/>
  <c r="N3920" i="1"/>
  <c r="O3920" i="1"/>
  <c r="M3921" i="1"/>
  <c r="N3921" i="1"/>
  <c r="O3921" i="1"/>
  <c r="M3922" i="1"/>
  <c r="N3922" i="1"/>
  <c r="O3922" i="1"/>
  <c r="M3923" i="1"/>
  <c r="N3923" i="1"/>
  <c r="O3923" i="1"/>
  <c r="M3924" i="1"/>
  <c r="N3924" i="1"/>
  <c r="O3924" i="1"/>
  <c r="M3925" i="1"/>
  <c r="N3925" i="1"/>
  <c r="O3925" i="1"/>
  <c r="M3926" i="1"/>
  <c r="N3926" i="1"/>
  <c r="O3926" i="1"/>
  <c r="M3927" i="1"/>
  <c r="N3927" i="1"/>
  <c r="O3927" i="1"/>
  <c r="M3928" i="1"/>
  <c r="N3928" i="1"/>
  <c r="O3928" i="1"/>
  <c r="M3929" i="1"/>
  <c r="N3929" i="1"/>
  <c r="O3929" i="1"/>
  <c r="M3930" i="1"/>
  <c r="N3930" i="1"/>
  <c r="O3930" i="1"/>
  <c r="M3931" i="1"/>
  <c r="N3931" i="1"/>
  <c r="O3931" i="1"/>
  <c r="M3932" i="1"/>
  <c r="N3932" i="1"/>
  <c r="O3932" i="1"/>
  <c r="M3933" i="1"/>
  <c r="N3933" i="1"/>
  <c r="O3933" i="1"/>
  <c r="M3934" i="1"/>
  <c r="N3934" i="1"/>
  <c r="O3934" i="1"/>
  <c r="M3935" i="1"/>
  <c r="N3935" i="1"/>
  <c r="O3935" i="1"/>
  <c r="M3936" i="1"/>
  <c r="N3936" i="1"/>
  <c r="O3936" i="1"/>
  <c r="M3937" i="1"/>
  <c r="N3937" i="1"/>
  <c r="O3937" i="1"/>
  <c r="M3938" i="1"/>
  <c r="N3938" i="1"/>
  <c r="O3938" i="1"/>
  <c r="M3939" i="1"/>
  <c r="N3939" i="1"/>
  <c r="O3939" i="1"/>
  <c r="M3940" i="1"/>
  <c r="N3940" i="1"/>
  <c r="O3940" i="1"/>
  <c r="M3941" i="1"/>
  <c r="N3941" i="1"/>
  <c r="O3941" i="1"/>
  <c r="M3942" i="1"/>
  <c r="N3942" i="1"/>
  <c r="O3942" i="1"/>
  <c r="M3943" i="1"/>
  <c r="N3943" i="1"/>
  <c r="O3943" i="1"/>
  <c r="M3944" i="1"/>
  <c r="N3944" i="1"/>
  <c r="O3944" i="1"/>
  <c r="M3945" i="1"/>
  <c r="N3945" i="1"/>
  <c r="O3945" i="1"/>
  <c r="M3946" i="1"/>
  <c r="N3946" i="1"/>
  <c r="O3946" i="1"/>
  <c r="M3947" i="1"/>
  <c r="N3947" i="1"/>
  <c r="O3947" i="1"/>
  <c r="M3948" i="1"/>
  <c r="N3948" i="1"/>
  <c r="O3948" i="1"/>
  <c r="M3949" i="1"/>
  <c r="N3949" i="1"/>
  <c r="O3949" i="1"/>
  <c r="M3950" i="1"/>
  <c r="N3950" i="1"/>
  <c r="O3950" i="1"/>
  <c r="M3951" i="1"/>
  <c r="N3951" i="1"/>
  <c r="O3951" i="1"/>
  <c r="M3952" i="1"/>
  <c r="N3952" i="1"/>
  <c r="O3952" i="1"/>
  <c r="M3953" i="1"/>
  <c r="N3953" i="1"/>
  <c r="O3953" i="1"/>
  <c r="M3954" i="1"/>
  <c r="N3954" i="1"/>
  <c r="O3954" i="1"/>
  <c r="M3955" i="1"/>
  <c r="N3955" i="1"/>
  <c r="O3955" i="1"/>
  <c r="M3956" i="1"/>
  <c r="N3956" i="1"/>
  <c r="O3956" i="1"/>
  <c r="M3957" i="1"/>
  <c r="N3957" i="1"/>
  <c r="O3957" i="1"/>
  <c r="M3958" i="1"/>
  <c r="N3958" i="1"/>
  <c r="O3958" i="1"/>
  <c r="M3959" i="1"/>
  <c r="N3959" i="1"/>
  <c r="O3959" i="1"/>
  <c r="M3960" i="1"/>
  <c r="N3960" i="1"/>
  <c r="O3960" i="1"/>
  <c r="M3961" i="1"/>
  <c r="N3961" i="1"/>
  <c r="O3961" i="1"/>
  <c r="M3962" i="1"/>
  <c r="N3962" i="1"/>
  <c r="O3962" i="1"/>
  <c r="M3963" i="1"/>
  <c r="N3963" i="1"/>
  <c r="O3963" i="1"/>
  <c r="M3964" i="1"/>
  <c r="N3964" i="1"/>
  <c r="O3964" i="1"/>
  <c r="M3965" i="1"/>
  <c r="N3965" i="1"/>
  <c r="O3965" i="1"/>
  <c r="M3966" i="1"/>
  <c r="N3966" i="1"/>
  <c r="O3966" i="1"/>
  <c r="M3967" i="1"/>
  <c r="N3967" i="1"/>
  <c r="O3967" i="1"/>
  <c r="M3968" i="1"/>
  <c r="N3968" i="1"/>
  <c r="O3968" i="1"/>
  <c r="M3969" i="1"/>
  <c r="N3969" i="1"/>
  <c r="O3969" i="1"/>
  <c r="M3970" i="1"/>
  <c r="N3970" i="1"/>
  <c r="O3970" i="1"/>
  <c r="M3971" i="1"/>
  <c r="N3971" i="1"/>
  <c r="O3971" i="1"/>
  <c r="M3972" i="1"/>
  <c r="N3972" i="1"/>
  <c r="O3972" i="1"/>
  <c r="M3973" i="1"/>
  <c r="N3973" i="1"/>
  <c r="O3973" i="1"/>
  <c r="M3974" i="1"/>
  <c r="N3974" i="1"/>
  <c r="O3974" i="1"/>
  <c r="M3975" i="1"/>
  <c r="N3975" i="1"/>
  <c r="O3975" i="1"/>
  <c r="M3976" i="1"/>
  <c r="N3976" i="1"/>
  <c r="O3976" i="1"/>
  <c r="M3977" i="1"/>
  <c r="N3977" i="1"/>
  <c r="O3977" i="1"/>
  <c r="M3978" i="1"/>
  <c r="N3978" i="1"/>
  <c r="O3978" i="1"/>
  <c r="M3979" i="1"/>
  <c r="N3979" i="1"/>
  <c r="O3979" i="1"/>
  <c r="M3980" i="1"/>
  <c r="N3980" i="1"/>
  <c r="O3980" i="1"/>
  <c r="M3981" i="1"/>
  <c r="N3981" i="1"/>
  <c r="O3981" i="1"/>
  <c r="M3982" i="1"/>
  <c r="N3982" i="1"/>
  <c r="O3982" i="1"/>
  <c r="M3983" i="1"/>
  <c r="N3983" i="1"/>
  <c r="O3983" i="1"/>
  <c r="M3984" i="1"/>
  <c r="N3984" i="1"/>
  <c r="O3984" i="1"/>
  <c r="M3985" i="1"/>
  <c r="N3985" i="1"/>
  <c r="O3985" i="1"/>
  <c r="M3986" i="1"/>
  <c r="N3986" i="1"/>
  <c r="O3986" i="1"/>
  <c r="M3987" i="1"/>
  <c r="N3987" i="1"/>
  <c r="O3987" i="1"/>
  <c r="M3988" i="1"/>
  <c r="N3988" i="1"/>
  <c r="O3988" i="1"/>
  <c r="M3989" i="1"/>
  <c r="N3989" i="1"/>
  <c r="O3989" i="1"/>
  <c r="M3990" i="1"/>
  <c r="N3990" i="1"/>
  <c r="O3990" i="1"/>
  <c r="M3991" i="1"/>
  <c r="N3991" i="1"/>
  <c r="O3991" i="1"/>
  <c r="M3992" i="1"/>
  <c r="N3992" i="1"/>
  <c r="O3992" i="1"/>
  <c r="M3993" i="1"/>
  <c r="N3993" i="1"/>
  <c r="O3993" i="1"/>
  <c r="M3994" i="1"/>
  <c r="N3994" i="1"/>
  <c r="O3994" i="1"/>
  <c r="M3995" i="1"/>
  <c r="N3995" i="1"/>
  <c r="O3995" i="1"/>
  <c r="M3996" i="1"/>
  <c r="N3996" i="1"/>
  <c r="O3996" i="1"/>
  <c r="M3997" i="1"/>
  <c r="N3997" i="1"/>
  <c r="O3997" i="1"/>
  <c r="M3998" i="1"/>
  <c r="N3998" i="1"/>
  <c r="O3998" i="1"/>
  <c r="M3999" i="1"/>
  <c r="N3999" i="1"/>
  <c r="O3999" i="1"/>
  <c r="M4000" i="1"/>
  <c r="N4000" i="1"/>
  <c r="O4000" i="1"/>
  <c r="M4001" i="1"/>
  <c r="N4001" i="1"/>
  <c r="O4001" i="1"/>
  <c r="M4002" i="1"/>
  <c r="N4002" i="1"/>
  <c r="O4002" i="1"/>
  <c r="M4003" i="1"/>
  <c r="N4003" i="1"/>
  <c r="O4003" i="1"/>
  <c r="M4004" i="1"/>
  <c r="N4004" i="1"/>
  <c r="O4004" i="1"/>
  <c r="M4005" i="1"/>
  <c r="N4005" i="1"/>
  <c r="O4005" i="1"/>
  <c r="M4006" i="1"/>
  <c r="N4006" i="1"/>
  <c r="O4006" i="1"/>
  <c r="M4007" i="1"/>
  <c r="N4007" i="1"/>
  <c r="O4007" i="1"/>
  <c r="M4008" i="1"/>
  <c r="N4008" i="1"/>
  <c r="O4008" i="1"/>
  <c r="M4009" i="1"/>
  <c r="N4009" i="1"/>
  <c r="O4009" i="1"/>
  <c r="M4010" i="1"/>
  <c r="N4010" i="1"/>
  <c r="O4010" i="1"/>
  <c r="M4011" i="1"/>
  <c r="N4011" i="1"/>
  <c r="O4011" i="1"/>
  <c r="M4012" i="1"/>
  <c r="N4012" i="1"/>
  <c r="O4012" i="1"/>
  <c r="M4013" i="1"/>
  <c r="N4013" i="1"/>
  <c r="O4013" i="1"/>
  <c r="M4014" i="1"/>
  <c r="N4014" i="1"/>
  <c r="O4014" i="1"/>
  <c r="M4015" i="1"/>
  <c r="N4015" i="1"/>
  <c r="O4015" i="1"/>
  <c r="M4016" i="1"/>
  <c r="N4016" i="1"/>
  <c r="O4016" i="1"/>
  <c r="M4017" i="1"/>
  <c r="N4017" i="1"/>
  <c r="O4017" i="1"/>
  <c r="M4018" i="1"/>
  <c r="N4018" i="1"/>
  <c r="O4018" i="1"/>
  <c r="M4019" i="1"/>
  <c r="N4019" i="1"/>
  <c r="O4019" i="1"/>
  <c r="M4020" i="1"/>
  <c r="N4020" i="1"/>
  <c r="O4020" i="1"/>
  <c r="M4021" i="1"/>
  <c r="N4021" i="1"/>
  <c r="O4021" i="1"/>
  <c r="M4022" i="1"/>
  <c r="N4022" i="1"/>
  <c r="O4022" i="1"/>
  <c r="M4023" i="1"/>
  <c r="N4023" i="1"/>
  <c r="O4023" i="1"/>
  <c r="M4024" i="1"/>
  <c r="N4024" i="1"/>
  <c r="O4024" i="1"/>
  <c r="M4025" i="1"/>
  <c r="N4025" i="1"/>
  <c r="O4025" i="1"/>
  <c r="M4026" i="1"/>
  <c r="N4026" i="1"/>
  <c r="O4026" i="1"/>
  <c r="M4027" i="1"/>
  <c r="N4027" i="1"/>
  <c r="O4027" i="1"/>
  <c r="M4028" i="1"/>
  <c r="N4028" i="1"/>
  <c r="O4028" i="1"/>
  <c r="M4029" i="1"/>
  <c r="N4029" i="1"/>
  <c r="O4029" i="1"/>
  <c r="M4030" i="1"/>
  <c r="N4030" i="1"/>
  <c r="O4030" i="1"/>
  <c r="M4031" i="1"/>
  <c r="N4031" i="1"/>
  <c r="O4031" i="1"/>
  <c r="M4032" i="1"/>
  <c r="N4032" i="1"/>
  <c r="O4032" i="1"/>
  <c r="M4033" i="1"/>
  <c r="N4033" i="1"/>
  <c r="O4033" i="1"/>
  <c r="M4034" i="1"/>
  <c r="N4034" i="1"/>
  <c r="O4034" i="1"/>
  <c r="M4035" i="1"/>
  <c r="N4035" i="1"/>
  <c r="O4035" i="1"/>
  <c r="M4036" i="1"/>
  <c r="N4036" i="1"/>
  <c r="O4036" i="1"/>
  <c r="M4037" i="1"/>
  <c r="N4037" i="1"/>
  <c r="O4037" i="1"/>
  <c r="M4038" i="1"/>
  <c r="N4038" i="1"/>
  <c r="O4038" i="1"/>
  <c r="M4039" i="1"/>
  <c r="N4039" i="1"/>
  <c r="O4039" i="1"/>
  <c r="M4040" i="1"/>
  <c r="N4040" i="1"/>
  <c r="O4040" i="1"/>
  <c r="M4041" i="1"/>
  <c r="N4041" i="1"/>
  <c r="O4041" i="1"/>
  <c r="M4042" i="1"/>
  <c r="N4042" i="1"/>
  <c r="O4042" i="1"/>
  <c r="M4043" i="1"/>
  <c r="N4043" i="1"/>
  <c r="O4043" i="1"/>
  <c r="M4044" i="1"/>
  <c r="N4044" i="1"/>
  <c r="O4044" i="1"/>
  <c r="M4045" i="1"/>
  <c r="N4045" i="1"/>
  <c r="O4045" i="1"/>
  <c r="M4046" i="1"/>
  <c r="N4046" i="1"/>
  <c r="O4046" i="1"/>
  <c r="M4047" i="1"/>
  <c r="N4047" i="1"/>
  <c r="O4047" i="1"/>
  <c r="M4048" i="1"/>
  <c r="N4048" i="1"/>
  <c r="O4048" i="1"/>
  <c r="M4049" i="1"/>
  <c r="N4049" i="1"/>
  <c r="O4049" i="1"/>
  <c r="M4050" i="1"/>
  <c r="N4050" i="1"/>
  <c r="O4050" i="1"/>
  <c r="M4051" i="1"/>
  <c r="N4051" i="1"/>
  <c r="O4051" i="1"/>
  <c r="M4052" i="1"/>
  <c r="N4052" i="1"/>
  <c r="O4052" i="1"/>
  <c r="M4053" i="1"/>
  <c r="N4053" i="1"/>
  <c r="O4053" i="1"/>
  <c r="M4054" i="1"/>
  <c r="N4054" i="1"/>
  <c r="O4054" i="1"/>
  <c r="M4055" i="1"/>
  <c r="N4055" i="1"/>
  <c r="O4055" i="1"/>
  <c r="M4056" i="1"/>
  <c r="N4056" i="1"/>
  <c r="O4056" i="1"/>
  <c r="M4057" i="1"/>
  <c r="N4057" i="1"/>
  <c r="O4057" i="1"/>
  <c r="M4058" i="1"/>
  <c r="N4058" i="1"/>
  <c r="O4058" i="1"/>
  <c r="M4059" i="1"/>
  <c r="N4059" i="1"/>
  <c r="O4059" i="1"/>
  <c r="M4060" i="1"/>
  <c r="N4060" i="1"/>
  <c r="O4060" i="1"/>
  <c r="M4061" i="1"/>
  <c r="N4061" i="1"/>
  <c r="O4061" i="1"/>
  <c r="M4062" i="1"/>
  <c r="N4062" i="1"/>
  <c r="O4062" i="1"/>
  <c r="M4063" i="1"/>
  <c r="N4063" i="1"/>
  <c r="O4063" i="1"/>
  <c r="M4064" i="1"/>
  <c r="N4064" i="1"/>
  <c r="O4064" i="1"/>
  <c r="M4065" i="1"/>
  <c r="N4065" i="1"/>
  <c r="O4065" i="1"/>
  <c r="M4066" i="1"/>
  <c r="N4066" i="1"/>
  <c r="O4066" i="1"/>
  <c r="M4067" i="1"/>
  <c r="N4067" i="1"/>
  <c r="O4067" i="1"/>
  <c r="M4068" i="1"/>
  <c r="N4068" i="1"/>
  <c r="O4068" i="1"/>
  <c r="M4069" i="1"/>
  <c r="N4069" i="1"/>
  <c r="O4069" i="1"/>
  <c r="M4070" i="1"/>
  <c r="N4070" i="1"/>
  <c r="O4070" i="1"/>
  <c r="M4071" i="1"/>
  <c r="N4071" i="1"/>
  <c r="O4071" i="1"/>
  <c r="M4072" i="1"/>
  <c r="N4072" i="1"/>
  <c r="O4072" i="1"/>
  <c r="M4073" i="1"/>
  <c r="N4073" i="1"/>
  <c r="O4073" i="1"/>
  <c r="M4074" i="1"/>
  <c r="N4074" i="1"/>
  <c r="O4074" i="1"/>
  <c r="M4075" i="1"/>
  <c r="N4075" i="1"/>
  <c r="O4075" i="1"/>
  <c r="M4076" i="1"/>
  <c r="N4076" i="1"/>
  <c r="O4076" i="1"/>
  <c r="M4077" i="1"/>
  <c r="N4077" i="1"/>
  <c r="O4077" i="1"/>
  <c r="M4078" i="1"/>
  <c r="N4078" i="1"/>
  <c r="O4078" i="1"/>
  <c r="M4079" i="1"/>
  <c r="N4079" i="1"/>
  <c r="O4079" i="1"/>
  <c r="M4080" i="1"/>
  <c r="N4080" i="1"/>
  <c r="O4080" i="1"/>
  <c r="M4081" i="1"/>
  <c r="N4081" i="1"/>
  <c r="O4081" i="1"/>
  <c r="M4082" i="1"/>
  <c r="N4082" i="1"/>
  <c r="O4082" i="1"/>
  <c r="M4083" i="1"/>
  <c r="N4083" i="1"/>
  <c r="O4083" i="1"/>
  <c r="M4084" i="1"/>
  <c r="N4084" i="1"/>
  <c r="O4084" i="1"/>
  <c r="M4085" i="1"/>
  <c r="N4085" i="1"/>
  <c r="O4085" i="1"/>
  <c r="M4086" i="1"/>
  <c r="N4086" i="1"/>
  <c r="O4086" i="1"/>
  <c r="M4087" i="1"/>
  <c r="N4087" i="1"/>
  <c r="O4087" i="1"/>
  <c r="M4088" i="1"/>
  <c r="N4088" i="1"/>
  <c r="O4088" i="1"/>
  <c r="M4089" i="1"/>
  <c r="N4089" i="1"/>
  <c r="O4089" i="1"/>
  <c r="M4090" i="1"/>
  <c r="N4090" i="1"/>
  <c r="O4090" i="1"/>
  <c r="M4091" i="1"/>
  <c r="N4091" i="1"/>
  <c r="O4091" i="1"/>
  <c r="M4092" i="1"/>
  <c r="N4092" i="1"/>
  <c r="O4092" i="1"/>
  <c r="M4093" i="1"/>
  <c r="N4093" i="1"/>
  <c r="O4093" i="1"/>
  <c r="M4094" i="1"/>
  <c r="N4094" i="1"/>
  <c r="O4094" i="1"/>
  <c r="M4095" i="1"/>
  <c r="N4095" i="1"/>
  <c r="O4095" i="1"/>
  <c r="M4096" i="1"/>
  <c r="N4096" i="1"/>
  <c r="O4096" i="1"/>
  <c r="M4097" i="1"/>
  <c r="N4097" i="1"/>
  <c r="O4097" i="1"/>
  <c r="M4098" i="1"/>
  <c r="N4098" i="1"/>
  <c r="O4098" i="1"/>
  <c r="M4099" i="1"/>
  <c r="N4099" i="1"/>
  <c r="O4099" i="1"/>
  <c r="M4100" i="1"/>
  <c r="N4100" i="1"/>
  <c r="O4100" i="1"/>
  <c r="M4101" i="1"/>
  <c r="N4101" i="1"/>
  <c r="O4101" i="1"/>
  <c r="M4102" i="1"/>
  <c r="N4102" i="1"/>
  <c r="O4102" i="1"/>
  <c r="M4103" i="1"/>
  <c r="N4103" i="1"/>
  <c r="O4103" i="1"/>
  <c r="M4104" i="1"/>
  <c r="N4104" i="1"/>
  <c r="O4104" i="1"/>
  <c r="M4105" i="1"/>
  <c r="N4105" i="1"/>
  <c r="O4105" i="1"/>
  <c r="M4106" i="1"/>
  <c r="N4106" i="1"/>
  <c r="O4106" i="1"/>
  <c r="M4107" i="1"/>
  <c r="N4107" i="1"/>
  <c r="O4107" i="1"/>
  <c r="M4108" i="1"/>
  <c r="N4108" i="1"/>
  <c r="O4108" i="1"/>
  <c r="M4109" i="1"/>
  <c r="N4109" i="1"/>
  <c r="O4109" i="1"/>
  <c r="M4110" i="1"/>
  <c r="N4110" i="1"/>
  <c r="O4110" i="1"/>
  <c r="M4111" i="1"/>
  <c r="N4111" i="1"/>
  <c r="O4111" i="1"/>
  <c r="M4112" i="1"/>
  <c r="N4112" i="1"/>
  <c r="O4112" i="1"/>
  <c r="M4113" i="1"/>
  <c r="N4113" i="1"/>
  <c r="O4113" i="1"/>
  <c r="M4114" i="1"/>
  <c r="N4114" i="1"/>
  <c r="O4114" i="1"/>
  <c r="M4115" i="1"/>
  <c r="N4115" i="1"/>
  <c r="O4115" i="1"/>
  <c r="M4116" i="1"/>
  <c r="N4116" i="1"/>
  <c r="O4116" i="1"/>
  <c r="M4117" i="1"/>
  <c r="N4117" i="1"/>
  <c r="O4117" i="1"/>
  <c r="M4118" i="1"/>
  <c r="N4118" i="1"/>
  <c r="O4118" i="1"/>
  <c r="M4119" i="1"/>
  <c r="N4119" i="1"/>
  <c r="O4119" i="1"/>
  <c r="M4120" i="1"/>
  <c r="N4120" i="1"/>
  <c r="O4120" i="1"/>
  <c r="M4121" i="1"/>
  <c r="N4121" i="1"/>
  <c r="O4121" i="1"/>
  <c r="M4122" i="1"/>
  <c r="N4122" i="1"/>
  <c r="O4122" i="1"/>
  <c r="M4123" i="1"/>
  <c r="N4123" i="1"/>
  <c r="O4123" i="1"/>
  <c r="M4124" i="1"/>
  <c r="N4124" i="1"/>
  <c r="O4124" i="1"/>
  <c r="M4125" i="1"/>
  <c r="N4125" i="1"/>
  <c r="O4125" i="1"/>
  <c r="M4126" i="1"/>
  <c r="N4126" i="1"/>
  <c r="O4126" i="1"/>
  <c r="M4127" i="1"/>
  <c r="N4127" i="1"/>
  <c r="O4127" i="1"/>
  <c r="M4128" i="1"/>
  <c r="N4128" i="1"/>
  <c r="O4128" i="1"/>
  <c r="M4129" i="1"/>
  <c r="N4129" i="1"/>
  <c r="O4129" i="1"/>
  <c r="M4130" i="1"/>
  <c r="N4130" i="1"/>
  <c r="O4130" i="1"/>
  <c r="M4131" i="1"/>
  <c r="N4131" i="1"/>
  <c r="O4131" i="1"/>
  <c r="M4132" i="1"/>
  <c r="N4132" i="1"/>
  <c r="O4132" i="1"/>
  <c r="M4133" i="1"/>
  <c r="N4133" i="1"/>
  <c r="O4133" i="1"/>
  <c r="M4134" i="1"/>
  <c r="N4134" i="1"/>
  <c r="O4134" i="1"/>
  <c r="M4135" i="1"/>
  <c r="N4135" i="1"/>
  <c r="O4135" i="1"/>
  <c r="M4136" i="1"/>
  <c r="N4136" i="1"/>
  <c r="O4136" i="1"/>
  <c r="M4137" i="1"/>
  <c r="N4137" i="1"/>
  <c r="O4137" i="1"/>
  <c r="M4138" i="1"/>
  <c r="N4138" i="1"/>
  <c r="O4138" i="1"/>
  <c r="M4139" i="1"/>
  <c r="N4139" i="1"/>
  <c r="O4139" i="1"/>
  <c r="M4140" i="1"/>
  <c r="N4140" i="1"/>
  <c r="O4140" i="1"/>
  <c r="M4141" i="1"/>
  <c r="N4141" i="1"/>
  <c r="O4141" i="1"/>
  <c r="M4142" i="1"/>
  <c r="N4142" i="1"/>
  <c r="O4142" i="1"/>
  <c r="M4143" i="1"/>
  <c r="N4143" i="1"/>
  <c r="O4143" i="1"/>
  <c r="M4144" i="1"/>
  <c r="N4144" i="1"/>
  <c r="O4144" i="1"/>
  <c r="M4145" i="1"/>
  <c r="N4145" i="1"/>
  <c r="O4145" i="1"/>
  <c r="M4146" i="1"/>
  <c r="N4146" i="1"/>
  <c r="O4146" i="1"/>
  <c r="M4147" i="1"/>
  <c r="N4147" i="1"/>
  <c r="O4147" i="1"/>
  <c r="M4148" i="1"/>
  <c r="N4148" i="1"/>
  <c r="O4148" i="1"/>
  <c r="M4149" i="1"/>
  <c r="N4149" i="1"/>
  <c r="O4149" i="1"/>
  <c r="M4150" i="1"/>
  <c r="N4150" i="1"/>
  <c r="O4150" i="1"/>
  <c r="M4151" i="1"/>
  <c r="N4151" i="1"/>
  <c r="O4151" i="1"/>
  <c r="M4152" i="1"/>
  <c r="N4152" i="1"/>
  <c r="O4152" i="1"/>
  <c r="M4153" i="1"/>
  <c r="N4153" i="1"/>
  <c r="O4153" i="1"/>
  <c r="M4154" i="1"/>
  <c r="N4154" i="1"/>
  <c r="O4154" i="1"/>
  <c r="M4155" i="1"/>
  <c r="N4155" i="1"/>
  <c r="O4155" i="1"/>
  <c r="M4156" i="1"/>
  <c r="N4156" i="1"/>
  <c r="O4156" i="1"/>
  <c r="M4157" i="1"/>
  <c r="N4157" i="1"/>
  <c r="O4157" i="1"/>
  <c r="M4158" i="1"/>
  <c r="N4158" i="1"/>
  <c r="O4158" i="1"/>
  <c r="M4159" i="1"/>
  <c r="N4159" i="1"/>
  <c r="L4159" i="1" s="1"/>
  <c r="O4159" i="1"/>
  <c r="M4160" i="1"/>
  <c r="N4160" i="1"/>
  <c r="O4160" i="1"/>
  <c r="M4161" i="1"/>
  <c r="N4161" i="1"/>
  <c r="O4161" i="1"/>
  <c r="M4162" i="1"/>
  <c r="N4162" i="1"/>
  <c r="O4162" i="1"/>
  <c r="M4163" i="1"/>
  <c r="N4163" i="1"/>
  <c r="O4163" i="1"/>
  <c r="M4164" i="1"/>
  <c r="N4164" i="1"/>
  <c r="O4164" i="1"/>
  <c r="M4165" i="1"/>
  <c r="N4165" i="1"/>
  <c r="O4165" i="1"/>
  <c r="M4166" i="1"/>
  <c r="N4166" i="1"/>
  <c r="O4166" i="1"/>
  <c r="M4167" i="1"/>
  <c r="N4167" i="1"/>
  <c r="O4167" i="1"/>
  <c r="M4168" i="1"/>
  <c r="N4168" i="1"/>
  <c r="O4168" i="1"/>
  <c r="M4169" i="1"/>
  <c r="N4169" i="1"/>
  <c r="O4169" i="1"/>
  <c r="M4170" i="1"/>
  <c r="N4170" i="1"/>
  <c r="O4170" i="1"/>
  <c r="M4171" i="1"/>
  <c r="N4171" i="1"/>
  <c r="O4171" i="1"/>
  <c r="M4172" i="1"/>
  <c r="N4172" i="1"/>
  <c r="O4172" i="1"/>
  <c r="M4173" i="1"/>
  <c r="N4173" i="1"/>
  <c r="O4173" i="1"/>
  <c r="M4174" i="1"/>
  <c r="N4174" i="1"/>
  <c r="O4174" i="1"/>
  <c r="M4175" i="1"/>
  <c r="N4175" i="1"/>
  <c r="O4175" i="1"/>
  <c r="M4176" i="1"/>
  <c r="N4176" i="1"/>
  <c r="O4176" i="1"/>
  <c r="M4177" i="1"/>
  <c r="N4177" i="1"/>
  <c r="O4177" i="1"/>
  <c r="M4178" i="1"/>
  <c r="N4178" i="1"/>
  <c r="O4178" i="1"/>
  <c r="M4179" i="1"/>
  <c r="N4179" i="1"/>
  <c r="O4179" i="1"/>
  <c r="M4180" i="1"/>
  <c r="N4180" i="1"/>
  <c r="O4180" i="1"/>
  <c r="M4181" i="1"/>
  <c r="N4181" i="1"/>
  <c r="O4181" i="1"/>
  <c r="M4182" i="1"/>
  <c r="N4182" i="1"/>
  <c r="O4182" i="1"/>
  <c r="M4183" i="1"/>
  <c r="N4183" i="1"/>
  <c r="O4183" i="1"/>
  <c r="M4184" i="1"/>
  <c r="N4184" i="1"/>
  <c r="O4184" i="1"/>
  <c r="M4185" i="1"/>
  <c r="N4185" i="1"/>
  <c r="O4185" i="1"/>
  <c r="M4186" i="1"/>
  <c r="N4186" i="1"/>
  <c r="O4186" i="1"/>
  <c r="M4187" i="1"/>
  <c r="N4187" i="1"/>
  <c r="O4187" i="1"/>
  <c r="M4188" i="1"/>
  <c r="N4188" i="1"/>
  <c r="O4188" i="1"/>
  <c r="M4189" i="1"/>
  <c r="N4189" i="1"/>
  <c r="O4189" i="1"/>
  <c r="M4190" i="1"/>
  <c r="N4190" i="1"/>
  <c r="O4190" i="1"/>
  <c r="M4191" i="1"/>
  <c r="N4191" i="1"/>
  <c r="O4191" i="1"/>
  <c r="M4192" i="1"/>
  <c r="N4192" i="1"/>
  <c r="O4192" i="1"/>
  <c r="M4193" i="1"/>
  <c r="N4193" i="1"/>
  <c r="O4193" i="1"/>
  <c r="M4194" i="1"/>
  <c r="N4194" i="1"/>
  <c r="O4194" i="1"/>
  <c r="M4195" i="1"/>
  <c r="N4195" i="1"/>
  <c r="O4195" i="1"/>
  <c r="M4196" i="1"/>
  <c r="N4196" i="1"/>
  <c r="O4196" i="1"/>
  <c r="M4197" i="1"/>
  <c r="N4197" i="1"/>
  <c r="O4197" i="1"/>
  <c r="M4198" i="1"/>
  <c r="N4198" i="1"/>
  <c r="O4198" i="1"/>
  <c r="M4199" i="1"/>
  <c r="N4199" i="1"/>
  <c r="O4199" i="1"/>
  <c r="M4200" i="1"/>
  <c r="N4200" i="1"/>
  <c r="O4200" i="1"/>
  <c r="M4201" i="1"/>
  <c r="N4201" i="1"/>
  <c r="O4201" i="1"/>
  <c r="M4202" i="1"/>
  <c r="N4202" i="1"/>
  <c r="O4202" i="1"/>
  <c r="M4203" i="1"/>
  <c r="N4203" i="1"/>
  <c r="O4203" i="1"/>
  <c r="M4204" i="1"/>
  <c r="N4204" i="1"/>
  <c r="O4204" i="1"/>
  <c r="M4205" i="1"/>
  <c r="N4205" i="1"/>
  <c r="O4205" i="1"/>
  <c r="M4206" i="1"/>
  <c r="N4206" i="1"/>
  <c r="O4206" i="1"/>
  <c r="M4207" i="1"/>
  <c r="N4207" i="1"/>
  <c r="O4207" i="1"/>
  <c r="M4208" i="1"/>
  <c r="N4208" i="1"/>
  <c r="O4208" i="1"/>
  <c r="M4209" i="1"/>
  <c r="N4209" i="1"/>
  <c r="O4209" i="1"/>
  <c r="M4210" i="1"/>
  <c r="N4210" i="1"/>
  <c r="O4210" i="1"/>
  <c r="M4211" i="1"/>
  <c r="N4211" i="1"/>
  <c r="O4211" i="1"/>
  <c r="M4212" i="1"/>
  <c r="N4212" i="1"/>
  <c r="O4212" i="1"/>
  <c r="M4213" i="1"/>
  <c r="N4213" i="1"/>
  <c r="O4213" i="1"/>
  <c r="M4214" i="1"/>
  <c r="N4214" i="1"/>
  <c r="O4214" i="1"/>
  <c r="M4215" i="1"/>
  <c r="N4215" i="1"/>
  <c r="O4215" i="1"/>
  <c r="M4216" i="1"/>
  <c r="N4216" i="1"/>
  <c r="O4216" i="1"/>
  <c r="M4217" i="1"/>
  <c r="N4217" i="1"/>
  <c r="O4217" i="1"/>
  <c r="M4218" i="1"/>
  <c r="N4218" i="1"/>
  <c r="O4218" i="1"/>
  <c r="M4219" i="1"/>
  <c r="N4219" i="1"/>
  <c r="O4219" i="1"/>
  <c r="M4220" i="1"/>
  <c r="N4220" i="1"/>
  <c r="O4220" i="1"/>
  <c r="M4221" i="1"/>
  <c r="N4221" i="1"/>
  <c r="O4221" i="1"/>
  <c r="M4222" i="1"/>
  <c r="N4222" i="1"/>
  <c r="O4222" i="1"/>
  <c r="M4223" i="1"/>
  <c r="N4223" i="1"/>
  <c r="O4223" i="1"/>
  <c r="M4224" i="1"/>
  <c r="N4224" i="1"/>
  <c r="O4224" i="1"/>
  <c r="M4225" i="1"/>
  <c r="N4225" i="1"/>
  <c r="O4225" i="1"/>
  <c r="M4226" i="1"/>
  <c r="N4226" i="1"/>
  <c r="O4226" i="1"/>
  <c r="M4227" i="1"/>
  <c r="N4227" i="1"/>
  <c r="O4227" i="1"/>
  <c r="M4228" i="1"/>
  <c r="N4228" i="1"/>
  <c r="O4228" i="1"/>
  <c r="M4229" i="1"/>
  <c r="N4229" i="1"/>
  <c r="O4229" i="1"/>
  <c r="M4230" i="1"/>
  <c r="N4230" i="1"/>
  <c r="O4230" i="1"/>
  <c r="M4231" i="1"/>
  <c r="N4231" i="1"/>
  <c r="O4231" i="1"/>
  <c r="M4232" i="1"/>
  <c r="N4232" i="1"/>
  <c r="O4232" i="1"/>
  <c r="M4233" i="1"/>
  <c r="N4233" i="1"/>
  <c r="O4233" i="1"/>
  <c r="M4234" i="1"/>
  <c r="N4234" i="1"/>
  <c r="O4234" i="1"/>
  <c r="M4235" i="1"/>
  <c r="N4235" i="1"/>
  <c r="O4235" i="1"/>
  <c r="M4236" i="1"/>
  <c r="N4236" i="1"/>
  <c r="O4236" i="1"/>
  <c r="M4237" i="1"/>
  <c r="N4237" i="1"/>
  <c r="O4237" i="1"/>
  <c r="M4238" i="1"/>
  <c r="N4238" i="1"/>
  <c r="O4238" i="1"/>
  <c r="M4239" i="1"/>
  <c r="N4239" i="1"/>
  <c r="O4239" i="1"/>
  <c r="M4240" i="1"/>
  <c r="N4240" i="1"/>
  <c r="O4240" i="1"/>
  <c r="M4241" i="1"/>
  <c r="N4241" i="1"/>
  <c r="O4241" i="1"/>
  <c r="M4242" i="1"/>
  <c r="N4242" i="1"/>
  <c r="O4242" i="1"/>
  <c r="M4243" i="1"/>
  <c r="N4243" i="1"/>
  <c r="O4243" i="1"/>
  <c r="M4244" i="1"/>
  <c r="N4244" i="1"/>
  <c r="O4244" i="1"/>
  <c r="M4245" i="1"/>
  <c r="N4245" i="1"/>
  <c r="O4245" i="1"/>
  <c r="M4246" i="1"/>
  <c r="N4246" i="1"/>
  <c r="O4246" i="1"/>
  <c r="M4247" i="1"/>
  <c r="N4247" i="1"/>
  <c r="O4247" i="1"/>
  <c r="M4248" i="1"/>
  <c r="N4248" i="1"/>
  <c r="O4248" i="1"/>
  <c r="M4249" i="1"/>
  <c r="N4249" i="1"/>
  <c r="O4249" i="1"/>
  <c r="M4250" i="1"/>
  <c r="N4250" i="1"/>
  <c r="O4250" i="1"/>
  <c r="M4251" i="1"/>
  <c r="N4251" i="1"/>
  <c r="O4251" i="1"/>
  <c r="M4252" i="1"/>
  <c r="N4252" i="1"/>
  <c r="O4252" i="1"/>
  <c r="M4253" i="1"/>
  <c r="N4253" i="1"/>
  <c r="O4253" i="1"/>
  <c r="M4254" i="1"/>
  <c r="N4254" i="1"/>
  <c r="O4254" i="1"/>
  <c r="M4255" i="1"/>
  <c r="N4255" i="1"/>
  <c r="O4255" i="1"/>
  <c r="M4256" i="1"/>
  <c r="N4256" i="1"/>
  <c r="O4256" i="1"/>
  <c r="M4257" i="1"/>
  <c r="N4257" i="1"/>
  <c r="O4257" i="1"/>
  <c r="M4258" i="1"/>
  <c r="N4258" i="1"/>
  <c r="O4258" i="1"/>
  <c r="M4259" i="1"/>
  <c r="N4259" i="1"/>
  <c r="O4259" i="1"/>
  <c r="M4260" i="1"/>
  <c r="N4260" i="1"/>
  <c r="O4260" i="1"/>
  <c r="M4261" i="1"/>
  <c r="N4261" i="1"/>
  <c r="O4261" i="1"/>
  <c r="M4262" i="1"/>
  <c r="N4262" i="1"/>
  <c r="O4262" i="1"/>
  <c r="M4263" i="1"/>
  <c r="N4263" i="1"/>
  <c r="O4263" i="1"/>
  <c r="M4264" i="1"/>
  <c r="N4264" i="1"/>
  <c r="O4264" i="1"/>
  <c r="M4265" i="1"/>
  <c r="N4265" i="1"/>
  <c r="O4265" i="1"/>
  <c r="M4266" i="1"/>
  <c r="N4266" i="1"/>
  <c r="O4266" i="1"/>
  <c r="M4267" i="1"/>
  <c r="N4267" i="1"/>
  <c r="O4267" i="1"/>
  <c r="M4268" i="1"/>
  <c r="N4268" i="1"/>
  <c r="O4268" i="1"/>
  <c r="M4269" i="1"/>
  <c r="N4269" i="1"/>
  <c r="O4269" i="1"/>
  <c r="M4270" i="1"/>
  <c r="N4270" i="1"/>
  <c r="O4270" i="1"/>
  <c r="M4271" i="1"/>
  <c r="N4271" i="1"/>
  <c r="O4271" i="1"/>
  <c r="M4272" i="1"/>
  <c r="N4272" i="1"/>
  <c r="O4272" i="1"/>
  <c r="M4273" i="1"/>
  <c r="N4273" i="1"/>
  <c r="O4273" i="1"/>
  <c r="M4274" i="1"/>
  <c r="N4274" i="1"/>
  <c r="O4274" i="1"/>
  <c r="M4275" i="1"/>
  <c r="N4275" i="1"/>
  <c r="O4275" i="1"/>
  <c r="M4276" i="1"/>
  <c r="N4276" i="1"/>
  <c r="O4276" i="1"/>
  <c r="M4277" i="1"/>
  <c r="N4277" i="1"/>
  <c r="O4277" i="1"/>
  <c r="M4278" i="1"/>
  <c r="N4278" i="1"/>
  <c r="O4278" i="1"/>
  <c r="M4279" i="1"/>
  <c r="N4279" i="1"/>
  <c r="O4279" i="1"/>
  <c r="M4280" i="1"/>
  <c r="N4280" i="1"/>
  <c r="O4280" i="1"/>
  <c r="M4281" i="1"/>
  <c r="N4281" i="1"/>
  <c r="O4281" i="1"/>
  <c r="M4282" i="1"/>
  <c r="N4282" i="1"/>
  <c r="O4282" i="1"/>
  <c r="M4283" i="1"/>
  <c r="N4283" i="1"/>
  <c r="O4283" i="1"/>
  <c r="M4284" i="1"/>
  <c r="N4284" i="1"/>
  <c r="O4284" i="1"/>
  <c r="M4285" i="1"/>
  <c r="N4285" i="1"/>
  <c r="O4285" i="1"/>
  <c r="M4286" i="1"/>
  <c r="N4286" i="1"/>
  <c r="O4286" i="1"/>
  <c r="M4287" i="1"/>
  <c r="N4287" i="1"/>
  <c r="O4287" i="1"/>
  <c r="M4288" i="1"/>
  <c r="N4288" i="1"/>
  <c r="O4288" i="1"/>
  <c r="M4289" i="1"/>
  <c r="N4289" i="1"/>
  <c r="O4289" i="1"/>
  <c r="M4290" i="1"/>
  <c r="N4290" i="1"/>
  <c r="O4290" i="1"/>
  <c r="M4291" i="1"/>
  <c r="N4291" i="1"/>
  <c r="O4291" i="1"/>
  <c r="M4292" i="1"/>
  <c r="N4292" i="1"/>
  <c r="O4292" i="1"/>
  <c r="M4293" i="1"/>
  <c r="N4293" i="1"/>
  <c r="O4293" i="1"/>
  <c r="M4294" i="1"/>
  <c r="N4294" i="1"/>
  <c r="O4294" i="1"/>
  <c r="M4295" i="1"/>
  <c r="N4295" i="1"/>
  <c r="O4295" i="1"/>
  <c r="M4296" i="1"/>
  <c r="N4296" i="1"/>
  <c r="O4296" i="1"/>
  <c r="M4297" i="1"/>
  <c r="N4297" i="1"/>
  <c r="O4297" i="1"/>
  <c r="M4298" i="1"/>
  <c r="N4298" i="1"/>
  <c r="O4298" i="1"/>
  <c r="M4299" i="1"/>
  <c r="N4299" i="1"/>
  <c r="O4299" i="1"/>
  <c r="M4300" i="1"/>
  <c r="N4300" i="1"/>
  <c r="O4300" i="1"/>
  <c r="M4301" i="1"/>
  <c r="N4301" i="1"/>
  <c r="O4301" i="1"/>
  <c r="M4302" i="1"/>
  <c r="N4302" i="1"/>
  <c r="O4302" i="1"/>
  <c r="M4303" i="1"/>
  <c r="N4303" i="1"/>
  <c r="O4303" i="1"/>
  <c r="M4304" i="1"/>
  <c r="N4304" i="1"/>
  <c r="O4304" i="1"/>
  <c r="M4305" i="1"/>
  <c r="N4305" i="1"/>
  <c r="O4305" i="1"/>
  <c r="M4306" i="1"/>
  <c r="N4306" i="1"/>
  <c r="O4306" i="1"/>
  <c r="M4307" i="1"/>
  <c r="N4307" i="1"/>
  <c r="O4307" i="1"/>
  <c r="M4308" i="1"/>
  <c r="N4308" i="1"/>
  <c r="O4308" i="1"/>
  <c r="M4309" i="1"/>
  <c r="N4309" i="1"/>
  <c r="O4309" i="1"/>
  <c r="M4310" i="1"/>
  <c r="N4310" i="1"/>
  <c r="O4310" i="1"/>
  <c r="M4311" i="1"/>
  <c r="N4311" i="1"/>
  <c r="O4311" i="1"/>
  <c r="M4312" i="1"/>
  <c r="N4312" i="1"/>
  <c r="O4312" i="1"/>
  <c r="M4313" i="1"/>
  <c r="N4313" i="1"/>
  <c r="O4313" i="1"/>
  <c r="M4314" i="1"/>
  <c r="N4314" i="1"/>
  <c r="O4314" i="1"/>
  <c r="M4315" i="1"/>
  <c r="N4315" i="1"/>
  <c r="O4315" i="1"/>
  <c r="M4316" i="1"/>
  <c r="N4316" i="1"/>
  <c r="O4316" i="1"/>
  <c r="M4317" i="1"/>
  <c r="N4317" i="1"/>
  <c r="O4317" i="1"/>
  <c r="M4318" i="1"/>
  <c r="N4318" i="1"/>
  <c r="O4318" i="1"/>
  <c r="M4319" i="1"/>
  <c r="N4319" i="1"/>
  <c r="O4319" i="1"/>
  <c r="M4320" i="1"/>
  <c r="N4320" i="1"/>
  <c r="O4320" i="1"/>
  <c r="M4321" i="1"/>
  <c r="N4321" i="1"/>
  <c r="O4321" i="1"/>
  <c r="M4322" i="1"/>
  <c r="N4322" i="1"/>
  <c r="O4322" i="1"/>
  <c r="M4323" i="1"/>
  <c r="N4323" i="1"/>
  <c r="O4323" i="1"/>
  <c r="M4324" i="1"/>
  <c r="N4324" i="1"/>
  <c r="O4324" i="1"/>
  <c r="M4325" i="1"/>
  <c r="N4325" i="1"/>
  <c r="O4325" i="1"/>
  <c r="M4326" i="1"/>
  <c r="N4326" i="1"/>
  <c r="O4326" i="1"/>
  <c r="M4327" i="1"/>
  <c r="N4327" i="1"/>
  <c r="O4327" i="1"/>
  <c r="M4328" i="1"/>
  <c r="N4328" i="1"/>
  <c r="O4328" i="1"/>
  <c r="M4329" i="1"/>
  <c r="N4329" i="1"/>
  <c r="O4329" i="1"/>
  <c r="M4330" i="1"/>
  <c r="N4330" i="1"/>
  <c r="O4330" i="1"/>
  <c r="M4331" i="1"/>
  <c r="N4331" i="1"/>
  <c r="O4331" i="1"/>
  <c r="M4332" i="1"/>
  <c r="N4332" i="1"/>
  <c r="O4332" i="1"/>
  <c r="M4333" i="1"/>
  <c r="N4333" i="1"/>
  <c r="O4333" i="1"/>
  <c r="M4334" i="1"/>
  <c r="N4334" i="1"/>
  <c r="O4334" i="1"/>
  <c r="M4335" i="1"/>
  <c r="N4335" i="1"/>
  <c r="O4335" i="1"/>
  <c r="M4336" i="1"/>
  <c r="N4336" i="1"/>
  <c r="O4336" i="1"/>
  <c r="M4337" i="1"/>
  <c r="N4337" i="1"/>
  <c r="O4337" i="1"/>
  <c r="M4338" i="1"/>
  <c r="N4338" i="1"/>
  <c r="O4338" i="1"/>
  <c r="M4339" i="1"/>
  <c r="N4339" i="1"/>
  <c r="O4339" i="1"/>
  <c r="M4340" i="1"/>
  <c r="N4340" i="1"/>
  <c r="O4340" i="1"/>
  <c r="M4341" i="1"/>
  <c r="N4341" i="1"/>
  <c r="O4341" i="1"/>
  <c r="M4342" i="1"/>
  <c r="N4342" i="1"/>
  <c r="O4342" i="1"/>
  <c r="M4343" i="1"/>
  <c r="N4343" i="1"/>
  <c r="O4343" i="1"/>
  <c r="M4344" i="1"/>
  <c r="N4344" i="1"/>
  <c r="O4344" i="1"/>
  <c r="M4345" i="1"/>
  <c r="N4345" i="1"/>
  <c r="O4345" i="1"/>
  <c r="M4346" i="1"/>
  <c r="N4346" i="1"/>
  <c r="O4346" i="1"/>
  <c r="M4347" i="1"/>
  <c r="N4347" i="1"/>
  <c r="O4347" i="1"/>
  <c r="M4348" i="1"/>
  <c r="N4348" i="1"/>
  <c r="O4348" i="1"/>
  <c r="M4349" i="1"/>
  <c r="N4349" i="1"/>
  <c r="O4349" i="1"/>
  <c r="M4350" i="1"/>
  <c r="N4350" i="1"/>
  <c r="O4350" i="1"/>
  <c r="M4351" i="1"/>
  <c r="N4351" i="1"/>
  <c r="O4351" i="1"/>
  <c r="M4352" i="1"/>
  <c r="N4352" i="1"/>
  <c r="O4352" i="1"/>
  <c r="M4353" i="1"/>
  <c r="N4353" i="1"/>
  <c r="O4353" i="1"/>
  <c r="M4354" i="1"/>
  <c r="N4354" i="1"/>
  <c r="O4354" i="1"/>
  <c r="M4355" i="1"/>
  <c r="N4355" i="1"/>
  <c r="O4355" i="1"/>
  <c r="M4356" i="1"/>
  <c r="N4356" i="1"/>
  <c r="O4356" i="1"/>
  <c r="M4357" i="1"/>
  <c r="N4357" i="1"/>
  <c r="O4357" i="1"/>
  <c r="M4358" i="1"/>
  <c r="N4358" i="1"/>
  <c r="O4358" i="1"/>
  <c r="M4359" i="1"/>
  <c r="N4359" i="1"/>
  <c r="O4359" i="1"/>
  <c r="M4360" i="1"/>
  <c r="N4360" i="1"/>
  <c r="O4360" i="1"/>
  <c r="M4361" i="1"/>
  <c r="N4361" i="1"/>
  <c r="O4361" i="1"/>
  <c r="M4362" i="1"/>
  <c r="N4362" i="1"/>
  <c r="O4362" i="1"/>
  <c r="M4363" i="1"/>
  <c r="N4363" i="1"/>
  <c r="O4363" i="1"/>
  <c r="M4364" i="1"/>
  <c r="N4364" i="1"/>
  <c r="O4364" i="1"/>
  <c r="M4365" i="1"/>
  <c r="N4365" i="1"/>
  <c r="O4365" i="1"/>
  <c r="M4366" i="1"/>
  <c r="N4366" i="1"/>
  <c r="O4366" i="1"/>
  <c r="M4367" i="1"/>
  <c r="N4367" i="1"/>
  <c r="O4367" i="1"/>
  <c r="M4368" i="1"/>
  <c r="N4368" i="1"/>
  <c r="O4368" i="1"/>
  <c r="M4369" i="1"/>
  <c r="N4369" i="1"/>
  <c r="O4369" i="1"/>
  <c r="M4370" i="1"/>
  <c r="N4370" i="1"/>
  <c r="O4370" i="1"/>
  <c r="M4371" i="1"/>
  <c r="N4371" i="1"/>
  <c r="O4371" i="1"/>
  <c r="M4372" i="1"/>
  <c r="N4372" i="1"/>
  <c r="O4372" i="1"/>
  <c r="M4373" i="1"/>
  <c r="N4373" i="1"/>
  <c r="O4373" i="1"/>
  <c r="M4374" i="1"/>
  <c r="N4374" i="1"/>
  <c r="O4374" i="1"/>
  <c r="M4375" i="1"/>
  <c r="N4375" i="1"/>
  <c r="O4375" i="1"/>
  <c r="M4376" i="1"/>
  <c r="N4376" i="1"/>
  <c r="O4376" i="1"/>
  <c r="M4377" i="1"/>
  <c r="N4377" i="1"/>
  <c r="O4377" i="1"/>
  <c r="M4378" i="1"/>
  <c r="N4378" i="1"/>
  <c r="O4378" i="1"/>
  <c r="M4379" i="1"/>
  <c r="N4379" i="1"/>
  <c r="O4379" i="1"/>
  <c r="M4380" i="1"/>
  <c r="N4380" i="1"/>
  <c r="O4380" i="1"/>
  <c r="M4381" i="1"/>
  <c r="N4381" i="1"/>
  <c r="O4381" i="1"/>
  <c r="M4382" i="1"/>
  <c r="N4382" i="1"/>
  <c r="O4382" i="1"/>
  <c r="M4383" i="1"/>
  <c r="N4383" i="1"/>
  <c r="O4383" i="1"/>
  <c r="M4384" i="1"/>
  <c r="N4384" i="1"/>
  <c r="O4384" i="1"/>
  <c r="M4385" i="1"/>
  <c r="N4385" i="1"/>
  <c r="O4385" i="1"/>
  <c r="M4386" i="1"/>
  <c r="N4386" i="1"/>
  <c r="O4386" i="1"/>
  <c r="M4387" i="1"/>
  <c r="N4387" i="1"/>
  <c r="O4387" i="1"/>
  <c r="M4388" i="1"/>
  <c r="N4388" i="1"/>
  <c r="O4388" i="1"/>
  <c r="M4389" i="1"/>
  <c r="N4389" i="1"/>
  <c r="O4389" i="1"/>
  <c r="M4390" i="1"/>
  <c r="N4390" i="1"/>
  <c r="O4390" i="1"/>
  <c r="M4391" i="1"/>
  <c r="N4391" i="1"/>
  <c r="O4391" i="1"/>
  <c r="M4392" i="1"/>
  <c r="N4392" i="1"/>
  <c r="O4392" i="1"/>
  <c r="M4393" i="1"/>
  <c r="N4393" i="1"/>
  <c r="O4393" i="1"/>
  <c r="M4394" i="1"/>
  <c r="N4394" i="1"/>
  <c r="O4394" i="1"/>
  <c r="M4395" i="1"/>
  <c r="N4395" i="1"/>
  <c r="O4395" i="1"/>
  <c r="M4396" i="1"/>
  <c r="N4396" i="1"/>
  <c r="O4396" i="1"/>
  <c r="M4397" i="1"/>
  <c r="N4397" i="1"/>
  <c r="O4397" i="1"/>
  <c r="M4398" i="1"/>
  <c r="N4398" i="1"/>
  <c r="O4398" i="1"/>
  <c r="M4399" i="1"/>
  <c r="N4399" i="1"/>
  <c r="O4399" i="1"/>
  <c r="M4400" i="1"/>
  <c r="N4400" i="1"/>
  <c r="O4400" i="1"/>
  <c r="M4401" i="1"/>
  <c r="N4401" i="1"/>
  <c r="O4401" i="1"/>
  <c r="M4402" i="1"/>
  <c r="N4402" i="1"/>
  <c r="O4402" i="1"/>
  <c r="M4403" i="1"/>
  <c r="N4403" i="1"/>
  <c r="O4403" i="1"/>
  <c r="M4404" i="1"/>
  <c r="N4404" i="1"/>
  <c r="O4404" i="1"/>
  <c r="M4405" i="1"/>
  <c r="N4405" i="1"/>
  <c r="O4405" i="1"/>
  <c r="M4406" i="1"/>
  <c r="N4406" i="1"/>
  <c r="O4406" i="1"/>
  <c r="M4407" i="1"/>
  <c r="N4407" i="1"/>
  <c r="O4407" i="1"/>
  <c r="M4408" i="1"/>
  <c r="N4408" i="1"/>
  <c r="O4408" i="1"/>
  <c r="M4409" i="1"/>
  <c r="N4409" i="1"/>
  <c r="O4409" i="1"/>
  <c r="M4410" i="1"/>
  <c r="N4410" i="1"/>
  <c r="O4410" i="1"/>
  <c r="M4411" i="1"/>
  <c r="N4411" i="1"/>
  <c r="O4411" i="1"/>
  <c r="M4412" i="1"/>
  <c r="N4412" i="1"/>
  <c r="O4412" i="1"/>
  <c r="M4413" i="1"/>
  <c r="N4413" i="1"/>
  <c r="O4413" i="1"/>
  <c r="M4414" i="1"/>
  <c r="N4414" i="1"/>
  <c r="O4414" i="1"/>
  <c r="M4415" i="1"/>
  <c r="N4415" i="1"/>
  <c r="O4415" i="1"/>
  <c r="M4416" i="1"/>
  <c r="N4416" i="1"/>
  <c r="O4416" i="1"/>
  <c r="M4417" i="1"/>
  <c r="N4417" i="1"/>
  <c r="O4417" i="1"/>
  <c r="M4418" i="1"/>
  <c r="N4418" i="1"/>
  <c r="O4418" i="1"/>
  <c r="M4419" i="1"/>
  <c r="N4419" i="1"/>
  <c r="O4419" i="1"/>
  <c r="M4420" i="1"/>
  <c r="N4420" i="1"/>
  <c r="O4420" i="1"/>
  <c r="M4421" i="1"/>
  <c r="N4421" i="1"/>
  <c r="O4421" i="1"/>
  <c r="M4422" i="1"/>
  <c r="N4422" i="1"/>
  <c r="O4422" i="1"/>
  <c r="M4423" i="1"/>
  <c r="N4423" i="1"/>
  <c r="O4423" i="1"/>
  <c r="M4424" i="1"/>
  <c r="N4424" i="1"/>
  <c r="O4424" i="1"/>
  <c r="M4425" i="1"/>
  <c r="N4425" i="1"/>
  <c r="O4425" i="1"/>
  <c r="M4426" i="1"/>
  <c r="N4426" i="1"/>
  <c r="O4426" i="1"/>
  <c r="M4427" i="1"/>
  <c r="N4427" i="1"/>
  <c r="O4427" i="1"/>
  <c r="M4428" i="1"/>
  <c r="N4428" i="1"/>
  <c r="O4428" i="1"/>
  <c r="M4429" i="1"/>
  <c r="N4429" i="1"/>
  <c r="O4429" i="1"/>
  <c r="M4430" i="1"/>
  <c r="N4430" i="1"/>
  <c r="O4430" i="1"/>
  <c r="M4431" i="1"/>
  <c r="N4431" i="1"/>
  <c r="O4431" i="1"/>
  <c r="M4432" i="1"/>
  <c r="N4432" i="1"/>
  <c r="O4432" i="1"/>
  <c r="M4433" i="1"/>
  <c r="N4433" i="1"/>
  <c r="O4433" i="1"/>
  <c r="M4434" i="1"/>
  <c r="N4434" i="1"/>
  <c r="O4434" i="1"/>
  <c r="M4435" i="1"/>
  <c r="N4435" i="1"/>
  <c r="O4435" i="1"/>
  <c r="M4436" i="1"/>
  <c r="N4436" i="1"/>
  <c r="O4436" i="1"/>
  <c r="M4437" i="1"/>
  <c r="N4437" i="1"/>
  <c r="O4437" i="1"/>
  <c r="M4438" i="1"/>
  <c r="N4438" i="1"/>
  <c r="O4438" i="1"/>
  <c r="M4439" i="1"/>
  <c r="N4439" i="1"/>
  <c r="O4439" i="1"/>
  <c r="M4440" i="1"/>
  <c r="N4440" i="1"/>
  <c r="O4440" i="1"/>
  <c r="M4441" i="1"/>
  <c r="N4441" i="1"/>
  <c r="O4441" i="1"/>
  <c r="M4442" i="1"/>
  <c r="N4442" i="1"/>
  <c r="O4442" i="1"/>
  <c r="M4443" i="1"/>
  <c r="N4443" i="1"/>
  <c r="O4443" i="1"/>
  <c r="M4444" i="1"/>
  <c r="N4444" i="1"/>
  <c r="O4444" i="1"/>
  <c r="M4445" i="1"/>
  <c r="N4445" i="1"/>
  <c r="O4445" i="1"/>
  <c r="M4446" i="1"/>
  <c r="N4446" i="1"/>
  <c r="O4446" i="1"/>
  <c r="M4447" i="1"/>
  <c r="N4447" i="1"/>
  <c r="O4447" i="1"/>
  <c r="M4448" i="1"/>
  <c r="N4448" i="1"/>
  <c r="O4448" i="1"/>
  <c r="M4449" i="1"/>
  <c r="N4449" i="1"/>
  <c r="O4449" i="1"/>
  <c r="M4450" i="1"/>
  <c r="N4450" i="1"/>
  <c r="O4450" i="1"/>
  <c r="M4451" i="1"/>
  <c r="N4451" i="1"/>
  <c r="O4451" i="1"/>
  <c r="M4452" i="1"/>
  <c r="N4452" i="1"/>
  <c r="O4452" i="1"/>
  <c r="M4453" i="1"/>
  <c r="N4453" i="1"/>
  <c r="O4453" i="1"/>
  <c r="M4454" i="1"/>
  <c r="N4454" i="1"/>
  <c r="O4454" i="1"/>
  <c r="M4455" i="1"/>
  <c r="N4455" i="1"/>
  <c r="O4455" i="1"/>
  <c r="M4456" i="1"/>
  <c r="N4456" i="1"/>
  <c r="O4456" i="1"/>
  <c r="M4457" i="1"/>
  <c r="N4457" i="1"/>
  <c r="O4457" i="1"/>
  <c r="M4458" i="1"/>
  <c r="N4458" i="1"/>
  <c r="O4458" i="1"/>
  <c r="M4459" i="1"/>
  <c r="N4459" i="1"/>
  <c r="O4459" i="1"/>
  <c r="M4460" i="1"/>
  <c r="N4460" i="1"/>
  <c r="O4460" i="1"/>
  <c r="M4461" i="1"/>
  <c r="N4461" i="1"/>
  <c r="O4461" i="1"/>
  <c r="M4462" i="1"/>
  <c r="N4462" i="1"/>
  <c r="O4462" i="1"/>
  <c r="M4463" i="1"/>
  <c r="N4463" i="1"/>
  <c r="O4463" i="1"/>
  <c r="M4464" i="1"/>
  <c r="N4464" i="1"/>
  <c r="O4464" i="1"/>
  <c r="M4465" i="1"/>
  <c r="N4465" i="1"/>
  <c r="O4465" i="1"/>
  <c r="M4466" i="1"/>
  <c r="N4466" i="1"/>
  <c r="O4466" i="1"/>
  <c r="M4467" i="1"/>
  <c r="N4467" i="1"/>
  <c r="O4467" i="1"/>
  <c r="M4468" i="1"/>
  <c r="N4468" i="1"/>
  <c r="O4468" i="1"/>
  <c r="M4469" i="1"/>
  <c r="N4469" i="1"/>
  <c r="O4469" i="1"/>
  <c r="M4470" i="1"/>
  <c r="N4470" i="1"/>
  <c r="O4470" i="1"/>
  <c r="M4471" i="1"/>
  <c r="N4471" i="1"/>
  <c r="O4471" i="1"/>
  <c r="M4472" i="1"/>
  <c r="N4472" i="1"/>
  <c r="O4472" i="1"/>
  <c r="M4473" i="1"/>
  <c r="N4473" i="1"/>
  <c r="O4473" i="1"/>
  <c r="M4474" i="1"/>
  <c r="N4474" i="1"/>
  <c r="O4474" i="1"/>
  <c r="M4475" i="1"/>
  <c r="N4475" i="1"/>
  <c r="O4475" i="1"/>
  <c r="M4476" i="1"/>
  <c r="N4476" i="1"/>
  <c r="O4476" i="1"/>
  <c r="M4477" i="1"/>
  <c r="N4477" i="1"/>
  <c r="O4477" i="1"/>
  <c r="M4478" i="1"/>
  <c r="N4478" i="1"/>
  <c r="O4478" i="1"/>
  <c r="M4479" i="1"/>
  <c r="N4479" i="1"/>
  <c r="O4479" i="1"/>
  <c r="M4480" i="1"/>
  <c r="N4480" i="1"/>
  <c r="O4480" i="1"/>
  <c r="M4481" i="1"/>
  <c r="N4481" i="1"/>
  <c r="O4481" i="1"/>
  <c r="M4482" i="1"/>
  <c r="N4482" i="1"/>
  <c r="O4482" i="1"/>
  <c r="M4483" i="1"/>
  <c r="N4483" i="1"/>
  <c r="O4483" i="1"/>
  <c r="M4484" i="1"/>
  <c r="N4484" i="1"/>
  <c r="O4484" i="1"/>
  <c r="M4485" i="1"/>
  <c r="N4485" i="1"/>
  <c r="O4485" i="1"/>
  <c r="M4486" i="1"/>
  <c r="N4486" i="1"/>
  <c r="O4486" i="1"/>
  <c r="M4487" i="1"/>
  <c r="N4487" i="1"/>
  <c r="O4487" i="1"/>
  <c r="M4488" i="1"/>
  <c r="N4488" i="1"/>
  <c r="O4488" i="1"/>
  <c r="M4489" i="1"/>
  <c r="N4489" i="1"/>
  <c r="O4489" i="1"/>
  <c r="M4490" i="1"/>
  <c r="N4490" i="1"/>
  <c r="O4490" i="1"/>
  <c r="M4491" i="1"/>
  <c r="N4491" i="1"/>
  <c r="O4491" i="1"/>
  <c r="M4492" i="1"/>
  <c r="N4492" i="1"/>
  <c r="O4492" i="1"/>
  <c r="M4493" i="1"/>
  <c r="N4493" i="1"/>
  <c r="O4493" i="1"/>
  <c r="M4494" i="1"/>
  <c r="N4494" i="1"/>
  <c r="O4494" i="1"/>
  <c r="M4495" i="1"/>
  <c r="N4495" i="1"/>
  <c r="O4495" i="1"/>
  <c r="M4496" i="1"/>
  <c r="N4496" i="1"/>
  <c r="O4496" i="1"/>
  <c r="M4497" i="1"/>
  <c r="N4497" i="1"/>
  <c r="O4497" i="1"/>
  <c r="M4498" i="1"/>
  <c r="N4498" i="1"/>
  <c r="O4498" i="1"/>
  <c r="M4499" i="1"/>
  <c r="N4499" i="1"/>
  <c r="O4499" i="1"/>
  <c r="M4500" i="1"/>
  <c r="N4500" i="1"/>
  <c r="O4500" i="1"/>
  <c r="M4501" i="1"/>
  <c r="N4501" i="1"/>
  <c r="O4501" i="1"/>
  <c r="M4502" i="1"/>
  <c r="N4502" i="1"/>
  <c r="O4502" i="1"/>
  <c r="M4503" i="1"/>
  <c r="N4503" i="1"/>
  <c r="O4503" i="1"/>
  <c r="M4504" i="1"/>
  <c r="N4504" i="1"/>
  <c r="O4504" i="1"/>
  <c r="M4505" i="1"/>
  <c r="N4505" i="1"/>
  <c r="O4505" i="1"/>
  <c r="M4506" i="1"/>
  <c r="N4506" i="1"/>
  <c r="O4506" i="1"/>
  <c r="M4507" i="1"/>
  <c r="N4507" i="1"/>
  <c r="O4507" i="1"/>
  <c r="M4508" i="1"/>
  <c r="N4508" i="1"/>
  <c r="O4508" i="1"/>
  <c r="M4509" i="1"/>
  <c r="N4509" i="1"/>
  <c r="O4509" i="1"/>
  <c r="M4510" i="1"/>
  <c r="N4510" i="1"/>
  <c r="O4510" i="1"/>
  <c r="M4511" i="1"/>
  <c r="N4511" i="1"/>
  <c r="O4511" i="1"/>
  <c r="M4512" i="1"/>
  <c r="N4512" i="1"/>
  <c r="O4512" i="1"/>
  <c r="M4513" i="1"/>
  <c r="N4513" i="1"/>
  <c r="O4513" i="1"/>
  <c r="M4514" i="1"/>
  <c r="N4514" i="1"/>
  <c r="O4514" i="1"/>
  <c r="M4515" i="1"/>
  <c r="N4515" i="1"/>
  <c r="O4515" i="1"/>
  <c r="M4516" i="1"/>
  <c r="N4516" i="1"/>
  <c r="O4516" i="1"/>
  <c r="M4517" i="1"/>
  <c r="N4517" i="1"/>
  <c r="O4517" i="1"/>
  <c r="M4518" i="1"/>
  <c r="N4518" i="1"/>
  <c r="O4518" i="1"/>
  <c r="M4519" i="1"/>
  <c r="N4519" i="1"/>
  <c r="O4519" i="1"/>
  <c r="M4520" i="1"/>
  <c r="N4520" i="1"/>
  <c r="O4520" i="1"/>
  <c r="M4521" i="1"/>
  <c r="N4521" i="1"/>
  <c r="O4521" i="1"/>
  <c r="M4522" i="1"/>
  <c r="N4522" i="1"/>
  <c r="O4522" i="1"/>
  <c r="M4523" i="1"/>
  <c r="N4523" i="1"/>
  <c r="O4523" i="1"/>
  <c r="M4524" i="1"/>
  <c r="N4524" i="1"/>
  <c r="O4524" i="1"/>
  <c r="M4525" i="1"/>
  <c r="N4525" i="1"/>
  <c r="O4525" i="1"/>
  <c r="M4526" i="1"/>
  <c r="N4526" i="1"/>
  <c r="O4526" i="1"/>
  <c r="M4527" i="1"/>
  <c r="N4527" i="1"/>
  <c r="O4527" i="1"/>
  <c r="M4528" i="1"/>
  <c r="N4528" i="1"/>
  <c r="O4528" i="1"/>
  <c r="M4529" i="1"/>
  <c r="N4529" i="1"/>
  <c r="O4529" i="1"/>
  <c r="M4530" i="1"/>
  <c r="N4530" i="1"/>
  <c r="O4530" i="1"/>
  <c r="M4531" i="1"/>
  <c r="N4531" i="1"/>
  <c r="O4531" i="1"/>
  <c r="M4532" i="1"/>
  <c r="N4532" i="1"/>
  <c r="O4532" i="1"/>
  <c r="M4533" i="1"/>
  <c r="N4533" i="1"/>
  <c r="O4533" i="1"/>
  <c r="M4534" i="1"/>
  <c r="N4534" i="1"/>
  <c r="O4534" i="1"/>
  <c r="M4535" i="1"/>
  <c r="N4535" i="1"/>
  <c r="O4535" i="1"/>
  <c r="M4536" i="1"/>
  <c r="N4536" i="1"/>
  <c r="O4536" i="1"/>
  <c r="M4537" i="1"/>
  <c r="N4537" i="1"/>
  <c r="O4537" i="1"/>
  <c r="M4538" i="1"/>
  <c r="N4538" i="1"/>
  <c r="O4538" i="1"/>
  <c r="M4539" i="1"/>
  <c r="N4539" i="1"/>
  <c r="O4539" i="1"/>
  <c r="M4540" i="1"/>
  <c r="N4540" i="1"/>
  <c r="O4540" i="1"/>
  <c r="M4541" i="1"/>
  <c r="N4541" i="1"/>
  <c r="O4541" i="1"/>
  <c r="M4542" i="1"/>
  <c r="N4542" i="1"/>
  <c r="O4542" i="1"/>
  <c r="M4543" i="1"/>
  <c r="N4543" i="1"/>
  <c r="O4543" i="1"/>
  <c r="M4544" i="1"/>
  <c r="N4544" i="1"/>
  <c r="O4544" i="1"/>
  <c r="M4545" i="1"/>
  <c r="N4545" i="1"/>
  <c r="O4545" i="1"/>
  <c r="M4546" i="1"/>
  <c r="N4546" i="1"/>
  <c r="O4546" i="1"/>
  <c r="M4547" i="1"/>
  <c r="N4547" i="1"/>
  <c r="O4547" i="1"/>
  <c r="M4548" i="1"/>
  <c r="N4548" i="1"/>
  <c r="O4548" i="1"/>
  <c r="M4549" i="1"/>
  <c r="N4549" i="1"/>
  <c r="O4549" i="1"/>
  <c r="M4550" i="1"/>
  <c r="N4550" i="1"/>
  <c r="O4550" i="1"/>
  <c r="M4551" i="1"/>
  <c r="N4551" i="1"/>
  <c r="O4551" i="1"/>
  <c r="M4552" i="1"/>
  <c r="N4552" i="1"/>
  <c r="O4552" i="1"/>
  <c r="M4553" i="1"/>
  <c r="N4553" i="1"/>
  <c r="O4553" i="1"/>
  <c r="M4554" i="1"/>
  <c r="N4554" i="1"/>
  <c r="O4554" i="1"/>
  <c r="M4555" i="1"/>
  <c r="N4555" i="1"/>
  <c r="O4555" i="1"/>
  <c r="M4556" i="1"/>
  <c r="N4556" i="1"/>
  <c r="O4556" i="1"/>
  <c r="M4557" i="1"/>
  <c r="N4557" i="1"/>
  <c r="O4557" i="1"/>
  <c r="M4558" i="1"/>
  <c r="N4558" i="1"/>
  <c r="O4558" i="1"/>
  <c r="M4559" i="1"/>
  <c r="N4559" i="1"/>
  <c r="O4559" i="1"/>
  <c r="M4560" i="1"/>
  <c r="N4560" i="1"/>
  <c r="O4560" i="1"/>
  <c r="M4561" i="1"/>
  <c r="N4561" i="1"/>
  <c r="O4561" i="1"/>
  <c r="M4562" i="1"/>
  <c r="N4562" i="1"/>
  <c r="O4562" i="1"/>
  <c r="M4563" i="1"/>
  <c r="N4563" i="1"/>
  <c r="O4563" i="1"/>
  <c r="M4564" i="1"/>
  <c r="N4564" i="1"/>
  <c r="O4564" i="1"/>
  <c r="M4565" i="1"/>
  <c r="N4565" i="1"/>
  <c r="O4565" i="1"/>
  <c r="M4566" i="1"/>
  <c r="N4566" i="1"/>
  <c r="O4566" i="1"/>
  <c r="M4567" i="1"/>
  <c r="N4567" i="1"/>
  <c r="O4567" i="1"/>
  <c r="M4568" i="1"/>
  <c r="N4568" i="1"/>
  <c r="O4568" i="1"/>
  <c r="M4569" i="1"/>
  <c r="N4569" i="1"/>
  <c r="O4569" i="1"/>
  <c r="M4570" i="1"/>
  <c r="N4570" i="1"/>
  <c r="O4570" i="1"/>
  <c r="M4571" i="1"/>
  <c r="N4571" i="1"/>
  <c r="O4571" i="1"/>
  <c r="M4572" i="1"/>
  <c r="N4572" i="1"/>
  <c r="O4572" i="1"/>
  <c r="M4573" i="1"/>
  <c r="N4573" i="1"/>
  <c r="O4573" i="1"/>
  <c r="M4574" i="1"/>
  <c r="N4574" i="1"/>
  <c r="O4574" i="1"/>
  <c r="M4575" i="1"/>
  <c r="N4575" i="1"/>
  <c r="O4575" i="1"/>
  <c r="M4576" i="1"/>
  <c r="N4576" i="1"/>
  <c r="O4576" i="1"/>
  <c r="M4577" i="1"/>
  <c r="N4577" i="1"/>
  <c r="O4577" i="1"/>
  <c r="M4578" i="1"/>
  <c r="N4578" i="1"/>
  <c r="O4578" i="1"/>
  <c r="M4579" i="1"/>
  <c r="N4579" i="1"/>
  <c r="O4579" i="1"/>
  <c r="M4580" i="1"/>
  <c r="N4580" i="1"/>
  <c r="O4580" i="1"/>
  <c r="M4581" i="1"/>
  <c r="N4581" i="1"/>
  <c r="O4581" i="1"/>
  <c r="M4582" i="1"/>
  <c r="N4582" i="1"/>
  <c r="O4582" i="1"/>
  <c r="M4583" i="1"/>
  <c r="N4583" i="1"/>
  <c r="O4583" i="1"/>
  <c r="M4584" i="1"/>
  <c r="N4584" i="1"/>
  <c r="O4584" i="1"/>
  <c r="M4585" i="1"/>
  <c r="N4585" i="1"/>
  <c r="O4585" i="1"/>
  <c r="M4586" i="1"/>
  <c r="N4586" i="1"/>
  <c r="O4586" i="1"/>
  <c r="M4587" i="1"/>
  <c r="N4587" i="1"/>
  <c r="O4587" i="1"/>
  <c r="M4588" i="1"/>
  <c r="N4588" i="1"/>
  <c r="O4588" i="1"/>
  <c r="M4589" i="1"/>
  <c r="N4589" i="1"/>
  <c r="O4589" i="1"/>
  <c r="M4590" i="1"/>
  <c r="N4590" i="1"/>
  <c r="O4590" i="1"/>
  <c r="M4591" i="1"/>
  <c r="N4591" i="1"/>
  <c r="O4591" i="1"/>
  <c r="M4592" i="1"/>
  <c r="N4592" i="1"/>
  <c r="O4592" i="1"/>
  <c r="M4593" i="1"/>
  <c r="N4593" i="1"/>
  <c r="O4593" i="1"/>
  <c r="M4594" i="1"/>
  <c r="N4594" i="1"/>
  <c r="O4594" i="1"/>
  <c r="M4595" i="1"/>
  <c r="N4595" i="1"/>
  <c r="O4595" i="1"/>
  <c r="M4596" i="1"/>
  <c r="N4596" i="1"/>
  <c r="O4596" i="1"/>
  <c r="M4597" i="1"/>
  <c r="N4597" i="1"/>
  <c r="O4597" i="1"/>
  <c r="M4598" i="1"/>
  <c r="N4598" i="1"/>
  <c r="O4598" i="1"/>
  <c r="M4599" i="1"/>
  <c r="N4599" i="1"/>
  <c r="O4599" i="1"/>
  <c r="M4600" i="1"/>
  <c r="N4600" i="1"/>
  <c r="O4600" i="1"/>
  <c r="M4601" i="1"/>
  <c r="N4601" i="1"/>
  <c r="O4601" i="1"/>
  <c r="M4602" i="1"/>
  <c r="N4602" i="1"/>
  <c r="O4602" i="1"/>
  <c r="M4603" i="1"/>
  <c r="N4603" i="1"/>
  <c r="O4603" i="1"/>
  <c r="M4604" i="1"/>
  <c r="N4604" i="1"/>
  <c r="O4604" i="1"/>
  <c r="M4605" i="1"/>
  <c r="N4605" i="1"/>
  <c r="O4605" i="1"/>
  <c r="M4606" i="1"/>
  <c r="N4606" i="1"/>
  <c r="O4606" i="1"/>
  <c r="M4607" i="1"/>
  <c r="N4607" i="1"/>
  <c r="O4607" i="1"/>
  <c r="M4608" i="1"/>
  <c r="N4608" i="1"/>
  <c r="O4608" i="1"/>
  <c r="M4609" i="1"/>
  <c r="N4609" i="1"/>
  <c r="O4609" i="1"/>
  <c r="M4610" i="1"/>
  <c r="N4610" i="1"/>
  <c r="O4610" i="1"/>
  <c r="M4611" i="1"/>
  <c r="N4611" i="1"/>
  <c r="O4611" i="1"/>
  <c r="M4612" i="1"/>
  <c r="N4612" i="1"/>
  <c r="O4612" i="1"/>
  <c r="M4613" i="1"/>
  <c r="N4613" i="1"/>
  <c r="O4613" i="1"/>
  <c r="M4614" i="1"/>
  <c r="N4614" i="1"/>
  <c r="O4614" i="1"/>
  <c r="M4615" i="1"/>
  <c r="N4615" i="1"/>
  <c r="O4615" i="1"/>
  <c r="M4616" i="1"/>
  <c r="N4616" i="1"/>
  <c r="O4616" i="1"/>
  <c r="M4617" i="1"/>
  <c r="N4617" i="1"/>
  <c r="O4617" i="1"/>
  <c r="M4618" i="1"/>
  <c r="N4618" i="1"/>
  <c r="O4618" i="1"/>
  <c r="M4619" i="1"/>
  <c r="N4619" i="1"/>
  <c r="O4619" i="1"/>
  <c r="M4620" i="1"/>
  <c r="N4620" i="1"/>
  <c r="O4620" i="1"/>
  <c r="M4621" i="1"/>
  <c r="N4621" i="1"/>
  <c r="O4621" i="1"/>
  <c r="M4622" i="1"/>
  <c r="N4622" i="1"/>
  <c r="O4622" i="1"/>
  <c r="M4623" i="1"/>
  <c r="N4623" i="1"/>
  <c r="O4623" i="1"/>
  <c r="M4624" i="1"/>
  <c r="N4624" i="1"/>
  <c r="O4624" i="1"/>
  <c r="M4625" i="1"/>
  <c r="N4625" i="1"/>
  <c r="O4625" i="1"/>
  <c r="M4626" i="1"/>
  <c r="N4626" i="1"/>
  <c r="O4626" i="1"/>
  <c r="M4627" i="1"/>
  <c r="N4627" i="1"/>
  <c r="O4627" i="1"/>
  <c r="M4628" i="1"/>
  <c r="N4628" i="1"/>
  <c r="O4628" i="1"/>
  <c r="M4629" i="1"/>
  <c r="N4629" i="1"/>
  <c r="O4629" i="1"/>
  <c r="M4630" i="1"/>
  <c r="N4630" i="1"/>
  <c r="O4630" i="1"/>
  <c r="M4631" i="1"/>
  <c r="N4631" i="1"/>
  <c r="O4631" i="1"/>
  <c r="M4632" i="1"/>
  <c r="N4632" i="1"/>
  <c r="O4632" i="1"/>
  <c r="M4633" i="1"/>
  <c r="N4633" i="1"/>
  <c r="O4633" i="1"/>
  <c r="M4634" i="1"/>
  <c r="N4634" i="1"/>
  <c r="O4634" i="1"/>
  <c r="M4635" i="1"/>
  <c r="N4635" i="1"/>
  <c r="O4635" i="1"/>
  <c r="M4636" i="1"/>
  <c r="N4636" i="1"/>
  <c r="O4636" i="1"/>
  <c r="M4637" i="1"/>
  <c r="N4637" i="1"/>
  <c r="O4637" i="1"/>
  <c r="M4638" i="1"/>
  <c r="N4638" i="1"/>
  <c r="O4638" i="1"/>
  <c r="M4639" i="1"/>
  <c r="N4639" i="1"/>
  <c r="O4639" i="1"/>
  <c r="M4640" i="1"/>
  <c r="N4640" i="1"/>
  <c r="O4640" i="1"/>
  <c r="M4641" i="1"/>
  <c r="N4641" i="1"/>
  <c r="O4641" i="1"/>
  <c r="M4642" i="1"/>
  <c r="N4642" i="1"/>
  <c r="O4642" i="1"/>
  <c r="M4643" i="1"/>
  <c r="N4643" i="1"/>
  <c r="O4643" i="1"/>
  <c r="M4644" i="1"/>
  <c r="N4644" i="1"/>
  <c r="O4644" i="1"/>
  <c r="M4645" i="1"/>
  <c r="N4645" i="1"/>
  <c r="O4645" i="1"/>
  <c r="M4646" i="1"/>
  <c r="N4646" i="1"/>
  <c r="O4646" i="1"/>
  <c r="M4647" i="1"/>
  <c r="N4647" i="1"/>
  <c r="O4647" i="1"/>
  <c r="M4648" i="1"/>
  <c r="N4648" i="1"/>
  <c r="O4648" i="1"/>
  <c r="M4649" i="1"/>
  <c r="N4649" i="1"/>
  <c r="O4649" i="1"/>
  <c r="M4650" i="1"/>
  <c r="N4650" i="1"/>
  <c r="O4650" i="1"/>
  <c r="M4651" i="1"/>
  <c r="N4651" i="1"/>
  <c r="O4651" i="1"/>
  <c r="M4652" i="1"/>
  <c r="N4652" i="1"/>
  <c r="O4652" i="1"/>
  <c r="M4653" i="1"/>
  <c r="N4653" i="1"/>
  <c r="O4653" i="1"/>
  <c r="M4654" i="1"/>
  <c r="N4654" i="1"/>
  <c r="O4654" i="1"/>
  <c r="M4655" i="1"/>
  <c r="N4655" i="1"/>
  <c r="O4655" i="1"/>
  <c r="M4656" i="1"/>
  <c r="N4656" i="1"/>
  <c r="O4656" i="1"/>
  <c r="M4657" i="1"/>
  <c r="N4657" i="1"/>
  <c r="O4657" i="1"/>
  <c r="M4658" i="1"/>
  <c r="N4658" i="1"/>
  <c r="O4658" i="1"/>
  <c r="M4659" i="1"/>
  <c r="N4659" i="1"/>
  <c r="O4659" i="1"/>
  <c r="M4660" i="1"/>
  <c r="N4660" i="1"/>
  <c r="O4660" i="1"/>
  <c r="M4661" i="1"/>
  <c r="N4661" i="1"/>
  <c r="O4661" i="1"/>
  <c r="M4662" i="1"/>
  <c r="N4662" i="1"/>
  <c r="O4662" i="1"/>
  <c r="M4663" i="1"/>
  <c r="N4663" i="1"/>
  <c r="O4663" i="1"/>
  <c r="M4664" i="1"/>
  <c r="N4664" i="1"/>
  <c r="O4664" i="1"/>
  <c r="M4665" i="1"/>
  <c r="N4665" i="1"/>
  <c r="O4665" i="1"/>
  <c r="M4666" i="1"/>
  <c r="N4666" i="1"/>
  <c r="O4666" i="1"/>
  <c r="M4667" i="1"/>
  <c r="N4667" i="1"/>
  <c r="O4667" i="1"/>
  <c r="M4668" i="1"/>
  <c r="N4668" i="1"/>
  <c r="O4668" i="1"/>
  <c r="M4669" i="1"/>
  <c r="N4669" i="1"/>
  <c r="O4669" i="1"/>
  <c r="M4670" i="1"/>
  <c r="N4670" i="1"/>
  <c r="O4670" i="1"/>
  <c r="M4671" i="1"/>
  <c r="N4671" i="1"/>
  <c r="O4671" i="1"/>
  <c r="M4672" i="1"/>
  <c r="N4672" i="1"/>
  <c r="O4672" i="1"/>
  <c r="M4673" i="1"/>
  <c r="N4673" i="1"/>
  <c r="O4673" i="1"/>
  <c r="M4674" i="1"/>
  <c r="N4674" i="1"/>
  <c r="O4674" i="1"/>
  <c r="M4675" i="1"/>
  <c r="N4675" i="1"/>
  <c r="O4675" i="1"/>
  <c r="M4676" i="1"/>
  <c r="N4676" i="1"/>
  <c r="O4676" i="1"/>
  <c r="M4677" i="1"/>
  <c r="N4677" i="1"/>
  <c r="O4677" i="1"/>
  <c r="M4678" i="1"/>
  <c r="N4678" i="1"/>
  <c r="O4678" i="1"/>
  <c r="M4679" i="1"/>
  <c r="N4679" i="1"/>
  <c r="O4679" i="1"/>
  <c r="M4680" i="1"/>
  <c r="N4680" i="1"/>
  <c r="O4680" i="1"/>
  <c r="M4681" i="1"/>
  <c r="N4681" i="1"/>
  <c r="O4681" i="1"/>
  <c r="M4682" i="1"/>
  <c r="N4682" i="1"/>
  <c r="O4682" i="1"/>
  <c r="M4683" i="1"/>
  <c r="N4683" i="1"/>
  <c r="O4683" i="1"/>
  <c r="M4684" i="1"/>
  <c r="N4684" i="1"/>
  <c r="O4684" i="1"/>
  <c r="M4685" i="1"/>
  <c r="N4685" i="1"/>
  <c r="O4685" i="1"/>
  <c r="M4686" i="1"/>
  <c r="N4686" i="1"/>
  <c r="O4686" i="1"/>
  <c r="M4687" i="1"/>
  <c r="N4687" i="1"/>
  <c r="O4687" i="1"/>
  <c r="M4688" i="1"/>
  <c r="N4688" i="1"/>
  <c r="O4688" i="1"/>
  <c r="M4689" i="1"/>
  <c r="N4689" i="1"/>
  <c r="O4689" i="1"/>
  <c r="M4690" i="1"/>
  <c r="N4690" i="1"/>
  <c r="O4690" i="1"/>
  <c r="M4691" i="1"/>
  <c r="N4691" i="1"/>
  <c r="O4691" i="1"/>
  <c r="M4692" i="1"/>
  <c r="N4692" i="1"/>
  <c r="O4692" i="1"/>
  <c r="M4693" i="1"/>
  <c r="N4693" i="1"/>
  <c r="O4693" i="1"/>
  <c r="M4694" i="1"/>
  <c r="N4694" i="1"/>
  <c r="O4694" i="1"/>
  <c r="M4695" i="1"/>
  <c r="N4695" i="1"/>
  <c r="O4695" i="1"/>
  <c r="M4696" i="1"/>
  <c r="N4696" i="1"/>
  <c r="O4696" i="1"/>
  <c r="M4697" i="1"/>
  <c r="N4697" i="1"/>
  <c r="O4697" i="1"/>
  <c r="M4698" i="1"/>
  <c r="N4698" i="1"/>
  <c r="O4698" i="1"/>
  <c r="M4699" i="1"/>
  <c r="N4699" i="1"/>
  <c r="O4699" i="1"/>
  <c r="M4700" i="1"/>
  <c r="N4700" i="1"/>
  <c r="O4700" i="1"/>
  <c r="M4701" i="1"/>
  <c r="N4701" i="1"/>
  <c r="O4701" i="1"/>
  <c r="M4702" i="1"/>
  <c r="N4702" i="1"/>
  <c r="O4702" i="1"/>
  <c r="M4703" i="1"/>
  <c r="N4703" i="1"/>
  <c r="O4703" i="1"/>
  <c r="M4704" i="1"/>
  <c r="N4704" i="1"/>
  <c r="O4704" i="1"/>
  <c r="M4705" i="1"/>
  <c r="N4705" i="1"/>
  <c r="O4705" i="1"/>
  <c r="M4706" i="1"/>
  <c r="N4706" i="1"/>
  <c r="O4706" i="1"/>
  <c r="M4707" i="1"/>
  <c r="N4707" i="1"/>
  <c r="O4707" i="1"/>
  <c r="M4708" i="1"/>
  <c r="N4708" i="1"/>
  <c r="O4708" i="1"/>
  <c r="M4709" i="1"/>
  <c r="N4709" i="1"/>
  <c r="O4709" i="1"/>
  <c r="M4710" i="1"/>
  <c r="N4710" i="1"/>
  <c r="O4710" i="1"/>
  <c r="M4711" i="1"/>
  <c r="N4711" i="1"/>
  <c r="O4711" i="1"/>
  <c r="M4712" i="1"/>
  <c r="N4712" i="1"/>
  <c r="O4712" i="1"/>
  <c r="M4713" i="1"/>
  <c r="N4713" i="1"/>
  <c r="O4713" i="1"/>
  <c r="M4714" i="1"/>
  <c r="N4714" i="1"/>
  <c r="O4714" i="1"/>
  <c r="M4715" i="1"/>
  <c r="N4715" i="1"/>
  <c r="O4715" i="1"/>
  <c r="M4716" i="1"/>
  <c r="N4716" i="1"/>
  <c r="O4716" i="1"/>
  <c r="M4717" i="1"/>
  <c r="N4717" i="1"/>
  <c r="O4717" i="1"/>
  <c r="M4718" i="1"/>
  <c r="N4718" i="1"/>
  <c r="O4718" i="1"/>
  <c r="M4719" i="1"/>
  <c r="N4719" i="1"/>
  <c r="O4719" i="1"/>
  <c r="M4720" i="1"/>
  <c r="N4720" i="1"/>
  <c r="O4720" i="1"/>
  <c r="M4721" i="1"/>
  <c r="N4721" i="1"/>
  <c r="O4721" i="1"/>
  <c r="M4722" i="1"/>
  <c r="N4722" i="1"/>
  <c r="O4722" i="1"/>
  <c r="M4723" i="1"/>
  <c r="N4723" i="1"/>
  <c r="O4723" i="1"/>
  <c r="M4724" i="1"/>
  <c r="N4724" i="1"/>
  <c r="O4724" i="1"/>
  <c r="M4725" i="1"/>
  <c r="N4725" i="1"/>
  <c r="O4725" i="1"/>
  <c r="M4726" i="1"/>
  <c r="N4726" i="1"/>
  <c r="O4726" i="1"/>
  <c r="M4727" i="1"/>
  <c r="N4727" i="1"/>
  <c r="O4727" i="1"/>
  <c r="M4728" i="1"/>
  <c r="N4728" i="1"/>
  <c r="O4728" i="1"/>
  <c r="M4729" i="1"/>
  <c r="N4729" i="1"/>
  <c r="O4729" i="1"/>
  <c r="M4730" i="1"/>
  <c r="N4730" i="1"/>
  <c r="O4730" i="1"/>
  <c r="M4731" i="1"/>
  <c r="N4731" i="1"/>
  <c r="O4731" i="1"/>
  <c r="M4732" i="1"/>
  <c r="N4732" i="1"/>
  <c r="O4732" i="1"/>
  <c r="M4733" i="1"/>
  <c r="N4733" i="1"/>
  <c r="O4733" i="1"/>
  <c r="M4734" i="1"/>
  <c r="N4734" i="1"/>
  <c r="O4734" i="1"/>
  <c r="M4735" i="1"/>
  <c r="N4735" i="1"/>
  <c r="O4735" i="1"/>
  <c r="M4736" i="1"/>
  <c r="N4736" i="1"/>
  <c r="O4736" i="1"/>
  <c r="M4737" i="1"/>
  <c r="N4737" i="1"/>
  <c r="O4737" i="1"/>
  <c r="M4738" i="1"/>
  <c r="N4738" i="1"/>
  <c r="O4738" i="1"/>
  <c r="M4739" i="1"/>
  <c r="N4739" i="1"/>
  <c r="O4739" i="1"/>
  <c r="M4740" i="1"/>
  <c r="N4740" i="1"/>
  <c r="O4740" i="1"/>
  <c r="M4741" i="1"/>
  <c r="N4741" i="1"/>
  <c r="O4741" i="1"/>
  <c r="M4742" i="1"/>
  <c r="N4742" i="1"/>
  <c r="O4742" i="1"/>
  <c r="M4743" i="1"/>
  <c r="N4743" i="1"/>
  <c r="O4743" i="1"/>
  <c r="M4744" i="1"/>
  <c r="N4744" i="1"/>
  <c r="O4744" i="1"/>
  <c r="M4745" i="1"/>
  <c r="N4745" i="1"/>
  <c r="O4745" i="1"/>
  <c r="M4746" i="1"/>
  <c r="N4746" i="1"/>
  <c r="O4746" i="1"/>
  <c r="M4747" i="1"/>
  <c r="N4747" i="1"/>
  <c r="O4747" i="1"/>
  <c r="M4748" i="1"/>
  <c r="N4748" i="1"/>
  <c r="O4748" i="1"/>
  <c r="M4749" i="1"/>
  <c r="N4749" i="1"/>
  <c r="O4749" i="1"/>
  <c r="M4750" i="1"/>
  <c r="N4750" i="1"/>
  <c r="O4750" i="1"/>
  <c r="M4751" i="1"/>
  <c r="N4751" i="1"/>
  <c r="O4751" i="1"/>
  <c r="M4752" i="1"/>
  <c r="N4752" i="1"/>
  <c r="O4752" i="1"/>
  <c r="M4753" i="1"/>
  <c r="N4753" i="1"/>
  <c r="O4753" i="1"/>
  <c r="M4754" i="1"/>
  <c r="N4754" i="1"/>
  <c r="O4754" i="1"/>
  <c r="M4755" i="1"/>
  <c r="N4755" i="1"/>
  <c r="O4755" i="1"/>
  <c r="M4756" i="1"/>
  <c r="N4756" i="1"/>
  <c r="O4756" i="1"/>
  <c r="M4757" i="1"/>
  <c r="N4757" i="1"/>
  <c r="O4757" i="1"/>
  <c r="M4758" i="1"/>
  <c r="N4758" i="1"/>
  <c r="O4758" i="1"/>
  <c r="M4759" i="1"/>
  <c r="N4759" i="1"/>
  <c r="O4759" i="1"/>
  <c r="M4760" i="1"/>
  <c r="N4760" i="1"/>
  <c r="O4760" i="1"/>
  <c r="M4761" i="1"/>
  <c r="N4761" i="1"/>
  <c r="O4761" i="1"/>
  <c r="M4762" i="1"/>
  <c r="N4762" i="1"/>
  <c r="O4762" i="1"/>
  <c r="M4763" i="1"/>
  <c r="N4763" i="1"/>
  <c r="O4763" i="1"/>
  <c r="M4764" i="1"/>
  <c r="N4764" i="1"/>
  <c r="O4764" i="1"/>
  <c r="M4765" i="1"/>
  <c r="N4765" i="1"/>
  <c r="O4765" i="1"/>
  <c r="M4766" i="1"/>
  <c r="N4766" i="1"/>
  <c r="O4766" i="1"/>
  <c r="M4767" i="1"/>
  <c r="N4767" i="1"/>
  <c r="O4767" i="1"/>
  <c r="M4768" i="1"/>
  <c r="N4768" i="1"/>
  <c r="O4768" i="1"/>
  <c r="M4769" i="1"/>
  <c r="N4769" i="1"/>
  <c r="O4769" i="1"/>
  <c r="M4770" i="1"/>
  <c r="N4770" i="1"/>
  <c r="O4770" i="1"/>
  <c r="M4771" i="1"/>
  <c r="N4771" i="1"/>
  <c r="O4771" i="1"/>
  <c r="M4772" i="1"/>
  <c r="N4772" i="1"/>
  <c r="O4772" i="1"/>
  <c r="M4773" i="1"/>
  <c r="N4773" i="1"/>
  <c r="O4773" i="1"/>
  <c r="M4774" i="1"/>
  <c r="N4774" i="1"/>
  <c r="O4774" i="1"/>
  <c r="M4775" i="1"/>
  <c r="N4775" i="1"/>
  <c r="O4775" i="1"/>
  <c r="M4776" i="1"/>
  <c r="N4776" i="1"/>
  <c r="O4776" i="1"/>
  <c r="M4777" i="1"/>
  <c r="N4777" i="1"/>
  <c r="O4777" i="1"/>
  <c r="M4778" i="1"/>
  <c r="N4778" i="1"/>
  <c r="O4778" i="1"/>
  <c r="M4779" i="1"/>
  <c r="N4779" i="1"/>
  <c r="O4779" i="1"/>
  <c r="M4780" i="1"/>
  <c r="N4780" i="1"/>
  <c r="O4780" i="1"/>
  <c r="M4781" i="1"/>
  <c r="N4781" i="1"/>
  <c r="O4781" i="1"/>
  <c r="M4782" i="1"/>
  <c r="N4782" i="1"/>
  <c r="O4782" i="1"/>
  <c r="M4783" i="1"/>
  <c r="N4783" i="1"/>
  <c r="O4783" i="1"/>
  <c r="M4784" i="1"/>
  <c r="N4784" i="1"/>
  <c r="O4784" i="1"/>
  <c r="M4785" i="1"/>
  <c r="N4785" i="1"/>
  <c r="O4785" i="1"/>
  <c r="M4786" i="1"/>
  <c r="N4786" i="1"/>
  <c r="O4786" i="1"/>
  <c r="M4787" i="1"/>
  <c r="N4787" i="1"/>
  <c r="O4787" i="1"/>
  <c r="M4788" i="1"/>
  <c r="N4788" i="1"/>
  <c r="O4788" i="1"/>
  <c r="M4789" i="1"/>
  <c r="N4789" i="1"/>
  <c r="O4789" i="1"/>
  <c r="M4790" i="1"/>
  <c r="N4790" i="1"/>
  <c r="O4790" i="1"/>
  <c r="M4791" i="1"/>
  <c r="N4791" i="1"/>
  <c r="O4791" i="1"/>
  <c r="M4792" i="1"/>
  <c r="N4792" i="1"/>
  <c r="O4792" i="1"/>
  <c r="M4793" i="1"/>
  <c r="N4793" i="1"/>
  <c r="O4793" i="1"/>
  <c r="M4794" i="1"/>
  <c r="N4794" i="1"/>
  <c r="O4794" i="1"/>
  <c r="M4795" i="1"/>
  <c r="N4795" i="1"/>
  <c r="O4795" i="1"/>
  <c r="M4796" i="1"/>
  <c r="N4796" i="1"/>
  <c r="O4796" i="1"/>
  <c r="M4797" i="1"/>
  <c r="N4797" i="1"/>
  <c r="O4797" i="1"/>
  <c r="M4798" i="1"/>
  <c r="N4798" i="1"/>
  <c r="O4798" i="1"/>
  <c r="M4799" i="1"/>
  <c r="N4799" i="1"/>
  <c r="O4799" i="1"/>
  <c r="M4800" i="1"/>
  <c r="N4800" i="1"/>
  <c r="O4800" i="1"/>
  <c r="M4801" i="1"/>
  <c r="N4801" i="1"/>
  <c r="O4801" i="1"/>
  <c r="M4802" i="1"/>
  <c r="N4802" i="1"/>
  <c r="O4802" i="1"/>
  <c r="M4803" i="1"/>
  <c r="N4803" i="1"/>
  <c r="O4803" i="1"/>
  <c r="M4804" i="1"/>
  <c r="N4804" i="1"/>
  <c r="O4804" i="1"/>
  <c r="M4805" i="1"/>
  <c r="N4805" i="1"/>
  <c r="O4805" i="1"/>
  <c r="M4806" i="1"/>
  <c r="N4806" i="1"/>
  <c r="O4806" i="1"/>
  <c r="M4807" i="1"/>
  <c r="N4807" i="1"/>
  <c r="O4807" i="1"/>
  <c r="M4808" i="1"/>
  <c r="N4808" i="1"/>
  <c r="O4808" i="1"/>
  <c r="M4809" i="1"/>
  <c r="N4809" i="1"/>
  <c r="O4809" i="1"/>
  <c r="M4810" i="1"/>
  <c r="N4810" i="1"/>
  <c r="O4810" i="1"/>
  <c r="M4811" i="1"/>
  <c r="N4811" i="1"/>
  <c r="O4811" i="1"/>
  <c r="M4812" i="1"/>
  <c r="N4812" i="1"/>
  <c r="O4812" i="1"/>
  <c r="M4813" i="1"/>
  <c r="N4813" i="1"/>
  <c r="O4813" i="1"/>
  <c r="M4814" i="1"/>
  <c r="N4814" i="1"/>
  <c r="O4814" i="1"/>
  <c r="M4815" i="1"/>
  <c r="N4815" i="1"/>
  <c r="O4815" i="1"/>
  <c r="M4816" i="1"/>
  <c r="N4816" i="1"/>
  <c r="O4816" i="1"/>
  <c r="M4817" i="1"/>
  <c r="N4817" i="1"/>
  <c r="O4817" i="1"/>
  <c r="M4818" i="1"/>
  <c r="N4818" i="1"/>
  <c r="O4818" i="1"/>
  <c r="M4819" i="1"/>
  <c r="N4819" i="1"/>
  <c r="O4819" i="1"/>
  <c r="M4820" i="1"/>
  <c r="N4820" i="1"/>
  <c r="O4820" i="1"/>
  <c r="M4821" i="1"/>
  <c r="N4821" i="1"/>
  <c r="O4821" i="1"/>
  <c r="M4822" i="1"/>
  <c r="N4822" i="1"/>
  <c r="O4822" i="1"/>
  <c r="M4823" i="1"/>
  <c r="N4823" i="1"/>
  <c r="O4823" i="1"/>
  <c r="M4824" i="1"/>
  <c r="N4824" i="1"/>
  <c r="O4824" i="1"/>
  <c r="M4825" i="1"/>
  <c r="N4825" i="1"/>
  <c r="O4825" i="1"/>
  <c r="M4826" i="1"/>
  <c r="N4826" i="1"/>
  <c r="O4826" i="1"/>
  <c r="M4827" i="1"/>
  <c r="N4827" i="1"/>
  <c r="O4827" i="1"/>
  <c r="M4828" i="1"/>
  <c r="N4828" i="1"/>
  <c r="O4828" i="1"/>
  <c r="M4829" i="1"/>
  <c r="N4829" i="1"/>
  <c r="O4829" i="1"/>
  <c r="M4830" i="1"/>
  <c r="N4830" i="1"/>
  <c r="O4830" i="1"/>
  <c r="M4831" i="1"/>
  <c r="N4831" i="1"/>
  <c r="O4831" i="1"/>
  <c r="M4832" i="1"/>
  <c r="N4832" i="1"/>
  <c r="O4832" i="1"/>
  <c r="M4833" i="1"/>
  <c r="N4833" i="1"/>
  <c r="O4833" i="1"/>
  <c r="M4834" i="1"/>
  <c r="N4834" i="1"/>
  <c r="O4834" i="1"/>
  <c r="M4835" i="1"/>
  <c r="N4835" i="1"/>
  <c r="O4835" i="1"/>
  <c r="M4836" i="1"/>
  <c r="N4836" i="1"/>
  <c r="O4836" i="1"/>
  <c r="M4837" i="1"/>
  <c r="N4837" i="1"/>
  <c r="O4837" i="1"/>
  <c r="M4838" i="1"/>
  <c r="N4838" i="1"/>
  <c r="O4838" i="1"/>
  <c r="M4839" i="1"/>
  <c r="N4839" i="1"/>
  <c r="O4839" i="1"/>
  <c r="M4840" i="1"/>
  <c r="N4840" i="1"/>
  <c r="O4840" i="1"/>
  <c r="M4841" i="1"/>
  <c r="N4841" i="1"/>
  <c r="O4841" i="1"/>
  <c r="M4842" i="1"/>
  <c r="N4842" i="1"/>
  <c r="O4842" i="1"/>
  <c r="M4843" i="1"/>
  <c r="N4843" i="1"/>
  <c r="O4843" i="1"/>
  <c r="M4844" i="1"/>
  <c r="N4844" i="1"/>
  <c r="O4844" i="1"/>
  <c r="M4845" i="1"/>
  <c r="N4845" i="1"/>
  <c r="O4845" i="1"/>
  <c r="M4846" i="1"/>
  <c r="N4846" i="1"/>
  <c r="O4846" i="1"/>
  <c r="M4847" i="1"/>
  <c r="N4847" i="1"/>
  <c r="O4847" i="1"/>
  <c r="M4848" i="1"/>
  <c r="N4848" i="1"/>
  <c r="O4848" i="1"/>
  <c r="M4849" i="1"/>
  <c r="N4849" i="1"/>
  <c r="O4849" i="1"/>
  <c r="M4850" i="1"/>
  <c r="N4850" i="1"/>
  <c r="O4850" i="1"/>
  <c r="M4851" i="1"/>
  <c r="N4851" i="1"/>
  <c r="O4851" i="1"/>
  <c r="M4852" i="1"/>
  <c r="N4852" i="1"/>
  <c r="O4852" i="1"/>
  <c r="M4853" i="1"/>
  <c r="N4853" i="1"/>
  <c r="O4853" i="1"/>
  <c r="M4854" i="1"/>
  <c r="N4854" i="1"/>
  <c r="O4854" i="1"/>
  <c r="M4855" i="1"/>
  <c r="N4855" i="1"/>
  <c r="O4855" i="1"/>
  <c r="M4856" i="1"/>
  <c r="N4856" i="1"/>
  <c r="O4856" i="1"/>
  <c r="M4857" i="1"/>
  <c r="N4857" i="1"/>
  <c r="O4857" i="1"/>
  <c r="M4858" i="1"/>
  <c r="N4858" i="1"/>
  <c r="O4858" i="1"/>
  <c r="M4859" i="1"/>
  <c r="N4859" i="1"/>
  <c r="O4859" i="1"/>
  <c r="M4860" i="1"/>
  <c r="N4860" i="1"/>
  <c r="O4860" i="1"/>
  <c r="M4861" i="1"/>
  <c r="N4861" i="1"/>
  <c r="O4861" i="1"/>
  <c r="M4862" i="1"/>
  <c r="N4862" i="1"/>
  <c r="O4862" i="1"/>
  <c r="M4863" i="1"/>
  <c r="N4863" i="1"/>
  <c r="O4863" i="1"/>
  <c r="M4864" i="1"/>
  <c r="N4864" i="1"/>
  <c r="O4864" i="1"/>
  <c r="M4865" i="1"/>
  <c r="N4865" i="1"/>
  <c r="O4865" i="1"/>
  <c r="M4866" i="1"/>
  <c r="N4866" i="1"/>
  <c r="O4866" i="1"/>
  <c r="M4867" i="1"/>
  <c r="N4867" i="1"/>
  <c r="O4867" i="1"/>
  <c r="M4868" i="1"/>
  <c r="N4868" i="1"/>
  <c r="O4868" i="1"/>
  <c r="M4869" i="1"/>
  <c r="N4869" i="1"/>
  <c r="O4869" i="1"/>
  <c r="M4870" i="1"/>
  <c r="N4870" i="1"/>
  <c r="O4870" i="1"/>
  <c r="M4871" i="1"/>
  <c r="N4871" i="1"/>
  <c r="O4871" i="1"/>
  <c r="M4872" i="1"/>
  <c r="N4872" i="1"/>
  <c r="O4872" i="1"/>
  <c r="M4873" i="1"/>
  <c r="N4873" i="1"/>
  <c r="O4873" i="1"/>
  <c r="M4874" i="1"/>
  <c r="N4874" i="1"/>
  <c r="O4874" i="1"/>
  <c r="M4875" i="1"/>
  <c r="N4875" i="1"/>
  <c r="O4875" i="1"/>
  <c r="M4876" i="1"/>
  <c r="N4876" i="1"/>
  <c r="O4876" i="1"/>
  <c r="M4877" i="1"/>
  <c r="N4877" i="1"/>
  <c r="O4877" i="1"/>
  <c r="M4878" i="1"/>
  <c r="N4878" i="1"/>
  <c r="O4878" i="1"/>
  <c r="M4879" i="1"/>
  <c r="N4879" i="1"/>
  <c r="O4879" i="1"/>
  <c r="M4880" i="1"/>
  <c r="N4880" i="1"/>
  <c r="O4880" i="1"/>
  <c r="M4881" i="1"/>
  <c r="N4881" i="1"/>
  <c r="O4881" i="1"/>
  <c r="M4882" i="1"/>
  <c r="N4882" i="1"/>
  <c r="O4882" i="1"/>
  <c r="M4883" i="1"/>
  <c r="N4883" i="1"/>
  <c r="O4883" i="1"/>
  <c r="M4884" i="1"/>
  <c r="N4884" i="1"/>
  <c r="O4884" i="1"/>
  <c r="M4885" i="1"/>
  <c r="N4885" i="1"/>
  <c r="O4885" i="1"/>
  <c r="M4886" i="1"/>
  <c r="N4886" i="1"/>
  <c r="O4886" i="1"/>
  <c r="M4887" i="1"/>
  <c r="N4887" i="1"/>
  <c r="O4887" i="1"/>
  <c r="M4888" i="1"/>
  <c r="N4888" i="1"/>
  <c r="O4888" i="1"/>
  <c r="M4889" i="1"/>
  <c r="N4889" i="1"/>
  <c r="O4889" i="1"/>
  <c r="M4890" i="1"/>
  <c r="N4890" i="1"/>
  <c r="O4890" i="1"/>
  <c r="M4891" i="1"/>
  <c r="N4891" i="1"/>
  <c r="O4891" i="1"/>
  <c r="M4892" i="1"/>
  <c r="N4892" i="1"/>
  <c r="O4892" i="1"/>
  <c r="M4893" i="1"/>
  <c r="N4893" i="1"/>
  <c r="O4893" i="1"/>
  <c r="M4894" i="1"/>
  <c r="N4894" i="1"/>
  <c r="O4894" i="1"/>
  <c r="M4895" i="1"/>
  <c r="N4895" i="1"/>
  <c r="O4895" i="1"/>
  <c r="M4896" i="1"/>
  <c r="N4896" i="1"/>
  <c r="O4896" i="1"/>
  <c r="M4897" i="1"/>
  <c r="N4897" i="1"/>
  <c r="O4897" i="1"/>
  <c r="M4898" i="1"/>
  <c r="N4898" i="1"/>
  <c r="O4898" i="1"/>
  <c r="M4899" i="1"/>
  <c r="N4899" i="1"/>
  <c r="O4899" i="1"/>
  <c r="M4900" i="1"/>
  <c r="N4900" i="1"/>
  <c r="O4900" i="1"/>
  <c r="M4901" i="1"/>
  <c r="N4901" i="1"/>
  <c r="O4901" i="1"/>
  <c r="M4902" i="1"/>
  <c r="N4902" i="1"/>
  <c r="O4902" i="1"/>
  <c r="M4903" i="1"/>
  <c r="N4903" i="1"/>
  <c r="O4903" i="1"/>
  <c r="M4904" i="1"/>
  <c r="N4904" i="1"/>
  <c r="O4904" i="1"/>
  <c r="M4905" i="1"/>
  <c r="N4905" i="1"/>
  <c r="O4905" i="1"/>
  <c r="M4906" i="1"/>
  <c r="N4906" i="1"/>
  <c r="O4906" i="1"/>
  <c r="M4907" i="1"/>
  <c r="N4907" i="1"/>
  <c r="O4907" i="1"/>
  <c r="M4908" i="1"/>
  <c r="N4908" i="1"/>
  <c r="O4908" i="1"/>
  <c r="M4909" i="1"/>
  <c r="N4909" i="1"/>
  <c r="O4909" i="1"/>
  <c r="M4910" i="1"/>
  <c r="N4910" i="1"/>
  <c r="O4910" i="1"/>
  <c r="M4911" i="1"/>
  <c r="N4911" i="1"/>
  <c r="O4911" i="1"/>
  <c r="M4912" i="1"/>
  <c r="N4912" i="1"/>
  <c r="O4912" i="1"/>
  <c r="M4913" i="1"/>
  <c r="N4913" i="1"/>
  <c r="O4913" i="1"/>
  <c r="M4914" i="1"/>
  <c r="N4914" i="1"/>
  <c r="O4914" i="1"/>
  <c r="M4915" i="1"/>
  <c r="N4915" i="1"/>
  <c r="O4915" i="1"/>
  <c r="M4916" i="1"/>
  <c r="N4916" i="1"/>
  <c r="O4916" i="1"/>
  <c r="M4917" i="1"/>
  <c r="N4917" i="1"/>
  <c r="O4917" i="1"/>
  <c r="M4918" i="1"/>
  <c r="N4918" i="1"/>
  <c r="O4918" i="1"/>
  <c r="M4919" i="1"/>
  <c r="N4919" i="1"/>
  <c r="O4919" i="1"/>
  <c r="M4920" i="1"/>
  <c r="N4920" i="1"/>
  <c r="O4920" i="1"/>
  <c r="M4921" i="1"/>
  <c r="N4921" i="1"/>
  <c r="O4921" i="1"/>
  <c r="M4922" i="1"/>
  <c r="N4922" i="1"/>
  <c r="O4922" i="1"/>
  <c r="M4923" i="1"/>
  <c r="N4923" i="1"/>
  <c r="O4923" i="1"/>
  <c r="M4924" i="1"/>
  <c r="N4924" i="1"/>
  <c r="O4924" i="1"/>
  <c r="M4925" i="1"/>
  <c r="N4925" i="1"/>
  <c r="O4925" i="1"/>
  <c r="M4926" i="1"/>
  <c r="N4926" i="1"/>
  <c r="O4926" i="1"/>
  <c r="M4927" i="1"/>
  <c r="N4927" i="1"/>
  <c r="O4927" i="1"/>
  <c r="M4928" i="1"/>
  <c r="N4928" i="1"/>
  <c r="O4928" i="1"/>
  <c r="M4929" i="1"/>
  <c r="N4929" i="1"/>
  <c r="O4929" i="1"/>
  <c r="M4930" i="1"/>
  <c r="N4930" i="1"/>
  <c r="O4930" i="1"/>
  <c r="M4931" i="1"/>
  <c r="N4931" i="1"/>
  <c r="O4931" i="1"/>
  <c r="M4932" i="1"/>
  <c r="N4932" i="1"/>
  <c r="O4932" i="1"/>
  <c r="M4933" i="1"/>
  <c r="N4933" i="1"/>
  <c r="O4933" i="1"/>
  <c r="M4934" i="1"/>
  <c r="N4934" i="1"/>
  <c r="O4934" i="1"/>
  <c r="M4935" i="1"/>
  <c r="N4935" i="1"/>
  <c r="O4935" i="1"/>
  <c r="M4936" i="1"/>
  <c r="N4936" i="1"/>
  <c r="O4936" i="1"/>
  <c r="M4937" i="1"/>
  <c r="N4937" i="1"/>
  <c r="O4937" i="1"/>
  <c r="M4938" i="1"/>
  <c r="N4938" i="1"/>
  <c r="O4938" i="1"/>
  <c r="M4939" i="1"/>
  <c r="N4939" i="1"/>
  <c r="O4939" i="1"/>
  <c r="M4940" i="1"/>
  <c r="N4940" i="1"/>
  <c r="O4940" i="1"/>
  <c r="M4941" i="1"/>
  <c r="N4941" i="1"/>
  <c r="O4941" i="1"/>
  <c r="M4942" i="1"/>
  <c r="N4942" i="1"/>
  <c r="O4942" i="1"/>
  <c r="M4943" i="1"/>
  <c r="N4943" i="1"/>
  <c r="O4943" i="1"/>
  <c r="M4944" i="1"/>
  <c r="N4944" i="1"/>
  <c r="O4944" i="1"/>
  <c r="M4945" i="1"/>
  <c r="N4945" i="1"/>
  <c r="O4945" i="1"/>
  <c r="M4946" i="1"/>
  <c r="N4946" i="1"/>
  <c r="O4946" i="1"/>
  <c r="M4947" i="1"/>
  <c r="N4947" i="1"/>
  <c r="O4947" i="1"/>
  <c r="M4948" i="1"/>
  <c r="N4948" i="1"/>
  <c r="O4948" i="1"/>
  <c r="M4949" i="1"/>
  <c r="N4949" i="1"/>
  <c r="O4949" i="1"/>
  <c r="M4950" i="1"/>
  <c r="N4950" i="1"/>
  <c r="O4950" i="1"/>
  <c r="M4951" i="1"/>
  <c r="N4951" i="1"/>
  <c r="O4951" i="1"/>
  <c r="M4952" i="1"/>
  <c r="N4952" i="1"/>
  <c r="O4952" i="1"/>
  <c r="M4953" i="1"/>
  <c r="N4953" i="1"/>
  <c r="O4953" i="1"/>
  <c r="M4954" i="1"/>
  <c r="N4954" i="1"/>
  <c r="O4954" i="1"/>
  <c r="M4955" i="1"/>
  <c r="N4955" i="1"/>
  <c r="O4955" i="1"/>
  <c r="M4956" i="1"/>
  <c r="N4956" i="1"/>
  <c r="O4956" i="1"/>
  <c r="M4957" i="1"/>
  <c r="N4957" i="1"/>
  <c r="O4957" i="1"/>
  <c r="M4958" i="1"/>
  <c r="N4958" i="1"/>
  <c r="O4958" i="1"/>
  <c r="M4959" i="1"/>
  <c r="N4959" i="1"/>
  <c r="O4959" i="1"/>
  <c r="M4960" i="1"/>
  <c r="N4960" i="1"/>
  <c r="O4960" i="1"/>
  <c r="M4961" i="1"/>
  <c r="N4961" i="1"/>
  <c r="O4961" i="1"/>
  <c r="M4962" i="1"/>
  <c r="N4962" i="1"/>
  <c r="O4962" i="1"/>
  <c r="M4963" i="1"/>
  <c r="N4963" i="1"/>
  <c r="O4963" i="1"/>
  <c r="M4964" i="1"/>
  <c r="N4964" i="1"/>
  <c r="O4964" i="1"/>
  <c r="M4965" i="1"/>
  <c r="N4965" i="1"/>
  <c r="O4965" i="1"/>
  <c r="M4966" i="1"/>
  <c r="N4966" i="1"/>
  <c r="O4966" i="1"/>
  <c r="M4967" i="1"/>
  <c r="N4967" i="1"/>
  <c r="O4967" i="1"/>
  <c r="M4968" i="1"/>
  <c r="N4968" i="1"/>
  <c r="O4968" i="1"/>
  <c r="M4969" i="1"/>
  <c r="N4969" i="1"/>
  <c r="O4969" i="1"/>
  <c r="M4970" i="1"/>
  <c r="N4970" i="1"/>
  <c r="O4970" i="1"/>
  <c r="M4971" i="1"/>
  <c r="N4971" i="1"/>
  <c r="O4971" i="1"/>
  <c r="M4972" i="1"/>
  <c r="N4972" i="1"/>
  <c r="O4972" i="1"/>
  <c r="M4973" i="1"/>
  <c r="N4973" i="1"/>
  <c r="O4973" i="1"/>
  <c r="M4974" i="1"/>
  <c r="N4974" i="1"/>
  <c r="O4974" i="1"/>
  <c r="M4975" i="1"/>
  <c r="N4975" i="1"/>
  <c r="O4975" i="1"/>
  <c r="M4976" i="1"/>
  <c r="N4976" i="1"/>
  <c r="O4976" i="1"/>
  <c r="M4977" i="1"/>
  <c r="N4977" i="1"/>
  <c r="O4977" i="1"/>
  <c r="M4978" i="1"/>
  <c r="N4978" i="1"/>
  <c r="O4978" i="1"/>
  <c r="M4979" i="1"/>
  <c r="N4979" i="1"/>
  <c r="O4979" i="1"/>
  <c r="M4980" i="1"/>
  <c r="N4980" i="1"/>
  <c r="O4980" i="1"/>
  <c r="M4981" i="1"/>
  <c r="N4981" i="1"/>
  <c r="O4981" i="1"/>
  <c r="M4982" i="1"/>
  <c r="N4982" i="1"/>
  <c r="O4982" i="1"/>
  <c r="M4983" i="1"/>
  <c r="N4983" i="1"/>
  <c r="O4983" i="1"/>
  <c r="M4984" i="1"/>
  <c r="N4984" i="1"/>
  <c r="O4984" i="1"/>
  <c r="M4985" i="1"/>
  <c r="N4985" i="1"/>
  <c r="O4985" i="1"/>
  <c r="M4986" i="1"/>
  <c r="N4986" i="1"/>
  <c r="O4986" i="1"/>
  <c r="M4987" i="1"/>
  <c r="N4987" i="1"/>
  <c r="O4987" i="1"/>
  <c r="M4988" i="1"/>
  <c r="N4988" i="1"/>
  <c r="O4988" i="1"/>
  <c r="M4989" i="1"/>
  <c r="N4989" i="1"/>
  <c r="O4989" i="1"/>
  <c r="M4990" i="1"/>
  <c r="N4990" i="1"/>
  <c r="O4990" i="1"/>
  <c r="M4991" i="1"/>
  <c r="N4991" i="1"/>
  <c r="O4991" i="1"/>
  <c r="M4992" i="1"/>
  <c r="N4992" i="1"/>
  <c r="O4992" i="1"/>
  <c r="M4993" i="1"/>
  <c r="N4993" i="1"/>
  <c r="O4993" i="1"/>
  <c r="M4994" i="1"/>
  <c r="N4994" i="1"/>
  <c r="O4994" i="1"/>
  <c r="M4995" i="1"/>
  <c r="N4995" i="1"/>
  <c r="O4995" i="1"/>
  <c r="M4996" i="1"/>
  <c r="N4996" i="1"/>
  <c r="O4996" i="1"/>
  <c r="M4997" i="1"/>
  <c r="N4997" i="1"/>
  <c r="O4997" i="1"/>
  <c r="M4998" i="1"/>
  <c r="N4998" i="1"/>
  <c r="O4998" i="1"/>
  <c r="M4999" i="1"/>
  <c r="N4999" i="1"/>
  <c r="O4999" i="1"/>
  <c r="M5000" i="1"/>
  <c r="N5000" i="1"/>
  <c r="O5000" i="1"/>
  <c r="M5001" i="1"/>
  <c r="N5001" i="1"/>
  <c r="O5001" i="1"/>
  <c r="M5002" i="1"/>
  <c r="N5002" i="1"/>
  <c r="O5002" i="1"/>
  <c r="M5003" i="1"/>
  <c r="N5003" i="1"/>
  <c r="O5003" i="1"/>
  <c r="M5004" i="1"/>
  <c r="N5004" i="1"/>
  <c r="O5004" i="1"/>
  <c r="M5005" i="1"/>
  <c r="N5005" i="1"/>
  <c r="O5005" i="1"/>
  <c r="M5006" i="1"/>
  <c r="N5006" i="1"/>
  <c r="O5006" i="1"/>
  <c r="M5007" i="1"/>
  <c r="N5007" i="1"/>
  <c r="O5007" i="1"/>
  <c r="M5008" i="1"/>
  <c r="N5008" i="1"/>
  <c r="O5008" i="1"/>
  <c r="M5009" i="1"/>
  <c r="N5009" i="1"/>
  <c r="O5009" i="1"/>
  <c r="M5010" i="1"/>
  <c r="N5010" i="1"/>
  <c r="O5010" i="1"/>
  <c r="M5011" i="1"/>
  <c r="N5011" i="1"/>
  <c r="O5011" i="1"/>
  <c r="M5012" i="1"/>
  <c r="N5012" i="1"/>
  <c r="O5012" i="1"/>
  <c r="M5013" i="1"/>
  <c r="N5013" i="1"/>
  <c r="O5013" i="1"/>
  <c r="M5014" i="1"/>
  <c r="N5014" i="1"/>
  <c r="O5014" i="1"/>
  <c r="M5015" i="1"/>
  <c r="N5015" i="1"/>
  <c r="O5015" i="1"/>
  <c r="M5016" i="1"/>
  <c r="N5016" i="1"/>
  <c r="O5016" i="1"/>
  <c r="M5017" i="1"/>
  <c r="N5017" i="1"/>
  <c r="O5017" i="1"/>
  <c r="M5018" i="1"/>
  <c r="N5018" i="1"/>
  <c r="O5018" i="1"/>
  <c r="M5019" i="1"/>
  <c r="N5019" i="1"/>
  <c r="O5019" i="1"/>
  <c r="M5020" i="1"/>
  <c r="N5020" i="1"/>
  <c r="O5020" i="1"/>
  <c r="M5021" i="1"/>
  <c r="N5021" i="1"/>
  <c r="O5021" i="1"/>
  <c r="M5022" i="1"/>
  <c r="N5022" i="1"/>
  <c r="O5022" i="1"/>
  <c r="M5023" i="1"/>
  <c r="N5023" i="1"/>
  <c r="O5023" i="1"/>
  <c r="M5024" i="1"/>
  <c r="N5024" i="1"/>
  <c r="O5024" i="1"/>
  <c r="M5025" i="1"/>
  <c r="N5025" i="1"/>
  <c r="O5025" i="1"/>
  <c r="M5026" i="1"/>
  <c r="N5026" i="1"/>
  <c r="O5026" i="1"/>
  <c r="M5027" i="1"/>
  <c r="N5027" i="1"/>
  <c r="O5027" i="1"/>
  <c r="M5028" i="1"/>
  <c r="N5028" i="1"/>
  <c r="O5028" i="1"/>
  <c r="M5029" i="1"/>
  <c r="N5029" i="1"/>
  <c r="O5029" i="1"/>
  <c r="M5030" i="1"/>
  <c r="N5030" i="1"/>
  <c r="O5030" i="1"/>
  <c r="M5031" i="1"/>
  <c r="N5031" i="1"/>
  <c r="O5031" i="1"/>
  <c r="M5032" i="1"/>
  <c r="N5032" i="1"/>
  <c r="O5032" i="1"/>
  <c r="M5033" i="1"/>
  <c r="N5033" i="1"/>
  <c r="O5033" i="1"/>
  <c r="M5034" i="1"/>
  <c r="N5034" i="1"/>
  <c r="O5034" i="1"/>
  <c r="M5035" i="1"/>
  <c r="N5035" i="1"/>
  <c r="O5035" i="1"/>
  <c r="M5036" i="1"/>
  <c r="N5036" i="1"/>
  <c r="O5036" i="1"/>
  <c r="M5037" i="1"/>
  <c r="N5037" i="1"/>
  <c r="O5037" i="1"/>
  <c r="M5038" i="1"/>
  <c r="N5038" i="1"/>
  <c r="O5038" i="1"/>
  <c r="M5039" i="1"/>
  <c r="N5039" i="1"/>
  <c r="O5039" i="1"/>
  <c r="M5040" i="1"/>
  <c r="N5040" i="1"/>
  <c r="O5040" i="1"/>
  <c r="M5041" i="1"/>
  <c r="N5041" i="1"/>
  <c r="O5041" i="1"/>
  <c r="M5042" i="1"/>
  <c r="N5042" i="1"/>
  <c r="O5042" i="1"/>
  <c r="M5043" i="1"/>
  <c r="N5043" i="1"/>
  <c r="O5043" i="1"/>
  <c r="M5044" i="1"/>
  <c r="N5044" i="1"/>
  <c r="O5044" i="1"/>
  <c r="M5045" i="1"/>
  <c r="N5045" i="1"/>
  <c r="O5045" i="1"/>
  <c r="M5046" i="1"/>
  <c r="N5046" i="1"/>
  <c r="O5046" i="1"/>
  <c r="M5047" i="1"/>
  <c r="N5047" i="1"/>
  <c r="O5047" i="1"/>
  <c r="M5048" i="1"/>
  <c r="N5048" i="1"/>
  <c r="O5048" i="1"/>
  <c r="M5049" i="1"/>
  <c r="N5049" i="1"/>
  <c r="O5049" i="1"/>
  <c r="M5050" i="1"/>
  <c r="N5050" i="1"/>
  <c r="O5050" i="1"/>
  <c r="M5051" i="1"/>
  <c r="N5051" i="1"/>
  <c r="O5051" i="1"/>
  <c r="M5052" i="1"/>
  <c r="N5052" i="1"/>
  <c r="O5052" i="1"/>
  <c r="M5053" i="1"/>
  <c r="N5053" i="1"/>
  <c r="O5053" i="1"/>
  <c r="M5054" i="1"/>
  <c r="N5054" i="1"/>
  <c r="O5054" i="1"/>
  <c r="M5055" i="1"/>
  <c r="N5055" i="1"/>
  <c r="O5055" i="1"/>
  <c r="M5056" i="1"/>
  <c r="N5056" i="1"/>
  <c r="O5056" i="1"/>
  <c r="M5057" i="1"/>
  <c r="N5057" i="1"/>
  <c r="O5057" i="1"/>
  <c r="M5058" i="1"/>
  <c r="N5058" i="1"/>
  <c r="O5058" i="1"/>
  <c r="M5059" i="1"/>
  <c r="N5059" i="1"/>
  <c r="O5059" i="1"/>
  <c r="M5060" i="1"/>
  <c r="N5060" i="1"/>
  <c r="O5060" i="1"/>
  <c r="M5061" i="1"/>
  <c r="N5061" i="1"/>
  <c r="O5061" i="1"/>
  <c r="M5062" i="1"/>
  <c r="N5062" i="1"/>
  <c r="O5062" i="1"/>
  <c r="M5063" i="1"/>
  <c r="N5063" i="1"/>
  <c r="O5063" i="1"/>
  <c r="M5064" i="1"/>
  <c r="N5064" i="1"/>
  <c r="O5064" i="1"/>
  <c r="M5065" i="1"/>
  <c r="N5065" i="1"/>
  <c r="O5065" i="1"/>
  <c r="M5066" i="1"/>
  <c r="N5066" i="1"/>
  <c r="O5066" i="1"/>
  <c r="M5067" i="1"/>
  <c r="N5067" i="1"/>
  <c r="O5067" i="1"/>
  <c r="M5068" i="1"/>
  <c r="N5068" i="1"/>
  <c r="O5068" i="1"/>
  <c r="M5069" i="1"/>
  <c r="N5069" i="1"/>
  <c r="O5069" i="1"/>
  <c r="M5070" i="1"/>
  <c r="N5070" i="1"/>
  <c r="O5070" i="1"/>
  <c r="M5071" i="1"/>
  <c r="N5071" i="1"/>
  <c r="O5071" i="1"/>
  <c r="M5072" i="1"/>
  <c r="N5072" i="1"/>
  <c r="O5072" i="1"/>
  <c r="M5073" i="1"/>
  <c r="N5073" i="1"/>
  <c r="O5073" i="1"/>
  <c r="M5074" i="1"/>
  <c r="N5074" i="1"/>
  <c r="O5074" i="1"/>
  <c r="M5075" i="1"/>
  <c r="N5075" i="1"/>
  <c r="O5075" i="1"/>
  <c r="M5076" i="1"/>
  <c r="N5076" i="1"/>
  <c r="O5076" i="1"/>
  <c r="M5077" i="1"/>
  <c r="N5077" i="1"/>
  <c r="O5077" i="1"/>
  <c r="M5078" i="1"/>
  <c r="N5078" i="1"/>
  <c r="O5078" i="1"/>
  <c r="M5079" i="1"/>
  <c r="N5079" i="1"/>
  <c r="O5079" i="1"/>
  <c r="M5080" i="1"/>
  <c r="N5080" i="1"/>
  <c r="O5080" i="1"/>
  <c r="M5081" i="1"/>
  <c r="N5081" i="1"/>
  <c r="O5081" i="1"/>
  <c r="M5082" i="1"/>
  <c r="N5082" i="1"/>
  <c r="O5082" i="1"/>
  <c r="M5083" i="1"/>
  <c r="N5083" i="1"/>
  <c r="O5083" i="1"/>
  <c r="M5084" i="1"/>
  <c r="N5084" i="1"/>
  <c r="O5084" i="1"/>
  <c r="M5085" i="1"/>
  <c r="N5085" i="1"/>
  <c r="O5085" i="1"/>
  <c r="M5086" i="1"/>
  <c r="N5086" i="1"/>
  <c r="O5086" i="1"/>
  <c r="M5087" i="1"/>
  <c r="N5087" i="1"/>
  <c r="O5087" i="1"/>
  <c r="M5088" i="1"/>
  <c r="N5088" i="1"/>
  <c r="O5088" i="1"/>
  <c r="M5089" i="1"/>
  <c r="N5089" i="1"/>
  <c r="O5089" i="1"/>
  <c r="M5090" i="1"/>
  <c r="N5090" i="1"/>
  <c r="O5090" i="1"/>
  <c r="M5091" i="1"/>
  <c r="N5091" i="1"/>
  <c r="O5091" i="1"/>
  <c r="M5092" i="1"/>
  <c r="N5092" i="1"/>
  <c r="O5092" i="1"/>
  <c r="M5093" i="1"/>
  <c r="N5093" i="1"/>
  <c r="O5093" i="1"/>
  <c r="M5094" i="1"/>
  <c r="N5094" i="1"/>
  <c r="O5094" i="1"/>
  <c r="M5095" i="1"/>
  <c r="N5095" i="1"/>
  <c r="O5095" i="1"/>
  <c r="M5096" i="1"/>
  <c r="N5096" i="1"/>
  <c r="O5096" i="1"/>
  <c r="M5097" i="1"/>
  <c r="N5097" i="1"/>
  <c r="O5097" i="1"/>
  <c r="M5098" i="1"/>
  <c r="N5098" i="1"/>
  <c r="O5098" i="1"/>
  <c r="M5099" i="1"/>
  <c r="N5099" i="1"/>
  <c r="O5099" i="1"/>
  <c r="M5100" i="1"/>
  <c r="N5100" i="1"/>
  <c r="O5100" i="1"/>
  <c r="M5101" i="1"/>
  <c r="N5101" i="1"/>
  <c r="O5101" i="1"/>
  <c r="M5102" i="1"/>
  <c r="N5102" i="1"/>
  <c r="O5102" i="1"/>
  <c r="M5103" i="1"/>
  <c r="N5103" i="1"/>
  <c r="O5103" i="1"/>
  <c r="M5104" i="1"/>
  <c r="N5104" i="1"/>
  <c r="O5104" i="1"/>
  <c r="M5105" i="1"/>
  <c r="N5105" i="1"/>
  <c r="O5105" i="1"/>
  <c r="M5106" i="1"/>
  <c r="N5106" i="1"/>
  <c r="O5106" i="1"/>
  <c r="M5107" i="1"/>
  <c r="N5107" i="1"/>
  <c r="O5107" i="1"/>
  <c r="M5108" i="1"/>
  <c r="N5108" i="1"/>
  <c r="O5108" i="1"/>
  <c r="M5109" i="1"/>
  <c r="N5109" i="1"/>
  <c r="O5109" i="1"/>
  <c r="M5110" i="1"/>
  <c r="N5110" i="1"/>
  <c r="O5110" i="1"/>
  <c r="M5111" i="1"/>
  <c r="N5111" i="1"/>
  <c r="O5111" i="1"/>
  <c r="M5112" i="1"/>
  <c r="N5112" i="1"/>
  <c r="O5112" i="1"/>
  <c r="M5113" i="1"/>
  <c r="N5113" i="1"/>
  <c r="O5113" i="1"/>
  <c r="M5114" i="1"/>
  <c r="N5114" i="1"/>
  <c r="O5114" i="1"/>
  <c r="M5115" i="1"/>
  <c r="N5115" i="1"/>
  <c r="O5115" i="1"/>
  <c r="M5116" i="1"/>
  <c r="N5116" i="1"/>
  <c r="O5116" i="1"/>
  <c r="M5117" i="1"/>
  <c r="N5117" i="1"/>
  <c r="O5117" i="1"/>
  <c r="M5118" i="1"/>
  <c r="N5118" i="1"/>
  <c r="O5118" i="1"/>
  <c r="M5119" i="1"/>
  <c r="N5119" i="1"/>
  <c r="O5119" i="1"/>
  <c r="M5120" i="1"/>
  <c r="N5120" i="1"/>
  <c r="O5120" i="1"/>
  <c r="M5121" i="1"/>
  <c r="N5121" i="1"/>
  <c r="O5121" i="1"/>
  <c r="M5122" i="1"/>
  <c r="N5122" i="1"/>
  <c r="O5122" i="1"/>
  <c r="M5123" i="1"/>
  <c r="N5123" i="1"/>
  <c r="O5123" i="1"/>
  <c r="M5124" i="1"/>
  <c r="N5124" i="1"/>
  <c r="O5124" i="1"/>
  <c r="M5125" i="1"/>
  <c r="N5125" i="1"/>
  <c r="O5125" i="1"/>
  <c r="M5126" i="1"/>
  <c r="N5126" i="1"/>
  <c r="O5126" i="1"/>
  <c r="M5127" i="1"/>
  <c r="N5127" i="1"/>
  <c r="O5127" i="1"/>
  <c r="M5128" i="1"/>
  <c r="N5128" i="1"/>
  <c r="O5128" i="1"/>
  <c r="M5129" i="1"/>
  <c r="N5129" i="1"/>
  <c r="O5129" i="1"/>
  <c r="M5130" i="1"/>
  <c r="N5130" i="1"/>
  <c r="O5130" i="1"/>
  <c r="M5131" i="1"/>
  <c r="N5131" i="1"/>
  <c r="O5131" i="1"/>
  <c r="M5132" i="1"/>
  <c r="N5132" i="1"/>
  <c r="O5132" i="1"/>
  <c r="M5133" i="1"/>
  <c r="N5133" i="1"/>
  <c r="O5133" i="1"/>
  <c r="M5134" i="1"/>
  <c r="N5134" i="1"/>
  <c r="O5134" i="1"/>
  <c r="M5135" i="1"/>
  <c r="N5135" i="1"/>
  <c r="O5135" i="1"/>
  <c r="M5136" i="1"/>
  <c r="N5136" i="1"/>
  <c r="O5136" i="1"/>
  <c r="M5137" i="1"/>
  <c r="N5137" i="1"/>
  <c r="O5137" i="1"/>
  <c r="M5138" i="1"/>
  <c r="N5138" i="1"/>
  <c r="O5138" i="1"/>
  <c r="M5139" i="1"/>
  <c r="N5139" i="1"/>
  <c r="O5139" i="1"/>
  <c r="M5140" i="1"/>
  <c r="N5140" i="1"/>
  <c r="O5140" i="1"/>
  <c r="M5141" i="1"/>
  <c r="N5141" i="1"/>
  <c r="O5141" i="1"/>
  <c r="M5142" i="1"/>
  <c r="N5142" i="1"/>
  <c r="O5142" i="1"/>
  <c r="M5143" i="1"/>
  <c r="N5143" i="1"/>
  <c r="O5143" i="1"/>
  <c r="M5144" i="1"/>
  <c r="N5144" i="1"/>
  <c r="O5144" i="1"/>
  <c r="M5145" i="1"/>
  <c r="N5145" i="1"/>
  <c r="O5145" i="1"/>
  <c r="M5146" i="1"/>
  <c r="N5146" i="1"/>
  <c r="O5146" i="1"/>
  <c r="M5147" i="1"/>
  <c r="N5147" i="1"/>
  <c r="O5147" i="1"/>
  <c r="M5148" i="1"/>
  <c r="N5148" i="1"/>
  <c r="O5148" i="1"/>
  <c r="M5149" i="1"/>
  <c r="N5149" i="1"/>
  <c r="O5149" i="1"/>
  <c r="M5150" i="1"/>
  <c r="N5150" i="1"/>
  <c r="O5150" i="1"/>
  <c r="M5151" i="1"/>
  <c r="N5151" i="1"/>
  <c r="O5151" i="1"/>
  <c r="M5152" i="1"/>
  <c r="N5152" i="1"/>
  <c r="O5152" i="1"/>
  <c r="M5153" i="1"/>
  <c r="N5153" i="1"/>
  <c r="O5153" i="1"/>
  <c r="M5154" i="1"/>
  <c r="N5154" i="1"/>
  <c r="O5154" i="1"/>
  <c r="M5155" i="1"/>
  <c r="N5155" i="1"/>
  <c r="O5155" i="1"/>
  <c r="M5156" i="1"/>
  <c r="N5156" i="1"/>
  <c r="O5156" i="1"/>
  <c r="M5157" i="1"/>
  <c r="N5157" i="1"/>
  <c r="O5157" i="1"/>
  <c r="M5158" i="1"/>
  <c r="N5158" i="1"/>
  <c r="O5158" i="1"/>
  <c r="M5159" i="1"/>
  <c r="N5159" i="1"/>
  <c r="O5159" i="1"/>
  <c r="M5160" i="1"/>
  <c r="N5160" i="1"/>
  <c r="O5160" i="1"/>
  <c r="M5161" i="1"/>
  <c r="N5161" i="1"/>
  <c r="O5161" i="1"/>
  <c r="M5162" i="1"/>
  <c r="N5162" i="1"/>
  <c r="O5162" i="1"/>
  <c r="M5163" i="1"/>
  <c r="N5163" i="1"/>
  <c r="O5163" i="1"/>
  <c r="M5164" i="1"/>
  <c r="N5164" i="1"/>
  <c r="O5164" i="1"/>
  <c r="M5165" i="1"/>
  <c r="N5165" i="1"/>
  <c r="O5165" i="1"/>
  <c r="M5166" i="1"/>
  <c r="N5166" i="1"/>
  <c r="O5166" i="1"/>
  <c r="M5167" i="1"/>
  <c r="N5167" i="1"/>
  <c r="O5167" i="1"/>
  <c r="M5168" i="1"/>
  <c r="N5168" i="1"/>
  <c r="O5168" i="1"/>
  <c r="M5169" i="1"/>
  <c r="N5169" i="1"/>
  <c r="O5169" i="1"/>
  <c r="M5170" i="1"/>
  <c r="N5170" i="1"/>
  <c r="O5170" i="1"/>
  <c r="M5171" i="1"/>
  <c r="N5171" i="1"/>
  <c r="O5171" i="1"/>
  <c r="M5172" i="1"/>
  <c r="N5172" i="1"/>
  <c r="O5172" i="1"/>
  <c r="M5173" i="1"/>
  <c r="N5173" i="1"/>
  <c r="O5173" i="1"/>
  <c r="M5174" i="1"/>
  <c r="N5174" i="1"/>
  <c r="O5174" i="1"/>
  <c r="M5175" i="1"/>
  <c r="N5175" i="1"/>
  <c r="O5175" i="1"/>
  <c r="M5176" i="1"/>
  <c r="N5176" i="1"/>
  <c r="O5176" i="1"/>
  <c r="M5177" i="1"/>
  <c r="N5177" i="1"/>
  <c r="O5177" i="1"/>
  <c r="M5178" i="1"/>
  <c r="N5178" i="1"/>
  <c r="O5178" i="1"/>
  <c r="M5179" i="1"/>
  <c r="N5179" i="1"/>
  <c r="O5179" i="1"/>
  <c r="M5180" i="1"/>
  <c r="N5180" i="1"/>
  <c r="O5180" i="1"/>
  <c r="M5181" i="1"/>
  <c r="N5181" i="1"/>
  <c r="O5181" i="1"/>
  <c r="M5182" i="1"/>
  <c r="N5182" i="1"/>
  <c r="O5182" i="1"/>
  <c r="M5183" i="1"/>
  <c r="N5183" i="1"/>
  <c r="O5183" i="1"/>
  <c r="M5184" i="1"/>
  <c r="N5184" i="1"/>
  <c r="O5184" i="1"/>
  <c r="M5185" i="1"/>
  <c r="N5185" i="1"/>
  <c r="O5185" i="1"/>
  <c r="M5186" i="1"/>
  <c r="N5186" i="1"/>
  <c r="O5186" i="1"/>
  <c r="M5187" i="1"/>
  <c r="N5187" i="1"/>
  <c r="O5187" i="1"/>
  <c r="M5188" i="1"/>
  <c r="N5188" i="1"/>
  <c r="O5188" i="1"/>
  <c r="M5189" i="1"/>
  <c r="N5189" i="1"/>
  <c r="O5189" i="1"/>
  <c r="M5190" i="1"/>
  <c r="N5190" i="1"/>
  <c r="O5190" i="1"/>
  <c r="M5191" i="1"/>
  <c r="N5191" i="1"/>
  <c r="O5191" i="1"/>
  <c r="M5192" i="1"/>
  <c r="N5192" i="1"/>
  <c r="O5192" i="1"/>
  <c r="M5193" i="1"/>
  <c r="N5193" i="1"/>
  <c r="O5193" i="1"/>
  <c r="M5194" i="1"/>
  <c r="N5194" i="1"/>
  <c r="O5194" i="1"/>
  <c r="M5195" i="1"/>
  <c r="N5195" i="1"/>
  <c r="O5195" i="1"/>
  <c r="M5196" i="1"/>
  <c r="N5196" i="1"/>
  <c r="O5196" i="1"/>
  <c r="M5197" i="1"/>
  <c r="N5197" i="1"/>
  <c r="O5197" i="1"/>
  <c r="M5198" i="1"/>
  <c r="N5198" i="1"/>
  <c r="O5198" i="1"/>
  <c r="M5199" i="1"/>
  <c r="N5199" i="1"/>
  <c r="O5199" i="1"/>
  <c r="M5200" i="1"/>
  <c r="N5200" i="1"/>
  <c r="O5200" i="1"/>
  <c r="M5201" i="1"/>
  <c r="N5201" i="1"/>
  <c r="O5201" i="1"/>
  <c r="M5202" i="1"/>
  <c r="N5202" i="1"/>
  <c r="O5202" i="1"/>
  <c r="M5203" i="1"/>
  <c r="N5203" i="1"/>
  <c r="O5203" i="1"/>
  <c r="M5204" i="1"/>
  <c r="N5204" i="1"/>
  <c r="O5204" i="1"/>
  <c r="M5205" i="1"/>
  <c r="N5205" i="1"/>
  <c r="O5205" i="1"/>
  <c r="M5206" i="1"/>
  <c r="N5206" i="1"/>
  <c r="O5206" i="1"/>
  <c r="M5207" i="1"/>
  <c r="N5207" i="1"/>
  <c r="O5207" i="1"/>
  <c r="M5208" i="1"/>
  <c r="N5208" i="1"/>
  <c r="O5208" i="1"/>
  <c r="M5209" i="1"/>
  <c r="N5209" i="1"/>
  <c r="O5209" i="1"/>
  <c r="M5210" i="1"/>
  <c r="N5210" i="1"/>
  <c r="O5210" i="1"/>
  <c r="M5211" i="1"/>
  <c r="N5211" i="1"/>
  <c r="O5211" i="1"/>
  <c r="M5212" i="1"/>
  <c r="N5212" i="1"/>
  <c r="O5212" i="1"/>
  <c r="M5213" i="1"/>
  <c r="N5213" i="1"/>
  <c r="O5213" i="1"/>
  <c r="M5214" i="1"/>
  <c r="N5214" i="1"/>
  <c r="O5214" i="1"/>
  <c r="M5215" i="1"/>
  <c r="N5215" i="1"/>
  <c r="O5215" i="1"/>
  <c r="M5216" i="1"/>
  <c r="N5216" i="1"/>
  <c r="O5216" i="1"/>
  <c r="M5217" i="1"/>
  <c r="N5217" i="1"/>
  <c r="O5217" i="1"/>
  <c r="M5218" i="1"/>
  <c r="N5218" i="1"/>
  <c r="O5218" i="1"/>
  <c r="M5219" i="1"/>
  <c r="N5219" i="1"/>
  <c r="O5219" i="1"/>
  <c r="M5220" i="1"/>
  <c r="N5220" i="1"/>
  <c r="O5220" i="1"/>
  <c r="M5221" i="1"/>
  <c r="N5221" i="1"/>
  <c r="O5221" i="1"/>
  <c r="M5222" i="1"/>
  <c r="N5222" i="1"/>
  <c r="O5222" i="1"/>
  <c r="M5223" i="1"/>
  <c r="N5223" i="1"/>
  <c r="O5223" i="1"/>
  <c r="M5224" i="1"/>
  <c r="N5224" i="1"/>
  <c r="O5224" i="1"/>
  <c r="M5225" i="1"/>
  <c r="N5225" i="1"/>
  <c r="O5225" i="1"/>
  <c r="M5226" i="1"/>
  <c r="N5226" i="1"/>
  <c r="O5226" i="1"/>
  <c r="M5227" i="1"/>
  <c r="N5227" i="1"/>
  <c r="O5227" i="1"/>
  <c r="M5228" i="1"/>
  <c r="N5228" i="1"/>
  <c r="O5228" i="1"/>
  <c r="M5229" i="1"/>
  <c r="N5229" i="1"/>
  <c r="O5229" i="1"/>
  <c r="M5230" i="1"/>
  <c r="N5230" i="1"/>
  <c r="O5230" i="1"/>
  <c r="M5231" i="1"/>
  <c r="N5231" i="1"/>
  <c r="O5231" i="1"/>
  <c r="M5232" i="1"/>
  <c r="N5232" i="1"/>
  <c r="O5232" i="1"/>
  <c r="M5233" i="1"/>
  <c r="N5233" i="1"/>
  <c r="O5233" i="1"/>
  <c r="M5234" i="1"/>
  <c r="N5234" i="1"/>
  <c r="O5234" i="1"/>
  <c r="M5235" i="1"/>
  <c r="N5235" i="1"/>
  <c r="O5235" i="1"/>
  <c r="M5236" i="1"/>
  <c r="N5236" i="1"/>
  <c r="O5236" i="1"/>
  <c r="M5237" i="1"/>
  <c r="N5237" i="1"/>
  <c r="O5237" i="1"/>
  <c r="M5238" i="1"/>
  <c r="N5238" i="1"/>
  <c r="O5238" i="1"/>
  <c r="M5239" i="1"/>
  <c r="N5239" i="1"/>
  <c r="O5239" i="1"/>
  <c r="M5240" i="1"/>
  <c r="N5240" i="1"/>
  <c r="O5240" i="1"/>
  <c r="M5241" i="1"/>
  <c r="N5241" i="1"/>
  <c r="O5241" i="1"/>
  <c r="M5242" i="1"/>
  <c r="N5242" i="1"/>
  <c r="O5242" i="1"/>
  <c r="M5243" i="1"/>
  <c r="N5243" i="1"/>
  <c r="O5243" i="1"/>
  <c r="M5244" i="1"/>
  <c r="N5244" i="1"/>
  <c r="O5244" i="1"/>
  <c r="M5245" i="1"/>
  <c r="N5245" i="1"/>
  <c r="O5245" i="1"/>
  <c r="M5246" i="1"/>
  <c r="N5246" i="1"/>
  <c r="O5246" i="1"/>
  <c r="M5247" i="1"/>
  <c r="N5247" i="1"/>
  <c r="O5247" i="1"/>
  <c r="M5248" i="1"/>
  <c r="N5248" i="1"/>
  <c r="O5248" i="1"/>
  <c r="M5249" i="1"/>
  <c r="N5249" i="1"/>
  <c r="O5249" i="1"/>
  <c r="M5250" i="1"/>
  <c r="N5250" i="1"/>
  <c r="O5250" i="1"/>
  <c r="M5251" i="1"/>
  <c r="N5251" i="1"/>
  <c r="O5251" i="1"/>
  <c r="M5252" i="1"/>
  <c r="N5252" i="1"/>
  <c r="O5252" i="1"/>
  <c r="M5253" i="1"/>
  <c r="N5253" i="1"/>
  <c r="O5253" i="1"/>
  <c r="M5254" i="1"/>
  <c r="N5254" i="1"/>
  <c r="O5254" i="1"/>
  <c r="M5255" i="1"/>
  <c r="N5255" i="1"/>
  <c r="O5255" i="1"/>
  <c r="M5256" i="1"/>
  <c r="N5256" i="1"/>
  <c r="O5256" i="1"/>
  <c r="M5257" i="1"/>
  <c r="N5257" i="1"/>
  <c r="O5257" i="1"/>
  <c r="M5258" i="1"/>
  <c r="N5258" i="1"/>
  <c r="O5258" i="1"/>
  <c r="M5259" i="1"/>
  <c r="N5259" i="1"/>
  <c r="O5259" i="1"/>
  <c r="M5260" i="1"/>
  <c r="N5260" i="1"/>
  <c r="O5260" i="1"/>
  <c r="M5261" i="1"/>
  <c r="N5261" i="1"/>
  <c r="O5261" i="1"/>
  <c r="M5262" i="1"/>
  <c r="N5262" i="1"/>
  <c r="O5262" i="1"/>
  <c r="M5263" i="1"/>
  <c r="N5263" i="1"/>
  <c r="O5263" i="1"/>
  <c r="M5264" i="1"/>
  <c r="N5264" i="1"/>
  <c r="O5264" i="1"/>
  <c r="M5265" i="1"/>
  <c r="N5265" i="1"/>
  <c r="O5265" i="1"/>
  <c r="M5266" i="1"/>
  <c r="N5266" i="1"/>
  <c r="O5266" i="1"/>
  <c r="M5267" i="1"/>
  <c r="N5267" i="1"/>
  <c r="O5267" i="1"/>
  <c r="M5268" i="1"/>
  <c r="N5268" i="1"/>
  <c r="O5268" i="1"/>
  <c r="M5269" i="1"/>
  <c r="N5269" i="1"/>
  <c r="O5269" i="1"/>
  <c r="M5270" i="1"/>
  <c r="N5270" i="1"/>
  <c r="O5270" i="1"/>
  <c r="M5271" i="1"/>
  <c r="N5271" i="1"/>
  <c r="O5271" i="1"/>
  <c r="M5272" i="1"/>
  <c r="N5272" i="1"/>
  <c r="O5272" i="1"/>
  <c r="M5273" i="1"/>
  <c r="N5273" i="1"/>
  <c r="O5273" i="1"/>
  <c r="M5274" i="1"/>
  <c r="N5274" i="1"/>
  <c r="O5274" i="1"/>
  <c r="M5275" i="1"/>
  <c r="N5275" i="1"/>
  <c r="O5275" i="1"/>
  <c r="M5276" i="1"/>
  <c r="N5276" i="1"/>
  <c r="O5276" i="1"/>
  <c r="M5277" i="1"/>
  <c r="N5277" i="1"/>
  <c r="O5277" i="1"/>
  <c r="M5278" i="1"/>
  <c r="N5278" i="1"/>
  <c r="O5278" i="1"/>
  <c r="M5279" i="1"/>
  <c r="N5279" i="1"/>
  <c r="O5279" i="1"/>
  <c r="M5280" i="1"/>
  <c r="N5280" i="1"/>
  <c r="O5280" i="1"/>
  <c r="M5281" i="1"/>
  <c r="N5281" i="1"/>
  <c r="O5281" i="1"/>
  <c r="M5282" i="1"/>
  <c r="N5282" i="1"/>
  <c r="O5282" i="1"/>
  <c r="M5283" i="1"/>
  <c r="N5283" i="1"/>
  <c r="O5283" i="1"/>
  <c r="M5284" i="1"/>
  <c r="N5284" i="1"/>
  <c r="O5284" i="1"/>
  <c r="M5285" i="1"/>
  <c r="N5285" i="1"/>
  <c r="O5285" i="1"/>
  <c r="M5286" i="1"/>
  <c r="N5286" i="1"/>
  <c r="O5286" i="1"/>
  <c r="M5287" i="1"/>
  <c r="N5287" i="1"/>
  <c r="O5287" i="1"/>
  <c r="M5288" i="1"/>
  <c r="N5288" i="1"/>
  <c r="O5288" i="1"/>
  <c r="M5289" i="1"/>
  <c r="N5289" i="1"/>
  <c r="O5289" i="1"/>
  <c r="M5290" i="1"/>
  <c r="N5290" i="1"/>
  <c r="O5290" i="1"/>
  <c r="M5291" i="1"/>
  <c r="N5291" i="1"/>
  <c r="O5291" i="1"/>
  <c r="M5292" i="1"/>
  <c r="N5292" i="1"/>
  <c r="O5292" i="1"/>
  <c r="M5293" i="1"/>
  <c r="N5293" i="1"/>
  <c r="O5293" i="1"/>
  <c r="M5294" i="1"/>
  <c r="N5294" i="1"/>
  <c r="O5294" i="1"/>
  <c r="M5295" i="1"/>
  <c r="N5295" i="1"/>
  <c r="O5295" i="1"/>
  <c r="M5296" i="1"/>
  <c r="N5296" i="1"/>
  <c r="O5296" i="1"/>
  <c r="M5297" i="1"/>
  <c r="N5297" i="1"/>
  <c r="O5297" i="1"/>
  <c r="M5298" i="1"/>
  <c r="N5298" i="1"/>
  <c r="O5298" i="1"/>
  <c r="M5299" i="1"/>
  <c r="N5299" i="1"/>
  <c r="O5299" i="1"/>
  <c r="M5300" i="1"/>
  <c r="N5300" i="1"/>
  <c r="O5300" i="1"/>
  <c r="M5301" i="1"/>
  <c r="N5301" i="1"/>
  <c r="O5301" i="1"/>
  <c r="O2" i="1"/>
  <c r="N2" i="1"/>
  <c r="M2" i="1"/>
  <c r="L7" i="1"/>
  <c r="L9" i="1"/>
  <c r="L14" i="1"/>
  <c r="L17" i="1"/>
  <c r="L19" i="1"/>
  <c r="L22" i="1"/>
  <c r="L36" i="1"/>
  <c r="L37" i="1"/>
  <c r="L48" i="1"/>
  <c r="L63" i="1"/>
  <c r="L66" i="1"/>
  <c r="L71" i="1"/>
  <c r="L84" i="1"/>
  <c r="L96" i="1"/>
  <c r="L106" i="1"/>
  <c r="L108" i="1"/>
  <c r="L111" i="1"/>
  <c r="L117" i="1"/>
  <c r="L119" i="1"/>
  <c r="L120" i="1"/>
  <c r="L124" i="1"/>
  <c r="L126" i="1"/>
  <c r="L129" i="1"/>
  <c r="L130" i="1"/>
  <c r="L131" i="1"/>
  <c r="L132" i="1"/>
  <c r="L133" i="1"/>
  <c r="L136" i="1"/>
  <c r="L138" i="1"/>
  <c r="L140" i="1"/>
  <c r="L141" i="1"/>
  <c r="L143" i="1"/>
  <c r="L155" i="1"/>
  <c r="L180" i="1"/>
  <c r="L183" i="1"/>
  <c r="L186" i="1"/>
  <c r="L201" i="1"/>
  <c r="L203" i="1"/>
  <c r="L236" i="1"/>
  <c r="L246" i="1"/>
  <c r="L248" i="1"/>
  <c r="L250" i="1"/>
  <c r="L253" i="1"/>
  <c r="L260" i="1"/>
  <c r="L264" i="1"/>
  <c r="L301" i="1"/>
  <c r="L337" i="1"/>
  <c r="L389" i="1"/>
  <c r="L484" i="1"/>
  <c r="L517" i="1"/>
  <c r="L524" i="1"/>
  <c r="L527" i="1"/>
  <c r="L528" i="1"/>
  <c r="L539" i="1"/>
  <c r="L543" i="1"/>
  <c r="L555" i="1"/>
  <c r="L556" i="1"/>
  <c r="L557" i="1"/>
  <c r="L558" i="1"/>
  <c r="L559" i="1"/>
  <c r="L560" i="1"/>
  <c r="L561" i="1"/>
  <c r="L563" i="1"/>
  <c r="L568" i="1"/>
  <c r="L569" i="1"/>
  <c r="L571" i="1"/>
  <c r="L574" i="1"/>
  <c r="L575" i="1"/>
  <c r="L576" i="1"/>
  <c r="L578" i="1"/>
  <c r="L579" i="1"/>
  <c r="L581" i="1"/>
  <c r="L586" i="1"/>
  <c r="L587" i="1"/>
  <c r="L588" i="1"/>
  <c r="L589" i="1"/>
  <c r="L634" i="1"/>
  <c r="L636" i="1"/>
  <c r="L638" i="1"/>
  <c r="L640" i="1"/>
  <c r="L643" i="1"/>
  <c r="L645" i="1"/>
  <c r="L646" i="1"/>
  <c r="L688" i="1"/>
  <c r="L692" i="1"/>
  <c r="L709" i="1"/>
  <c r="L711" i="1"/>
  <c r="L717" i="1"/>
  <c r="L720" i="1"/>
  <c r="L722" i="1"/>
  <c r="L732" i="1"/>
  <c r="L739" i="1"/>
  <c r="L758" i="1"/>
  <c r="L761" i="1"/>
  <c r="L783" i="1"/>
  <c r="L784" i="1"/>
  <c r="L819" i="1"/>
  <c r="L824" i="1"/>
  <c r="L828" i="1"/>
  <c r="L830" i="1"/>
  <c r="L831" i="1"/>
  <c r="L832" i="1"/>
  <c r="L833" i="1"/>
  <c r="L835" i="1"/>
  <c r="L837" i="1"/>
  <c r="L840" i="1"/>
  <c r="L842" i="1"/>
  <c r="L843" i="1"/>
  <c r="L846" i="1"/>
  <c r="L847" i="1"/>
  <c r="L857" i="1"/>
  <c r="L859" i="1"/>
  <c r="L860" i="1"/>
  <c r="L863" i="1"/>
  <c r="L864" i="1"/>
  <c r="L866" i="1"/>
  <c r="L868" i="1"/>
  <c r="L869" i="1"/>
  <c r="L924" i="1"/>
  <c r="L925" i="1"/>
  <c r="L927" i="1"/>
  <c r="L928" i="1"/>
  <c r="L930" i="1"/>
  <c r="L931" i="1"/>
  <c r="L932" i="1"/>
  <c r="L933" i="1"/>
  <c r="L935" i="1"/>
  <c r="L937" i="1"/>
  <c r="L938" i="1"/>
  <c r="L940" i="1"/>
  <c r="L941" i="1"/>
  <c r="L943" i="1"/>
  <c r="L944" i="1"/>
  <c r="L946" i="1"/>
  <c r="L949" i="1"/>
  <c r="L950" i="1"/>
  <c r="L951" i="1"/>
  <c r="L952" i="1"/>
  <c r="L955" i="1"/>
  <c r="L959" i="1"/>
  <c r="L962" i="1"/>
  <c r="L965" i="1"/>
  <c r="L974" i="1"/>
  <c r="L985" i="1"/>
  <c r="L993" i="1"/>
  <c r="L997" i="1"/>
  <c r="L998" i="1"/>
  <c r="L999" i="1"/>
  <c r="L1000" i="1"/>
  <c r="L1002" i="1"/>
  <c r="L1005" i="1"/>
  <c r="L1007" i="1"/>
  <c r="L1008" i="1"/>
  <c r="L1009" i="1"/>
  <c r="L1011" i="1"/>
  <c r="L1014" i="1"/>
  <c r="L1017" i="1"/>
  <c r="L1019" i="1"/>
  <c r="L1021" i="1"/>
  <c r="L1022" i="1"/>
  <c r="L1024" i="1"/>
  <c r="L1027" i="1"/>
  <c r="L1028" i="1"/>
  <c r="L1036" i="1"/>
  <c r="L1038" i="1"/>
  <c r="L1041" i="1"/>
  <c r="L1042" i="1"/>
  <c r="L1045" i="1"/>
  <c r="L1047" i="1"/>
  <c r="L1051" i="1"/>
  <c r="L1052" i="1"/>
  <c r="L1053" i="1"/>
  <c r="L1065" i="1"/>
  <c r="L1072" i="1"/>
  <c r="L1083" i="1"/>
  <c r="L1085" i="1"/>
  <c r="L1088" i="1"/>
  <c r="L1089" i="1"/>
  <c r="L1090" i="1"/>
  <c r="L1092" i="1"/>
  <c r="L1094" i="1"/>
  <c r="L1096" i="1"/>
  <c r="L1097" i="1"/>
  <c r="L1098" i="1"/>
  <c r="L1099" i="1"/>
  <c r="L1102" i="1"/>
  <c r="L1104" i="1"/>
  <c r="L1106" i="1"/>
  <c r="L1109" i="1"/>
  <c r="L1112" i="1"/>
  <c r="L1114" i="1"/>
  <c r="L1116" i="1"/>
  <c r="L1118" i="1"/>
  <c r="L1120" i="1"/>
  <c r="L1124" i="1"/>
  <c r="L1125" i="1"/>
  <c r="L1129" i="1"/>
  <c r="L1131" i="1"/>
  <c r="L1133" i="1"/>
  <c r="L1135" i="1"/>
  <c r="L1137" i="1"/>
  <c r="L1138" i="1"/>
  <c r="L1140" i="1"/>
  <c r="L1143" i="1"/>
  <c r="L1150" i="1"/>
  <c r="L1151" i="1"/>
  <c r="L1152" i="1"/>
  <c r="L1154" i="1"/>
  <c r="L1156" i="1"/>
  <c r="L1158" i="1"/>
  <c r="L1160" i="1"/>
  <c r="L1163" i="1"/>
  <c r="L1164" i="1"/>
  <c r="L1167" i="1"/>
  <c r="L1168" i="1"/>
  <c r="L1169" i="1"/>
  <c r="L1171" i="1"/>
  <c r="L1173" i="1"/>
  <c r="L1175" i="1"/>
  <c r="L1177" i="1"/>
  <c r="L1182" i="1"/>
  <c r="L1183" i="1"/>
  <c r="L1187" i="1"/>
  <c r="L1188" i="1"/>
  <c r="L1191" i="1"/>
  <c r="L1197" i="1"/>
  <c r="L1202" i="1"/>
  <c r="L1215" i="1"/>
  <c r="L1216" i="1"/>
  <c r="L1218" i="1"/>
  <c r="L1226" i="1"/>
  <c r="L1227" i="1"/>
  <c r="L1228" i="1"/>
  <c r="L1233" i="1"/>
  <c r="L1242" i="1"/>
  <c r="L1244" i="1"/>
  <c r="L1249" i="1"/>
  <c r="L1250" i="1"/>
  <c r="L1253" i="1"/>
  <c r="L1256" i="1"/>
  <c r="L1259" i="1"/>
  <c r="L1273" i="1"/>
  <c r="L1274" i="1"/>
  <c r="L1280" i="1"/>
  <c r="L1281" i="1"/>
  <c r="L1282" i="1"/>
  <c r="L1287" i="1"/>
  <c r="L1288" i="1"/>
  <c r="L1289" i="1"/>
  <c r="L1291" i="1"/>
  <c r="L1295" i="1"/>
  <c r="L1297" i="1"/>
  <c r="L1298" i="1"/>
  <c r="L1303" i="1"/>
  <c r="L1304" i="1"/>
  <c r="L1306" i="1"/>
  <c r="L1308" i="1"/>
  <c r="L1309" i="1"/>
  <c r="L1313" i="1"/>
  <c r="L1315" i="1"/>
  <c r="L1317" i="1"/>
  <c r="L1330" i="1"/>
  <c r="L1336" i="1"/>
  <c r="L1340" i="1"/>
  <c r="L1341" i="1"/>
  <c r="L1346" i="1"/>
  <c r="L1350" i="1"/>
  <c r="L1352" i="1"/>
  <c r="L1358" i="1"/>
  <c r="L1360" i="1"/>
  <c r="L1362" i="1"/>
  <c r="L1364" i="1"/>
  <c r="L1366" i="1"/>
  <c r="L1369" i="1"/>
  <c r="L1372" i="1"/>
  <c r="L1375" i="1"/>
  <c r="L1379" i="1"/>
  <c r="L1381" i="1"/>
  <c r="L1388" i="1"/>
  <c r="L1389" i="1"/>
  <c r="L1390" i="1"/>
  <c r="L1391" i="1"/>
  <c r="L1398" i="1"/>
  <c r="L1415" i="1"/>
  <c r="L1416" i="1"/>
  <c r="L1417" i="1"/>
  <c r="L1418" i="1"/>
  <c r="L1421" i="1"/>
  <c r="L1422" i="1"/>
  <c r="L1436" i="1"/>
  <c r="L1438" i="1"/>
  <c r="L1439" i="1"/>
  <c r="L1441" i="1"/>
  <c r="L1442" i="1"/>
  <c r="L1443" i="1"/>
  <c r="L1445" i="1"/>
  <c r="L1446" i="1"/>
  <c r="L1447" i="1"/>
  <c r="L1467" i="1"/>
  <c r="L1486" i="1"/>
  <c r="L1490" i="1"/>
  <c r="L1494" i="1"/>
  <c r="L1511" i="1"/>
  <c r="L1512" i="1"/>
  <c r="L1513" i="1"/>
  <c r="L1514" i="1"/>
  <c r="L1516" i="1"/>
  <c r="L1523" i="1"/>
  <c r="L1526" i="1"/>
  <c r="L1527" i="1"/>
  <c r="L1531" i="1"/>
  <c r="L1532" i="1"/>
  <c r="L1534" i="1"/>
  <c r="L1536" i="1"/>
  <c r="L1540" i="1"/>
  <c r="L1544" i="1"/>
  <c r="L1546" i="1"/>
  <c r="L1548" i="1"/>
  <c r="L1552" i="1"/>
  <c r="L1558" i="1"/>
  <c r="L1561" i="1"/>
  <c r="L1562" i="1"/>
  <c r="L1567" i="1"/>
  <c r="L1568" i="1"/>
  <c r="L1572" i="1"/>
  <c r="L1575" i="1"/>
  <c r="L1576" i="1"/>
  <c r="L1582" i="1"/>
  <c r="L1584" i="1"/>
  <c r="L1597" i="1"/>
  <c r="L1598" i="1"/>
  <c r="L1599" i="1"/>
  <c r="L1603" i="1"/>
  <c r="L1605" i="1"/>
  <c r="L1608" i="1"/>
  <c r="L1610" i="1"/>
  <c r="L1614" i="1"/>
  <c r="L1616" i="1"/>
  <c r="L1619" i="1"/>
  <c r="L1622" i="1"/>
  <c r="L1623" i="1"/>
  <c r="L1627" i="1"/>
  <c r="L1630" i="1"/>
  <c r="L1636" i="1"/>
  <c r="L1637" i="1"/>
  <c r="L1639" i="1"/>
  <c r="L1643" i="1"/>
  <c r="L1646" i="1"/>
  <c r="L1650" i="1"/>
  <c r="L1652" i="1"/>
  <c r="L1658" i="1"/>
  <c r="L1667" i="1"/>
  <c r="L1669" i="1"/>
  <c r="L1673" i="1"/>
  <c r="L1674" i="1"/>
  <c r="L1676" i="1"/>
  <c r="L1703" i="1"/>
  <c r="L1704" i="1"/>
  <c r="L1709" i="1"/>
  <c r="L1710" i="1"/>
  <c r="L1712" i="1"/>
  <c r="L1713" i="1"/>
  <c r="L1714" i="1"/>
  <c r="L1715" i="1"/>
  <c r="L1718" i="1"/>
  <c r="L1720" i="1"/>
  <c r="L1722" i="1"/>
  <c r="L1738" i="1"/>
  <c r="L1739" i="1"/>
  <c r="L1744" i="1"/>
  <c r="L1754" i="1"/>
  <c r="L1764" i="1"/>
  <c r="L1770" i="1"/>
  <c r="L1775" i="1"/>
  <c r="L1791" i="1"/>
  <c r="L1835" i="1"/>
  <c r="L1837" i="1"/>
  <c r="L1840" i="1"/>
  <c r="L1853" i="1"/>
  <c r="L1854" i="1"/>
  <c r="L1858" i="1"/>
  <c r="L1860" i="1"/>
  <c r="L1861" i="1"/>
  <c r="L1863" i="1"/>
  <c r="L1864" i="1"/>
  <c r="L1866" i="1"/>
  <c r="L1868" i="1"/>
  <c r="L1871" i="1"/>
  <c r="L1880" i="1"/>
  <c r="L1884" i="1"/>
  <c r="L1885" i="1"/>
  <c r="L1888" i="1"/>
  <c r="L1906" i="1"/>
  <c r="L1907" i="1"/>
  <c r="L1909" i="1"/>
  <c r="L1910" i="1"/>
  <c r="L1911" i="1"/>
  <c r="L1912" i="1"/>
  <c r="L1914" i="1"/>
  <c r="L1916" i="1"/>
  <c r="L1918" i="1"/>
  <c r="L1920" i="1"/>
  <c r="L1923" i="1"/>
  <c r="L1925" i="1"/>
  <c r="L1949" i="1"/>
  <c r="L1951" i="1"/>
  <c r="L1952" i="1"/>
  <c r="L1963" i="1"/>
  <c r="L1968" i="1"/>
  <c r="L1989" i="1"/>
  <c r="L1990" i="1"/>
  <c r="L1994" i="1"/>
  <c r="L1999" i="1"/>
  <c r="L2003" i="1"/>
  <c r="L2007" i="1"/>
  <c r="L2010" i="1"/>
  <c r="L2017" i="1"/>
  <c r="L2020" i="1"/>
  <c r="L2029" i="1"/>
  <c r="L2036" i="1"/>
  <c r="L2037" i="1"/>
  <c r="L2042" i="1"/>
  <c r="L2045" i="1"/>
  <c r="L2047" i="1"/>
  <c r="L2064" i="1"/>
  <c r="L2066" i="1"/>
  <c r="L2068" i="1"/>
  <c r="L2069" i="1"/>
  <c r="L2070" i="1"/>
  <c r="L2071" i="1"/>
  <c r="L2072" i="1"/>
  <c r="L2126" i="1"/>
  <c r="L2232" i="1"/>
  <c r="L2233" i="1"/>
  <c r="L2235" i="1"/>
  <c r="L2242" i="1"/>
  <c r="L2246" i="1"/>
  <c r="L2249" i="1"/>
  <c r="L2254" i="1"/>
  <c r="L2258" i="1"/>
  <c r="L2266" i="1"/>
  <c r="L2267" i="1"/>
  <c r="L2270" i="1"/>
  <c r="L2294" i="1"/>
  <c r="L2295" i="1"/>
  <c r="L2296" i="1"/>
  <c r="L2297" i="1"/>
  <c r="L2298" i="1"/>
  <c r="L2299" i="1"/>
  <c r="L2303" i="1"/>
  <c r="L2305" i="1"/>
  <c r="L2307" i="1"/>
  <c r="L2309" i="1"/>
  <c r="L2310" i="1"/>
  <c r="L2316" i="1"/>
  <c r="L2318" i="1"/>
  <c r="L2320" i="1"/>
  <c r="L2342" i="1"/>
  <c r="L2343" i="1"/>
  <c r="L2345" i="1"/>
  <c r="L2346" i="1"/>
  <c r="L2347" i="1"/>
  <c r="L2358" i="1"/>
  <c r="L2363" i="1"/>
  <c r="L2364" i="1"/>
  <c r="L2368" i="1"/>
  <c r="L2369" i="1"/>
  <c r="L2373" i="1"/>
  <c r="L2374" i="1"/>
  <c r="L2378" i="1"/>
  <c r="L2379" i="1"/>
  <c r="L2381" i="1"/>
  <c r="L2382" i="1"/>
  <c r="L2492" i="1"/>
  <c r="L2493" i="1"/>
  <c r="L2497" i="1"/>
  <c r="L2500" i="1"/>
  <c r="L2504" i="1"/>
  <c r="L2505" i="1"/>
  <c r="L2512" i="1"/>
  <c r="L2604" i="1"/>
  <c r="L2606" i="1"/>
  <c r="L2619" i="1"/>
  <c r="L2620" i="1"/>
  <c r="L2621" i="1"/>
  <c r="L2624" i="1"/>
  <c r="L2625" i="1"/>
  <c r="L2635" i="1"/>
  <c r="L2636" i="1"/>
  <c r="L2641" i="1"/>
  <c r="L2643" i="1"/>
  <c r="L2654" i="1"/>
  <c r="L2675" i="1"/>
  <c r="L2679" i="1"/>
  <c r="L2696" i="1"/>
  <c r="L2698" i="1"/>
  <c r="L2700" i="1"/>
  <c r="L2703" i="1"/>
  <c r="L2704" i="1"/>
  <c r="L2705" i="1"/>
  <c r="L2706" i="1"/>
  <c r="L2707" i="1"/>
  <c r="L2708" i="1"/>
  <c r="L2710" i="1"/>
  <c r="L2711" i="1"/>
  <c r="L2713" i="1"/>
  <c r="L2717" i="1"/>
  <c r="L2728" i="1"/>
  <c r="L2729" i="1"/>
  <c r="L2730" i="1"/>
  <c r="L2731" i="1"/>
  <c r="L2735" i="1"/>
  <c r="L2737" i="1"/>
  <c r="L2738" i="1"/>
  <c r="L2739" i="1"/>
  <c r="L2757" i="1"/>
  <c r="L2759" i="1"/>
  <c r="L2761" i="1"/>
  <c r="L2762" i="1"/>
  <c r="L2764" i="1"/>
  <c r="L2765" i="1"/>
  <c r="L2767" i="1"/>
  <c r="L2770" i="1"/>
  <c r="L2771" i="1"/>
  <c r="L2773" i="1"/>
  <c r="L2774" i="1"/>
  <c r="L2786" i="1"/>
  <c r="L2788" i="1"/>
  <c r="L2789" i="1"/>
  <c r="L2790" i="1"/>
  <c r="L2791" i="1"/>
  <c r="L2794" i="1"/>
  <c r="L2802" i="1"/>
  <c r="L2810" i="1"/>
  <c r="L2813" i="1"/>
  <c r="L2826" i="1"/>
  <c r="L2828" i="1"/>
  <c r="L2831" i="1"/>
  <c r="L2833" i="1"/>
  <c r="L2839" i="1"/>
  <c r="L2841" i="1"/>
  <c r="L2843" i="1"/>
  <c r="L2847" i="1"/>
  <c r="L2854" i="1"/>
  <c r="L2855" i="1"/>
  <c r="L2856" i="1"/>
  <c r="L2858" i="1"/>
  <c r="L2864" i="1"/>
  <c r="L2874" i="1"/>
  <c r="L2886" i="1"/>
  <c r="L2887" i="1"/>
  <c r="L2889" i="1"/>
  <c r="L2891" i="1"/>
  <c r="L2892" i="1"/>
  <c r="L2894" i="1"/>
  <c r="L2898" i="1"/>
  <c r="L2899" i="1"/>
  <c r="L2903" i="1"/>
  <c r="L2906" i="1"/>
  <c r="L2908" i="1"/>
  <c r="L2913" i="1"/>
  <c r="L2914" i="1"/>
  <c r="L2918" i="1"/>
  <c r="L2922" i="1"/>
  <c r="L2923" i="1"/>
  <c r="L2925" i="1"/>
  <c r="L2928" i="1"/>
  <c r="L2932" i="1"/>
  <c r="L2934" i="1"/>
  <c r="L2943" i="1"/>
  <c r="L2945" i="1"/>
  <c r="L2953" i="1"/>
  <c r="L2956" i="1"/>
  <c r="L2958" i="1"/>
  <c r="L2960" i="1"/>
  <c r="L2962" i="1"/>
  <c r="L2967" i="1"/>
  <c r="L2968" i="1"/>
  <c r="L2971" i="1"/>
  <c r="L2973" i="1"/>
  <c r="L2974" i="1"/>
  <c r="L2976" i="1"/>
  <c r="L2978" i="1"/>
  <c r="L2980" i="1"/>
  <c r="L2989" i="1"/>
  <c r="L2994" i="1"/>
  <c r="L3007" i="1"/>
  <c r="L3008" i="1"/>
  <c r="L3009" i="1"/>
  <c r="L3014" i="1"/>
  <c r="L3021" i="1"/>
  <c r="L3022" i="1"/>
  <c r="L3023" i="1"/>
  <c r="L3056" i="1"/>
  <c r="L3058" i="1"/>
  <c r="L3061" i="1"/>
  <c r="L3062" i="1"/>
  <c r="L3063" i="1"/>
  <c r="L3067" i="1"/>
  <c r="L3068" i="1"/>
  <c r="L3069" i="1"/>
  <c r="L3071" i="1"/>
  <c r="L3074" i="1"/>
  <c r="L3076" i="1"/>
  <c r="L3078" i="1"/>
  <c r="L3080" i="1"/>
  <c r="L3083" i="1"/>
  <c r="L3088" i="1"/>
  <c r="L3091" i="1"/>
  <c r="L3093" i="1"/>
  <c r="L3096" i="1"/>
  <c r="L3097" i="1"/>
  <c r="L3129" i="1"/>
  <c r="L3131" i="1"/>
  <c r="L3132" i="1"/>
  <c r="L3141" i="1"/>
  <c r="L3142" i="1"/>
  <c r="L3145" i="1"/>
  <c r="L3156" i="1"/>
  <c r="L3161" i="1"/>
  <c r="L3163" i="1"/>
  <c r="L3165" i="1"/>
  <c r="L3169" i="1"/>
  <c r="L3170" i="1"/>
  <c r="L3173" i="1"/>
  <c r="L3175" i="1"/>
  <c r="L3176" i="1"/>
  <c r="L3181" i="1"/>
  <c r="L3190" i="1"/>
  <c r="L3192" i="1"/>
  <c r="L3201" i="1"/>
  <c r="L3218" i="1"/>
  <c r="L3219" i="1"/>
  <c r="L3221" i="1"/>
  <c r="L3228" i="1"/>
  <c r="L3229" i="1"/>
  <c r="L3235" i="1"/>
  <c r="L3236" i="1"/>
  <c r="L3242" i="1"/>
  <c r="L3249" i="1"/>
  <c r="L3251" i="1"/>
  <c r="L3254" i="1"/>
  <c r="L3255" i="1"/>
  <c r="L3256" i="1"/>
  <c r="L3257" i="1"/>
  <c r="L3258" i="1"/>
  <c r="L3263" i="1"/>
  <c r="L3264" i="1"/>
  <c r="L3267" i="1"/>
  <c r="L3268" i="1"/>
  <c r="L3269" i="1"/>
  <c r="L3283" i="1"/>
  <c r="L3287" i="1"/>
  <c r="L3289" i="1"/>
  <c r="L3292" i="1"/>
  <c r="L3294" i="1"/>
  <c r="L3297" i="1"/>
  <c r="L3301" i="1"/>
  <c r="L3304" i="1"/>
  <c r="L3309" i="1"/>
  <c r="L3311" i="1"/>
  <c r="L3313" i="1"/>
  <c r="L3318" i="1"/>
  <c r="L3327" i="1"/>
  <c r="L3332" i="1"/>
  <c r="L3337" i="1"/>
  <c r="L3341" i="1"/>
  <c r="L3343" i="1"/>
  <c r="L3345" i="1"/>
  <c r="L3352" i="1"/>
  <c r="L3355" i="1"/>
  <c r="L3357" i="1"/>
  <c r="L3362" i="1"/>
  <c r="L3365" i="1"/>
  <c r="L3378" i="1"/>
  <c r="L3384" i="1"/>
  <c r="L3390" i="1"/>
  <c r="L3395" i="1"/>
  <c r="L3401" i="1"/>
  <c r="L3408" i="1"/>
  <c r="L3410" i="1"/>
  <c r="L3412" i="1"/>
  <c r="L3413" i="1"/>
  <c r="L3415" i="1"/>
  <c r="L3417" i="1"/>
  <c r="L3421" i="1"/>
  <c r="L3445" i="1"/>
  <c r="L3456" i="1"/>
  <c r="L3469" i="1"/>
  <c r="L3471" i="1"/>
  <c r="L3477" i="1"/>
  <c r="L3516" i="1"/>
  <c r="L3532" i="1"/>
  <c r="L3539" i="1"/>
  <c r="L3552" i="1"/>
  <c r="L3581" i="1"/>
  <c r="L3584" i="1"/>
  <c r="L3594" i="1"/>
  <c r="L3596" i="1"/>
  <c r="L3609" i="1"/>
  <c r="L3614" i="1"/>
  <c r="L3620" i="1"/>
  <c r="L3627" i="1"/>
  <c r="L3629" i="1"/>
  <c r="L3632" i="1"/>
  <c r="L3643" i="1"/>
  <c r="L3646" i="1"/>
  <c r="L3647" i="1"/>
  <c r="L3659" i="1"/>
  <c r="L3669" i="1"/>
  <c r="L3680" i="1"/>
  <c r="L3699" i="1"/>
  <c r="L3701" i="1"/>
  <c r="L3706" i="1"/>
  <c r="L3763" i="1"/>
  <c r="L3765" i="1"/>
  <c r="L3767" i="1"/>
  <c r="L3768" i="1"/>
  <c r="L3769" i="1"/>
  <c r="L3771" i="1"/>
  <c r="L3772" i="1"/>
  <c r="L3774" i="1"/>
  <c r="L3775" i="1"/>
  <c r="L3776" i="1"/>
  <c r="L3779" i="1"/>
  <c r="L3782" i="1"/>
  <c r="L3783" i="1"/>
  <c r="L3785" i="1"/>
  <c r="L3786" i="1"/>
  <c r="L3794" i="1"/>
  <c r="L3795" i="1"/>
  <c r="L3798" i="1"/>
  <c r="L3800" i="1"/>
  <c r="L3801" i="1"/>
  <c r="L3802" i="1"/>
  <c r="L3803" i="1"/>
  <c r="L3805" i="1"/>
  <c r="L3810" i="1"/>
  <c r="L3836" i="1"/>
  <c r="L3870" i="1"/>
  <c r="L3896" i="1"/>
  <c r="L3945" i="1"/>
  <c r="L3946" i="1"/>
  <c r="L3947" i="1"/>
  <c r="L3948" i="1"/>
  <c r="L3956" i="1"/>
  <c r="L3962" i="1"/>
  <c r="L3999" i="1"/>
  <c r="L4000" i="1"/>
  <c r="L4032" i="1"/>
  <c r="L4040" i="1"/>
  <c r="L4050" i="1"/>
  <c r="L4057" i="1"/>
  <c r="L4074" i="1"/>
  <c r="L4080" i="1"/>
  <c r="L4082" i="1"/>
  <c r="L4083" i="1"/>
  <c r="L4085" i="1"/>
  <c r="L4087" i="1"/>
  <c r="L4088" i="1"/>
  <c r="L4090" i="1"/>
  <c r="L4092" i="1"/>
  <c r="L4098" i="1"/>
  <c r="L4100" i="1"/>
  <c r="L4103" i="1"/>
  <c r="L4108" i="1"/>
  <c r="L4172" i="1"/>
  <c r="L4183" i="1"/>
  <c r="L4190" i="1"/>
  <c r="L4191" i="1"/>
  <c r="L4194" i="1"/>
  <c r="L4198" i="1"/>
  <c r="L4200" i="1"/>
  <c r="L4203" i="1"/>
  <c r="L4205" i="1"/>
  <c r="L4206" i="1"/>
  <c r="L4209" i="1"/>
  <c r="L4210" i="1"/>
  <c r="L4212" i="1"/>
  <c r="L4219" i="1"/>
  <c r="L4225" i="1"/>
  <c r="L4273" i="1"/>
  <c r="L4275" i="1"/>
  <c r="L4276" i="1"/>
  <c r="L4278" i="1"/>
  <c r="L4281" i="1"/>
  <c r="L4289" i="1"/>
  <c r="L4294" i="1"/>
  <c r="L4295" i="1"/>
  <c r="L4296" i="1"/>
  <c r="L4300" i="1"/>
  <c r="L4301" i="1"/>
  <c r="L4313" i="1"/>
  <c r="L4315" i="1"/>
  <c r="L4316" i="1"/>
  <c r="L4325" i="1"/>
  <c r="L4327" i="1"/>
  <c r="L4328" i="1"/>
  <c r="L4337" i="1"/>
  <c r="L4344" i="1"/>
  <c r="L4346" i="1"/>
  <c r="L4352" i="1"/>
  <c r="L4353" i="1"/>
  <c r="L4354" i="1"/>
  <c r="L4357" i="1"/>
  <c r="L4378" i="1"/>
  <c r="L4380" i="1"/>
  <c r="L4386" i="1"/>
  <c r="L4388" i="1"/>
  <c r="L4395" i="1"/>
  <c r="L4398" i="1"/>
  <c r="L4399" i="1"/>
  <c r="L4403" i="1"/>
  <c r="L4421" i="1"/>
  <c r="L4424" i="1"/>
  <c r="L4426" i="1"/>
  <c r="L4428" i="1"/>
  <c r="L4430" i="1"/>
  <c r="L4435" i="1"/>
  <c r="L4442" i="1"/>
  <c r="L4443" i="1"/>
  <c r="L4445" i="1"/>
  <c r="L4447" i="1"/>
  <c r="L4461" i="1"/>
  <c r="L4463" i="1"/>
  <c r="L4465" i="1"/>
  <c r="L4467" i="1"/>
  <c r="L4470" i="1"/>
  <c r="L4471" i="1"/>
  <c r="L4473" i="1"/>
  <c r="L4475" i="1"/>
  <c r="L4477" i="1"/>
  <c r="L4479" i="1"/>
  <c r="L4481" i="1"/>
  <c r="L4482" i="1"/>
  <c r="L4492" i="1"/>
  <c r="L4504" i="1"/>
  <c r="L4510" i="1"/>
  <c r="L4516" i="1"/>
  <c r="L4523" i="1"/>
  <c r="L4527" i="1"/>
  <c r="L4533" i="1"/>
  <c r="L4535" i="1"/>
  <c r="L4541" i="1"/>
  <c r="L4545" i="1"/>
  <c r="L4546" i="1"/>
  <c r="L4549" i="1"/>
  <c r="L4553" i="1"/>
  <c r="L4556" i="1"/>
  <c r="L4559" i="1"/>
  <c r="L4560" i="1"/>
  <c r="L4561" i="1"/>
  <c r="L4566" i="1"/>
  <c r="L4568" i="1"/>
  <c r="L4570" i="1"/>
  <c r="L4579" i="1"/>
  <c r="L4581" i="1"/>
  <c r="L4587" i="1"/>
  <c r="L4588" i="1"/>
  <c r="L4590" i="1"/>
  <c r="L4594" i="1"/>
  <c r="L4597" i="1"/>
  <c r="L4600" i="1"/>
  <c r="L4603" i="1"/>
  <c r="L4605" i="1"/>
  <c r="L4611" i="1"/>
  <c r="L4618" i="1"/>
  <c r="L4639" i="1"/>
  <c r="L4641" i="1"/>
  <c r="L4643" i="1"/>
  <c r="L4647" i="1"/>
  <c r="L4648" i="1"/>
  <c r="L4649" i="1"/>
  <c r="L4672" i="1"/>
  <c r="L4681" i="1"/>
  <c r="L4687" i="1"/>
  <c r="L4693" i="1"/>
  <c r="L4698" i="1"/>
  <c r="L4735" i="1"/>
  <c r="L4766" i="1"/>
  <c r="L4802" i="1"/>
  <c r="L4809" i="1"/>
  <c r="L4826" i="1"/>
  <c r="L4829" i="1"/>
  <c r="L4836" i="1"/>
  <c r="L4839" i="1"/>
  <c r="L4869" i="1"/>
  <c r="L4870" i="1"/>
  <c r="L4874" i="1"/>
  <c r="L4875" i="1"/>
  <c r="L4878" i="1"/>
  <c r="L4879" i="1"/>
  <c r="L4881" i="1"/>
  <c r="L4882" i="1"/>
  <c r="L4885" i="1"/>
  <c r="L4886" i="1"/>
  <c r="L4888" i="1"/>
  <c r="L4889" i="1"/>
  <c r="L4891" i="1"/>
  <c r="L4892" i="1"/>
  <c r="L4894" i="1"/>
  <c r="L4895" i="1"/>
  <c r="L4897" i="1"/>
  <c r="L4900" i="1"/>
  <c r="L4911" i="1"/>
  <c r="L4944" i="1"/>
  <c r="L4945" i="1"/>
  <c r="L4946" i="1"/>
  <c r="L4948" i="1"/>
  <c r="L4949" i="1"/>
  <c r="L4950" i="1"/>
  <c r="L4968" i="1"/>
  <c r="L4980" i="1"/>
  <c r="L4983" i="1"/>
  <c r="L4992" i="1"/>
  <c r="L4994" i="1"/>
  <c r="L4999" i="1"/>
  <c r="L5001" i="1"/>
  <c r="L5004" i="1"/>
  <c r="L5007" i="1"/>
  <c r="L5008" i="1"/>
  <c r="L5019" i="1"/>
  <c r="L5021" i="1"/>
  <c r="L5022" i="1"/>
  <c r="L5024" i="1"/>
  <c r="L5025" i="1"/>
  <c r="L5026" i="1"/>
  <c r="L5028" i="1"/>
  <c r="L5029" i="1"/>
  <c r="L5031" i="1"/>
  <c r="L5037" i="1"/>
  <c r="L5038" i="1"/>
  <c r="L5042" i="1"/>
  <c r="L5048" i="1"/>
  <c r="L5051" i="1"/>
  <c r="L5052" i="1"/>
  <c r="L5055" i="1"/>
  <c r="L5056" i="1"/>
  <c r="L5060" i="1"/>
  <c r="L5061" i="1"/>
  <c r="L5065" i="1"/>
  <c r="L5067" i="1"/>
  <c r="L5074" i="1"/>
  <c r="L5082" i="1"/>
  <c r="L5084" i="1"/>
  <c r="L5095" i="1"/>
  <c r="L5099" i="1"/>
  <c r="L5105" i="1"/>
  <c r="L5106" i="1"/>
  <c r="L5206" i="1"/>
  <c r="L5208" i="1"/>
  <c r="L5209" i="1"/>
  <c r="L5212" i="1"/>
  <c r="L5213" i="1"/>
  <c r="L5294" i="1"/>
  <c r="L5297" i="1"/>
  <c r="L5" i="1"/>
  <c r="L401" i="1"/>
  <c r="L3041" i="1" l="1"/>
  <c r="L3497" i="1"/>
  <c r="L4102" i="1"/>
  <c r="L3617" i="1"/>
  <c r="L5273" i="1"/>
  <c r="L3905" i="1"/>
  <c r="L5177" i="1"/>
  <c r="L4973" i="1"/>
  <c r="L4925" i="1"/>
  <c r="L4913" i="1"/>
  <c r="L4637" i="1"/>
  <c r="L3965" i="1"/>
  <c r="L3545" i="1"/>
  <c r="L3245" i="1"/>
  <c r="L2693" i="1"/>
  <c r="L2453" i="1"/>
  <c r="L615" i="1"/>
  <c r="L4841" i="1"/>
  <c r="L4457" i="1"/>
  <c r="L4265" i="1"/>
  <c r="L4217" i="1"/>
  <c r="L3857" i="1"/>
  <c r="L2225" i="1"/>
  <c r="L2105" i="1"/>
  <c r="L1685" i="1"/>
  <c r="L1301" i="1"/>
  <c r="L677" i="1"/>
  <c r="L125" i="1"/>
  <c r="L4121" i="1"/>
  <c r="L396" i="1"/>
  <c r="L288" i="1"/>
  <c r="L272" i="1"/>
  <c r="L256" i="1"/>
  <c r="L240" i="1"/>
  <c r="L164" i="1"/>
  <c r="L4" i="1"/>
  <c r="L2527" i="1"/>
  <c r="L2515" i="1"/>
  <c r="L2503" i="1"/>
  <c r="L1686" i="1"/>
  <c r="L1430" i="1"/>
  <c r="L1394" i="1"/>
  <c r="L886" i="1"/>
  <c r="L690" i="1"/>
  <c r="L430" i="1"/>
  <c r="L414" i="1"/>
  <c r="L402" i="1"/>
  <c r="L114" i="1"/>
  <c r="L4147" i="1"/>
  <c r="L3675" i="1"/>
  <c r="L3679" i="1"/>
  <c r="L5292" i="1"/>
  <c r="L5256" i="1"/>
  <c r="L5184" i="1"/>
  <c r="L5152" i="1"/>
  <c r="L5136" i="1"/>
  <c r="L5112" i="1"/>
  <c r="L4920" i="1"/>
  <c r="L4848" i="1"/>
  <c r="L4776" i="1"/>
  <c r="L4692" i="1"/>
  <c r="L4620" i="1"/>
  <c r="L4608" i="1"/>
  <c r="L4536" i="1"/>
  <c r="L4488" i="1"/>
  <c r="L4404" i="1"/>
  <c r="L4176" i="1"/>
  <c r="L4128" i="1"/>
  <c r="L4104" i="1"/>
  <c r="L3876" i="1"/>
  <c r="L3804" i="1"/>
  <c r="L3792" i="1"/>
  <c r="L3672" i="1"/>
  <c r="L3660" i="1"/>
  <c r="L3312" i="1"/>
  <c r="L3216" i="1"/>
  <c r="L3204" i="1"/>
  <c r="L2952" i="1"/>
  <c r="L2844" i="1"/>
  <c r="L2688" i="1"/>
  <c r="L2616" i="1"/>
  <c r="L2496" i="1"/>
  <c r="L2460" i="1"/>
  <c r="L2412" i="1"/>
  <c r="L2376" i="1"/>
  <c r="L2268" i="1"/>
  <c r="L2172" i="1"/>
  <c r="L2088" i="1"/>
  <c r="L2052" i="1"/>
  <c r="L1848" i="1"/>
  <c r="L1800" i="1"/>
  <c r="L1632" i="1"/>
  <c r="L1524" i="1"/>
  <c r="L1464" i="1"/>
  <c r="L1392" i="1"/>
  <c r="L1196" i="1"/>
  <c r="L1064" i="1"/>
  <c r="L908" i="1"/>
  <c r="L884" i="1"/>
  <c r="L804" i="1"/>
  <c r="L740" i="1"/>
  <c r="L660" i="1"/>
  <c r="L656" i="1"/>
  <c r="L608" i="1"/>
  <c r="L500" i="1"/>
  <c r="L464" i="1"/>
  <c r="L392" i="1"/>
  <c r="L4155" i="1"/>
  <c r="L4899" i="1"/>
  <c r="L3683" i="1"/>
  <c r="L4919" i="1"/>
  <c r="L4887" i="1"/>
  <c r="L4307" i="1"/>
  <c r="L4271" i="1"/>
  <c r="L4123" i="1"/>
  <c r="L4047" i="1"/>
  <c r="L3955" i="1"/>
  <c r="L3875" i="1"/>
  <c r="L3455" i="1"/>
  <c r="L3427" i="1"/>
  <c r="L3391" i="1"/>
  <c r="L3315" i="1"/>
  <c r="L3199" i="1"/>
  <c r="L3011" i="1"/>
  <c r="L2947" i="1"/>
  <c r="L2539" i="1"/>
  <c r="L2495" i="1"/>
  <c r="L2239" i="1"/>
  <c r="L2159" i="1"/>
  <c r="L1987" i="1"/>
  <c r="L1687" i="1"/>
  <c r="L1387" i="1"/>
  <c r="L5175" i="1"/>
  <c r="L4359" i="1"/>
  <c r="L3923" i="1"/>
  <c r="L3879" i="1"/>
  <c r="L3787" i="1"/>
  <c r="L3603" i="1"/>
  <c r="L3523" i="1"/>
  <c r="L3435" i="1"/>
  <c r="L3339" i="1"/>
  <c r="L3203" i="1"/>
  <c r="L2959" i="1"/>
  <c r="L2875" i="1"/>
  <c r="L2659" i="1"/>
  <c r="L2351" i="1"/>
  <c r="L2311" i="1"/>
  <c r="L2143" i="1"/>
  <c r="L1915" i="1"/>
  <c r="L2862" i="1"/>
  <c r="L4907" i="1"/>
  <c r="L4039" i="1"/>
  <c r="L3899" i="1"/>
  <c r="L3819" i="1"/>
  <c r="L3615" i="1"/>
  <c r="L3507" i="1"/>
  <c r="L3467" i="1"/>
  <c r="L3423" i="1"/>
  <c r="L3307" i="1"/>
  <c r="L2983" i="1"/>
  <c r="L2543" i="1"/>
  <c r="L2375" i="1"/>
  <c r="L2335" i="1"/>
  <c r="L2155" i="1"/>
  <c r="L1759" i="1"/>
  <c r="L255" i="1"/>
  <c r="L4903" i="1"/>
  <c r="L4791" i="1"/>
  <c r="L4455" i="1"/>
  <c r="L4331" i="1"/>
  <c r="L4115" i="1"/>
  <c r="L3935" i="1"/>
  <c r="L3895" i="1"/>
  <c r="L3823" i="1"/>
  <c r="L3439" i="1"/>
  <c r="L3151" i="1"/>
  <c r="L2999" i="1"/>
  <c r="L2699" i="1"/>
  <c r="L2171" i="1"/>
  <c r="L567" i="1"/>
  <c r="L4883" i="1"/>
  <c r="L4319" i="1"/>
  <c r="L4143" i="1"/>
  <c r="L4051" i="1"/>
  <c r="L3967" i="1"/>
  <c r="L3891" i="1"/>
  <c r="L3811" i="1"/>
  <c r="L3711" i="1"/>
  <c r="L3671" i="1"/>
  <c r="L3591" i="1"/>
  <c r="L3531" i="1"/>
  <c r="L3479" i="1"/>
  <c r="L3443" i="1"/>
  <c r="L3275" i="1"/>
  <c r="L3187" i="1"/>
  <c r="L2987" i="1"/>
  <c r="L2935" i="1"/>
  <c r="L2723" i="1"/>
  <c r="L2695" i="1"/>
  <c r="L2359" i="1"/>
  <c r="L2323" i="1"/>
  <c r="L2167" i="1"/>
  <c r="L2131" i="1"/>
  <c r="L1975" i="1"/>
  <c r="L1399" i="1"/>
  <c r="L387" i="1"/>
  <c r="L5167" i="1"/>
  <c r="L6" i="1"/>
  <c r="L4459" i="1"/>
  <c r="L4059" i="1"/>
  <c r="L3963" i="1"/>
  <c r="L3883" i="1"/>
  <c r="L3691" i="1"/>
  <c r="L3595" i="1"/>
  <c r="L3519" i="1"/>
  <c r="L3447" i="1"/>
  <c r="L3331" i="1"/>
  <c r="L3239" i="1"/>
  <c r="L3139" i="1"/>
  <c r="L2975" i="1"/>
  <c r="L2783" i="1"/>
  <c r="L2719" i="1"/>
  <c r="L2683" i="1"/>
  <c r="L2555" i="1"/>
  <c r="L2519" i="1"/>
  <c r="L2371" i="1"/>
  <c r="L2339" i="1"/>
  <c r="L2147" i="1"/>
  <c r="L1939" i="1"/>
  <c r="L1675" i="1"/>
  <c r="L1411" i="1"/>
  <c r="L1363" i="1"/>
  <c r="L5271" i="1"/>
  <c r="L5163" i="1"/>
  <c r="L5279" i="1"/>
  <c r="L5235" i="1"/>
  <c r="L5207" i="1"/>
  <c r="L5187" i="1"/>
  <c r="L5159" i="1"/>
  <c r="L5139" i="1"/>
  <c r="L5115" i="1"/>
  <c r="L5071" i="1"/>
  <c r="L5011" i="1"/>
  <c r="L4963" i="1"/>
  <c r="L4771" i="1"/>
  <c r="L4571" i="1"/>
  <c r="L4491" i="1"/>
  <c r="L4243" i="1"/>
  <c r="L5283" i="1"/>
  <c r="L5259" i="1"/>
  <c r="L5211" i="1"/>
  <c r="L5155" i="1"/>
  <c r="L5127" i="1"/>
  <c r="L5103" i="1"/>
  <c r="L5075" i="1"/>
  <c r="L5043" i="1"/>
  <c r="L4971" i="1"/>
  <c r="L4763" i="1"/>
  <c r="L4715" i="1"/>
  <c r="L4423" i="1"/>
  <c r="L4335" i="1"/>
  <c r="L5267" i="1"/>
  <c r="L5243" i="1"/>
  <c r="L5179" i="1"/>
  <c r="L5135" i="1"/>
  <c r="L5107" i="1"/>
  <c r="L5083" i="1"/>
  <c r="L5003" i="1"/>
  <c r="L4975" i="1"/>
  <c r="L4923" i="1"/>
  <c r="L4751" i="1"/>
  <c r="L4623" i="1"/>
  <c r="L4347" i="1"/>
  <c r="L4251" i="1"/>
  <c r="L5295" i="1"/>
  <c r="L5255" i="1"/>
  <c r="L5231" i="1"/>
  <c r="L5183" i="1"/>
  <c r="L5151" i="1"/>
  <c r="L5123" i="1"/>
  <c r="L5091" i="1"/>
  <c r="L5063" i="1"/>
  <c r="L5027" i="1"/>
  <c r="L4991" i="1"/>
  <c r="L4959" i="1"/>
  <c r="L4743" i="1"/>
  <c r="L4599" i="1"/>
  <c r="L4339" i="1"/>
  <c r="L5291" i="1"/>
  <c r="L5219" i="1"/>
  <c r="L5195" i="1"/>
  <c r="L5171" i="1"/>
  <c r="L5143" i="1"/>
  <c r="L5111" i="1"/>
  <c r="L5087" i="1"/>
  <c r="L5039" i="1"/>
  <c r="L4727" i="1"/>
  <c r="L4583" i="1"/>
  <c r="L4255" i="1"/>
  <c r="L5247" i="1"/>
  <c r="L5223" i="1"/>
  <c r="L5199" i="1"/>
  <c r="L5147" i="1"/>
  <c r="L5079" i="1"/>
  <c r="L5015" i="1"/>
  <c r="L4995" i="1"/>
  <c r="L4979" i="1"/>
  <c r="L4955" i="1"/>
  <c r="L4767" i="1"/>
  <c r="L4635" i="1"/>
  <c r="L4575" i="1"/>
  <c r="L4263" i="1"/>
  <c r="L4947" i="1"/>
  <c r="L4915" i="1"/>
  <c r="L4863" i="1"/>
  <c r="L4823" i="1"/>
  <c r="L4799" i="1"/>
  <c r="L4775" i="1"/>
  <c r="L4691" i="1"/>
  <c r="L4667" i="1"/>
  <c r="L4607" i="1"/>
  <c r="L4555" i="1"/>
  <c r="L4531" i="1"/>
  <c r="L4515" i="1"/>
  <c r="L4503" i="1"/>
  <c r="L4419" i="1"/>
  <c r="L4387" i="1"/>
  <c r="L4363" i="1"/>
  <c r="L4287" i="1"/>
  <c r="L4247" i="1"/>
  <c r="L4211" i="1"/>
  <c r="L4179" i="1"/>
  <c r="L4131" i="1"/>
  <c r="L4111" i="1"/>
  <c r="L4067" i="1"/>
  <c r="L4035" i="1"/>
  <c r="L4007" i="1"/>
  <c r="L3987" i="1"/>
  <c r="L3951" i="1"/>
  <c r="L3927" i="1"/>
  <c r="L3863" i="1"/>
  <c r="L3839" i="1"/>
  <c r="L3759" i="1"/>
  <c r="L3739" i="1"/>
  <c r="L3651" i="1"/>
  <c r="L3639" i="1"/>
  <c r="L3587" i="1"/>
  <c r="L3555" i="1"/>
  <c r="L3515" i="1"/>
  <c r="L3491" i="1"/>
  <c r="L3451" i="1"/>
  <c r="L3387" i="1"/>
  <c r="L3347" i="1"/>
  <c r="L3319" i="1"/>
  <c r="L3295" i="1"/>
  <c r="L3211" i="1"/>
  <c r="L3143" i="1"/>
  <c r="L3103" i="1"/>
  <c r="L3031" i="1"/>
  <c r="L2951" i="1"/>
  <c r="L2827" i="1"/>
  <c r="L2807" i="1"/>
  <c r="L2671" i="1"/>
  <c r="L2603" i="1"/>
  <c r="L2587" i="1"/>
  <c r="L2471" i="1"/>
  <c r="L2435" i="1"/>
  <c r="L2411" i="1"/>
  <c r="L2327" i="1"/>
  <c r="L2275" i="1"/>
  <c r="L2203" i="1"/>
  <c r="L2135" i="1"/>
  <c r="L2083" i="1"/>
  <c r="L2011" i="1"/>
  <c r="L1903" i="1"/>
  <c r="L1747" i="1"/>
  <c r="L1483" i="1"/>
  <c r="L1255" i="1"/>
  <c r="L4943" i="1"/>
  <c r="L4859" i="1"/>
  <c r="L4827" i="1"/>
  <c r="L4723" i="1"/>
  <c r="L4695" i="1"/>
  <c r="L4511" i="1"/>
  <c r="L4411" i="1"/>
  <c r="L4383" i="1"/>
  <c r="L4343" i="1"/>
  <c r="L4311" i="1"/>
  <c r="L4279" i="1"/>
  <c r="L4231" i="1"/>
  <c r="L4207" i="1"/>
  <c r="L4167" i="1"/>
  <c r="L4095" i="1"/>
  <c r="L4027" i="1"/>
  <c r="L3995" i="1"/>
  <c r="L3931" i="1"/>
  <c r="L3859" i="1"/>
  <c r="L3835" i="1"/>
  <c r="L3743" i="1"/>
  <c r="L3663" i="1"/>
  <c r="L3623" i="1"/>
  <c r="L3559" i="1"/>
  <c r="L3475" i="1"/>
  <c r="L3411" i="1"/>
  <c r="L3379" i="1"/>
  <c r="L3335" i="1"/>
  <c r="L3271" i="1"/>
  <c r="L3107" i="1"/>
  <c r="L2995" i="1"/>
  <c r="L2863" i="1"/>
  <c r="L2819" i="1"/>
  <c r="L2743" i="1"/>
  <c r="L2591" i="1"/>
  <c r="L2491" i="1"/>
  <c r="L2443" i="1"/>
  <c r="L2287" i="1"/>
  <c r="L2219" i="1"/>
  <c r="L2179" i="1"/>
  <c r="L2095" i="1"/>
  <c r="L2035" i="1"/>
  <c r="L1795" i="1"/>
  <c r="L1591" i="1"/>
  <c r="L1339" i="1"/>
  <c r="L3" i="1"/>
  <c r="L4939" i="1"/>
  <c r="L4843" i="1"/>
  <c r="L4811" i="1"/>
  <c r="L4787" i="1"/>
  <c r="L4731" i="1"/>
  <c r="L4683" i="1"/>
  <c r="L4619" i="1"/>
  <c r="L4551" i="1"/>
  <c r="L4487" i="1"/>
  <c r="L4451" i="1"/>
  <c r="L4427" i="1"/>
  <c r="L4391" i="1"/>
  <c r="L4367" i="1"/>
  <c r="L4323" i="1"/>
  <c r="L4299" i="1"/>
  <c r="L4267" i="1"/>
  <c r="L4235" i="1"/>
  <c r="L4135" i="1"/>
  <c r="L4071" i="1"/>
  <c r="L4015" i="1"/>
  <c r="L3971" i="1"/>
  <c r="L3907" i="1"/>
  <c r="L3847" i="1"/>
  <c r="L3799" i="1"/>
  <c r="L3747" i="1"/>
  <c r="L3727" i="1"/>
  <c r="L3619" i="1"/>
  <c r="L3567" i="1"/>
  <c r="L3499" i="1"/>
  <c r="L3403" i="1"/>
  <c r="L3351" i="1"/>
  <c r="L3303" i="1"/>
  <c r="L3247" i="1"/>
  <c r="L3167" i="1"/>
  <c r="L3079" i="1"/>
  <c r="L3043" i="1"/>
  <c r="L2911" i="1"/>
  <c r="L2795" i="1"/>
  <c r="L2627" i="1"/>
  <c r="L2579" i="1"/>
  <c r="L2479" i="1"/>
  <c r="L2447" i="1"/>
  <c r="L2407" i="1"/>
  <c r="L2291" i="1"/>
  <c r="L2251" i="1"/>
  <c r="L2151" i="1"/>
  <c r="L2107" i="1"/>
  <c r="L2023" i="1"/>
  <c r="L1699" i="1"/>
  <c r="L1423" i="1"/>
  <c r="L1267" i="1"/>
  <c r="L4935" i="1"/>
  <c r="L4815" i="1"/>
  <c r="L4783" i="1"/>
  <c r="L4707" i="1"/>
  <c r="L4659" i="1"/>
  <c r="L4595" i="1"/>
  <c r="L4539" i="1"/>
  <c r="L4507" i="1"/>
  <c r="L4483" i="1"/>
  <c r="L4371" i="1"/>
  <c r="L4291" i="1"/>
  <c r="L4227" i="1"/>
  <c r="L4195" i="1"/>
  <c r="L4151" i="1"/>
  <c r="L4099" i="1"/>
  <c r="L4019" i="1"/>
  <c r="L3983" i="1"/>
  <c r="L3919" i="1"/>
  <c r="L3855" i="1"/>
  <c r="L3827" i="1"/>
  <c r="L3723" i="1"/>
  <c r="L3611" i="1"/>
  <c r="L3571" i="1"/>
  <c r="L3487" i="1"/>
  <c r="L3399" i="1"/>
  <c r="L3363" i="1"/>
  <c r="L3299" i="1"/>
  <c r="L3191" i="1"/>
  <c r="L3115" i="1"/>
  <c r="L3019" i="1"/>
  <c r="L2879" i="1"/>
  <c r="L2755" i="1"/>
  <c r="L2647" i="1"/>
  <c r="L2551" i="1"/>
  <c r="L2483" i="1"/>
  <c r="L2431" i="1"/>
  <c r="L2395" i="1"/>
  <c r="L2255" i="1"/>
  <c r="L2215" i="1"/>
  <c r="L2087" i="1"/>
  <c r="L2059" i="1"/>
  <c r="L1807" i="1"/>
  <c r="L1543" i="1"/>
  <c r="L687" i="1"/>
  <c r="L4951" i="1"/>
  <c r="L4871" i="1"/>
  <c r="L4851" i="1"/>
  <c r="L4835" i="1"/>
  <c r="L4795" i="1"/>
  <c r="L4719" i="1"/>
  <c r="L4699" i="1"/>
  <c r="L4671" i="1"/>
  <c r="L4563" i="1"/>
  <c r="L4543" i="1"/>
  <c r="L4499" i="1"/>
  <c r="L4431" i="1"/>
  <c r="L4407" i="1"/>
  <c r="L4379" i="1"/>
  <c r="L4355" i="1"/>
  <c r="L4259" i="1"/>
  <c r="L4239" i="1"/>
  <c r="L4215" i="1"/>
  <c r="L4163" i="1"/>
  <c r="L4091" i="1"/>
  <c r="L4063" i="1"/>
  <c r="L4011" i="1"/>
  <c r="L3991" i="1"/>
  <c r="L3939" i="1"/>
  <c r="L3903" i="1"/>
  <c r="L3867" i="1"/>
  <c r="L3843" i="1"/>
  <c r="L3831" i="1"/>
  <c r="L3735" i="1"/>
  <c r="L3667" i="1"/>
  <c r="L3631" i="1"/>
  <c r="L3579" i="1"/>
  <c r="L3543" i="1"/>
  <c r="L3503" i="1"/>
  <c r="L3483" i="1"/>
  <c r="L3431" i="1"/>
  <c r="L3359" i="1"/>
  <c r="L3323" i="1"/>
  <c r="L3291" i="1"/>
  <c r="L3155" i="1"/>
  <c r="L3119" i="1"/>
  <c r="L3055" i="1"/>
  <c r="L2963" i="1"/>
  <c r="L2803" i="1"/>
  <c r="L2663" i="1"/>
  <c r="L2615" i="1"/>
  <c r="L2563" i="1"/>
  <c r="L2459" i="1"/>
  <c r="L2423" i="1"/>
  <c r="L2315" i="1"/>
  <c r="L2227" i="1"/>
  <c r="L2191" i="1"/>
  <c r="L2111" i="1"/>
  <c r="L2063" i="1"/>
  <c r="L1891" i="1"/>
  <c r="L1839" i="1"/>
  <c r="L1771" i="1"/>
  <c r="L1579" i="1"/>
  <c r="L1471" i="1"/>
  <c r="L239" i="1"/>
  <c r="L4931" i="1"/>
  <c r="L4867" i="1"/>
  <c r="L4847" i="1"/>
  <c r="L4803" i="1"/>
  <c r="L4779" i="1"/>
  <c r="L4755" i="1"/>
  <c r="L4703" i="1"/>
  <c r="L4679" i="1"/>
  <c r="L4631" i="1"/>
  <c r="L4547" i="1"/>
  <c r="L4519" i="1"/>
  <c r="L4495" i="1"/>
  <c r="L4439" i="1"/>
  <c r="L4415" i="1"/>
  <c r="L4375" i="1"/>
  <c r="L4351" i="1"/>
  <c r="L4303" i="1"/>
  <c r="L4187" i="1"/>
  <c r="L4139" i="1"/>
  <c r="L4107" i="1"/>
  <c r="L4075" i="1"/>
  <c r="L4031" i="1"/>
  <c r="L4003" i="1"/>
  <c r="L3975" i="1"/>
  <c r="L3915" i="1"/>
  <c r="L3851" i="1"/>
  <c r="L3815" i="1"/>
  <c r="L3751" i="1"/>
  <c r="L3715" i="1"/>
  <c r="L3655" i="1"/>
  <c r="L3635" i="1"/>
  <c r="L3583" i="1"/>
  <c r="L3547" i="1"/>
  <c r="L3495" i="1"/>
  <c r="L3463" i="1"/>
  <c r="L3407" i="1"/>
  <c r="L3375" i="1"/>
  <c r="L3279" i="1"/>
  <c r="L3223" i="1"/>
  <c r="L3179" i="1"/>
  <c r="L3127" i="1"/>
  <c r="L3059" i="1"/>
  <c r="L2939" i="1"/>
  <c r="L2851" i="1"/>
  <c r="L2779" i="1"/>
  <c r="L2623" i="1"/>
  <c r="L2599" i="1"/>
  <c r="L2575" i="1"/>
  <c r="L2455" i="1"/>
  <c r="L2419" i="1"/>
  <c r="L2383" i="1"/>
  <c r="L2279" i="1"/>
  <c r="L2207" i="1"/>
  <c r="L2183" i="1"/>
  <c r="L2075" i="1"/>
  <c r="L2051" i="1"/>
  <c r="L1819" i="1"/>
  <c r="L1783" i="1"/>
  <c r="L1615" i="1"/>
  <c r="L1555" i="1"/>
  <c r="L1327" i="1"/>
  <c r="L639" i="1"/>
  <c r="L327" i="1"/>
  <c r="L4199" i="1"/>
  <c r="L4119" i="1"/>
  <c r="L4043" i="1"/>
  <c r="L3943" i="1"/>
  <c r="L3871" i="1"/>
  <c r="L3731" i="1"/>
  <c r="L3535" i="1"/>
  <c r="L3511" i="1"/>
  <c r="L3459" i="1"/>
  <c r="L2123" i="1"/>
  <c r="L1495" i="1"/>
  <c r="L1435" i="1"/>
  <c r="L27" i="1"/>
  <c r="L2694" i="1"/>
  <c r="L4055" i="1"/>
  <c r="L3575" i="1"/>
  <c r="L3383" i="1"/>
  <c r="L2815" i="1"/>
  <c r="L2639" i="1"/>
  <c r="L2611" i="1"/>
  <c r="L2467" i="1"/>
  <c r="L2399" i="1"/>
  <c r="L2263" i="1"/>
  <c r="L2231" i="1"/>
  <c r="L1651" i="1"/>
  <c r="L4175" i="1"/>
  <c r="L3979" i="1"/>
  <c r="L3755" i="1"/>
  <c r="L3259" i="1"/>
  <c r="L3227" i="1"/>
  <c r="L3047" i="1"/>
  <c r="L2119" i="1"/>
  <c r="L1243" i="1"/>
  <c r="L903" i="1"/>
  <c r="L3762" i="1"/>
  <c r="L4746" i="1"/>
  <c r="L3599" i="1"/>
  <c r="L3371" i="1"/>
  <c r="L3215" i="1"/>
  <c r="L3095" i="1"/>
  <c r="L2507" i="1"/>
  <c r="L2243" i="1"/>
  <c r="L1927" i="1"/>
  <c r="L4171" i="1"/>
  <c r="L3807" i="1"/>
  <c r="L3703" i="1"/>
  <c r="L3035" i="1"/>
  <c r="L2927" i="1"/>
  <c r="L2651" i="1"/>
  <c r="L2531" i="1"/>
  <c r="L1711" i="1"/>
  <c r="L4079" i="1"/>
  <c r="L4023" i="1"/>
  <c r="L3911" i="1"/>
  <c r="L3887" i="1"/>
  <c r="L3719" i="1"/>
  <c r="L3687" i="1"/>
  <c r="L3607" i="1"/>
  <c r="L3551" i="1"/>
  <c r="L3419" i="1"/>
  <c r="L3367" i="1"/>
  <c r="L2867" i="1"/>
  <c r="L2687" i="1"/>
  <c r="L2387" i="1"/>
  <c r="L2099" i="1"/>
  <c r="L1723" i="1"/>
  <c r="L1459" i="1"/>
  <c r="L95" i="1"/>
  <c r="L4614" i="1"/>
  <c r="L4901" i="1"/>
  <c r="L4709" i="1"/>
  <c r="L4061" i="1"/>
  <c r="L4013" i="1"/>
  <c r="L3809" i="1"/>
  <c r="L3725" i="1"/>
  <c r="L3677" i="1"/>
  <c r="L3665" i="1"/>
  <c r="L3461" i="1"/>
  <c r="L3449" i="1"/>
  <c r="L3305" i="1"/>
  <c r="L3233" i="1"/>
  <c r="L3185" i="1"/>
  <c r="L5141" i="1"/>
  <c r="L5129" i="1"/>
  <c r="L5081" i="1"/>
  <c r="L5045" i="1"/>
  <c r="L4961" i="1"/>
  <c r="L4757" i="1"/>
  <c r="L4697" i="1"/>
  <c r="L4601" i="1"/>
  <c r="L4469" i="1"/>
  <c r="L4405" i="1"/>
  <c r="L4397" i="1"/>
  <c r="L5280" i="1"/>
  <c r="L5260" i="1"/>
  <c r="L5244" i="1"/>
  <c r="L5172" i="1"/>
  <c r="L5160" i="1"/>
  <c r="L5148" i="1"/>
  <c r="L5124" i="1"/>
  <c r="L5100" i="1"/>
  <c r="L5088" i="1"/>
  <c r="L5076" i="1"/>
  <c r="L5064" i="1"/>
  <c r="L5040" i="1"/>
  <c r="L5016" i="1"/>
  <c r="L4956" i="1"/>
  <c r="L4932" i="1"/>
  <c r="L4908" i="1"/>
  <c r="L4896" i="1"/>
  <c r="L4884" i="1"/>
  <c r="L4872" i="1"/>
  <c r="L4860" i="1"/>
  <c r="L4824" i="1"/>
  <c r="L4812" i="1"/>
  <c r="L4800" i="1"/>
  <c r="L4788" i="1"/>
  <c r="L4764" i="1"/>
  <c r="L4752" i="1"/>
  <c r="L4740" i="1"/>
  <c r="L4728" i="1"/>
  <c r="L4716" i="1"/>
  <c r="L4704" i="1"/>
  <c r="L4680" i="1"/>
  <c r="L4668" i="1"/>
  <c r="L4656" i="1"/>
  <c r="L4644" i="1"/>
  <c r="L4632" i="1"/>
  <c r="L4596" i="1"/>
  <c r="L4584" i="1"/>
  <c r="L4572" i="1"/>
  <c r="L4548" i="1"/>
  <c r="L4524" i="1"/>
  <c r="L4512" i="1"/>
  <c r="L4500" i="1"/>
  <c r="L4476" i="1"/>
  <c r="L4464" i="1"/>
  <c r="L4452" i="1"/>
  <c r="L4440" i="1"/>
  <c r="L4416" i="1"/>
  <c r="L4392" i="1"/>
  <c r="L4368" i="1"/>
  <c r="L4356" i="1"/>
  <c r="L4332" i="1"/>
  <c r="L4320" i="1"/>
  <c r="L4308" i="1"/>
  <c r="L4284" i="1"/>
  <c r="L4272" i="1"/>
  <c r="L4260" i="1"/>
  <c r="L4248" i="1"/>
  <c r="L4236" i="1"/>
  <c r="L4224" i="1"/>
  <c r="L4188" i="1"/>
  <c r="L4164" i="1"/>
  <c r="L4152" i="1"/>
  <c r="L4140" i="1"/>
  <c r="L4116" i="1"/>
  <c r="L4068" i="1"/>
  <c r="L4056" i="1"/>
  <c r="L4044" i="1"/>
  <c r="L4020" i="1"/>
  <c r="L4008" i="1"/>
  <c r="L3996" i="1"/>
  <c r="L3984" i="1"/>
  <c r="L3972" i="1"/>
  <c r="L3960" i="1"/>
  <c r="L3936" i="1"/>
  <c r="L3924" i="1"/>
  <c r="L3912" i="1"/>
  <c r="L3900" i="1"/>
  <c r="L3888" i="1"/>
  <c r="L3864" i="1"/>
  <c r="L3852" i="1"/>
  <c r="L3840" i="1"/>
  <c r="L3828" i="1"/>
  <c r="L3816" i="1"/>
  <c r="L3780" i="1"/>
  <c r="L3756" i="1"/>
  <c r="L3744" i="1"/>
  <c r="L3732" i="1"/>
  <c r="L3720" i="1"/>
  <c r="L3708" i="1"/>
  <c r="L3696" i="1"/>
  <c r="L3684" i="1"/>
  <c r="L3648" i="1"/>
  <c r="L3636" i="1"/>
  <c r="L3624" i="1"/>
  <c r="L3612" i="1"/>
  <c r="L3600" i="1"/>
  <c r="L3588" i="1"/>
  <c r="L3576" i="1"/>
  <c r="L3540" i="1"/>
  <c r="L3504" i="1"/>
  <c r="L3492" i="1"/>
  <c r="L3480" i="1"/>
  <c r="L3468" i="1"/>
  <c r="L3444" i="1"/>
  <c r="L3432" i="1"/>
  <c r="L3420" i="1"/>
  <c r="L3396" i="1"/>
  <c r="L3372" i="1"/>
  <c r="L3360" i="1"/>
  <c r="L3348" i="1"/>
  <c r="L3336" i="1"/>
  <c r="L3324" i="1"/>
  <c r="L3300" i="1"/>
  <c r="L3288" i="1"/>
  <c r="L3276" i="1"/>
  <c r="L3252" i="1"/>
  <c r="L3240" i="1"/>
  <c r="L3180" i="1"/>
  <c r="L3168" i="1"/>
  <c r="L3144" i="1"/>
  <c r="L3120" i="1"/>
  <c r="L3108" i="1"/>
  <c r="L3084" i="1"/>
  <c r="L3072" i="1"/>
  <c r="L3060" i="1"/>
  <c r="L3048" i="1"/>
  <c r="L3036" i="1"/>
  <c r="L3024" i="1"/>
  <c r="L5268" i="1"/>
  <c r="L5232" i="1"/>
  <c r="L5220" i="1"/>
  <c r="L5196" i="1"/>
  <c r="L3077" i="1"/>
  <c r="L2609" i="1"/>
  <c r="L2525" i="1"/>
  <c r="L2441" i="1"/>
  <c r="L2261" i="1"/>
  <c r="L2033" i="1"/>
  <c r="L1769" i="1"/>
  <c r="L1589" i="1"/>
  <c r="L1573" i="1"/>
  <c r="L1049" i="1"/>
  <c r="L3016" i="1"/>
  <c r="L3012" i="1"/>
  <c r="L3000" i="1"/>
  <c r="L2988" i="1"/>
  <c r="L2964" i="1"/>
  <c r="L2940" i="1"/>
  <c r="L2916" i="1"/>
  <c r="L2904" i="1"/>
  <c r="L2880" i="1"/>
  <c r="L2868" i="1"/>
  <c r="L2832" i="1"/>
  <c r="L2820" i="1"/>
  <c r="L2808" i="1"/>
  <c r="L2796" i="1"/>
  <c r="L2784" i="1"/>
  <c r="L2772" i="1"/>
  <c r="L2760" i="1"/>
  <c r="L2748" i="1"/>
  <c r="L2736" i="1"/>
  <c r="L2724" i="1"/>
  <c r="L2712" i="1"/>
  <c r="L2676" i="1"/>
  <c r="L2664" i="1"/>
  <c r="L2656" i="1"/>
  <c r="L2652" i="1"/>
  <c r="L2640" i="1"/>
  <c r="L2628" i="1"/>
  <c r="L2592" i="1"/>
  <c r="L2580" i="1"/>
  <c r="L2568" i="1"/>
  <c r="L2556" i="1"/>
  <c r="L2544" i="1"/>
  <c r="L2532" i="1"/>
  <c r="L2520" i="1"/>
  <c r="L2508" i="1"/>
  <c r="L2484" i="1"/>
  <c r="L2472" i="1"/>
  <c r="L2448" i="1"/>
  <c r="L2436" i="1"/>
  <c r="L2424" i="1"/>
  <c r="L2400" i="1"/>
  <c r="L2388" i="1"/>
  <c r="L2352" i="1"/>
  <c r="L2340" i="1"/>
  <c r="L2328" i="1"/>
  <c r="L2304" i="1"/>
  <c r="L2292" i="1"/>
  <c r="L2280" i="1"/>
  <c r="L2244" i="1"/>
  <c r="L2220" i="1"/>
  <c r="L2208" i="1"/>
  <c r="L2196" i="1"/>
  <c r="L2184" i="1"/>
  <c r="L2160" i="1"/>
  <c r="L2152" i="1"/>
  <c r="L2148" i="1"/>
  <c r="L2136" i="1"/>
  <c r="L2124" i="1"/>
  <c r="L2112" i="1"/>
  <c r="L2100" i="1"/>
  <c r="L2076" i="1"/>
  <c r="L2028" i="1"/>
  <c r="L2016" i="1"/>
  <c r="L2004" i="1"/>
  <c r="L1992" i="1"/>
  <c r="L1980" i="1"/>
  <c r="L1964" i="1"/>
  <c r="L1956" i="1"/>
  <c r="L1944" i="1"/>
  <c r="L1932" i="1"/>
  <c r="L1908" i="1"/>
  <c r="L1896" i="1"/>
  <c r="L1872" i="1"/>
  <c r="L1836" i="1"/>
  <c r="L1824" i="1"/>
  <c r="L1812" i="1"/>
  <c r="L1788" i="1"/>
  <c r="L1776" i="1"/>
  <c r="L1752" i="1"/>
  <c r="L1740" i="1"/>
  <c r="L1728" i="1"/>
  <c r="L1716" i="1"/>
  <c r="L1692" i="1"/>
  <c r="L1680" i="1"/>
  <c r="L1668" i="1"/>
  <c r="L1656" i="1"/>
  <c r="L1644" i="1"/>
  <c r="L1620" i="1"/>
  <c r="L1596" i="1"/>
  <c r="L1560" i="1"/>
  <c r="L1500" i="1"/>
  <c r="L1488" i="1"/>
  <c r="L1476" i="1"/>
  <c r="L1452" i="1"/>
  <c r="L1440" i="1"/>
  <c r="L1428" i="1"/>
  <c r="L1408" i="1"/>
  <c r="L1404" i="1"/>
  <c r="L1380" i="1"/>
  <c r="L1368" i="1"/>
  <c r="L1356" i="1"/>
  <c r="L1344" i="1"/>
  <c r="L1332" i="1"/>
  <c r="L1320" i="1"/>
  <c r="L1296" i="1"/>
  <c r="L1284" i="1"/>
  <c r="L1272" i="1"/>
  <c r="L1260" i="1"/>
  <c r="L1248" i="1"/>
  <c r="L1236" i="1"/>
  <c r="L1224" i="1"/>
  <c r="L1212" i="1"/>
  <c r="L1208" i="1"/>
  <c r="L1200" i="1"/>
  <c r="L1184" i="1"/>
  <c r="L1176" i="1"/>
  <c r="L1172" i="1"/>
  <c r="L1148" i="1"/>
  <c r="L1136" i="1"/>
  <c r="L1128" i="1"/>
  <c r="L1100" i="1"/>
  <c r="L1080" i="1"/>
  <c r="L1076" i="1"/>
  <c r="L1068" i="1"/>
  <c r="L1056" i="1"/>
  <c r="L1044" i="1"/>
  <c r="L1040" i="1"/>
  <c r="L1032" i="1"/>
  <c r="L1020" i="1"/>
  <c r="L1016" i="1"/>
  <c r="L1012" i="1"/>
  <c r="L1004" i="1"/>
  <c r="L996" i="1"/>
  <c r="L992" i="1"/>
  <c r="L984" i="1"/>
  <c r="L980" i="1"/>
  <c r="L972" i="1"/>
  <c r="L968" i="1"/>
  <c r="L960" i="1"/>
  <c r="L956" i="1"/>
  <c r="L948" i="1"/>
  <c r="L936" i="1"/>
  <c r="L920" i="1"/>
  <c r="L912" i="1"/>
  <c r="L904" i="1"/>
  <c r="L900" i="1"/>
  <c r="L896" i="1"/>
  <c r="L888" i="1"/>
  <c r="L876" i="1"/>
  <c r="L872" i="1"/>
  <c r="L852" i="1"/>
  <c r="L848" i="1"/>
  <c r="L836" i="1"/>
  <c r="L816" i="1"/>
  <c r="L812" i="1"/>
  <c r="L800" i="1"/>
  <c r="L792" i="1"/>
  <c r="L788" i="1"/>
  <c r="L780" i="1"/>
  <c r="L776" i="1"/>
  <c r="L768" i="1"/>
  <c r="L764" i="1"/>
  <c r="L756" i="1"/>
  <c r="L752" i="1"/>
  <c r="L744" i="1"/>
  <c r="L728" i="1"/>
  <c r="L716" i="1"/>
  <c r="L708" i="1"/>
  <c r="L704" i="1"/>
  <c r="L696" i="1"/>
  <c r="L521" i="1"/>
  <c r="L293" i="1"/>
  <c r="L269" i="1"/>
  <c r="L257" i="1"/>
  <c r="L41" i="1"/>
  <c r="L684" i="1"/>
  <c r="L680" i="1"/>
  <c r="L672" i="1"/>
  <c r="L668" i="1"/>
  <c r="L648" i="1"/>
  <c r="L644" i="1"/>
  <c r="L632" i="1"/>
  <c r="L624" i="1"/>
  <c r="L620" i="1"/>
  <c r="L612" i="1"/>
  <c r="L600" i="1"/>
  <c r="L596" i="1"/>
  <c r="L584" i="1"/>
  <c r="L580" i="1"/>
  <c r="L572" i="1"/>
  <c r="L564" i="1"/>
  <c r="L552" i="1"/>
  <c r="L548" i="1"/>
  <c r="L540" i="1"/>
  <c r="L536" i="1"/>
  <c r="L516" i="1"/>
  <c r="L512" i="1"/>
  <c r="L504" i="1"/>
  <c r="L492" i="1"/>
  <c r="L488" i="1"/>
  <c r="L480" i="1"/>
  <c r="L476" i="1"/>
  <c r="L468" i="1"/>
  <c r="L456" i="1"/>
  <c r="L452" i="1"/>
  <c r="L444" i="1"/>
  <c r="L440" i="1"/>
  <c r="L432" i="1"/>
  <c r="L428" i="1"/>
  <c r="L420" i="1"/>
  <c r="L416" i="1"/>
  <c r="L408" i="1"/>
  <c r="L404" i="1"/>
  <c r="L384" i="1"/>
  <c r="L380" i="1"/>
  <c r="L372" i="1"/>
  <c r="L368" i="1"/>
  <c r="L360" i="1"/>
  <c r="L356" i="1"/>
  <c r="L348" i="1"/>
  <c r="L344" i="1"/>
  <c r="L336" i="1"/>
  <c r="L332" i="1"/>
  <c r="L324" i="1"/>
  <c r="L320" i="1"/>
  <c r="L312" i="1"/>
  <c r="L308" i="1"/>
  <c r="L300" i="1"/>
  <c r="L296" i="1"/>
  <c r="L284" i="1"/>
  <c r="L276" i="1"/>
  <c r="L252" i="1"/>
  <c r="L228" i="1"/>
  <c r="L224" i="1"/>
  <c r="L216" i="1"/>
  <c r="L212" i="1"/>
  <c r="L208" i="1"/>
  <c r="L204" i="1"/>
  <c r="L200" i="1"/>
  <c r="L192" i="1"/>
  <c r="L188" i="1"/>
  <c r="L176" i="1"/>
  <c r="L168" i="1"/>
  <c r="L156" i="1"/>
  <c r="L152" i="1"/>
  <c r="L144" i="1"/>
  <c r="L128" i="1"/>
  <c r="L116" i="1"/>
  <c r="L104" i="1"/>
  <c r="L92" i="1"/>
  <c r="L80" i="1"/>
  <c r="L72" i="1"/>
  <c r="L68" i="1"/>
  <c r="L60" i="1"/>
  <c r="L56" i="1"/>
  <c r="L44" i="1"/>
  <c r="L32" i="1"/>
  <c r="L28" i="1"/>
  <c r="L24" i="1"/>
  <c r="L20" i="1"/>
  <c r="L5174" i="1"/>
  <c r="L1302" i="1"/>
  <c r="L510" i="1"/>
  <c r="L5290" i="1"/>
  <c r="L5278" i="1"/>
  <c r="L5262" i="1"/>
  <c r="L5246" i="1"/>
  <c r="L5230" i="1"/>
  <c r="L5214" i="1"/>
  <c r="L5194" i="1"/>
  <c r="L5178" i="1"/>
  <c r="L5162" i="1"/>
  <c r="L5142" i="1"/>
  <c r="L5130" i="1"/>
  <c r="L5114" i="1"/>
  <c r="L5098" i="1"/>
  <c r="L5078" i="1"/>
  <c r="L5066" i="1"/>
  <c r="L5050" i="1"/>
  <c r="L5006" i="1"/>
  <c r="L4986" i="1"/>
  <c r="L4970" i="1"/>
  <c r="L4954" i="1"/>
  <c r="L4938" i="1"/>
  <c r="L4922" i="1"/>
  <c r="L4906" i="1"/>
  <c r="L4866" i="1"/>
  <c r="L4850" i="1"/>
  <c r="L4834" i="1"/>
  <c r="L4822" i="1"/>
  <c r="L4806" i="1"/>
  <c r="L4790" i="1"/>
  <c r="L4774" i="1"/>
  <c r="L4758" i="1"/>
  <c r="L4742" i="1"/>
  <c r="L4726" i="1"/>
  <c r="L4710" i="1"/>
  <c r="L4694" i="1"/>
  <c r="L4678" i="1"/>
  <c r="L4662" i="1"/>
  <c r="L4646" i="1"/>
  <c r="L4630" i="1"/>
  <c r="L4610" i="1"/>
  <c r="L4582" i="1"/>
  <c r="L4554" i="1"/>
  <c r="L4542" i="1"/>
  <c r="L4526" i="1"/>
  <c r="L4494" i="1"/>
  <c r="L4474" i="1"/>
  <c r="L4462" i="1"/>
  <c r="L4446" i="1"/>
  <c r="L4418" i="1"/>
  <c r="L4402" i="1"/>
  <c r="L4382" i="1"/>
  <c r="L4370" i="1"/>
  <c r="L4330" i="1"/>
  <c r="L4314" i="1"/>
  <c r="L4298" i="1"/>
  <c r="L4282" i="1"/>
  <c r="L4266" i="1"/>
  <c r="L4250" i="1"/>
  <c r="L4234" i="1"/>
  <c r="L4218" i="1"/>
  <c r="L4186" i="1"/>
  <c r="L4166" i="1"/>
  <c r="L4146" i="1"/>
  <c r="L3966" i="1"/>
  <c r="L3498" i="1"/>
  <c r="L2834" i="1"/>
  <c r="L2466" i="1"/>
  <c r="L1998" i="1"/>
  <c r="L5270" i="1"/>
  <c r="L5254" i="1"/>
  <c r="L5238" i="1"/>
  <c r="L5222" i="1"/>
  <c r="L5190" i="1"/>
  <c r="L5170" i="1"/>
  <c r="L5150" i="1"/>
  <c r="L5126" i="1"/>
  <c r="L5110" i="1"/>
  <c r="L5090" i="1"/>
  <c r="L5058" i="1"/>
  <c r="L5034" i="1"/>
  <c r="L5014" i="1"/>
  <c r="L4998" i="1"/>
  <c r="L4982" i="1"/>
  <c r="L4962" i="1"/>
  <c r="L4930" i="1"/>
  <c r="L4910" i="1"/>
  <c r="L4890" i="1"/>
  <c r="L4858" i="1"/>
  <c r="L4838" i="1"/>
  <c r="L4818" i="1"/>
  <c r="L4798" i="1"/>
  <c r="L4778" i="1"/>
  <c r="L4762" i="1"/>
  <c r="L4738" i="1"/>
  <c r="L4718" i="1"/>
  <c r="L4702" i="1"/>
  <c r="L4686" i="1"/>
  <c r="L4670" i="1"/>
  <c r="L4654" i="1"/>
  <c r="L4634" i="1"/>
  <c r="L4602" i="1"/>
  <c r="L4574" i="1"/>
  <c r="L4558" i="1"/>
  <c r="L4534" i="1"/>
  <c r="L4514" i="1"/>
  <c r="L4498" i="1"/>
  <c r="L4478" i="1"/>
  <c r="L4458" i="1"/>
  <c r="L4434" i="1"/>
  <c r="L4414" i="1"/>
  <c r="L4394" i="1"/>
  <c r="L4362" i="1"/>
  <c r="L4342" i="1"/>
  <c r="L4322" i="1"/>
  <c r="L4310" i="1"/>
  <c r="L4262" i="1"/>
  <c r="L4246" i="1"/>
  <c r="L4230" i="1"/>
  <c r="L4202" i="1"/>
  <c r="L4182" i="1"/>
  <c r="L4170" i="1"/>
  <c r="L4154" i="1"/>
  <c r="L4138" i="1"/>
  <c r="L3702" i="1"/>
  <c r="L3174" i="1"/>
  <c r="L2850" i="1"/>
  <c r="L2370" i="1"/>
  <c r="L1986" i="1"/>
  <c r="L878" i="1"/>
  <c r="L5298" i="1"/>
  <c r="L5282" i="1"/>
  <c r="L5266" i="1"/>
  <c r="L5250" i="1"/>
  <c r="L5234" i="1"/>
  <c r="L5218" i="1"/>
  <c r="L5202" i="1"/>
  <c r="L5182" i="1"/>
  <c r="L5158" i="1"/>
  <c r="L5146" i="1"/>
  <c r="L5134" i="1"/>
  <c r="L5118" i="1"/>
  <c r="L5094" i="1"/>
  <c r="L5062" i="1"/>
  <c r="L5046" i="1"/>
  <c r="L5010" i="1"/>
  <c r="L4990" i="1"/>
  <c r="L4974" i="1"/>
  <c r="L4958" i="1"/>
  <c r="L4942" i="1"/>
  <c r="L4926" i="1"/>
  <c r="L4914" i="1"/>
  <c r="L4898" i="1"/>
  <c r="L4854" i="1"/>
  <c r="L4842" i="1"/>
  <c r="L4810" i="1"/>
  <c r="L4786" i="1"/>
  <c r="L4770" i="1"/>
  <c r="L4754" i="1"/>
  <c r="L4730" i="1"/>
  <c r="L4714" i="1"/>
  <c r="L4682" i="1"/>
  <c r="L4666" i="1"/>
  <c r="L4650" i="1"/>
  <c r="L4638" i="1"/>
  <c r="L4622" i="1"/>
  <c r="L4606" i="1"/>
  <c r="L4578" i="1"/>
  <c r="L4562" i="1"/>
  <c r="L4530" i="1"/>
  <c r="L4518" i="1"/>
  <c r="L4502" i="1"/>
  <c r="L4486" i="1"/>
  <c r="L4454" i="1"/>
  <c r="L4438" i="1"/>
  <c r="L4410" i="1"/>
  <c r="L4390" i="1"/>
  <c r="L4374" i="1"/>
  <c r="L4358" i="1"/>
  <c r="L4338" i="1"/>
  <c r="L4326" i="1"/>
  <c r="L4306" i="1"/>
  <c r="L4286" i="1"/>
  <c r="L4270" i="1"/>
  <c r="L4254" i="1"/>
  <c r="L4238" i="1"/>
  <c r="L4222" i="1"/>
  <c r="L4174" i="1"/>
  <c r="L4158" i="1"/>
  <c r="L4142" i="1"/>
  <c r="L3674" i="1"/>
  <c r="L3122" i="1"/>
  <c r="L2442" i="1"/>
  <c r="L2314" i="1"/>
  <c r="L2106" i="1"/>
  <c r="L5286" i="1"/>
  <c r="L5274" i="1"/>
  <c r="L5258" i="1"/>
  <c r="L5242" i="1"/>
  <c r="L5226" i="1"/>
  <c r="L5210" i="1"/>
  <c r="L5198" i="1"/>
  <c r="L5186" i="1"/>
  <c r="L5166" i="1"/>
  <c r="L5154" i="1"/>
  <c r="L5138" i="1"/>
  <c r="L5122" i="1"/>
  <c r="L5102" i="1"/>
  <c r="L5086" i="1"/>
  <c r="L5070" i="1"/>
  <c r="L5054" i="1"/>
  <c r="L5030" i="1"/>
  <c r="L5018" i="1"/>
  <c r="L5002" i="1"/>
  <c r="L4978" i="1"/>
  <c r="L4966" i="1"/>
  <c r="L4934" i="1"/>
  <c r="L4918" i="1"/>
  <c r="L4902" i="1"/>
  <c r="L4862" i="1"/>
  <c r="L4846" i="1"/>
  <c r="L4830" i="1"/>
  <c r="L4814" i="1"/>
  <c r="L4794" i="1"/>
  <c r="L4782" i="1"/>
  <c r="L4750" i="1"/>
  <c r="L4734" i="1"/>
  <c r="L4722" i="1"/>
  <c r="L4706" i="1"/>
  <c r="L4690" i="1"/>
  <c r="L4674" i="1"/>
  <c r="L4658" i="1"/>
  <c r="L4642" i="1"/>
  <c r="L4626" i="1"/>
  <c r="L4598" i="1"/>
  <c r="L4586" i="1"/>
  <c r="L4550" i="1"/>
  <c r="L4538" i="1"/>
  <c r="L4522" i="1"/>
  <c r="L4506" i="1"/>
  <c r="L4490" i="1"/>
  <c r="L4466" i="1"/>
  <c r="L4450" i="1"/>
  <c r="L4422" i="1"/>
  <c r="L4406" i="1"/>
  <c r="L4366" i="1"/>
  <c r="L4350" i="1"/>
  <c r="L4334" i="1"/>
  <c r="L4318" i="1"/>
  <c r="L4302" i="1"/>
  <c r="L4290" i="1"/>
  <c r="L4274" i="1"/>
  <c r="L4258" i="1"/>
  <c r="L4242" i="1"/>
  <c r="L4226" i="1"/>
  <c r="L4214" i="1"/>
  <c r="L4178" i="1"/>
  <c r="L4162" i="1"/>
  <c r="L4150" i="1"/>
  <c r="L4134" i="1"/>
  <c r="L3586" i="1"/>
  <c r="L3162" i="1"/>
  <c r="L2562" i="1"/>
  <c r="L2414" i="1"/>
  <c r="L2174" i="1"/>
  <c r="L3678" i="1"/>
  <c r="L3658" i="1"/>
  <c r="L3626" i="1"/>
  <c r="L3606" i="1"/>
  <c r="L3582" i="1"/>
  <c r="L3566" i="1"/>
  <c r="L3542" i="1"/>
  <c r="L3526" i="1"/>
  <c r="L3510" i="1"/>
  <c r="L3486" i="1"/>
  <c r="L3470" i="1"/>
  <c r="L3454" i="1"/>
  <c r="L3434" i="1"/>
  <c r="L3418" i="1"/>
  <c r="L3394" i="1"/>
  <c r="L3374" i="1"/>
  <c r="L3350" i="1"/>
  <c r="L3334" i="1"/>
  <c r="L3298" i="1"/>
  <c r="L3266" i="1"/>
  <c r="L2082" i="1"/>
  <c r="L4130" i="1"/>
  <c r="L4114" i="1"/>
  <c r="L4070" i="1"/>
  <c r="L4042" i="1"/>
  <c r="L4026" i="1"/>
  <c r="L4010" i="1"/>
  <c r="L3998" i="1"/>
  <c r="L3982" i="1"/>
  <c r="L3950" i="1"/>
  <c r="L3930" i="1"/>
  <c r="L3918" i="1"/>
  <c r="L3902" i="1"/>
  <c r="L3890" i="1"/>
  <c r="L3878" i="1"/>
  <c r="L3866" i="1"/>
  <c r="L3854" i="1"/>
  <c r="L3842" i="1"/>
  <c r="L3830" i="1"/>
  <c r="L3814" i="1"/>
  <c r="L3750" i="1"/>
  <c r="L3738" i="1"/>
  <c r="L3726" i="1"/>
  <c r="L3710" i="1"/>
  <c r="L3690" i="1"/>
  <c r="L3670" i="1"/>
  <c r="L3654" i="1"/>
  <c r="L3630" i="1"/>
  <c r="L3598" i="1"/>
  <c r="L3570" i="1"/>
  <c r="L3550" i="1"/>
  <c r="L3530" i="1"/>
  <c r="L3514" i="1"/>
  <c r="L3494" i="1"/>
  <c r="L3478" i="1"/>
  <c r="L3458" i="1"/>
  <c r="L3442" i="1"/>
  <c r="L3426" i="1"/>
  <c r="L3406" i="1"/>
  <c r="L3386" i="1"/>
  <c r="L3342" i="1"/>
  <c r="L3322" i="1"/>
  <c r="L3302" i="1"/>
  <c r="L3278" i="1"/>
  <c r="L3246" i="1"/>
  <c r="L3226" i="1"/>
  <c r="L3210" i="1"/>
  <c r="L3194" i="1"/>
  <c r="L3178" i="1"/>
  <c r="L3146" i="1"/>
  <c r="L3126" i="1"/>
  <c r="L3110" i="1"/>
  <c r="L3086" i="1"/>
  <c r="L3070" i="1"/>
  <c r="L3054" i="1"/>
  <c r="L3038" i="1"/>
  <c r="L3018" i="1"/>
  <c r="L3006" i="1"/>
  <c r="L2990" i="1"/>
  <c r="L2966" i="1"/>
  <c r="L2950" i="1"/>
  <c r="L2930" i="1"/>
  <c r="L2910" i="1"/>
  <c r="L2818" i="1"/>
  <c r="L2798" i="1"/>
  <c r="L2742" i="1"/>
  <c r="L2726" i="1"/>
  <c r="L2702" i="1"/>
  <c r="L2686" i="1"/>
  <c r="L2670" i="1"/>
  <c r="L2650" i="1"/>
  <c r="L2638" i="1"/>
  <c r="L2622" i="1"/>
  <c r="L2586" i="1"/>
  <c r="L2570" i="1"/>
  <c r="L2554" i="1"/>
  <c r="L2538" i="1"/>
  <c r="L2526" i="1"/>
  <c r="L2510" i="1"/>
  <c r="L2490" i="1"/>
  <c r="L2470" i="1"/>
  <c r="L2454" i="1"/>
  <c r="L2434" i="1"/>
  <c r="L2422" i="1"/>
  <c r="L2390" i="1"/>
  <c r="L2366" i="1"/>
  <c r="L2350" i="1"/>
  <c r="L2334" i="1"/>
  <c r="L2290" i="1"/>
  <c r="L2274" i="1"/>
  <c r="L2230" i="1"/>
  <c r="L2214" i="1"/>
  <c r="L2198" i="1"/>
  <c r="L2182" i="1"/>
  <c r="L2154" i="1"/>
  <c r="L2138" i="1"/>
  <c r="L2122" i="1"/>
  <c r="L2102" i="1"/>
  <c r="L2086" i="1"/>
  <c r="L2054" i="1"/>
  <c r="L2022" i="1"/>
  <c r="L2006" i="1"/>
  <c r="L1978" i="1"/>
  <c r="L1962" i="1"/>
  <c r="L1950" i="1"/>
  <c r="L1934" i="1"/>
  <c r="L1898" i="1"/>
  <c r="L1882" i="1"/>
  <c r="L1870" i="1"/>
  <c r="L1566" i="1"/>
  <c r="L1266" i="1"/>
  <c r="L1066" i="1"/>
  <c r="L910" i="1"/>
  <c r="L666" i="1"/>
  <c r="L494" i="1"/>
  <c r="L294" i="1"/>
  <c r="L230" i="1"/>
  <c r="L4126" i="1"/>
  <c r="L4106" i="1"/>
  <c r="L4086" i="1"/>
  <c r="L4046" i="1"/>
  <c r="L4030" i="1"/>
  <c r="L4014" i="1"/>
  <c r="L3994" i="1"/>
  <c r="L3978" i="1"/>
  <c r="L3938" i="1"/>
  <c r="L3914" i="1"/>
  <c r="L3826" i="1"/>
  <c r="L3314" i="1"/>
  <c r="L3290" i="1"/>
  <c r="L3270" i="1"/>
  <c r="L3222" i="1"/>
  <c r="L3206" i="1"/>
  <c r="L3186" i="1"/>
  <c r="L3150" i="1"/>
  <c r="L3130" i="1"/>
  <c r="L3090" i="1"/>
  <c r="L3042" i="1"/>
  <c r="L3026" i="1"/>
  <c r="L3010" i="1"/>
  <c r="L2942" i="1"/>
  <c r="L2926" i="1"/>
  <c r="L2878" i="1"/>
  <c r="L2842" i="1"/>
  <c r="L2806" i="1"/>
  <c r="L2782" i="1"/>
  <c r="L2750" i="1"/>
  <c r="L2714" i="1"/>
  <c r="L2682" i="1"/>
  <c r="L2666" i="1"/>
  <c r="L2634" i="1"/>
  <c r="L2614" i="1"/>
  <c r="L2594" i="1"/>
  <c r="L2578" i="1"/>
  <c r="L2558" i="1"/>
  <c r="L2542" i="1"/>
  <c r="L2522" i="1"/>
  <c r="L2498" i="1"/>
  <c r="L2482" i="1"/>
  <c r="L2462" i="1"/>
  <c r="L2438" i="1"/>
  <c r="L2418" i="1"/>
  <c r="L2398" i="1"/>
  <c r="L2362" i="1"/>
  <c r="L2330" i="1"/>
  <c r="L2302" i="1"/>
  <c r="L2286" i="1"/>
  <c r="L2250" i="1"/>
  <c r="L2226" i="1"/>
  <c r="L2206" i="1"/>
  <c r="L2190" i="1"/>
  <c r="L2166" i="1"/>
  <c r="L2150" i="1"/>
  <c r="L2134" i="1"/>
  <c r="L2118" i="1"/>
  <c r="L2090" i="1"/>
  <c r="L2050" i="1"/>
  <c r="L2018" i="1"/>
  <c r="L1966" i="1"/>
  <c r="L1946" i="1"/>
  <c r="L1926" i="1"/>
  <c r="L1890" i="1"/>
  <c r="L1862" i="1"/>
  <c r="L1806" i="1"/>
  <c r="L1590" i="1"/>
  <c r="L1186" i="1"/>
  <c r="L1062" i="1"/>
  <c r="L906" i="1"/>
  <c r="L662" i="1"/>
  <c r="L522" i="1"/>
  <c r="L238" i="1"/>
  <c r="L42" i="1"/>
  <c r="L4118" i="1"/>
  <c r="L4094" i="1"/>
  <c r="L4078" i="1"/>
  <c r="L4062" i="1"/>
  <c r="L4034" i="1"/>
  <c r="L4018" i="1"/>
  <c r="L4002" i="1"/>
  <c r="L3986" i="1"/>
  <c r="L3970" i="1"/>
  <c r="L3954" i="1"/>
  <c r="L3942" i="1"/>
  <c r="L3926" i="1"/>
  <c r="L3910" i="1"/>
  <c r="L3898" i="1"/>
  <c r="L3886" i="1"/>
  <c r="L3874" i="1"/>
  <c r="L3862" i="1"/>
  <c r="L3850" i="1"/>
  <c r="L3838" i="1"/>
  <c r="L3818" i="1"/>
  <c r="L3790" i="1"/>
  <c r="L3778" i="1"/>
  <c r="L3766" i="1"/>
  <c r="L3754" i="1"/>
  <c r="L3742" i="1"/>
  <c r="L3730" i="1"/>
  <c r="L3718" i="1"/>
  <c r="L3694" i="1"/>
  <c r="L3686" i="1"/>
  <c r="L3642" i="1"/>
  <c r="L3634" i="1"/>
  <c r="L3622" i="1"/>
  <c r="L3578" i="1"/>
  <c r="L3562" i="1"/>
  <c r="L3554" i="1"/>
  <c r="L3538" i="1"/>
  <c r="L3522" i="1"/>
  <c r="L3506" i="1"/>
  <c r="L3490" i="1"/>
  <c r="L3474" i="1"/>
  <c r="L3462" i="1"/>
  <c r="L3446" i="1"/>
  <c r="L3430" i="1"/>
  <c r="L3414" i="1"/>
  <c r="L3398" i="1"/>
  <c r="L3382" i="1"/>
  <c r="L3358" i="1"/>
  <c r="L3346" i="1"/>
  <c r="L3330" i="1"/>
  <c r="L3306" i="1"/>
  <c r="L3286" i="1"/>
  <c r="L3274" i="1"/>
  <c r="L3230" i="1"/>
  <c r="L3202" i="1"/>
  <c r="L3166" i="1"/>
  <c r="L3154" i="1"/>
  <c r="L3134" i="1"/>
  <c r="L3114" i="1"/>
  <c r="L3098" i="1"/>
  <c r="L3082" i="1"/>
  <c r="L3066" i="1"/>
  <c r="L3050" i="1"/>
  <c r="L3034" i="1"/>
  <c r="L3002" i="1"/>
  <c r="L2986" i="1"/>
  <c r="L2946" i="1"/>
  <c r="L2890" i="1"/>
  <c r="L2866" i="1"/>
  <c r="L2846" i="1"/>
  <c r="L2830" i="1"/>
  <c r="L2814" i="1"/>
  <c r="L2766" i="1"/>
  <c r="L2754" i="1"/>
  <c r="L2722" i="1"/>
  <c r="L2678" i="1"/>
  <c r="L2662" i="1"/>
  <c r="L2646" i="1"/>
  <c r="L2630" i="1"/>
  <c r="L2618" i="1"/>
  <c r="L2602" i="1"/>
  <c r="L2574" i="1"/>
  <c r="L2546" i="1"/>
  <c r="L2530" i="1"/>
  <c r="L2514" i="1"/>
  <c r="L2506" i="1"/>
  <c r="L2478" i="1"/>
  <c r="L2450" i="1"/>
  <c r="L2430" i="1"/>
  <c r="L2402" i="1"/>
  <c r="L2354" i="1"/>
  <c r="L2322" i="1"/>
  <c r="L2282" i="1"/>
  <c r="L2222" i="1"/>
  <c r="L2210" i="1"/>
  <c r="L2194" i="1"/>
  <c r="L2178" i="1"/>
  <c r="L2162" i="1"/>
  <c r="L2146" i="1"/>
  <c r="L2130" i="1"/>
  <c r="L2110" i="1"/>
  <c r="L2098" i="1"/>
  <c r="L2078" i="1"/>
  <c r="L2062" i="1"/>
  <c r="L2046" i="1"/>
  <c r="L2030" i="1"/>
  <c r="L2014" i="1"/>
  <c r="L1974" i="1"/>
  <c r="L1958" i="1"/>
  <c r="L1942" i="1"/>
  <c r="L1922" i="1"/>
  <c r="L1902" i="1"/>
  <c r="L1886" i="1"/>
  <c r="L1874" i="1"/>
  <c r="L1578" i="1"/>
  <c r="L1470" i="1"/>
  <c r="L1190" i="1"/>
  <c r="L1026" i="1"/>
  <c r="L726" i="1"/>
  <c r="L654" i="1"/>
  <c r="L394" i="1"/>
  <c r="L306" i="1"/>
  <c r="L258" i="1"/>
  <c r="L30" i="1"/>
  <c r="L4122" i="1"/>
  <c r="L4110" i="1"/>
  <c r="L4066" i="1"/>
  <c r="L4054" i="1"/>
  <c r="L4038" i="1"/>
  <c r="L4022" i="1"/>
  <c r="L4006" i="1"/>
  <c r="L3990" i="1"/>
  <c r="L3974" i="1"/>
  <c r="L3958" i="1"/>
  <c r="L3934" i="1"/>
  <c r="L3922" i="1"/>
  <c r="L3906" i="1"/>
  <c r="L3894" i="1"/>
  <c r="L3882" i="1"/>
  <c r="L3858" i="1"/>
  <c r="L3846" i="1"/>
  <c r="L3834" i="1"/>
  <c r="L3822" i="1"/>
  <c r="L3770" i="1"/>
  <c r="L3758" i="1"/>
  <c r="L3746" i="1"/>
  <c r="L3734" i="1"/>
  <c r="L3722" i="1"/>
  <c r="L3714" i="1"/>
  <c r="L3698" i="1"/>
  <c r="L3682" i="1"/>
  <c r="L3666" i="1"/>
  <c r="L3650" i="1"/>
  <c r="L3638" i="1"/>
  <c r="L3618" i="1"/>
  <c r="L3602" i="1"/>
  <c r="L3590" i="1"/>
  <c r="L3558" i="1"/>
  <c r="L3546" i="1"/>
  <c r="L3534" i="1"/>
  <c r="L3518" i="1"/>
  <c r="L3502" i="1"/>
  <c r="L3482" i="1"/>
  <c r="L3466" i="1"/>
  <c r="L3450" i="1"/>
  <c r="L3438" i="1"/>
  <c r="L3422" i="1"/>
  <c r="L3402" i="1"/>
  <c r="L3366" i="1"/>
  <c r="L3354" i="1"/>
  <c r="L3338" i="1"/>
  <c r="L3326" i="1"/>
  <c r="L3310" i="1"/>
  <c r="L3282" i="1"/>
  <c r="L3234" i="1"/>
  <c r="L3214" i="1"/>
  <c r="L3198" i="1"/>
  <c r="L3182" i="1"/>
  <c r="L3158" i="1"/>
  <c r="L3138" i="1"/>
  <c r="L3118" i="1"/>
  <c r="L3102" i="1"/>
  <c r="L3046" i="1"/>
  <c r="L3030" i="1"/>
  <c r="L2998" i="1"/>
  <c r="L2982" i="1"/>
  <c r="L2970" i="1"/>
  <c r="L2954" i="1"/>
  <c r="L2938" i="1"/>
  <c r="L2902" i="1"/>
  <c r="L2882" i="1"/>
  <c r="L2870" i="1"/>
  <c r="L2838" i="1"/>
  <c r="L2822" i="1"/>
  <c r="L2778" i="1"/>
  <c r="L2758" i="1"/>
  <c r="L2746" i="1"/>
  <c r="L2718" i="1"/>
  <c r="L2690" i="1"/>
  <c r="L2674" i="1"/>
  <c r="L2658" i="1"/>
  <c r="L2642" i="1"/>
  <c r="L2626" i="1"/>
  <c r="L2610" i="1"/>
  <c r="L2598" i="1"/>
  <c r="L2582" i="1"/>
  <c r="L2566" i="1"/>
  <c r="L2550" i="1"/>
  <c r="L2534" i="1"/>
  <c r="L2518" i="1"/>
  <c r="L2502" i="1"/>
  <c r="L2486" i="1"/>
  <c r="L2474" i="1"/>
  <c r="L2458" i="1"/>
  <c r="L2446" i="1"/>
  <c r="L2426" i="1"/>
  <c r="L2406" i="1"/>
  <c r="L2394" i="1"/>
  <c r="L2326" i="1"/>
  <c r="L2306" i="1"/>
  <c r="L2278" i="1"/>
  <c r="L2262" i="1"/>
  <c r="L2238" i="1"/>
  <c r="L2234" i="1"/>
  <c r="L2218" i="1"/>
  <c r="L2202" i="1"/>
  <c r="L2186" i="1"/>
  <c r="L2170" i="1"/>
  <c r="L2158" i="1"/>
  <c r="L2142" i="1"/>
  <c r="L2114" i="1"/>
  <c r="L2094" i="1"/>
  <c r="L2074" i="1"/>
  <c r="L2058" i="1"/>
  <c r="L2034" i="1"/>
  <c r="L2026" i="1"/>
  <c r="L2002" i="1"/>
  <c r="L1982" i="1"/>
  <c r="L1970" i="1"/>
  <c r="L1954" i="1"/>
  <c r="L1938" i="1"/>
  <c r="L1894" i="1"/>
  <c r="L1878" i="1"/>
  <c r="L1850" i="1"/>
  <c r="L1798" i="1"/>
  <c r="L1198" i="1"/>
  <c r="L1050" i="1"/>
  <c r="L902" i="1"/>
  <c r="L658" i="1"/>
  <c r="L642" i="1"/>
  <c r="L270" i="1"/>
  <c r="L182" i="1"/>
  <c r="L1838" i="1"/>
  <c r="L1822" i="1"/>
  <c r="L1778" i="1"/>
  <c r="L1758" i="1"/>
  <c r="L1742" i="1"/>
  <c r="L1726" i="1"/>
  <c r="L1698" i="1"/>
  <c r="L1666" i="1"/>
  <c r="L1634" i="1"/>
  <c r="L1574" i="1"/>
  <c r="L1530" i="1"/>
  <c r="L1498" i="1"/>
  <c r="L1478" i="1"/>
  <c r="L1466" i="1"/>
  <c r="L1450" i="1"/>
  <c r="L1410" i="1"/>
  <c r="L1378" i="1"/>
  <c r="L1338" i="1"/>
  <c r="L1310" i="1"/>
  <c r="L1294" i="1"/>
  <c r="L1262" i="1"/>
  <c r="L1234" i="1"/>
  <c r="L1210" i="1"/>
  <c r="L1166" i="1"/>
  <c r="L1122" i="1"/>
  <c r="L1074" i="1"/>
  <c r="L1058" i="1"/>
  <c r="L1006" i="1"/>
  <c r="L990" i="1"/>
  <c r="L970" i="1"/>
  <c r="L514" i="1"/>
  <c r="L5189" i="1"/>
  <c r="L5165" i="1"/>
  <c r="L5117" i="1"/>
  <c r="L4937" i="1"/>
  <c r="L4853" i="1"/>
  <c r="L4793" i="1"/>
  <c r="L4721" i="1"/>
  <c r="L4673" i="1"/>
  <c r="L4577" i="1"/>
  <c r="L4493" i="1"/>
  <c r="L4433" i="1"/>
  <c r="L4349" i="1"/>
  <c r="L4229" i="1"/>
  <c r="L4109" i="1"/>
  <c r="L4073" i="1"/>
  <c r="L3897" i="1"/>
  <c r="L3713" i="1"/>
  <c r="L3353" i="1"/>
  <c r="L2877" i="1"/>
  <c r="L1817" i="1"/>
  <c r="L1745" i="1"/>
  <c r="L149" i="1"/>
  <c r="L1842" i="1"/>
  <c r="L1826" i="1"/>
  <c r="L1810" i="1"/>
  <c r="L1790" i="1"/>
  <c r="L1774" i="1"/>
  <c r="L1734" i="1"/>
  <c r="L1702" i="1"/>
  <c r="L1642" i="1"/>
  <c r="L1554" i="1"/>
  <c r="L1538" i="1"/>
  <c r="L1510" i="1"/>
  <c r="L1462" i="1"/>
  <c r="L1426" i="1"/>
  <c r="L1406" i="1"/>
  <c r="L1386" i="1"/>
  <c r="L1370" i="1"/>
  <c r="L1354" i="1"/>
  <c r="L1318" i="1"/>
  <c r="L1278" i="1"/>
  <c r="L1246" i="1"/>
  <c r="L1230" i="1"/>
  <c r="L1214" i="1"/>
  <c r="L1170" i="1"/>
  <c r="L1146" i="1"/>
  <c r="L1130" i="1"/>
  <c r="L1110" i="1"/>
  <c r="L1078" i="1"/>
  <c r="L1046" i="1"/>
  <c r="L982" i="1"/>
  <c r="L966" i="1"/>
  <c r="L934" i="1"/>
  <c r="L922" i="1"/>
  <c r="L890" i="1"/>
  <c r="L874" i="1"/>
  <c r="L854" i="1"/>
  <c r="L838" i="1"/>
  <c r="L826" i="1"/>
  <c r="L810" i="1"/>
  <c r="L794" i="1"/>
  <c r="L782" i="1"/>
  <c r="L770" i="1"/>
  <c r="L750" i="1"/>
  <c r="L738" i="1"/>
  <c r="L714" i="1"/>
  <c r="L698" i="1"/>
  <c r="L678" i="1"/>
  <c r="L630" i="1"/>
  <c r="L214" i="1"/>
  <c r="L5285" i="1"/>
  <c r="L5261" i="1"/>
  <c r="L5097" i="1"/>
  <c r="L4781" i="1"/>
  <c r="L4733" i="1"/>
  <c r="L4661" i="1"/>
  <c r="L4565" i="1"/>
  <c r="L4517" i="1"/>
  <c r="L4373" i="1"/>
  <c r="L4193" i="1"/>
  <c r="L4145" i="1"/>
  <c r="L3929" i="1"/>
  <c r="L3749" i="1"/>
  <c r="L3485" i="1"/>
  <c r="L3029" i="1"/>
  <c r="L2873" i="1"/>
  <c r="L2585" i="1"/>
  <c r="L2213" i="1"/>
  <c r="L1829" i="1"/>
  <c r="L1757" i="1"/>
  <c r="L1105" i="1"/>
  <c r="L809" i="1"/>
  <c r="L317" i="1"/>
  <c r="L326" i="1"/>
  <c r="L314" i="1"/>
  <c r="L290" i="1"/>
  <c r="L274" i="1"/>
  <c r="L262" i="1"/>
  <c r="L26" i="1"/>
  <c r="L5225" i="1"/>
  <c r="L5201" i="1"/>
  <c r="L5153" i="1"/>
  <c r="L5069" i="1"/>
  <c r="L5033" i="1"/>
  <c r="L5009" i="1"/>
  <c r="L4865" i="1"/>
  <c r="L4805" i="1"/>
  <c r="L4769" i="1"/>
  <c r="L4657" i="1"/>
  <c r="L4589" i="1"/>
  <c r="L4409" i="1"/>
  <c r="L4385" i="1"/>
  <c r="L4277" i="1"/>
  <c r="L4253" i="1"/>
  <c r="L4169" i="1"/>
  <c r="L3977" i="1"/>
  <c r="L3893" i="1"/>
  <c r="L3533" i="1"/>
  <c r="L3425" i="1"/>
  <c r="L3113" i="1"/>
  <c r="L2937" i="1"/>
  <c r="L2645" i="1"/>
  <c r="L2573" i="1"/>
  <c r="L2153" i="1"/>
  <c r="L1397" i="1"/>
  <c r="L137" i="1"/>
  <c r="L1830" i="1"/>
  <c r="L1818" i="1"/>
  <c r="L1802" i="1"/>
  <c r="L1786" i="1"/>
  <c r="L1766" i="1"/>
  <c r="L1750" i="1"/>
  <c r="L1706" i="1"/>
  <c r="L1690" i="1"/>
  <c r="L1670" i="1"/>
  <c r="L1654" i="1"/>
  <c r="L1638" i="1"/>
  <c r="L1618" i="1"/>
  <c r="L1602" i="1"/>
  <c r="L1570" i="1"/>
  <c r="L1550" i="1"/>
  <c r="L1518" i="1"/>
  <c r="L1502" i="1"/>
  <c r="L1482" i="1"/>
  <c r="L1454" i="1"/>
  <c r="L1434" i="1"/>
  <c r="L1374" i="1"/>
  <c r="L1342" i="1"/>
  <c r="L1326" i="1"/>
  <c r="L1314" i="1"/>
  <c r="L1286" i="1"/>
  <c r="L1258" i="1"/>
  <c r="L1238" i="1"/>
  <c r="L1194" i="1"/>
  <c r="L1174" i="1"/>
  <c r="L1142" i="1"/>
  <c r="L1126" i="1"/>
  <c r="L1082" i="1"/>
  <c r="L1030" i="1"/>
  <c r="L1018" i="1"/>
  <c r="L986" i="1"/>
  <c r="L954" i="1"/>
  <c r="L942" i="1"/>
  <c r="L926" i="1"/>
  <c r="L914" i="1"/>
  <c r="L898" i="1"/>
  <c r="L862" i="1"/>
  <c r="L850" i="1"/>
  <c r="L818" i="1"/>
  <c r="L802" i="1"/>
  <c r="L790" i="1"/>
  <c r="L778" i="1"/>
  <c r="L766" i="1"/>
  <c r="L746" i="1"/>
  <c r="L734" i="1"/>
  <c r="L718" i="1"/>
  <c r="L706" i="1"/>
  <c r="L694" i="1"/>
  <c r="L686" i="1"/>
  <c r="L674" i="1"/>
  <c r="L650" i="1"/>
  <c r="L614" i="1"/>
  <c r="L606" i="1"/>
  <c r="L590" i="1"/>
  <c r="L582" i="1"/>
  <c r="L566" i="1"/>
  <c r="L554" i="1"/>
  <c r="L546" i="1"/>
  <c r="L538" i="1"/>
  <c r="L530" i="1"/>
  <c r="L518" i="1"/>
  <c r="L506" i="1"/>
  <c r="L498" i="1"/>
  <c r="L486" i="1"/>
  <c r="L478" i="1"/>
  <c r="L470" i="1"/>
  <c r="L462" i="1"/>
  <c r="L450" i="1"/>
  <c r="L442" i="1"/>
  <c r="L438" i="1"/>
  <c r="L422" i="1"/>
  <c r="L406" i="1"/>
  <c r="L398" i="1"/>
  <c r="L390" i="1"/>
  <c r="L382" i="1"/>
  <c r="L374" i="1"/>
  <c r="L366" i="1"/>
  <c r="L354" i="1"/>
  <c r="L346" i="1"/>
  <c r="L338" i="1"/>
  <c r="L318" i="1"/>
  <c r="L302" i="1"/>
  <c r="L286" i="1"/>
  <c r="L278" i="1"/>
  <c r="L266" i="1"/>
  <c r="L242" i="1"/>
  <c r="L222" i="1"/>
  <c r="L210" i="1"/>
  <c r="L202" i="1"/>
  <c r="L194" i="1"/>
  <c r="L178" i="1"/>
  <c r="L170" i="1"/>
  <c r="L162" i="1"/>
  <c r="L150" i="1"/>
  <c r="L142" i="1"/>
  <c r="L122" i="1"/>
  <c r="L110" i="1"/>
  <c r="L98" i="1"/>
  <c r="L90" i="1"/>
  <c r="L82" i="1"/>
  <c r="L74" i="1"/>
  <c r="L58" i="1"/>
  <c r="L50" i="1"/>
  <c r="L34" i="1"/>
  <c r="L5237" i="1"/>
  <c r="L5169" i="1"/>
  <c r="L5057" i="1"/>
  <c r="L4997" i="1"/>
  <c r="L4877" i="1"/>
  <c r="L4745" i="1"/>
  <c r="L4685" i="1"/>
  <c r="L4613" i="1"/>
  <c r="L4529" i="1"/>
  <c r="L4241" i="1"/>
  <c r="L4181" i="1"/>
  <c r="L4097" i="1"/>
  <c r="L4025" i="1"/>
  <c r="L3821" i="1"/>
  <c r="L3569" i="1"/>
  <c r="L3293" i="1"/>
  <c r="L2885" i="1"/>
  <c r="L2777" i="1"/>
  <c r="L2501" i="1"/>
  <c r="L2273" i="1"/>
  <c r="L2041" i="1"/>
  <c r="L1661" i="1"/>
  <c r="L1493" i="1"/>
  <c r="L1373" i="1"/>
  <c r="L545" i="1"/>
  <c r="L173" i="1"/>
  <c r="L1846" i="1"/>
  <c r="L1814" i="1"/>
  <c r="L1794" i="1"/>
  <c r="L1782" i="1"/>
  <c r="L1762" i="1"/>
  <c r="L1746" i="1"/>
  <c r="L1730" i="1"/>
  <c r="L1694" i="1"/>
  <c r="L1678" i="1"/>
  <c r="L1662" i="1"/>
  <c r="L1626" i="1"/>
  <c r="L1606" i="1"/>
  <c r="L1586" i="1"/>
  <c r="L1542" i="1"/>
  <c r="L1522" i="1"/>
  <c r="L1506" i="1"/>
  <c r="L1474" i="1"/>
  <c r="L1458" i="1"/>
  <c r="L1414" i="1"/>
  <c r="L1382" i="1"/>
  <c r="L1334" i="1"/>
  <c r="L1322" i="1"/>
  <c r="L1290" i="1"/>
  <c r="L1270" i="1"/>
  <c r="L1254" i="1"/>
  <c r="L1222" i="1"/>
  <c r="L1206" i="1"/>
  <c r="L1178" i="1"/>
  <c r="L1162" i="1"/>
  <c r="L1134" i="1"/>
  <c r="L1086" i="1"/>
  <c r="L1070" i="1"/>
  <c r="L1054" i="1"/>
  <c r="L1034" i="1"/>
  <c r="L1010" i="1"/>
  <c r="L994" i="1"/>
  <c r="L978" i="1"/>
  <c r="L958" i="1"/>
  <c r="L918" i="1"/>
  <c r="L894" i="1"/>
  <c r="L870" i="1"/>
  <c r="L858" i="1"/>
  <c r="L834" i="1"/>
  <c r="L822" i="1"/>
  <c r="L806" i="1"/>
  <c r="L798" i="1"/>
  <c r="L786" i="1"/>
  <c r="L774" i="1"/>
  <c r="L762" i="1"/>
  <c r="L754" i="1"/>
  <c r="L742" i="1"/>
  <c r="L730" i="1"/>
  <c r="L710" i="1"/>
  <c r="L682" i="1"/>
  <c r="L670" i="1"/>
  <c r="L626" i="1"/>
  <c r="L618" i="1"/>
  <c r="L610" i="1"/>
  <c r="L602" i="1"/>
  <c r="L594" i="1"/>
  <c r="L570" i="1"/>
  <c r="L562" i="1"/>
  <c r="L550" i="1"/>
  <c r="L542" i="1"/>
  <c r="L526" i="1"/>
  <c r="L502" i="1"/>
  <c r="L490" i="1"/>
  <c r="L482" i="1"/>
  <c r="L474" i="1"/>
  <c r="L466" i="1"/>
  <c r="L458" i="1"/>
  <c r="L454" i="1"/>
  <c r="L446" i="1"/>
  <c r="L434" i="1"/>
  <c r="L426" i="1"/>
  <c r="L418" i="1"/>
  <c r="L410" i="1"/>
  <c r="L386" i="1"/>
  <c r="L378" i="1"/>
  <c r="L370" i="1"/>
  <c r="L362" i="1"/>
  <c r="L350" i="1"/>
  <c r="L342" i="1"/>
  <c r="L334" i="1"/>
  <c r="L298" i="1"/>
  <c r="L282" i="1"/>
  <c r="L254" i="1"/>
  <c r="L234" i="1"/>
  <c r="L226" i="1"/>
  <c r="L218" i="1"/>
  <c r="L206" i="1"/>
  <c r="L198" i="1"/>
  <c r="L190" i="1"/>
  <c r="L174" i="1"/>
  <c r="L166" i="1"/>
  <c r="L158" i="1"/>
  <c r="L146" i="1"/>
  <c r="L134" i="1"/>
  <c r="L118" i="1"/>
  <c r="L102" i="1"/>
  <c r="L94" i="1"/>
  <c r="L86" i="1"/>
  <c r="L78" i="1"/>
  <c r="L70" i="1"/>
  <c r="L62" i="1"/>
  <c r="L54" i="1"/>
  <c r="L38" i="1"/>
  <c r="L18" i="1"/>
  <c r="L5249" i="1"/>
  <c r="L5197" i="1"/>
  <c r="L5093" i="1"/>
  <c r="L4985" i="1"/>
  <c r="L4817" i="1"/>
  <c r="L4625" i="1"/>
  <c r="L4505" i="1"/>
  <c r="L4361" i="1"/>
  <c r="L4297" i="1"/>
  <c r="L4157" i="1"/>
  <c r="L4133" i="1"/>
  <c r="L4049" i="1"/>
  <c r="L3941" i="1"/>
  <c r="L3761" i="1"/>
  <c r="L3101" i="1"/>
  <c r="L2901" i="1"/>
  <c r="L2801" i="1"/>
  <c r="L2117" i="1"/>
  <c r="L2057" i="1"/>
  <c r="L1505" i="1"/>
  <c r="L3989" i="1"/>
  <c r="L3605" i="1"/>
  <c r="L3473" i="1"/>
  <c r="L3377" i="1"/>
  <c r="L3197" i="1"/>
  <c r="L3065" i="1"/>
  <c r="L3005" i="1"/>
  <c r="L2597" i="1"/>
  <c r="L2333" i="1"/>
  <c r="L2201" i="1"/>
  <c r="L1937" i="1"/>
  <c r="L1721" i="1"/>
  <c r="L1229" i="1"/>
  <c r="L813" i="1"/>
  <c r="L281" i="1"/>
  <c r="L221" i="1"/>
  <c r="L89" i="1"/>
  <c r="L4001" i="1"/>
  <c r="L3881" i="1"/>
  <c r="L3845" i="1"/>
  <c r="L3797" i="1"/>
  <c r="L3641" i="1"/>
  <c r="L3593" i="1"/>
  <c r="L3557" i="1"/>
  <c r="L3521" i="1"/>
  <c r="L3437" i="1"/>
  <c r="L3053" i="1"/>
  <c r="L3017" i="1"/>
  <c r="L2825" i="1"/>
  <c r="L2753" i="1"/>
  <c r="L2657" i="1"/>
  <c r="L2561" i="1"/>
  <c r="L2465" i="1"/>
  <c r="L2321" i="1"/>
  <c r="L2005" i="1"/>
  <c r="L1881" i="1"/>
  <c r="L1613" i="1"/>
  <c r="L1433" i="1"/>
  <c r="L1013" i="1"/>
  <c r="L737" i="1"/>
  <c r="L353" i="1"/>
  <c r="L113" i="1"/>
  <c r="L65" i="1"/>
  <c r="L3953" i="1"/>
  <c r="L3773" i="1"/>
  <c r="L3689" i="1"/>
  <c r="L3389" i="1"/>
  <c r="L2897" i="1"/>
  <c r="L2741" i="1"/>
  <c r="L2081" i="1"/>
  <c r="L1961" i="1"/>
  <c r="L1609" i="1"/>
  <c r="L1553" i="1"/>
  <c r="L1517" i="1"/>
  <c r="L1361" i="1"/>
  <c r="L1145" i="1"/>
  <c r="L1001" i="1"/>
  <c r="L617" i="1"/>
  <c r="L305" i="1"/>
  <c r="L77" i="1"/>
  <c r="L21" i="1"/>
  <c r="L3917" i="1"/>
  <c r="L3869" i="1"/>
  <c r="L3737" i="1"/>
  <c r="L3653" i="1"/>
  <c r="L3509" i="1"/>
  <c r="L3317" i="1"/>
  <c r="L3209" i="1"/>
  <c r="L3137" i="1"/>
  <c r="L2921" i="1"/>
  <c r="L2837" i="1"/>
  <c r="L2417" i="1"/>
  <c r="L2189" i="1"/>
  <c r="L2009" i="1"/>
  <c r="L1877" i="1"/>
  <c r="L1781" i="1"/>
  <c r="L1601" i="1"/>
  <c r="L1469" i="1"/>
  <c r="L1037" i="1"/>
  <c r="L749" i="1"/>
  <c r="L461" i="1"/>
  <c r="L341" i="1"/>
  <c r="L245" i="1"/>
  <c r="L197" i="1"/>
  <c r="L4037" i="1"/>
  <c r="L3833" i="1"/>
  <c r="L3793" i="1"/>
  <c r="L3329" i="1"/>
  <c r="L2993" i="1"/>
  <c r="L2909" i="1"/>
  <c r="L2669" i="1"/>
  <c r="L2605" i="1"/>
  <c r="L2489" i="1"/>
  <c r="L2429" i="1"/>
  <c r="L2237" i="1"/>
  <c r="L2129" i="1"/>
  <c r="L2021" i="1"/>
  <c r="L1889" i="1"/>
  <c r="L1865" i="1"/>
  <c r="L1625" i="1"/>
  <c r="L1529" i="1"/>
  <c r="L485" i="1"/>
  <c r="L329" i="1"/>
  <c r="L3695" i="1"/>
  <c r="L2915" i="1"/>
  <c r="L2567" i="1"/>
  <c r="L2195" i="1"/>
  <c r="L4739" i="1"/>
  <c r="L3791" i="1"/>
  <c r="L3563" i="1"/>
  <c r="L5236" i="1"/>
  <c r="L5200" i="1"/>
  <c r="L5164" i="1"/>
  <c r="L5068" i="1"/>
  <c r="L5032" i="1"/>
  <c r="L4960" i="1"/>
  <c r="L4864" i="1"/>
  <c r="L4840" i="1"/>
  <c r="L4792" i="1"/>
  <c r="L4756" i="1"/>
  <c r="L4708" i="1"/>
  <c r="L4636" i="1"/>
  <c r="L4612" i="1"/>
  <c r="L4396" i="1"/>
  <c r="L4372" i="1"/>
  <c r="L4288" i="1"/>
  <c r="L4252" i="1"/>
  <c r="L4228" i="1"/>
  <c r="L4204" i="1"/>
  <c r="L4180" i="1"/>
  <c r="L4168" i="1"/>
  <c r="L4132" i="1"/>
  <c r="L4120" i="1"/>
  <c r="L4096" i="1"/>
  <c r="L4072" i="1"/>
  <c r="L4060" i="1"/>
  <c r="L4048" i="1"/>
  <c r="L4036" i="1"/>
  <c r="L4024" i="1"/>
  <c r="L4012" i="1"/>
  <c r="L3988" i="1"/>
  <c r="L3976" i="1"/>
  <c r="L3964" i="1"/>
  <c r="L3952" i="1"/>
  <c r="L3940" i="1"/>
  <c r="L3928" i="1"/>
  <c r="L3916" i="1"/>
  <c r="L3904" i="1"/>
  <c r="L3892" i="1"/>
  <c r="L4655" i="1"/>
  <c r="L4283" i="1"/>
  <c r="L5272" i="1"/>
  <c r="L5224" i="1"/>
  <c r="L5176" i="1"/>
  <c r="L5140" i="1"/>
  <c r="L5104" i="1"/>
  <c r="L4972" i="1"/>
  <c r="L4912" i="1"/>
  <c r="L4852" i="1"/>
  <c r="L4816" i="1"/>
  <c r="L4732" i="1"/>
  <c r="L4696" i="1"/>
  <c r="L4660" i="1"/>
  <c r="L4624" i="1"/>
  <c r="L4528" i="1"/>
  <c r="L4408" i="1"/>
  <c r="L4336" i="1"/>
  <c r="L4264" i="1"/>
  <c r="L4240" i="1"/>
  <c r="L4192" i="1"/>
  <c r="L4156" i="1"/>
  <c r="L4144" i="1"/>
  <c r="L4967" i="1"/>
  <c r="L4223" i="1"/>
  <c r="L4127" i="1"/>
  <c r="L5284" i="1"/>
  <c r="L5116" i="1"/>
  <c r="L5092" i="1"/>
  <c r="L4984" i="1"/>
  <c r="L4936" i="1"/>
  <c r="L4876" i="1"/>
  <c r="L4804" i="1"/>
  <c r="L4768" i="1"/>
  <c r="L4744" i="1"/>
  <c r="L4564" i="1"/>
  <c r="L4540" i="1"/>
  <c r="L4468" i="1"/>
  <c r="L4444" i="1"/>
  <c r="L4420" i="1"/>
  <c r="L4348" i="1"/>
  <c r="L4324" i="1"/>
  <c r="L4216" i="1"/>
  <c r="L3959" i="1"/>
  <c r="L3527" i="1"/>
  <c r="L2" i="1"/>
  <c r="L5296" i="1"/>
  <c r="L5248" i="1"/>
  <c r="L5188" i="1"/>
  <c r="L5128" i="1"/>
  <c r="L5080" i="1"/>
  <c r="L5044" i="1"/>
  <c r="L5020" i="1"/>
  <c r="L4996" i="1"/>
  <c r="L4924" i="1"/>
  <c r="L4828" i="1"/>
  <c r="L4780" i="1"/>
  <c r="L4720" i="1"/>
  <c r="L4684" i="1"/>
  <c r="L4576" i="1"/>
  <c r="L4552" i="1"/>
  <c r="L4480" i="1"/>
  <c r="L4456" i="1"/>
  <c r="L4432" i="1"/>
  <c r="L4384" i="1"/>
  <c r="L4360" i="1"/>
  <c r="L4312" i="1"/>
  <c r="L4084" i="1"/>
  <c r="L3844" i="1"/>
  <c r="L3700" i="1"/>
  <c r="L3640" i="1"/>
  <c r="L3604" i="1"/>
  <c r="L3574" i="1"/>
  <c r="L3544" i="1"/>
  <c r="L3364" i="1"/>
  <c r="L3232" i="1"/>
  <c r="L3196" i="1"/>
  <c r="L3106" i="1"/>
  <c r="L3040" i="1"/>
  <c r="L2896" i="1"/>
  <c r="L2800" i="1"/>
  <c r="L2716" i="1"/>
  <c r="L2608" i="1"/>
  <c r="L2560" i="1"/>
  <c r="L2440" i="1"/>
  <c r="L2416" i="1"/>
  <c r="L2386" i="1"/>
  <c r="L2284" i="1"/>
  <c r="L2212" i="1"/>
  <c r="L2176" i="1"/>
  <c r="L2128" i="1"/>
  <c r="L2092" i="1"/>
  <c r="L3856" i="1"/>
  <c r="L3796" i="1"/>
  <c r="L3712" i="1"/>
  <c r="L3664" i="1"/>
  <c r="L3520" i="1"/>
  <c r="L3448" i="1"/>
  <c r="L3376" i="1"/>
  <c r="L3238" i="1"/>
  <c r="L3094" i="1"/>
  <c r="L3052" i="1"/>
  <c r="L2860" i="1"/>
  <c r="L2752" i="1"/>
  <c r="L2644" i="1"/>
  <c r="L2584" i="1"/>
  <c r="L2548" i="1"/>
  <c r="L2464" i="1"/>
  <c r="L2428" i="1"/>
  <c r="L2356" i="1"/>
  <c r="L2308" i="1"/>
  <c r="L2224" i="1"/>
  <c r="L2116" i="1"/>
  <c r="L2056" i="1"/>
  <c r="L5253" i="1"/>
  <c r="L5217" i="1"/>
  <c r="L5181" i="1"/>
  <c r="L4989" i="1"/>
  <c r="L4917" i="1"/>
  <c r="L4893" i="1"/>
  <c r="L4821" i="1"/>
  <c r="L4749" i="1"/>
  <c r="L4701" i="1"/>
  <c r="L4617" i="1"/>
  <c r="L4425" i="1"/>
  <c r="L4389" i="1"/>
  <c r="L4305" i="1"/>
  <c r="L4245" i="1"/>
  <c r="L4233" i="1"/>
  <c r="L4149" i="1"/>
  <c r="L4089" i="1"/>
  <c r="L4077" i="1"/>
  <c r="L3981" i="1"/>
  <c r="L3957" i="1"/>
  <c r="L3933" i="1"/>
  <c r="L3921" i="1"/>
  <c r="L3909" i="1"/>
  <c r="L3885" i="1"/>
  <c r="L3873" i="1"/>
  <c r="L3861" i="1"/>
  <c r="L3849" i="1"/>
  <c r="L3813" i="1"/>
  <c r="L3789" i="1"/>
  <c r="L3777" i="1"/>
  <c r="L3753" i="1"/>
  <c r="L3741" i="1"/>
  <c r="L3729" i="1"/>
  <c r="L3717" i="1"/>
  <c r="L3705" i="1"/>
  <c r="L3693" i="1"/>
  <c r="L3681" i="1"/>
  <c r="L3657" i="1"/>
  <c r="L3645" i="1"/>
  <c r="L3633" i="1"/>
  <c r="L3621" i="1"/>
  <c r="L3597" i="1"/>
  <c r="L3585" i="1"/>
  <c r="L3573" i="1"/>
  <c r="L3561" i="1"/>
  <c r="L3549" i="1"/>
  <c r="L3537" i="1"/>
  <c r="L3525" i="1"/>
  <c r="L3513" i="1"/>
  <c r="L3501" i="1"/>
  <c r="L3489" i="1"/>
  <c r="L3465" i="1"/>
  <c r="L3453" i="1"/>
  <c r="L3441" i="1"/>
  <c r="L3429" i="1"/>
  <c r="L3405" i="1"/>
  <c r="L3393" i="1"/>
  <c r="L3381" i="1"/>
  <c r="L3369" i="1"/>
  <c r="L3333" i="1"/>
  <c r="L3321" i="1"/>
  <c r="L3285" i="1"/>
  <c r="L3273" i="1"/>
  <c r="L3261" i="1"/>
  <c r="L3243" i="1"/>
  <c r="L3237" i="1"/>
  <c r="L3231" i="1"/>
  <c r="L3225" i="1"/>
  <c r="L3213" i="1"/>
  <c r="L3207" i="1"/>
  <c r="L3195" i="1"/>
  <c r="L3189" i="1"/>
  <c r="L3183" i="1"/>
  <c r="L3177" i="1"/>
  <c r="L3171" i="1"/>
  <c r="L3159" i="1"/>
  <c r="L3153" i="1"/>
  <c r="L3147" i="1"/>
  <c r="L3135" i="1"/>
  <c r="L3123" i="1"/>
  <c r="L3117" i="1"/>
  <c r="L3111" i="1"/>
  <c r="L3105" i="1"/>
  <c r="L3099" i="1"/>
  <c r="L3087" i="1"/>
  <c r="L3081" i="1"/>
  <c r="L3075" i="1"/>
  <c r="L3057" i="1"/>
  <c r="L3051" i="1"/>
  <c r="L3045" i="1"/>
  <c r="L3039" i="1"/>
  <c r="L3033" i="1"/>
  <c r="L3027" i="1"/>
  <c r="L3015" i="1"/>
  <c r="L3003" i="1"/>
  <c r="L2997" i="1"/>
  <c r="L2991" i="1"/>
  <c r="L2985" i="1"/>
  <c r="L2979" i="1"/>
  <c r="L2961" i="1"/>
  <c r="L2955" i="1"/>
  <c r="L2949" i="1"/>
  <c r="L2931" i="1"/>
  <c r="L2919" i="1"/>
  <c r="L2907" i="1"/>
  <c r="L2895" i="1"/>
  <c r="L2883" i="1"/>
  <c r="L2871" i="1"/>
  <c r="L2865" i="1"/>
  <c r="L2859" i="1"/>
  <c r="L2853" i="1"/>
  <c r="L2835" i="1"/>
  <c r="L2829" i="1"/>
  <c r="L2823" i="1"/>
  <c r="L2817" i="1"/>
  <c r="L2811" i="1"/>
  <c r="L2805" i="1"/>
  <c r="L2799" i="1"/>
  <c r="L2793" i="1"/>
  <c r="L2787" i="1"/>
  <c r="L2781" i="1"/>
  <c r="L2775" i="1"/>
  <c r="L2769" i="1"/>
  <c r="L2763" i="1"/>
  <c r="L2751" i="1"/>
  <c r="L2745" i="1"/>
  <c r="L2733" i="1"/>
  <c r="L2727" i="1"/>
  <c r="L2721" i="1"/>
  <c r="L2715" i="1"/>
  <c r="L2709" i="1"/>
  <c r="L2697" i="1"/>
  <c r="L2691" i="1"/>
  <c r="L2685" i="1"/>
  <c r="L2673" i="1"/>
  <c r="L2667" i="1"/>
  <c r="L2661" i="1"/>
  <c r="L2655" i="1"/>
  <c r="L2649" i="1"/>
  <c r="L2637" i="1"/>
  <c r="L2631" i="1"/>
  <c r="L2613" i="1"/>
  <c r="L2607" i="1"/>
  <c r="L2241" i="1"/>
  <c r="L2145" i="1"/>
  <c r="L2025" i="1"/>
  <c r="L3808" i="1"/>
  <c r="L3628" i="1"/>
  <c r="L3580" i="1"/>
  <c r="L3484" i="1"/>
  <c r="L3436" i="1"/>
  <c r="L3184" i="1"/>
  <c r="L3148" i="1"/>
  <c r="L3112" i="1"/>
  <c r="L2944" i="1"/>
  <c r="L2884" i="1"/>
  <c r="L2836" i="1"/>
  <c r="L2680" i="1"/>
  <c r="L2572" i="1"/>
  <c r="L2494" i="1"/>
  <c r="L2410" i="1"/>
  <c r="L2338" i="1"/>
  <c r="L2272" i="1"/>
  <c r="L2200" i="1"/>
  <c r="L5277" i="1"/>
  <c r="L5193" i="1"/>
  <c r="L5133" i="1"/>
  <c r="L5109" i="1"/>
  <c r="L5073" i="1"/>
  <c r="L4977" i="1"/>
  <c r="L4953" i="1"/>
  <c r="L4941" i="1"/>
  <c r="L4833" i="1"/>
  <c r="L4785" i="1"/>
  <c r="L4677" i="1"/>
  <c r="L4629" i="1"/>
  <c r="L4557" i="1"/>
  <c r="L4401" i="1"/>
  <c r="L4341" i="1"/>
  <c r="L4317" i="1"/>
  <c r="L4113" i="1"/>
  <c r="L4053" i="1"/>
  <c r="L4017" i="1"/>
  <c r="L3969" i="1"/>
  <c r="L3837" i="1"/>
  <c r="L3784" i="1"/>
  <c r="L3748" i="1"/>
  <c r="L3652" i="1"/>
  <c r="L3616" i="1"/>
  <c r="L3508" i="1"/>
  <c r="L3400" i="1"/>
  <c r="L3340" i="1"/>
  <c r="L3262" i="1"/>
  <c r="L3220" i="1"/>
  <c r="L3172" i="1"/>
  <c r="L3124" i="1"/>
  <c r="L3004" i="1"/>
  <c r="L2920" i="1"/>
  <c r="L2824" i="1"/>
  <c r="L2740" i="1"/>
  <c r="L2590" i="1"/>
  <c r="L2524" i="1"/>
  <c r="L2392" i="1"/>
  <c r="L2344" i="1"/>
  <c r="L2260" i="1"/>
  <c r="L5265" i="1"/>
  <c r="L5121" i="1"/>
  <c r="L4929" i="1"/>
  <c r="L4857" i="1"/>
  <c r="L4653" i="1"/>
  <c r="L4593" i="1"/>
  <c r="L4509" i="1"/>
  <c r="L4377" i="1"/>
  <c r="L4329" i="1"/>
  <c r="L4269" i="1"/>
  <c r="L4161" i="1"/>
  <c r="L4101" i="1"/>
  <c r="L4065" i="1"/>
  <c r="L4005" i="1"/>
  <c r="L5168" i="1"/>
  <c r="L4964" i="1"/>
  <c r="L4784" i="1"/>
  <c r="L4688" i="1"/>
  <c r="L4544" i="1"/>
  <c r="L3764" i="1"/>
  <c r="L3728" i="1"/>
  <c r="L3662" i="1"/>
  <c r="L3644" i="1"/>
  <c r="L3560" i="1"/>
  <c r="L3548" i="1"/>
  <c r="L3488" i="1"/>
  <c r="L3368" i="1"/>
  <c r="L3356" i="1"/>
  <c r="L3188" i="1"/>
  <c r="L3868" i="1"/>
  <c r="L3832" i="1"/>
  <c r="L3760" i="1"/>
  <c r="L3724" i="1"/>
  <c r="L3688" i="1"/>
  <c r="L3592" i="1"/>
  <c r="L3556" i="1"/>
  <c r="L3472" i="1"/>
  <c r="L3388" i="1"/>
  <c r="L3316" i="1"/>
  <c r="L3280" i="1"/>
  <c r="L3244" i="1"/>
  <c r="L3160" i="1"/>
  <c r="L3064" i="1"/>
  <c r="L2872" i="1"/>
  <c r="L2848" i="1"/>
  <c r="L2812" i="1"/>
  <c r="L2668" i="1"/>
  <c r="L2632" i="1"/>
  <c r="L2536" i="1"/>
  <c r="L2476" i="1"/>
  <c r="L2452" i="1"/>
  <c r="L2380" i="1"/>
  <c r="L2236" i="1"/>
  <c r="L2164" i="1"/>
  <c r="L2140" i="1"/>
  <c r="L2080" i="1"/>
  <c r="L5301" i="1"/>
  <c r="L5241" i="1"/>
  <c r="L5145" i="1"/>
  <c r="L5085" i="1"/>
  <c r="L5013" i="1"/>
  <c r="L4965" i="1"/>
  <c r="L4845" i="1"/>
  <c r="L4797" i="1"/>
  <c r="L4773" i="1"/>
  <c r="L4725" i="1"/>
  <c r="L4569" i="1"/>
  <c r="L4521" i="1"/>
  <c r="L4497" i="1"/>
  <c r="L4437" i="1"/>
  <c r="L4413" i="1"/>
  <c r="L4365" i="1"/>
  <c r="L4185" i="1"/>
  <c r="L4125" i="1"/>
  <c r="L5156" i="1"/>
  <c r="L5096" i="1"/>
  <c r="L5072" i="1"/>
  <c r="L5012" i="1"/>
  <c r="L4988" i="1"/>
  <c r="L4976" i="1"/>
  <c r="L4916" i="1"/>
  <c r="L4880" i="1"/>
  <c r="L4652" i="1"/>
  <c r="L4496" i="1"/>
  <c r="L4376" i="1"/>
  <c r="L4136" i="1"/>
  <c r="L4076" i="1"/>
  <c r="L3860" i="1"/>
  <c r="L3806" i="1"/>
  <c r="L3788" i="1"/>
  <c r="L3692" i="1"/>
  <c r="L3880" i="1"/>
  <c r="L3820" i="1"/>
  <c r="L3736" i="1"/>
  <c r="L3676" i="1"/>
  <c r="L3610" i="1"/>
  <c r="L3568" i="1"/>
  <c r="L3496" i="1"/>
  <c r="L3460" i="1"/>
  <c r="L3424" i="1"/>
  <c r="L3370" i="1"/>
  <c r="L3328" i="1"/>
  <c r="L3250" i="1"/>
  <c r="L3208" i="1"/>
  <c r="L3136" i="1"/>
  <c r="L3100" i="1"/>
  <c r="L3028" i="1"/>
  <c r="L2992" i="1"/>
  <c r="L2776" i="1"/>
  <c r="L2734" i="1"/>
  <c r="L2692" i="1"/>
  <c r="L2596" i="1"/>
  <c r="L2488" i="1"/>
  <c r="L2404" i="1"/>
  <c r="L2332" i="1"/>
  <c r="L2248" i="1"/>
  <c r="L2188" i="1"/>
  <c r="L2104" i="1"/>
  <c r="L5289" i="1"/>
  <c r="L5229" i="1"/>
  <c r="L5205" i="1"/>
  <c r="L5157" i="1"/>
  <c r="L5049" i="1"/>
  <c r="L4905" i="1"/>
  <c r="L4761" i="1"/>
  <c r="L4737" i="1"/>
  <c r="L4713" i="1"/>
  <c r="L4689" i="1"/>
  <c r="L4665" i="1"/>
  <c r="L4485" i="1"/>
  <c r="L4449" i="1"/>
  <c r="L4293" i="1"/>
  <c r="L4257" i="1"/>
  <c r="L4221" i="1"/>
  <c r="L4197" i="1"/>
  <c r="L4173" i="1"/>
  <c r="L4137" i="1"/>
  <c r="L4041" i="1"/>
  <c r="L4029" i="1"/>
  <c r="L3993" i="1"/>
  <c r="L3825" i="1"/>
  <c r="L4952" i="1"/>
  <c r="L4868" i="1"/>
  <c r="L4832" i="1"/>
  <c r="L4640" i="1"/>
  <c r="L4592" i="1"/>
  <c r="L4460" i="1"/>
  <c r="L4436" i="1"/>
  <c r="L4268" i="1"/>
  <c r="L4232" i="1"/>
  <c r="L4058" i="1"/>
  <c r="L4004" i="1"/>
  <c r="L3968" i="1"/>
  <c r="L3920" i="1"/>
  <c r="L2044" i="1"/>
  <c r="L2038" i="1"/>
  <c r="L2032" i="1"/>
  <c r="L2008" i="1"/>
  <c r="L1996" i="1"/>
  <c r="L1984" i="1"/>
  <c r="L1972" i="1"/>
  <c r="L1960" i="1"/>
  <c r="L1948" i="1"/>
  <c r="L1936" i="1"/>
  <c r="L1930" i="1"/>
  <c r="L1924" i="1"/>
  <c r="L1900" i="1"/>
  <c r="L1876" i="1"/>
  <c r="L1852" i="1"/>
  <c r="L1834" i="1"/>
  <c r="L1828" i="1"/>
  <c r="L1816" i="1"/>
  <c r="L1804" i="1"/>
  <c r="L1792" i="1"/>
  <c r="L1780" i="1"/>
  <c r="L1768" i="1"/>
  <c r="L1756" i="1"/>
  <c r="L1732" i="1"/>
  <c r="L1708" i="1"/>
  <c r="L1696" i="1"/>
  <c r="L1684" i="1"/>
  <c r="L1672" i="1"/>
  <c r="L1660" i="1"/>
  <c r="L1648" i="1"/>
  <c r="L1624" i="1"/>
  <c r="L1612" i="1"/>
  <c r="L1600" i="1"/>
  <c r="L1594" i="1"/>
  <c r="L1588" i="1"/>
  <c r="L1564" i="1"/>
  <c r="L1528" i="1"/>
  <c r="L1504" i="1"/>
  <c r="L1492" i="1"/>
  <c r="L1480" i="1"/>
  <c r="L1468" i="1"/>
  <c r="L1456" i="1"/>
  <c r="L1444" i="1"/>
  <c r="L1432" i="1"/>
  <c r="L1420" i="1"/>
  <c r="L1402" i="1"/>
  <c r="L1396" i="1"/>
  <c r="L1384" i="1"/>
  <c r="L1348" i="1"/>
  <c r="L1324" i="1"/>
  <c r="L1312" i="1"/>
  <c r="L1300" i="1"/>
  <c r="L1276" i="1"/>
  <c r="L1264" i="1"/>
  <c r="L1252" i="1"/>
  <c r="L1240" i="1"/>
  <c r="L1204" i="1"/>
  <c r="L1192" i="1"/>
  <c r="L1180" i="1"/>
  <c r="L1144" i="1"/>
  <c r="L1132" i="1"/>
  <c r="L1108" i="1"/>
  <c r="L1084" i="1"/>
  <c r="L1060" i="1"/>
  <c r="L1048" i="1"/>
  <c r="L988" i="1"/>
  <c r="L976" i="1"/>
  <c r="L964" i="1"/>
  <c r="L916" i="1"/>
  <c r="L736" i="1"/>
  <c r="L544" i="1"/>
  <c r="L532" i="1"/>
  <c r="L328" i="1"/>
  <c r="L304" i="1"/>
  <c r="L220" i="1"/>
  <c r="L172" i="1"/>
  <c r="L160" i="1"/>
  <c r="L909" i="1"/>
  <c r="L801" i="1"/>
  <c r="L609" i="1"/>
  <c r="L585" i="1"/>
  <c r="L537" i="1"/>
  <c r="L429" i="1"/>
  <c r="L333" i="1"/>
  <c r="L225" i="1"/>
  <c r="L2601" i="1"/>
  <c r="L2595" i="1"/>
  <c r="L2589" i="1"/>
  <c r="L2583" i="1"/>
  <c r="L2577" i="1"/>
  <c r="L2571" i="1"/>
  <c r="L2565" i="1"/>
  <c r="L2559" i="1"/>
  <c r="L2553" i="1"/>
  <c r="L2547" i="1"/>
  <c r="L2541" i="1"/>
  <c r="L2535" i="1"/>
  <c r="L2529" i="1"/>
  <c r="L2523" i="1"/>
  <c r="L2517" i="1"/>
  <c r="L2511" i="1"/>
  <c r="L2499" i="1"/>
  <c r="L2487" i="1"/>
  <c r="L2481" i="1"/>
  <c r="L2475" i="1"/>
  <c r="L2469" i="1"/>
  <c r="L2463" i="1"/>
  <c r="L2457" i="1"/>
  <c r="L2451" i="1"/>
  <c r="L2445" i="1"/>
  <c r="L2439" i="1"/>
  <c r="L2433" i="1"/>
  <c r="L2427" i="1"/>
  <c r="L2421" i="1"/>
  <c r="L2415" i="1"/>
  <c r="L2409" i="1"/>
  <c r="L2403" i="1"/>
  <c r="L2397" i="1"/>
  <c r="L2391" i="1"/>
  <c r="L2385" i="1"/>
  <c r="L2367" i="1"/>
  <c r="L2361" i="1"/>
  <c r="L2355" i="1"/>
  <c r="L2349" i="1"/>
  <c r="L2337" i="1"/>
  <c r="L2331" i="1"/>
  <c r="L2325" i="1"/>
  <c r="L2319" i="1"/>
  <c r="L2313" i="1"/>
  <c r="L2301" i="1"/>
  <c r="L2289" i="1"/>
  <c r="L2283" i="1"/>
  <c r="L2277" i="1"/>
  <c r="L2271" i="1"/>
  <c r="L2265" i="1"/>
  <c r="L2259" i="1"/>
  <c r="L2253" i="1"/>
  <c r="L2247" i="1"/>
  <c r="L2229" i="1"/>
  <c r="L2223" i="1"/>
  <c r="L2217" i="1"/>
  <c r="L2211" i="1"/>
  <c r="L2205" i="1"/>
  <c r="L2199" i="1"/>
  <c r="L2193" i="1"/>
  <c r="L2187" i="1"/>
  <c r="L2181" i="1"/>
  <c r="L2175" i="1"/>
  <c r="L2169" i="1"/>
  <c r="L2163" i="1"/>
  <c r="L2157" i="1"/>
  <c r="L2139" i="1"/>
  <c r="L2133" i="1"/>
  <c r="L2127" i="1"/>
  <c r="L2121" i="1"/>
  <c r="L2115" i="1"/>
  <c r="L2109" i="1"/>
  <c r="L2103" i="1"/>
  <c r="L2097" i="1"/>
  <c r="L2091" i="1"/>
  <c r="L2085" i="1"/>
  <c r="L2079" i="1"/>
  <c r="L2073" i="1"/>
  <c r="L2067" i="1"/>
  <c r="L2061" i="1"/>
  <c r="L2055" i="1"/>
  <c r="L2049" i="1"/>
  <c r="L2043" i="1"/>
  <c r="L2031" i="1"/>
  <c r="L2019" i="1"/>
  <c r="L2013" i="1"/>
  <c r="L2001" i="1"/>
  <c r="L1995" i="1"/>
  <c r="L1983" i="1"/>
  <c r="L1977" i="1"/>
  <c r="L1971" i="1"/>
  <c r="L1965" i="1"/>
  <c r="L1959" i="1"/>
  <c r="L1953" i="1"/>
  <c r="L1947" i="1"/>
  <c r="L1941" i="1"/>
  <c r="L1935" i="1"/>
  <c r="L1929" i="1"/>
  <c r="L1917" i="1"/>
  <c r="L1905" i="1"/>
  <c r="L1899" i="1"/>
  <c r="L1893" i="1"/>
  <c r="L1887" i="1"/>
  <c r="L1875" i="1"/>
  <c r="L1869" i="1"/>
  <c r="L1857" i="1"/>
  <c r="L1851" i="1"/>
  <c r="L1845" i="1"/>
  <c r="L1833" i="1"/>
  <c r="L1827" i="1"/>
  <c r="L1821" i="1"/>
  <c r="L1815" i="1"/>
  <c r="L1809" i="1"/>
  <c r="L1803" i="1"/>
  <c r="L1797" i="1"/>
  <c r="L1785" i="1"/>
  <c r="L1779" i="1"/>
  <c r="L1773" i="1"/>
  <c r="L1767" i="1"/>
  <c r="L1761" i="1"/>
  <c r="L1755" i="1"/>
  <c r="L1749" i="1"/>
  <c r="L1743" i="1"/>
  <c r="L1737" i="1"/>
  <c r="L1731" i="1"/>
  <c r="L1725" i="1"/>
  <c r="L1719" i="1"/>
  <c r="L1707" i="1"/>
  <c r="L1701" i="1"/>
  <c r="L1695" i="1"/>
  <c r="L1689" i="1"/>
  <c r="L1683" i="1"/>
  <c r="L1677" i="1"/>
  <c r="L1671" i="1"/>
  <c r="L1665" i="1"/>
  <c r="L1659" i="1"/>
  <c r="L1653" i="1"/>
  <c r="L1647" i="1"/>
  <c r="L1641" i="1"/>
  <c r="L1635" i="1"/>
  <c r="L1629" i="1"/>
  <c r="L1617" i="1"/>
  <c r="L1611" i="1"/>
  <c r="L1593" i="1"/>
  <c r="L1587" i="1"/>
  <c r="L1581" i="1"/>
  <c r="L1569" i="1"/>
  <c r="L1563" i="1"/>
  <c r="L1557" i="1"/>
  <c r="L1551" i="1"/>
  <c r="L1545" i="1"/>
  <c r="L1539" i="1"/>
  <c r="L1533" i="1"/>
  <c r="L1521" i="1"/>
  <c r="L1515" i="1"/>
  <c r="L1509" i="1"/>
  <c r="L1503" i="1"/>
  <c r="L1497" i="1"/>
  <c r="L1491" i="1"/>
  <c r="L1485" i="1"/>
  <c r="L1479" i="1"/>
  <c r="L1473" i="1"/>
  <c r="L1461" i="1"/>
  <c r="L1455" i="1"/>
  <c r="L1449" i="1"/>
  <c r="L1437" i="1"/>
  <c r="L1431" i="1"/>
  <c r="L1425" i="1"/>
  <c r="L1419" i="1"/>
  <c r="L1413" i="1"/>
  <c r="L1407" i="1"/>
  <c r="L1401" i="1"/>
  <c r="L1395" i="1"/>
  <c r="L1383" i="1"/>
  <c r="L1377" i="1"/>
  <c r="L1371" i="1"/>
  <c r="L1365" i="1"/>
  <c r="L1359" i="1"/>
  <c r="L1353" i="1"/>
  <c r="L1347" i="1"/>
  <c r="L1335" i="1"/>
  <c r="L1329" i="1"/>
  <c r="L1323" i="1"/>
  <c r="L1311" i="1"/>
  <c r="L1305" i="1"/>
  <c r="L1299" i="1"/>
  <c r="L1293" i="1"/>
  <c r="L1275" i="1"/>
  <c r="L1269" i="1"/>
  <c r="L1263" i="1"/>
  <c r="L1257" i="1"/>
  <c r="L1251" i="1"/>
  <c r="L1245" i="1"/>
  <c r="L1239" i="1"/>
  <c r="L1221" i="1"/>
  <c r="L1209" i="1"/>
  <c r="L1203" i="1"/>
  <c r="L1185" i="1"/>
  <c r="L1179" i="1"/>
  <c r="L1161" i="1"/>
  <c r="L1155" i="1"/>
  <c r="L1149" i="1"/>
  <c r="L1119" i="1"/>
  <c r="L1113" i="1"/>
  <c r="L1107" i="1"/>
  <c r="L1101" i="1"/>
  <c r="L1095" i="1"/>
  <c r="L1077" i="1"/>
  <c r="L1071" i="1"/>
  <c r="L1059" i="1"/>
  <c r="L1035" i="1"/>
  <c r="L1029" i="1"/>
  <c r="L1023" i="1"/>
  <c r="L987" i="1"/>
  <c r="L981" i="1"/>
  <c r="L975" i="1"/>
  <c r="L939" i="1"/>
  <c r="L921" i="1"/>
  <c r="L915" i="1"/>
  <c r="L861" i="1"/>
  <c r="L825" i="1"/>
  <c r="L777" i="1"/>
  <c r="L771" i="1"/>
  <c r="L765" i="1"/>
  <c r="L723" i="1"/>
  <c r="L651" i="1"/>
  <c r="L513" i="1"/>
  <c r="L501" i="1"/>
  <c r="L399" i="1"/>
  <c r="L303" i="1"/>
  <c r="L285" i="1"/>
  <c r="L237" i="1"/>
  <c r="L171" i="1"/>
  <c r="L135" i="1"/>
  <c r="L57" i="1"/>
  <c r="L51" i="1"/>
  <c r="L3260" i="1"/>
  <c r="L3248" i="1"/>
  <c r="L3200" i="1"/>
  <c r="L2912" i="1"/>
  <c r="L2852" i="1"/>
  <c r="L1784" i="1"/>
  <c r="L1400" i="1"/>
  <c r="L892" i="1"/>
  <c r="L880" i="1"/>
  <c r="L856" i="1"/>
  <c r="L844" i="1"/>
  <c r="L820" i="1"/>
  <c r="L814" i="1"/>
  <c r="L808" i="1"/>
  <c r="L796" i="1"/>
  <c r="L772" i="1"/>
  <c r="L760" i="1"/>
  <c r="L748" i="1"/>
  <c r="L724" i="1"/>
  <c r="L712" i="1"/>
  <c r="L700" i="1"/>
  <c r="L676" i="1"/>
  <c r="L664" i="1"/>
  <c r="L652" i="1"/>
  <c r="L628" i="1"/>
  <c r="L622" i="1"/>
  <c r="L616" i="1"/>
  <c r="L604" i="1"/>
  <c r="L598" i="1"/>
  <c r="L592" i="1"/>
  <c r="L520" i="1"/>
  <c r="L508" i="1"/>
  <c r="L496" i="1"/>
  <c r="L472" i="1"/>
  <c r="L460" i="1"/>
  <c r="L448" i="1"/>
  <c r="L436" i="1"/>
  <c r="L424" i="1"/>
  <c r="L412" i="1"/>
  <c r="L400" i="1"/>
  <c r="L388" i="1"/>
  <c r="L376" i="1"/>
  <c r="L364" i="1"/>
  <c r="L358" i="1"/>
  <c r="L352" i="1"/>
  <c r="L340" i="1"/>
  <c r="L322" i="1"/>
  <c r="L316" i="1"/>
  <c r="L310" i="1"/>
  <c r="L292" i="1"/>
  <c r="L280" i="1"/>
  <c r="L268" i="1"/>
  <c r="L244" i="1"/>
  <c r="L232" i="1"/>
  <c r="L196" i="1"/>
  <c r="L184" i="1"/>
  <c r="L154" i="1"/>
  <c r="L148" i="1"/>
  <c r="L112" i="1"/>
  <c r="L100" i="1"/>
  <c r="L88" i="1"/>
  <c r="L76" i="1"/>
  <c r="L64" i="1"/>
  <c r="L52" i="1"/>
  <c r="L46" i="1"/>
  <c r="L40" i="1"/>
  <c r="L16" i="1"/>
  <c r="L2564" i="1"/>
  <c r="L2288" i="1"/>
  <c r="L2120" i="1"/>
  <c r="L1640" i="1"/>
  <c r="L5300" i="1"/>
  <c r="L5252" i="1"/>
  <c r="L5192" i="1"/>
  <c r="L5144" i="1"/>
  <c r="L5036" i="1"/>
  <c r="L4940" i="1"/>
  <c r="L4808" i="1"/>
  <c r="L4760" i="1"/>
  <c r="L4712" i="1"/>
  <c r="L4664" i="1"/>
  <c r="L4604" i="1"/>
  <c r="L4532" i="1"/>
  <c r="L4472" i="1"/>
  <c r="L4412" i="1"/>
  <c r="L4340" i="1"/>
  <c r="L4280" i="1"/>
  <c r="L4124" i="1"/>
  <c r="L4016" i="1"/>
  <c r="L3908" i="1"/>
  <c r="L3848" i="1"/>
  <c r="L3740" i="1"/>
  <c r="L3476" i="1"/>
  <c r="L3428" i="1"/>
  <c r="L3380" i="1"/>
  <c r="L3272" i="1"/>
  <c r="L3224" i="1"/>
  <c r="L3164" i="1"/>
  <c r="L3104" i="1"/>
  <c r="L3044" i="1"/>
  <c r="L2936" i="1"/>
  <c r="L2876" i="1"/>
  <c r="L2780" i="1"/>
  <c r="L2660" i="1"/>
  <c r="L2612" i="1"/>
  <c r="L2540" i="1"/>
  <c r="L2480" i="1"/>
  <c r="L2420" i="1"/>
  <c r="L2360" i="1"/>
  <c r="L2312" i="1"/>
  <c r="L2264" i="1"/>
  <c r="L2192" i="1"/>
  <c r="L2132" i="1"/>
  <c r="L2084" i="1"/>
  <c r="L1988" i="1"/>
  <c r="L1928" i="1"/>
  <c r="L1820" i="1"/>
  <c r="L1724" i="1"/>
  <c r="L1664" i="1"/>
  <c r="L1592" i="1"/>
  <c r="L1496" i="1"/>
  <c r="L1448" i="1"/>
  <c r="L1376" i="1"/>
  <c r="L1292" i="1"/>
  <c r="L1268" i="1"/>
  <c r="L5299" i="1"/>
  <c r="L5287" i="1"/>
  <c r="L5275" i="1"/>
  <c r="L5263" i="1"/>
  <c r="L5251" i="1"/>
  <c r="L5239" i="1"/>
  <c r="L5227" i="1"/>
  <c r="L5215" i="1"/>
  <c r="L5203" i="1"/>
  <c r="L5191" i="1"/>
  <c r="L5131" i="1"/>
  <c r="L5119" i="1"/>
  <c r="L5059" i="1"/>
  <c r="L5047" i="1"/>
  <c r="L5035" i="1"/>
  <c r="L5023" i="1"/>
  <c r="L4987" i="1"/>
  <c r="L4927" i="1"/>
  <c r="L4855" i="1"/>
  <c r="L4831" i="1"/>
  <c r="L4819" i="1"/>
  <c r="L4807" i="1"/>
  <c r="L4759" i="1"/>
  <c r="L4747" i="1"/>
  <c r="L4711" i="1"/>
  <c r="L4675" i="1"/>
  <c r="L4663" i="1"/>
  <c r="L4651" i="1"/>
  <c r="L4627" i="1"/>
  <c r="L4615" i="1"/>
  <c r="L4591" i="1"/>
  <c r="L4567" i="1"/>
  <c r="L2732" i="1"/>
  <c r="L2372" i="1"/>
  <c r="L1772" i="1"/>
  <c r="L5264" i="1"/>
  <c r="L5216" i="1"/>
  <c r="L5120" i="1"/>
  <c r="L4904" i="1"/>
  <c r="L4736" i="1"/>
  <c r="L4508" i="1"/>
  <c r="L4292" i="1"/>
  <c r="L4220" i="1"/>
  <c r="L4184" i="1"/>
  <c r="L3980" i="1"/>
  <c r="L3932" i="1"/>
  <c r="L3884" i="1"/>
  <c r="L3752" i="1"/>
  <c r="L3704" i="1"/>
  <c r="L3656" i="1"/>
  <c r="L3608" i="1"/>
  <c r="L3512" i="1"/>
  <c r="L3464" i="1"/>
  <c r="L3416" i="1"/>
  <c r="L3296" i="1"/>
  <c r="L3140" i="1"/>
  <c r="L3092" i="1"/>
  <c r="L2996" i="1"/>
  <c r="L2900" i="1"/>
  <c r="L2840" i="1"/>
  <c r="L2792" i="1"/>
  <c r="L2744" i="1"/>
  <c r="L2684" i="1"/>
  <c r="L2576" i="1"/>
  <c r="L2516" i="1"/>
  <c r="L2456" i="1"/>
  <c r="L2408" i="1"/>
  <c r="L2348" i="1"/>
  <c r="L2300" i="1"/>
  <c r="L2252" i="1"/>
  <c r="L2216" i="1"/>
  <c r="L2168" i="1"/>
  <c r="L2108" i="1"/>
  <c r="L2012" i="1"/>
  <c r="L1904" i="1"/>
  <c r="L1856" i="1"/>
  <c r="L1808" i="1"/>
  <c r="L1760" i="1"/>
  <c r="L1688" i="1"/>
  <c r="L1628" i="1"/>
  <c r="L1580" i="1"/>
  <c r="L1520" i="1"/>
  <c r="L1472" i="1"/>
  <c r="L1316" i="1"/>
  <c r="L2888" i="1"/>
  <c r="L2528" i="1"/>
  <c r="L1940" i="1"/>
  <c r="L5276" i="1"/>
  <c r="L5228" i="1"/>
  <c r="L5180" i="1"/>
  <c r="L5132" i="1"/>
  <c r="L4928" i="1"/>
  <c r="L4844" i="1"/>
  <c r="L4796" i="1"/>
  <c r="L4748" i="1"/>
  <c r="L4700" i="1"/>
  <c r="L4616" i="1"/>
  <c r="L4520" i="1"/>
  <c r="L4448" i="1"/>
  <c r="L4400" i="1"/>
  <c r="L4364" i="1"/>
  <c r="L4304" i="1"/>
  <c r="L4244" i="1"/>
  <c r="L4208" i="1"/>
  <c r="L4160" i="1"/>
  <c r="L4112" i="1"/>
  <c r="L4064" i="1"/>
  <c r="L4028" i="1"/>
  <c r="L3872" i="1"/>
  <c r="L3824" i="1"/>
  <c r="L3716" i="1"/>
  <c r="L3668" i="1"/>
  <c r="L3572" i="1"/>
  <c r="L3524" i="1"/>
  <c r="L3440" i="1"/>
  <c r="L3392" i="1"/>
  <c r="L3344" i="1"/>
  <c r="L3308" i="1"/>
  <c r="L3212" i="1"/>
  <c r="L3152" i="1"/>
  <c r="L3116" i="1"/>
  <c r="L3020" i="1"/>
  <c r="L2972" i="1"/>
  <c r="L2924" i="1"/>
  <c r="L2804" i="1"/>
  <c r="L2768" i="1"/>
  <c r="L2720" i="1"/>
  <c r="L2648" i="1"/>
  <c r="L2600" i="1"/>
  <c r="L2552" i="1"/>
  <c r="L2468" i="1"/>
  <c r="L2432" i="1"/>
  <c r="L2384" i="1"/>
  <c r="L2336" i="1"/>
  <c r="L2240" i="1"/>
  <c r="L2204" i="1"/>
  <c r="L2156" i="1"/>
  <c r="L2096" i="1"/>
  <c r="L2048" i="1"/>
  <c r="L2000" i="1"/>
  <c r="L1832" i="1"/>
  <c r="L1736" i="1"/>
  <c r="L1556" i="1"/>
  <c r="L1508" i="1"/>
  <c r="L1460" i="1"/>
  <c r="L1412" i="1"/>
  <c r="L1220" i="1"/>
  <c r="L2256" i="1"/>
  <c r="L2040" i="1"/>
  <c r="L1682" i="1"/>
  <c r="L5288" i="1"/>
  <c r="L5240" i="1"/>
  <c r="L5204" i="1"/>
  <c r="L5108" i="1"/>
  <c r="L5000" i="1"/>
  <c r="L4856" i="1"/>
  <c r="L4820" i="1"/>
  <c r="L4772" i="1"/>
  <c r="L4724" i="1"/>
  <c r="L4676" i="1"/>
  <c r="L4628" i="1"/>
  <c r="L4580" i="1"/>
  <c r="L4484" i="1"/>
  <c r="L4256" i="1"/>
  <c r="L4196" i="1"/>
  <c r="L4148" i="1"/>
  <c r="L4052" i="1"/>
  <c r="L3992" i="1"/>
  <c r="L3944" i="1"/>
  <c r="L3812" i="1"/>
  <c r="L3536" i="1"/>
  <c r="L3500" i="1"/>
  <c r="L3452" i="1"/>
  <c r="L3404" i="1"/>
  <c r="L3320" i="1"/>
  <c r="L3284" i="1"/>
  <c r="L3128" i="1"/>
  <c r="L3032" i="1"/>
  <c r="L2984" i="1"/>
  <c r="L2948" i="1"/>
  <c r="L2816" i="1"/>
  <c r="L2756" i="1"/>
  <c r="L2672" i="1"/>
  <c r="L2588" i="1"/>
  <c r="L2444" i="1"/>
  <c r="L2396" i="1"/>
  <c r="L2324" i="1"/>
  <c r="L2276" i="1"/>
  <c r="L2228" i="1"/>
  <c r="L2180" i="1"/>
  <c r="L2144" i="1"/>
  <c r="L2060" i="1"/>
  <c r="L2024" i="1"/>
  <c r="L1976" i="1"/>
  <c r="L1892" i="1"/>
  <c r="L1844" i="1"/>
  <c r="L1796" i="1"/>
  <c r="L1748" i="1"/>
  <c r="L1700" i="1"/>
  <c r="L1604" i="1"/>
  <c r="L1484" i="1"/>
  <c r="L1424" i="1"/>
  <c r="L1328" i="1"/>
  <c r="L1232" i="1"/>
  <c r="L3564" i="1"/>
  <c r="L3528" i="1"/>
  <c r="L5293" i="1"/>
  <c r="L5281" i="1"/>
  <c r="L5269" i="1"/>
  <c r="L5257" i="1"/>
  <c r="L5245" i="1"/>
  <c r="L5233" i="1"/>
  <c r="L5221" i="1"/>
  <c r="L5185" i="1"/>
  <c r="L5173" i="1"/>
  <c r="L5161" i="1"/>
  <c r="L5149" i="1"/>
  <c r="L5137" i="1"/>
  <c r="L5125" i="1"/>
  <c r="L5113" i="1"/>
  <c r="L5101" i="1"/>
  <c r="L5089" i="1"/>
  <c r="L5077" i="1"/>
  <c r="L5053" i="1"/>
  <c r="L5041" i="1"/>
  <c r="L5017" i="1"/>
  <c r="L5005" i="1"/>
  <c r="L4993" i="1"/>
  <c r="L4981" i="1"/>
  <c r="L4969" i="1"/>
  <c r="L4957" i="1"/>
  <c r="L4933" i="1"/>
  <c r="L4921" i="1"/>
  <c r="L4909" i="1"/>
  <c r="L4873" i="1"/>
  <c r="L4861" i="1"/>
  <c r="L4849" i="1"/>
  <c r="L4837" i="1"/>
  <c r="L4825" i="1"/>
  <c r="L4813" i="1"/>
  <c r="L4801" i="1"/>
  <c r="L4789" i="1"/>
  <c r="L4777" i="1"/>
  <c r="L4765" i="1"/>
  <c r="L4753" i="1"/>
  <c r="L4741" i="1"/>
  <c r="L4729" i="1"/>
  <c r="L4717" i="1"/>
  <c r="L4705" i="1"/>
  <c r="L4669" i="1"/>
  <c r="L4645" i="1"/>
  <c r="L4633" i="1"/>
  <c r="L4621" i="1"/>
  <c r="L4609" i="1"/>
  <c r="L4585" i="1"/>
  <c r="L4573" i="1"/>
  <c r="L4537" i="1"/>
  <c r="L4525" i="1"/>
  <c r="L4513" i="1"/>
  <c r="L4501" i="1"/>
  <c r="L4489" i="1"/>
  <c r="L4453" i="1"/>
  <c r="L4441" i="1"/>
  <c r="L4429" i="1"/>
  <c r="L4417" i="1"/>
  <c r="L4393" i="1"/>
  <c r="L4381" i="1"/>
  <c r="L4369" i="1"/>
  <c r="L4345" i="1"/>
  <c r="L969" i="1"/>
  <c r="L963" i="1"/>
  <c r="L957" i="1"/>
  <c r="L945" i="1"/>
  <c r="L897" i="1"/>
  <c r="L891" i="1"/>
  <c r="L885" i="1"/>
  <c r="L879" i="1"/>
  <c r="L873" i="1"/>
  <c r="L867" i="1"/>
  <c r="L855" i="1"/>
  <c r="L849" i="1"/>
  <c r="L807" i="1"/>
  <c r="L795" i="1"/>
  <c r="L789" i="1"/>
  <c r="L759" i="1"/>
  <c r="L753" i="1"/>
  <c r="L747" i="1"/>
  <c r="L741" i="1"/>
  <c r="L735" i="1"/>
  <c r="L729" i="1"/>
  <c r="L705" i="1"/>
  <c r="L699" i="1"/>
  <c r="L693" i="1"/>
  <c r="L681" i="1"/>
  <c r="L675" i="1"/>
  <c r="L669" i="1"/>
  <c r="L663" i="1"/>
  <c r="L657" i="1"/>
  <c r="L633" i="1"/>
  <c r="L627" i="1"/>
  <c r="L621" i="1"/>
  <c r="L603" i="1"/>
  <c r="L597" i="1"/>
  <c r="L591" i="1"/>
  <c r="L573" i="1"/>
  <c r="L549" i="1"/>
  <c r="L531" i="1"/>
  <c r="L525" i="1"/>
  <c r="L519" i="1"/>
  <c r="L507" i="1"/>
  <c r="L495" i="1"/>
  <c r="L489" i="1"/>
  <c r="L483" i="1"/>
  <c r="L477" i="1"/>
  <c r="L471" i="1"/>
  <c r="L465" i="1"/>
  <c r="L459" i="1"/>
  <c r="L453" i="1"/>
  <c r="L447" i="1"/>
  <c r="L441" i="1"/>
  <c r="L435" i="1"/>
  <c r="L423" i="1"/>
  <c r="L417" i="1"/>
  <c r="L411" i="1"/>
  <c r="L405" i="1"/>
  <c r="L393" i="1"/>
  <c r="L381" i="1"/>
  <c r="L375" i="1"/>
  <c r="L369" i="1"/>
  <c r="L363" i="1"/>
  <c r="L357" i="1"/>
  <c r="L351" i="1"/>
  <c r="L345" i="1"/>
  <c r="L339" i="1"/>
  <c r="L321" i="1"/>
  <c r="L315" i="1"/>
  <c r="L309" i="1"/>
  <c r="L297" i="1"/>
  <c r="L291" i="1"/>
  <c r="L279" i="1"/>
  <c r="L273" i="1"/>
  <c r="L267" i="1"/>
  <c r="L261" i="1"/>
  <c r="L249" i="1"/>
  <c r="L243" i="1"/>
  <c r="L231" i="1"/>
  <c r="L219" i="1"/>
  <c r="L213" i="1"/>
  <c r="L207" i="1"/>
  <c r="L195" i="1"/>
  <c r="L189" i="1"/>
  <c r="L177" i="1"/>
  <c r="L165" i="1"/>
  <c r="L159" i="1"/>
  <c r="L153" i="1"/>
  <c r="L147" i="1"/>
  <c r="L123" i="1"/>
  <c r="L105" i="1"/>
  <c r="L99" i="1"/>
  <c r="L93" i="1"/>
  <c r="L87" i="1"/>
  <c r="L81" i="1"/>
  <c r="L75" i="1"/>
  <c r="L69" i="1"/>
  <c r="L45" i="1"/>
  <c r="L39" i="1"/>
  <c r="L33" i="1"/>
  <c r="L15" i="1"/>
  <c r="L4333" i="1"/>
  <c r="L4321" i="1"/>
  <c r="L4309" i="1"/>
  <c r="L4285" i="1"/>
  <c r="L4261" i="1"/>
  <c r="L4249" i="1"/>
  <c r="L4237" i="1"/>
  <c r="L4213" i="1"/>
  <c r="L4201" i="1"/>
  <c r="L4189" i="1"/>
  <c r="L4177" i="1"/>
  <c r="L4165" i="1"/>
  <c r="L4153" i="1"/>
  <c r="L4141" i="1"/>
  <c r="L4129" i="1"/>
  <c r="L4117" i="1"/>
  <c r="L4105" i="1"/>
  <c r="L4093" i="1"/>
  <c r="L4081" i="1"/>
  <c r="L4069" i="1"/>
  <c r="L4045" i="1"/>
  <c r="L4033" i="1"/>
  <c r="L4021" i="1"/>
  <c r="L4009" i="1"/>
  <c r="L3997" i="1"/>
  <c r="L3985" i="1"/>
  <c r="L3973" i="1"/>
  <c r="L3961" i="1"/>
  <c r="L3949" i="1"/>
  <c r="L3937" i="1"/>
  <c r="L3925" i="1"/>
  <c r="L3913" i="1"/>
  <c r="L3901" i="1"/>
  <c r="L3889" i="1"/>
  <c r="L3877" i="1"/>
  <c r="L3865" i="1"/>
  <c r="L3853" i="1"/>
  <c r="L3841" i="1"/>
  <c r="L3829" i="1"/>
  <c r="L3817" i="1"/>
  <c r="L3781" i="1"/>
  <c r="L3757" i="1"/>
  <c r="L3745" i="1"/>
  <c r="L3733" i="1"/>
  <c r="L3721" i="1"/>
  <c r="L3709" i="1"/>
  <c r="L3697" i="1"/>
  <c r="L3685" i="1"/>
  <c r="L3673" i="1"/>
  <c r="L3661" i="1"/>
  <c r="L3649" i="1"/>
  <c r="L3637" i="1"/>
  <c r="L3625" i="1"/>
  <c r="L3613" i="1"/>
  <c r="L3601" i="1"/>
  <c r="L3589" i="1"/>
  <c r="L3577" i="1"/>
  <c r="L3565" i="1"/>
  <c r="L3553" i="1"/>
  <c r="L3541" i="1"/>
  <c r="L3529" i="1"/>
  <c r="L3517" i="1"/>
  <c r="L3505" i="1"/>
  <c r="L3493" i="1"/>
  <c r="L3481" i="1"/>
  <c r="L3457" i="1"/>
  <c r="L3433" i="1"/>
  <c r="L3409" i="1"/>
  <c r="L3397" i="1"/>
  <c r="L3385" i="1"/>
  <c r="L3373" i="1"/>
  <c r="L3361" i="1"/>
  <c r="L3349" i="1"/>
  <c r="L3325" i="1"/>
  <c r="L3277" i="1"/>
  <c r="L3265" i="1"/>
  <c r="L3253" i="1"/>
  <c r="L3241" i="1"/>
  <c r="L3217" i="1"/>
  <c r="L3205" i="1"/>
  <c r="L3193" i="1"/>
  <c r="L3157" i="1"/>
  <c r="L3133" i="1"/>
  <c r="L3121" i="1"/>
  <c r="L3109" i="1"/>
  <c r="L3085" i="1"/>
  <c r="L3073" i="1"/>
  <c r="L3049" i="1"/>
  <c r="L3037" i="1"/>
  <c r="L3025" i="1"/>
  <c r="L3013" i="1"/>
  <c r="L3001" i="1"/>
  <c r="L2977" i="1"/>
  <c r="L2965" i="1"/>
  <c r="L2941" i="1"/>
  <c r="L2929" i="1"/>
  <c r="L2917" i="1"/>
  <c r="L2905" i="1"/>
  <c r="L2893" i="1"/>
  <c r="L2881" i="1"/>
  <c r="L2869" i="1"/>
  <c r="L2857" i="1"/>
  <c r="L2845" i="1"/>
  <c r="L2821" i="1"/>
  <c r="L2809" i="1"/>
  <c r="L2797" i="1"/>
  <c r="L2785" i="1"/>
  <c r="L2749" i="1"/>
  <c r="L2725" i="1"/>
  <c r="L2701" i="1"/>
  <c r="L2689" i="1"/>
  <c r="L2677" i="1"/>
  <c r="L2665" i="1"/>
  <c r="L2653" i="1"/>
  <c r="L2629" i="1"/>
  <c r="L2617" i="1"/>
  <c r="L2593" i="1"/>
  <c r="L2581" i="1"/>
  <c r="L2569" i="1"/>
  <c r="L2557" i="1"/>
  <c r="L2545" i="1"/>
  <c r="L2533" i="1"/>
  <c r="L2521" i="1"/>
  <c r="L2509" i="1"/>
  <c r="L2485" i="1"/>
  <c r="L2473" i="1"/>
  <c r="L2461" i="1"/>
  <c r="L2449" i="1"/>
  <c r="L2437" i="1"/>
  <c r="L2425" i="1"/>
  <c r="L2413" i="1"/>
  <c r="L2401" i="1"/>
  <c r="L2389" i="1"/>
  <c r="L2377" i="1"/>
  <c r="L2365" i="1"/>
  <c r="L2353" i="1"/>
  <c r="L2341" i="1"/>
  <c r="L2329" i="1"/>
  <c r="L2317" i="1"/>
  <c r="L2293" i="1"/>
  <c r="L2281" i="1"/>
  <c r="L2269" i="1"/>
  <c r="L2257" i="1"/>
  <c r="L2245" i="1"/>
  <c r="L2221" i="1"/>
  <c r="L2209" i="1"/>
  <c r="L2197" i="1"/>
  <c r="L2185" i="1"/>
  <c r="L2173" i="1"/>
  <c r="L2161" i="1"/>
  <c r="L2149" i="1"/>
  <c r="L2137" i="1"/>
  <c r="L2125" i="1"/>
  <c r="L2113" i="1"/>
  <c r="L2101" i="1"/>
  <c r="L2089" i="1"/>
  <c r="L2077" i="1"/>
  <c r="L2065" i="1"/>
  <c r="L2053" i="1"/>
  <c r="L1993" i="1"/>
  <c r="L1981" i="1"/>
  <c r="L1969" i="1"/>
  <c r="L1957" i="1"/>
  <c r="L1945" i="1"/>
  <c r="L1933" i="1"/>
  <c r="L1921" i="1"/>
  <c r="L1897" i="1"/>
  <c r="L1873" i="1"/>
  <c r="L1849" i="1"/>
  <c r="L1825" i="1"/>
  <c r="L1813" i="1"/>
  <c r="L1801" i="1"/>
  <c r="L1789" i="1"/>
  <c r="L1777" i="1"/>
  <c r="L1765" i="1"/>
  <c r="L1753" i="1"/>
  <c r="L1741" i="1"/>
  <c r="L1729" i="1"/>
  <c r="L1717" i="1"/>
  <c r="L1705" i="1"/>
  <c r="L1693" i="1"/>
  <c r="L1681" i="1"/>
  <c r="L1657" i="1"/>
  <c r="L1645" i="1"/>
  <c r="L1633" i="1"/>
  <c r="L1621" i="1"/>
  <c r="L1585" i="1"/>
  <c r="L1549" i="1"/>
  <c r="L1537" i="1"/>
  <c r="L1525" i="1"/>
  <c r="L1501" i="1"/>
  <c r="L1489" i="1"/>
  <c r="L1477" i="1"/>
  <c r="L1465" i="1"/>
  <c r="L1453" i="1"/>
  <c r="L1429" i="1"/>
  <c r="L1405" i="1"/>
  <c r="L1393" i="1"/>
  <c r="L1357" i="1"/>
  <c r="L1345" i="1"/>
  <c r="L1333" i="1"/>
  <c r="L1321" i="1"/>
  <c r="L1285" i="1"/>
  <c r="L1261" i="1"/>
  <c r="L1237" i="1"/>
  <c r="L3281" i="1"/>
  <c r="L1225" i="1"/>
  <c r="L1213" i="1"/>
  <c r="L1201" i="1"/>
  <c r="L1189" i="1"/>
  <c r="L1165" i="1"/>
  <c r="L1153" i="1"/>
  <c r="L1141" i="1"/>
  <c r="L1117" i="1"/>
  <c r="L1093" i="1"/>
  <c r="L1081" i="1"/>
  <c r="L1069" i="1"/>
  <c r="L1057" i="1"/>
  <c r="L1033" i="1"/>
  <c r="L973" i="1"/>
  <c r="L961" i="1"/>
  <c r="L913" i="1"/>
  <c r="L901" i="1"/>
  <c r="L889" i="1"/>
  <c r="L877" i="1"/>
  <c r="L865" i="1"/>
  <c r="L853" i="1"/>
  <c r="L841" i="1"/>
  <c r="L829" i="1"/>
  <c r="L817" i="1"/>
  <c r="L805" i="1"/>
  <c r="L793" i="1"/>
  <c r="L781" i="1"/>
  <c r="L769" i="1"/>
  <c r="L757" i="1"/>
  <c r="L745" i="1"/>
  <c r="L733" i="1"/>
  <c r="L721" i="1"/>
  <c r="L697" i="1"/>
  <c r="L685" i="1"/>
  <c r="L673" i="1"/>
  <c r="L661" i="1"/>
  <c r="L649" i="1"/>
  <c r="L637" i="1"/>
  <c r="L625" i="1"/>
  <c r="L613" i="1"/>
  <c r="L601" i="1"/>
  <c r="L577" i="1"/>
  <c r="L565" i="1"/>
  <c r="L553" i="1"/>
  <c r="L541" i="1"/>
  <c r="L529" i="1"/>
  <c r="L505" i="1"/>
  <c r="L493" i="1"/>
  <c r="L481" i="1"/>
  <c r="L469" i="1"/>
  <c r="L457" i="1"/>
  <c r="L445" i="1"/>
  <c r="L433" i="1"/>
  <c r="L421" i="1"/>
  <c r="L409" i="1"/>
  <c r="L397" i="1"/>
  <c r="L385" i="1"/>
  <c r="L373" i="1"/>
  <c r="L361" i="1"/>
  <c r="L349" i="1"/>
  <c r="L325" i="1"/>
  <c r="L313" i="1"/>
  <c r="L289" i="1"/>
  <c r="L277" i="1"/>
  <c r="L265" i="1"/>
  <c r="L241" i="1"/>
  <c r="L229" i="1"/>
  <c r="L217" i="1"/>
  <c r="L205" i="1"/>
  <c r="L193" i="1"/>
  <c r="L181" i="1"/>
  <c r="L169" i="1"/>
  <c r="L157" i="1"/>
  <c r="L145" i="1"/>
  <c r="L121" i="1"/>
  <c r="L109" i="1"/>
  <c r="L97" i="1"/>
  <c r="L85" i="1"/>
  <c r="L73" i="1"/>
  <c r="L61" i="1"/>
  <c r="L49" i="1"/>
  <c r="L25" i="1"/>
  <c r="L3149" i="1"/>
  <c r="L3125" i="1"/>
  <c r="L3089" i="1"/>
  <c r="L2981" i="1"/>
  <c r="L2969" i="1"/>
  <c r="L2957" i="1"/>
  <c r="L2933" i="1"/>
  <c r="L2861" i="1"/>
  <c r="L2849" i="1"/>
  <c r="L2681" i="1"/>
  <c r="L2633" i="1"/>
  <c r="L2549" i="1"/>
  <c r="L2537" i="1"/>
  <c r="L2513" i="1"/>
  <c r="L2477" i="1"/>
  <c r="L2405" i="1"/>
  <c r="L2393" i="1"/>
  <c r="L2357" i="1"/>
  <c r="L2285" i="1"/>
  <c r="L2177" i="1"/>
  <c r="L2165" i="1"/>
  <c r="L2141" i="1"/>
  <c r="L2093" i="1"/>
  <c r="L1997" i="1"/>
  <c r="L1985" i="1"/>
  <c r="L1973" i="1"/>
  <c r="L1913" i="1"/>
  <c r="L1901" i="1"/>
  <c r="L1841" i="1"/>
  <c r="L1805" i="1"/>
  <c r="L13" i="1"/>
  <c r="L12" i="1"/>
  <c r="L2039" i="1"/>
  <c r="L2027" i="1"/>
  <c r="L2015" i="1"/>
  <c r="L1991" i="1"/>
  <c r="L1979" i="1"/>
  <c r="L1967" i="1"/>
  <c r="L1955" i="1"/>
  <c r="L1943" i="1"/>
  <c r="L1931" i="1"/>
  <c r="L1919" i="1"/>
  <c r="L1895" i="1"/>
  <c r="L1883" i="1"/>
  <c r="L1859" i="1"/>
  <c r="L1847" i="1"/>
  <c r="L1823" i="1"/>
  <c r="L1811" i="1"/>
  <c r="L1799" i="1"/>
  <c r="L1787" i="1"/>
  <c r="L1763" i="1"/>
  <c r="L1751" i="1"/>
  <c r="L1727" i="1"/>
  <c r="L1691" i="1"/>
  <c r="L1679" i="1"/>
  <c r="L1655" i="1"/>
  <c r="L1631" i="1"/>
  <c r="L1607" i="1"/>
  <c r="L1595" i="1"/>
  <c r="L1583" i="1"/>
  <c r="L1571" i="1"/>
  <c r="L1559" i="1"/>
  <c r="L1547" i="1"/>
  <c r="L1535" i="1"/>
  <c r="L1499" i="1"/>
  <c r="L1487" i="1"/>
  <c r="L1475" i="1"/>
  <c r="L1463" i="1"/>
  <c r="L1451" i="1"/>
  <c r="L1427" i="1"/>
  <c r="L1403" i="1"/>
  <c r="L1367" i="1"/>
  <c r="L1355" i="1"/>
  <c r="L1343" i="1"/>
  <c r="L1331" i="1"/>
  <c r="L1319" i="1"/>
  <c r="L10" i="1"/>
  <c r="L8" i="1"/>
  <c r="L882" i="1"/>
  <c r="L702" i="1"/>
  <c r="L534" i="1"/>
  <c r="L330" i="1"/>
  <c r="L1793" i="1"/>
  <c r="L1733" i="1"/>
  <c r="L1697" i="1"/>
  <c r="L1649" i="1"/>
  <c r="L1577" i="1"/>
  <c r="L1565" i="1"/>
  <c r="L1541" i="1"/>
  <c r="L1481" i="1"/>
  <c r="L1457" i="1"/>
  <c r="L1409" i="1"/>
  <c r="L1385" i="1"/>
  <c r="L1349" i="1"/>
  <c r="L1337" i="1"/>
  <c r="L1325" i="1"/>
  <c r="L1277" i="1"/>
  <c r="L1265" i="1"/>
  <c r="L1241" i="1"/>
  <c r="L1217" i="1"/>
  <c r="L1205" i="1"/>
  <c r="L1193" i="1"/>
  <c r="L1181" i="1"/>
  <c r="L1157" i="1"/>
  <c r="L1121" i="1"/>
  <c r="L1073" i="1"/>
  <c r="L1061" i="1"/>
  <c r="L1025" i="1"/>
  <c r="L989" i="1"/>
  <c r="L977" i="1"/>
  <c r="L953" i="1"/>
  <c r="L929" i="1"/>
  <c r="L917" i="1"/>
  <c r="L905" i="1"/>
  <c r="L893" i="1"/>
  <c r="L881" i="1"/>
  <c r="L845" i="1"/>
  <c r="L821" i="1"/>
  <c r="L797" i="1"/>
  <c r="L785" i="1"/>
  <c r="L773" i="1"/>
  <c r="L725" i="1"/>
  <c r="L713" i="1"/>
  <c r="L701" i="1"/>
  <c r="L689" i="1"/>
  <c r="L665" i="1"/>
  <c r="L653" i="1"/>
  <c r="L641" i="1"/>
  <c r="L629" i="1"/>
  <c r="L605" i="1"/>
  <c r="L593" i="1"/>
  <c r="L533" i="1"/>
  <c r="L509" i="1"/>
  <c r="L497" i="1"/>
  <c r="L473" i="1"/>
  <c r="L449" i="1"/>
  <c r="L437" i="1"/>
  <c r="L425" i="1"/>
  <c r="L413" i="1"/>
  <c r="L377" i="1"/>
  <c r="L365" i="1"/>
  <c r="L233" i="1"/>
  <c r="L209" i="1"/>
  <c r="L185" i="1"/>
  <c r="L161" i="1"/>
  <c r="L101" i="1"/>
  <c r="L53" i="1"/>
  <c r="L29" i="1"/>
  <c r="L1307" i="1"/>
  <c r="L1283" i="1"/>
  <c r="L1271" i="1"/>
  <c r="L1247" i="1"/>
  <c r="L1235" i="1"/>
  <c r="L1223" i="1"/>
  <c r="L1211" i="1"/>
  <c r="L1199" i="1"/>
  <c r="L1139" i="1"/>
  <c r="L1127" i="1"/>
  <c r="L1115" i="1"/>
  <c r="L1103" i="1"/>
  <c r="L1091" i="1"/>
  <c r="L1079" i="1"/>
  <c r="L1067" i="1"/>
  <c r="L1055" i="1"/>
  <c r="L1043" i="1"/>
  <c r="L1031" i="1"/>
  <c r="L995" i="1"/>
  <c r="L983" i="1"/>
  <c r="L971" i="1"/>
  <c r="L947" i="1"/>
  <c r="L923" i="1"/>
  <c r="L911" i="1"/>
  <c r="L899" i="1"/>
  <c r="L887" i="1"/>
  <c r="L875" i="1"/>
  <c r="L851" i="1"/>
  <c r="L839" i="1"/>
  <c r="L827" i="1"/>
  <c r="L815" i="1"/>
  <c r="L803" i="1"/>
  <c r="L791" i="1"/>
  <c r="L779" i="1"/>
  <c r="L767" i="1"/>
  <c r="L755" i="1"/>
  <c r="L743" i="1"/>
  <c r="L731" i="1"/>
  <c r="L719" i="1"/>
  <c r="L707" i="1"/>
  <c r="L695" i="1"/>
  <c r="L683" i="1"/>
  <c r="L671" i="1"/>
  <c r="L659" i="1"/>
  <c r="L647" i="1"/>
  <c r="L635" i="1"/>
  <c r="L623" i="1"/>
  <c r="L611" i="1"/>
  <c r="L599" i="1"/>
  <c r="L551" i="1"/>
  <c r="L515" i="1"/>
  <c r="L503" i="1"/>
  <c r="L491" i="1"/>
  <c r="L479" i="1"/>
  <c r="L467" i="1"/>
  <c r="L455" i="1"/>
  <c r="L443" i="1"/>
  <c r="L431" i="1"/>
  <c r="L419" i="1"/>
  <c r="L407" i="1"/>
  <c r="L395" i="1"/>
  <c r="L383" i="1"/>
  <c r="L371" i="1"/>
  <c r="L359" i="1"/>
  <c r="L347" i="1"/>
  <c r="L335" i="1"/>
  <c r="L323" i="1"/>
  <c r="L311" i="1"/>
  <c r="L299" i="1"/>
  <c r="L287" i="1"/>
  <c r="L275" i="1"/>
  <c r="L263" i="1"/>
  <c r="L251" i="1"/>
  <c r="L227" i="1"/>
  <c r="L215" i="1"/>
  <c r="L191" i="1"/>
  <c r="L179" i="1"/>
  <c r="L167" i="1"/>
  <c r="L107" i="1"/>
  <c r="L83" i="1"/>
  <c r="L59" i="1"/>
  <c r="L47" i="1"/>
  <c r="L35" i="1"/>
  <c r="L23" i="1"/>
  <c r="L11" i="1"/>
  <c r="L1879" i="1"/>
  <c r="L1867" i="1"/>
  <c r="L1855" i="1"/>
  <c r="L1843" i="1"/>
  <c r="L1831" i="1"/>
  <c r="L1735" i="1"/>
  <c r="L1663" i="1"/>
  <c r="L1519" i="1"/>
  <c r="L1507" i="1"/>
  <c r="L1351" i="1"/>
  <c r="L1279" i="1"/>
  <c r="L1231" i="1"/>
  <c r="L1219" i="1"/>
  <c r="L1207" i="1"/>
  <c r="L1195" i="1"/>
  <c r="L1159" i="1"/>
  <c r="L1147" i="1"/>
  <c r="L1123" i="1"/>
  <c r="L1111" i="1"/>
  <c r="L1087" i="1"/>
  <c r="L1075" i="1"/>
  <c r="L1063" i="1"/>
  <c r="L1039" i="1"/>
  <c r="L1015" i="1"/>
  <c r="L1003" i="1"/>
  <c r="L991" i="1"/>
  <c r="L979" i="1"/>
  <c r="L967" i="1"/>
  <c r="L919" i="1"/>
  <c r="L907" i="1"/>
  <c r="L895" i="1"/>
  <c r="L883" i="1"/>
  <c r="L871" i="1"/>
  <c r="L823" i="1"/>
  <c r="L811" i="1"/>
  <c r="L799" i="1"/>
  <c r="L787" i="1"/>
  <c r="L775" i="1"/>
  <c r="L763" i="1"/>
  <c r="L751" i="1"/>
  <c r="L727" i="1"/>
  <c r="L715" i="1"/>
  <c r="L703" i="1"/>
  <c r="L691" i="1"/>
  <c r="L679" i="1"/>
  <c r="L667" i="1"/>
  <c r="L655" i="1"/>
  <c r="L631" i="1"/>
  <c r="L619" i="1"/>
  <c r="L607" i="1"/>
  <c r="L595" i="1"/>
  <c r="L583" i="1"/>
  <c r="L547" i="1"/>
  <c r="L535" i="1"/>
  <c r="L523" i="1"/>
  <c r="L511" i="1"/>
  <c r="L499" i="1"/>
  <c r="L487" i="1"/>
  <c r="L475" i="1"/>
  <c r="L463" i="1"/>
  <c r="L451" i="1"/>
  <c r="L439" i="1"/>
  <c r="L427" i="1"/>
  <c r="L415" i="1"/>
  <c r="L403" i="1"/>
  <c r="L391" i="1"/>
  <c r="L379" i="1"/>
  <c r="L367" i="1"/>
  <c r="L355" i="1"/>
  <c r="L343" i="1"/>
  <c r="L331" i="1"/>
  <c r="L319" i="1"/>
  <c r="L307" i="1"/>
  <c r="L295" i="1"/>
  <c r="L283" i="1"/>
  <c r="L271" i="1"/>
  <c r="L259" i="1"/>
  <c r="L247" i="1"/>
  <c r="L235" i="1"/>
  <c r="L223" i="1"/>
  <c r="L211" i="1"/>
  <c r="L199" i="1"/>
  <c r="L187" i="1"/>
  <c r="L175" i="1"/>
  <c r="L163" i="1"/>
  <c r="L151" i="1"/>
  <c r="L139" i="1"/>
  <c r="L127" i="1"/>
  <c r="L115" i="1"/>
  <c r="L103" i="1"/>
  <c r="L91" i="1"/>
  <c r="L79" i="1"/>
  <c r="L67" i="1"/>
  <c r="L55" i="1"/>
  <c r="L43" i="1"/>
  <c r="L31" i="1"/>
</calcChain>
</file>

<file path=xl/sharedStrings.xml><?xml version="1.0" encoding="utf-8"?>
<sst xmlns="http://schemas.openxmlformats.org/spreadsheetml/2006/main" count="26453" uniqueCount="3376">
  <si>
    <t>SURNAME</t>
  </si>
  <si>
    <t>FIRST NAME</t>
  </si>
  <si>
    <t>HBMa</t>
  </si>
  <si>
    <t>Adler</t>
  </si>
  <si>
    <t>Juda</t>
  </si>
  <si>
    <t>Austerlitz</t>
  </si>
  <si>
    <t>David</t>
  </si>
  <si>
    <t>Libuscha</t>
  </si>
  <si>
    <t>Isaias</t>
  </si>
  <si>
    <t>Emanuel</t>
  </si>
  <si>
    <t>Selligman</t>
  </si>
  <si>
    <t>Rebeka</t>
  </si>
  <si>
    <t>Jakob</t>
  </si>
  <si>
    <t>Moyses</t>
  </si>
  <si>
    <t>Barbara</t>
  </si>
  <si>
    <t>Enoch</t>
  </si>
  <si>
    <t>Benjamin</t>
  </si>
  <si>
    <t>Sallomon</t>
  </si>
  <si>
    <t>Rachel</t>
  </si>
  <si>
    <t>Mariany</t>
  </si>
  <si>
    <t>Mariane</t>
  </si>
  <si>
    <t>Markus</t>
  </si>
  <si>
    <t>Lea</t>
  </si>
  <si>
    <t>Sara</t>
  </si>
  <si>
    <t>Salomon</t>
  </si>
  <si>
    <t>Marie</t>
  </si>
  <si>
    <t>Joseph</t>
  </si>
  <si>
    <t>Bachrach</t>
  </si>
  <si>
    <t>Baruch</t>
  </si>
  <si>
    <t>Brok</t>
  </si>
  <si>
    <t>Katharine</t>
  </si>
  <si>
    <t>Ber?</t>
  </si>
  <si>
    <t>Bek</t>
  </si>
  <si>
    <t>?</t>
  </si>
  <si>
    <t>Isak</t>
  </si>
  <si>
    <t>Bauer</t>
  </si>
  <si>
    <t>Jüttl</t>
  </si>
  <si>
    <t>Budschowitz</t>
  </si>
  <si>
    <t>Sellig</t>
  </si>
  <si>
    <t>Zwilla</t>
  </si>
  <si>
    <t>Joachim</t>
  </si>
  <si>
    <t>Beinkelis</t>
  </si>
  <si>
    <t>Scha?d</t>
  </si>
  <si>
    <t>Heskl</t>
  </si>
  <si>
    <t>Samuel</t>
  </si>
  <si>
    <t>Nathan Löw</t>
  </si>
  <si>
    <t>Joseph Samuel</t>
  </si>
  <si>
    <t>Bernstein</t>
  </si>
  <si>
    <t>Braun</t>
  </si>
  <si>
    <t>Lazar</t>
  </si>
  <si>
    <t>Abraham</t>
  </si>
  <si>
    <t>Johanna</t>
  </si>
  <si>
    <t>Juda Löw</t>
  </si>
  <si>
    <t>Alexander</t>
  </si>
  <si>
    <t>Beck</t>
  </si>
  <si>
    <t>Latzar</t>
  </si>
  <si>
    <t>Katharina</t>
  </si>
  <si>
    <t>Bergman</t>
  </si>
  <si>
    <t>Simon</t>
  </si>
  <si>
    <t>Ester</t>
  </si>
  <si>
    <t>Adam</t>
  </si>
  <si>
    <t>Abraham Nathan</t>
  </si>
  <si>
    <t>Zibula</t>
  </si>
  <si>
    <t>Bonda</t>
  </si>
  <si>
    <t>Gabriel</t>
  </si>
  <si>
    <t>Israel</t>
  </si>
  <si>
    <t>Selligman Nathan</t>
  </si>
  <si>
    <t>Paula</t>
  </si>
  <si>
    <t>Markus Löw</t>
  </si>
  <si>
    <t>Ber</t>
  </si>
  <si>
    <t>Löw</t>
  </si>
  <si>
    <t>Samson</t>
  </si>
  <si>
    <t>Lazar?</t>
  </si>
  <si>
    <t>Barth</t>
  </si>
  <si>
    <t>Aron</t>
  </si>
  <si>
    <t>Hershman</t>
  </si>
  <si>
    <t>Theresia</t>
  </si>
  <si>
    <t>Daniel</t>
  </si>
  <si>
    <t>Jonath</t>
  </si>
  <si>
    <t>Baumgarten</t>
  </si>
  <si>
    <t>Sallo</t>
  </si>
  <si>
    <t>Seligman</t>
  </si>
  <si>
    <t>Bondi</t>
  </si>
  <si>
    <t>Selig</t>
  </si>
  <si>
    <t>Juda Moyse</t>
  </si>
  <si>
    <t>Jüdel</t>
  </si>
  <si>
    <t>Demuth</t>
  </si>
  <si>
    <t>Ewa</t>
  </si>
  <si>
    <t>Eva</t>
  </si>
  <si>
    <t>Jachym</t>
  </si>
  <si>
    <t>Hermina</t>
  </si>
  <si>
    <t>Sofie</t>
  </si>
  <si>
    <t>Anna</t>
  </si>
  <si>
    <t>Wolf</t>
  </si>
  <si>
    <t>Joseph Abraham</t>
  </si>
  <si>
    <t>Beer</t>
  </si>
  <si>
    <t>Philipp</t>
  </si>
  <si>
    <t>Philliph</t>
  </si>
  <si>
    <t>Bodasher</t>
  </si>
  <si>
    <t>Gottlieb</t>
  </si>
  <si>
    <t>Nathan</t>
  </si>
  <si>
    <t>Aron Löw</t>
  </si>
  <si>
    <t>Bassist</t>
  </si>
  <si>
    <t>Pauline</t>
  </si>
  <si>
    <t>Fait</t>
  </si>
  <si>
    <t>Magdalena</t>
  </si>
  <si>
    <t>Bondy</t>
  </si>
  <si>
    <t>Apolony</t>
  </si>
  <si>
    <t>Susany</t>
  </si>
  <si>
    <t>Johan</t>
  </si>
  <si>
    <t>?ony</t>
  </si>
  <si>
    <t>Bak</t>
  </si>
  <si>
    <t>Naphtaly</t>
  </si>
  <si>
    <t>Beinkeles</t>
  </si>
  <si>
    <t>Rössl</t>
  </si>
  <si>
    <t>Martha</t>
  </si>
  <si>
    <t>Elisabetha</t>
  </si>
  <si>
    <t>Elise</t>
  </si>
  <si>
    <t>Josef (grandfather)</t>
  </si>
  <si>
    <t>Isak (grandfather)</t>
  </si>
  <si>
    <t>Johana</t>
  </si>
  <si>
    <t>Butschowitz</t>
  </si>
  <si>
    <t>Elias</t>
  </si>
  <si>
    <t>Franziska</t>
  </si>
  <si>
    <t>Berger</t>
  </si>
  <si>
    <t>Libusha</t>
  </si>
  <si>
    <t>Demuta</t>
  </si>
  <si>
    <t>Elia</t>
  </si>
  <si>
    <t>Mayer</t>
  </si>
  <si>
    <t>Hermine</t>
  </si>
  <si>
    <t>Sallomina</t>
  </si>
  <si>
    <t>Mana</t>
  </si>
  <si>
    <t>Kopelman</t>
  </si>
  <si>
    <t>Josua</t>
  </si>
  <si>
    <t>Salomina</t>
  </si>
  <si>
    <t>Fanni</t>
  </si>
  <si>
    <t>Babetha</t>
  </si>
  <si>
    <t>Judith</t>
  </si>
  <si>
    <t>Johann</t>
  </si>
  <si>
    <t>Johann Samuel</t>
  </si>
  <si>
    <t>Karharine</t>
  </si>
  <si>
    <t>Breger</t>
  </si>
  <si>
    <t>Salomie</t>
  </si>
  <si>
    <t>Paulina</t>
  </si>
  <si>
    <t>Babeth</t>
  </si>
  <si>
    <t>Rosalia</t>
  </si>
  <si>
    <t>Pinkas</t>
  </si>
  <si>
    <t>Sallomia</t>
  </si>
  <si>
    <t>Juda Lew</t>
  </si>
  <si>
    <t>Sesany</t>
  </si>
  <si>
    <t>Rosie</t>
  </si>
  <si>
    <t>Butshcowitz</t>
  </si>
  <si>
    <t>Moyse</t>
  </si>
  <si>
    <t>Berington</t>
  </si>
  <si>
    <t>Fudement</t>
  </si>
  <si>
    <t>Hani</t>
  </si>
  <si>
    <t>Rosalie</t>
  </si>
  <si>
    <t>Dürheim</t>
  </si>
  <si>
    <t>Diamand</t>
  </si>
  <si>
    <t>Danik</t>
  </si>
  <si>
    <t>Jachim</t>
  </si>
  <si>
    <t>Durheim</t>
  </si>
  <si>
    <t>Bernath</t>
  </si>
  <si>
    <t>Epstein</t>
  </si>
  <si>
    <t>Exel</t>
  </si>
  <si>
    <t>Bebran</t>
  </si>
  <si>
    <t>Ezechiel</t>
  </si>
  <si>
    <t>Michal</t>
  </si>
  <si>
    <t>Manasses</t>
  </si>
  <si>
    <t>Juditha</t>
  </si>
  <si>
    <t>Salomia</t>
  </si>
  <si>
    <t>Englander</t>
  </si>
  <si>
    <t>Karolina</t>
  </si>
  <si>
    <t>Heberon</t>
  </si>
  <si>
    <t>Gottlein</t>
  </si>
  <si>
    <t>Fegele</t>
  </si>
  <si>
    <t>Fleischman</t>
  </si>
  <si>
    <t>Rössel</t>
  </si>
  <si>
    <t>Salamon</t>
  </si>
  <si>
    <t>Fysel</t>
  </si>
  <si>
    <t>Herschman</t>
  </si>
  <si>
    <t>Felix</t>
  </si>
  <si>
    <t>Michel</t>
  </si>
  <si>
    <t>Fleischer</t>
  </si>
  <si>
    <t>Frankel</t>
  </si>
  <si>
    <t>Fischer</t>
  </si>
  <si>
    <t>jakob</t>
  </si>
  <si>
    <t>Lebl</t>
  </si>
  <si>
    <t>Fux</t>
  </si>
  <si>
    <t>Fischman</t>
  </si>
  <si>
    <t>Friedman</t>
  </si>
  <si>
    <t>Elisabeth</t>
  </si>
  <si>
    <t>Fried</t>
  </si>
  <si>
    <t>Zibilla</t>
  </si>
  <si>
    <t>Herman</t>
  </si>
  <si>
    <t>Fuchs</t>
  </si>
  <si>
    <t>Amalia</t>
  </si>
  <si>
    <t>Josef</t>
  </si>
  <si>
    <t>Grünberger</t>
  </si>
  <si>
    <t>Jüttel</t>
  </si>
  <si>
    <t>Rachel Lea</t>
  </si>
  <si>
    <t>Gottfried</t>
  </si>
  <si>
    <t>Glasner</t>
  </si>
  <si>
    <t>Goldfried</t>
  </si>
  <si>
    <t>Gänsler</t>
  </si>
  <si>
    <t>Götz</t>
  </si>
  <si>
    <t>Hanyl</t>
  </si>
  <si>
    <t>Nafthaly</t>
  </si>
  <si>
    <t>Grossman</t>
  </si>
  <si>
    <t>Magdelina</t>
  </si>
  <si>
    <t>Theresie</t>
  </si>
  <si>
    <t>Danutha</t>
  </si>
  <si>
    <t>July</t>
  </si>
  <si>
    <t>Ganina</t>
  </si>
  <si>
    <t>Maximilian</t>
  </si>
  <si>
    <t>Schaloti</t>
  </si>
  <si>
    <t>Mari</t>
  </si>
  <si>
    <t>Hendl?</t>
  </si>
  <si>
    <t>Fromel</t>
  </si>
  <si>
    <t>Hermann</t>
  </si>
  <si>
    <t>Heimer</t>
  </si>
  <si>
    <t>Gelina</t>
  </si>
  <si>
    <t>Hochfeld</t>
  </si>
  <si>
    <t>Josua Juda</t>
  </si>
  <si>
    <t>Rosara</t>
  </si>
  <si>
    <t>Noa</t>
  </si>
  <si>
    <t>INDEX FOLIO PAGE</t>
  </si>
  <si>
    <t>Hofman</t>
  </si>
  <si>
    <t>Mariana</t>
  </si>
  <si>
    <t>Sarra</t>
  </si>
  <si>
    <t>Habrowsky</t>
  </si>
  <si>
    <t>Franzl</t>
  </si>
  <si>
    <t>Hesky</t>
  </si>
  <si>
    <t>Leopold</t>
  </si>
  <si>
    <t>Gerson</t>
  </si>
  <si>
    <t>Hausser</t>
  </si>
  <si>
    <t>Habrowski</t>
  </si>
  <si>
    <t>Katy</t>
  </si>
  <si>
    <t>Joachim Löb</t>
  </si>
  <si>
    <t>Josefa</t>
  </si>
  <si>
    <t>Judit</t>
  </si>
  <si>
    <t>Habowsky</t>
  </si>
  <si>
    <t>Hofmann</t>
  </si>
  <si>
    <t>Scharlotha</t>
  </si>
  <si>
    <t>Rossel</t>
  </si>
  <si>
    <t>Efraim</t>
  </si>
  <si>
    <t>Jelinek</t>
  </si>
  <si>
    <t>Jokel</t>
  </si>
  <si>
    <t>Jellinik</t>
  </si>
  <si>
    <t>Danuth</t>
  </si>
  <si>
    <t>Jelinik</t>
  </si>
  <si>
    <t>Fogl</t>
  </si>
  <si>
    <t>Sallomie</t>
  </si>
  <si>
    <t>Jamnitz</t>
  </si>
  <si>
    <t>Kurein</t>
  </si>
  <si>
    <t>Kohnberger</t>
  </si>
  <si>
    <t>Konrath</t>
  </si>
  <si>
    <t>Kourein</t>
  </si>
  <si>
    <t>Kotzka</t>
  </si>
  <si>
    <t>Kantor</t>
  </si>
  <si>
    <t>Konstein</t>
  </si>
  <si>
    <t>Konberger</t>
  </si>
  <si>
    <t>Korein</t>
  </si>
  <si>
    <t>Klein</t>
  </si>
  <si>
    <t>Hershmann</t>
  </si>
  <si>
    <t>Lissa</t>
  </si>
  <si>
    <t>Aron Hersch</t>
  </si>
  <si>
    <t>Koslitschek</t>
  </si>
  <si>
    <t>Phillip</t>
  </si>
  <si>
    <t>Danuth Herschman</t>
  </si>
  <si>
    <t>Konrein</t>
  </si>
  <si>
    <t>Kogerl</t>
  </si>
  <si>
    <t>Maryana</t>
  </si>
  <si>
    <t>Kontor</t>
  </si>
  <si>
    <t>Ana</t>
  </si>
  <si>
    <t>Kunrein</t>
  </si>
  <si>
    <t>Elonory</t>
  </si>
  <si>
    <t>Kognel</t>
  </si>
  <si>
    <t>Zibila</t>
  </si>
  <si>
    <t>Leonory</t>
  </si>
  <si>
    <t>Katel</t>
  </si>
  <si>
    <t>Sibilla</t>
  </si>
  <si>
    <t>Manna</t>
  </si>
  <si>
    <t>Fürst</t>
  </si>
  <si>
    <t>218-220?</t>
  </si>
  <si>
    <t>Herschl</t>
  </si>
  <si>
    <t>Salloman</t>
  </si>
  <si>
    <t>Josepha</t>
  </si>
  <si>
    <t>Sofia</t>
  </si>
  <si>
    <t>Joana</t>
  </si>
  <si>
    <t>Konrad</t>
  </si>
  <si>
    <t>Kotschka</t>
  </si>
  <si>
    <t>Mali</t>
  </si>
  <si>
    <t>Betha</t>
  </si>
  <si>
    <t>22?</t>
  </si>
  <si>
    <t>Ledizky</t>
  </si>
  <si>
    <t>Ledisky</t>
  </si>
  <si>
    <t>Ludwitz</t>
  </si>
  <si>
    <t>Marianne</t>
  </si>
  <si>
    <t>Rifka</t>
  </si>
  <si>
    <t>Telzs</t>
  </si>
  <si>
    <t>Letsher</t>
  </si>
  <si>
    <t>Laufer</t>
  </si>
  <si>
    <t>Lisa</t>
  </si>
  <si>
    <t>Sigmund</t>
  </si>
  <si>
    <t>Joseph Hersch</t>
  </si>
  <si>
    <t>Ledizkie</t>
  </si>
  <si>
    <t>Isak David</t>
  </si>
  <si>
    <t>Ledizki</t>
  </si>
  <si>
    <t>Lodner</t>
  </si>
  <si>
    <t>Maria</t>
  </si>
  <si>
    <t>Lederer</t>
  </si>
  <si>
    <t>Jakob Hersh</t>
  </si>
  <si>
    <t>Lek</t>
  </si>
  <si>
    <t>Leditzka</t>
  </si>
  <si>
    <t>Löwenthal</t>
  </si>
  <si>
    <t>Löwenfeld</t>
  </si>
  <si>
    <t>Löwenstein</t>
  </si>
  <si>
    <t>Löwenstamm</t>
  </si>
  <si>
    <t>Farnzl</t>
  </si>
  <si>
    <t>Ledner</t>
  </si>
  <si>
    <t>Löwenthatl</t>
  </si>
  <si>
    <t>Isak Jachim</t>
  </si>
  <si>
    <t>Miryanna</t>
  </si>
  <si>
    <t>Ledowsky</t>
  </si>
  <si>
    <t>Betha?</t>
  </si>
  <si>
    <t>Löwenstam</t>
  </si>
  <si>
    <t>Libochowtiz</t>
  </si>
  <si>
    <t>Leditzky</t>
  </si>
  <si>
    <t>Manase</t>
  </si>
  <si>
    <t>Libochowitz</t>
  </si>
  <si>
    <t>Raphael</t>
  </si>
  <si>
    <t>Sellig Ledner</t>
  </si>
  <si>
    <t>Sallomin</t>
  </si>
  <si>
    <t>Franzika</t>
  </si>
  <si>
    <t>Aron Bauer</t>
  </si>
  <si>
    <t>Phillipp</t>
  </si>
  <si>
    <t>Magdaleny</t>
  </si>
  <si>
    <t>127a</t>
  </si>
  <si>
    <t>Leurer</t>
  </si>
  <si>
    <t>Leditzki</t>
  </si>
  <si>
    <t>Mary</t>
  </si>
  <si>
    <t>Minkel</t>
  </si>
  <si>
    <t>Ödel</t>
  </si>
  <si>
    <t>Megler</t>
  </si>
  <si>
    <t>Müller</t>
  </si>
  <si>
    <t>Miriandl</t>
  </si>
  <si>
    <t>Madalena</t>
  </si>
  <si>
    <t>Mekler</t>
  </si>
  <si>
    <t>Kattel</t>
  </si>
  <si>
    <t>Merkesel</t>
  </si>
  <si>
    <t>David Jakob</t>
  </si>
  <si>
    <t>Löb</t>
  </si>
  <si>
    <t>Neüner</t>
  </si>
  <si>
    <t>Sallabina</t>
  </si>
  <si>
    <t>Lisel</t>
  </si>
  <si>
    <t>David Hersh</t>
  </si>
  <si>
    <t>Neuner</t>
  </si>
  <si>
    <t>Ornstein</t>
  </si>
  <si>
    <t>Joanna</t>
  </si>
  <si>
    <t>Catharina</t>
  </si>
  <si>
    <t>Josefine</t>
  </si>
  <si>
    <t>Orinstein</t>
  </si>
  <si>
    <t>twin</t>
  </si>
  <si>
    <t>Polnauer</t>
  </si>
  <si>
    <t>Pollak</t>
  </si>
  <si>
    <t>Putzker</t>
  </si>
  <si>
    <t>Prager</t>
  </si>
  <si>
    <t>Susana</t>
  </si>
  <si>
    <t>Prinz</t>
  </si>
  <si>
    <t>Ignatz</t>
  </si>
  <si>
    <t>Joachim Jakob</t>
  </si>
  <si>
    <t>Josua Joachim</t>
  </si>
  <si>
    <t>Isak Hersh</t>
  </si>
  <si>
    <t>Gerson Löw</t>
  </si>
  <si>
    <t>Pick</t>
  </si>
  <si>
    <t>Pinzker</t>
  </si>
  <si>
    <t>Ignaz</t>
  </si>
  <si>
    <t>Ptatschek</t>
  </si>
  <si>
    <t>Jonas</t>
  </si>
  <si>
    <t>Polack</t>
  </si>
  <si>
    <t>Rosel</t>
  </si>
  <si>
    <t>Asher</t>
  </si>
  <si>
    <t>Danotha</t>
  </si>
  <si>
    <t>Marany</t>
  </si>
  <si>
    <t>Marianny</t>
  </si>
  <si>
    <t>Poper</t>
  </si>
  <si>
    <t>Rubin Lebl</t>
  </si>
  <si>
    <t>Moyses Beer</t>
  </si>
  <si>
    <t>Joahcim</t>
  </si>
  <si>
    <t>Polak</t>
  </si>
  <si>
    <t>Puzker</t>
  </si>
  <si>
    <t>Juda Low</t>
  </si>
  <si>
    <t>Popper</t>
  </si>
  <si>
    <t>Michl</t>
  </si>
  <si>
    <t>Printz</t>
  </si>
  <si>
    <t>Napthaly</t>
  </si>
  <si>
    <t>Libusch</t>
  </si>
  <si>
    <t>Regina</t>
  </si>
  <si>
    <t>Reich</t>
  </si>
  <si>
    <t>Efraim Löb</t>
  </si>
  <si>
    <t>Reckendorf</t>
  </si>
  <si>
    <t>Rosenberger</t>
  </si>
  <si>
    <t>Rogner?</t>
  </si>
  <si>
    <t>Paulla</t>
  </si>
  <si>
    <t>Rosenberg</t>
  </si>
  <si>
    <t>Rachel/Rebeka</t>
  </si>
  <si>
    <t>Reininger</t>
  </si>
  <si>
    <t>Rozner</t>
  </si>
  <si>
    <t>Rosenthal</t>
  </si>
  <si>
    <t>Riess</t>
  </si>
  <si>
    <t>Marrht</t>
  </si>
  <si>
    <t>Osoays</t>
  </si>
  <si>
    <t>Manesses</t>
  </si>
  <si>
    <t>Rosenblüh</t>
  </si>
  <si>
    <t>Rudolph</t>
  </si>
  <si>
    <t>Wirtheimer</t>
  </si>
  <si>
    <t>Wirtheim</t>
  </si>
  <si>
    <t>Isak (..felig)</t>
  </si>
  <si>
    <t>Wertheimer</t>
  </si>
  <si>
    <t>Joachim Wolf</t>
  </si>
  <si>
    <t>Wirtheirm</t>
  </si>
  <si>
    <t>Moses</t>
  </si>
  <si>
    <t>Lety</t>
  </si>
  <si>
    <t>Zily</t>
  </si>
  <si>
    <t>Libele</t>
  </si>
  <si>
    <t>Fany</t>
  </si>
  <si>
    <t>Pepi</t>
  </si>
  <si>
    <t>Jacob</t>
  </si>
  <si>
    <t>Josephina</t>
  </si>
  <si>
    <t>Jakob`</t>
  </si>
  <si>
    <t>Jeanette</t>
  </si>
  <si>
    <t>Max</t>
  </si>
  <si>
    <t>Joachiim Wolf</t>
  </si>
  <si>
    <t>Moritz</t>
  </si>
  <si>
    <t>Sigfried</t>
  </si>
  <si>
    <t>Henriette</t>
  </si>
  <si>
    <t>Juli</t>
  </si>
  <si>
    <t>Manfried</t>
  </si>
  <si>
    <t>Charlotte</t>
  </si>
  <si>
    <t>Ezechiel/Danuth</t>
  </si>
  <si>
    <t>Markus/Juditha</t>
  </si>
  <si>
    <t>Markus/Judith</t>
  </si>
  <si>
    <t>Simon/Judith</t>
  </si>
  <si>
    <t>Simon/Sara</t>
  </si>
  <si>
    <t>Isak/Maria</t>
  </si>
  <si>
    <t>Wohlmuth</t>
  </si>
  <si>
    <t>Jutel</t>
  </si>
  <si>
    <t>Josel Myose</t>
  </si>
  <si>
    <t>Winkler</t>
  </si>
  <si>
    <t>Zadek</t>
  </si>
  <si>
    <t>Wallentin</t>
  </si>
  <si>
    <t>Wiener</t>
  </si>
  <si>
    <t>Apolona</t>
  </si>
  <si>
    <t>Wormison</t>
  </si>
  <si>
    <t>Saurra</t>
  </si>
  <si>
    <t>Josl</t>
  </si>
  <si>
    <t>Wessely</t>
  </si>
  <si>
    <t>Wiess</t>
  </si>
  <si>
    <t>Wallis</t>
  </si>
  <si>
    <t>Wechsler</t>
  </si>
  <si>
    <t>Weisser</t>
  </si>
  <si>
    <t>Walentin</t>
  </si>
  <si>
    <t>Klara</t>
  </si>
  <si>
    <t>Naphthali</t>
  </si>
  <si>
    <t>Sophia</t>
  </si>
  <si>
    <t>Isack</t>
  </si>
  <si>
    <t>Dorothea</t>
  </si>
  <si>
    <t>Waletntin</t>
  </si>
  <si>
    <t>Hany</t>
  </si>
  <si>
    <t>Weil</t>
  </si>
  <si>
    <t>Wesseli</t>
  </si>
  <si>
    <t>Jetty</t>
  </si>
  <si>
    <t>Weinberger</t>
  </si>
  <si>
    <t>Herschel</t>
  </si>
  <si>
    <t>Saly</t>
  </si>
  <si>
    <t>Netty</t>
  </si>
  <si>
    <t>Adolf</t>
  </si>
  <si>
    <t>Bernard</t>
  </si>
  <si>
    <t>Katty</t>
  </si>
  <si>
    <t>MIchael</t>
  </si>
  <si>
    <t>Herrman</t>
  </si>
  <si>
    <t>Carolina</t>
  </si>
  <si>
    <t>Zem?</t>
  </si>
  <si>
    <t>Heinrich</t>
  </si>
  <si>
    <t>Weiss</t>
  </si>
  <si>
    <t>Abram</t>
  </si>
  <si>
    <t>Hershel</t>
  </si>
  <si>
    <t>Leny Carolina</t>
  </si>
  <si>
    <t>Michael</t>
  </si>
  <si>
    <t>Emilie</t>
  </si>
  <si>
    <t>Rosi</t>
  </si>
  <si>
    <t>Herrschel</t>
  </si>
  <si>
    <t>Pesel/Jophina</t>
  </si>
  <si>
    <t>Hanny</t>
  </si>
  <si>
    <t>Herrmann</t>
  </si>
  <si>
    <t>Cazillia</t>
  </si>
  <si>
    <t>Wassermann</t>
  </si>
  <si>
    <t>Hugo/Enoch</t>
  </si>
  <si>
    <t>Weissenstein</t>
  </si>
  <si>
    <t>Waldmann</t>
  </si>
  <si>
    <t>Cäzilia</t>
  </si>
  <si>
    <t>Weisel</t>
  </si>
  <si>
    <t>Katarina</t>
  </si>
  <si>
    <t>Nephtali</t>
  </si>
  <si>
    <t>Jeroslaw/Juda Lob</t>
  </si>
  <si>
    <t>Katti</t>
  </si>
  <si>
    <t>Adelheit</t>
  </si>
  <si>
    <t>Moises/Moritz</t>
  </si>
  <si>
    <t>Wild</t>
  </si>
  <si>
    <t xml:space="preserve"> Ignaz</t>
  </si>
  <si>
    <t>Subak</t>
  </si>
  <si>
    <t>Schendl</t>
  </si>
  <si>
    <t>Schnabel</t>
  </si>
  <si>
    <t>Spira</t>
  </si>
  <si>
    <t>Chaje Saurra</t>
  </si>
  <si>
    <t>Schnek</t>
  </si>
  <si>
    <t>Kopel</t>
  </si>
  <si>
    <t>Löbl</t>
  </si>
  <si>
    <t>Rösel</t>
  </si>
  <si>
    <t>Bernhard</t>
  </si>
  <si>
    <t>Shrotter</t>
  </si>
  <si>
    <t>Swartz</t>
  </si>
  <si>
    <t>Sarer</t>
  </si>
  <si>
    <t>Birbesh</t>
  </si>
  <si>
    <t>Riefka</t>
  </si>
  <si>
    <t>Jakob Samuel</t>
  </si>
  <si>
    <t>Paulona</t>
  </si>
  <si>
    <t>Jonnas</t>
  </si>
  <si>
    <t>Schmulka</t>
  </si>
  <si>
    <t>Schwarz</t>
  </si>
  <si>
    <t>Schnirmacher</t>
  </si>
  <si>
    <t>Hershman Moyses</t>
  </si>
  <si>
    <t>Schwartz</t>
  </si>
  <si>
    <t>Stiassny</t>
  </si>
  <si>
    <t>Schidrowitz</t>
  </si>
  <si>
    <t>Philip</t>
  </si>
  <si>
    <t>Schrotter</t>
  </si>
  <si>
    <t>Sofer</t>
  </si>
  <si>
    <t>Shlesinger</t>
  </si>
  <si>
    <t>Karoline</t>
  </si>
  <si>
    <t xml:space="preserve"> Bernard Löb</t>
  </si>
  <si>
    <t>Sophie</t>
  </si>
  <si>
    <t>Rosalia/Betty</t>
  </si>
  <si>
    <t>Mina</t>
  </si>
  <si>
    <t>Wilhelm</t>
  </si>
  <si>
    <t>Eduard</t>
  </si>
  <si>
    <t>Betty</t>
  </si>
  <si>
    <t>Hanni</t>
  </si>
  <si>
    <t>Leopoldine</t>
  </si>
  <si>
    <t>Bachracher</t>
  </si>
  <si>
    <t>Soffer</t>
  </si>
  <si>
    <t>Stein</t>
  </si>
  <si>
    <t>Schlesinger</t>
  </si>
  <si>
    <t>Schnabl</t>
  </si>
  <si>
    <t>Schrötter</t>
  </si>
  <si>
    <t>Sarrer</t>
  </si>
  <si>
    <t>Isais</t>
  </si>
  <si>
    <t>Sorer</t>
  </si>
  <si>
    <t>Röseel</t>
  </si>
  <si>
    <t>Sobotin</t>
  </si>
  <si>
    <t>Isak Johann</t>
  </si>
  <si>
    <t>Elenore</t>
  </si>
  <si>
    <t>Demutha</t>
  </si>
  <si>
    <t>Denutha</t>
  </si>
  <si>
    <t>Nety</t>
  </si>
  <si>
    <t>Veit</t>
  </si>
  <si>
    <t>Heny</t>
  </si>
  <si>
    <t>Charlotty</t>
  </si>
  <si>
    <t>Lise</t>
  </si>
  <si>
    <t>Maria Kety</t>
  </si>
  <si>
    <t>Rossner</t>
  </si>
  <si>
    <t>Rekindorf</t>
  </si>
  <si>
    <t>Rekendorf</t>
  </si>
  <si>
    <t>Rosner</t>
  </si>
  <si>
    <t>Joseph Beer</t>
  </si>
  <si>
    <t>Nathan Lobl</t>
  </si>
  <si>
    <t>Isak Simon</t>
  </si>
  <si>
    <t>Taussek</t>
  </si>
  <si>
    <t>Tichy</t>
  </si>
  <si>
    <t>Joseph Gottlieb</t>
  </si>
  <si>
    <t>Josua Markus</t>
  </si>
  <si>
    <t>Trischt</t>
  </si>
  <si>
    <t>Joseph Hersh</t>
  </si>
  <si>
    <t>Taussig</t>
  </si>
  <si>
    <t>Sellig Israel</t>
  </si>
  <si>
    <t>Rosaria</t>
  </si>
  <si>
    <t>Tudesko</t>
  </si>
  <si>
    <t>Triesh</t>
  </si>
  <si>
    <t>Rossl</t>
  </si>
  <si>
    <t>isak</t>
  </si>
  <si>
    <t>Thereseia</t>
  </si>
  <si>
    <t>Tüchy</t>
  </si>
  <si>
    <t>Rosa</t>
  </si>
  <si>
    <t>Tritsh</t>
  </si>
  <si>
    <t>Lotti</t>
  </si>
  <si>
    <t>Tuchy</t>
  </si>
  <si>
    <t>Todesky</t>
  </si>
  <si>
    <t>Rachl</t>
  </si>
  <si>
    <t>Mariann</t>
  </si>
  <si>
    <t>Tassig</t>
  </si>
  <si>
    <t>Isias</t>
  </si>
  <si>
    <t>Julius</t>
  </si>
  <si>
    <t>Seligmann</t>
  </si>
  <si>
    <t>Jacob M.</t>
  </si>
  <si>
    <t>Latzer</t>
  </si>
  <si>
    <t>Simon L.</t>
  </si>
  <si>
    <t>Ethan</t>
  </si>
  <si>
    <t>Bader</t>
  </si>
  <si>
    <t>Schaffa</t>
  </si>
  <si>
    <t>Ascher Selig</t>
  </si>
  <si>
    <t>Bing</t>
  </si>
  <si>
    <t>Scheektein</t>
  </si>
  <si>
    <t>Dr. M.H.Hermann.</t>
  </si>
  <si>
    <t>Bernard L.</t>
  </si>
  <si>
    <t>Nephtaly</t>
  </si>
  <si>
    <t>Ascher L.</t>
  </si>
  <si>
    <t>Max/Moritz</t>
  </si>
  <si>
    <t>Jakob S.</t>
  </si>
  <si>
    <t>Ascher</t>
  </si>
  <si>
    <t>Tony</t>
  </si>
  <si>
    <t>Bergmann</t>
  </si>
  <si>
    <t>Feit</t>
  </si>
  <si>
    <t>Bernard Löw</t>
  </si>
  <si>
    <t>Leny</t>
  </si>
  <si>
    <t>Louis</t>
  </si>
  <si>
    <t>Juda Ascher</t>
  </si>
  <si>
    <t>Jacob S.</t>
  </si>
  <si>
    <t>Dr. Herrmann</t>
  </si>
  <si>
    <t>Waldemar</t>
  </si>
  <si>
    <t>Beer Löw</t>
  </si>
  <si>
    <t>Kopelmann</t>
  </si>
  <si>
    <t>Albert</t>
  </si>
  <si>
    <t>Herrmann Aron</t>
  </si>
  <si>
    <t>Koppelmann</t>
  </si>
  <si>
    <t>Elias Herrmann</t>
  </si>
  <si>
    <t>Bäk</t>
  </si>
  <si>
    <t>Antonia</t>
  </si>
  <si>
    <t>Dürrheim</t>
  </si>
  <si>
    <t>Menasses</t>
  </si>
  <si>
    <t>Rosalin</t>
  </si>
  <si>
    <t>Menasches</t>
  </si>
  <si>
    <t>Erbmann</t>
  </si>
  <si>
    <t>Erbman</t>
  </si>
  <si>
    <t>Josua Sigmund</t>
  </si>
  <si>
    <t>Menases</t>
  </si>
  <si>
    <t>Mindy</t>
  </si>
  <si>
    <t>Zili</t>
  </si>
  <si>
    <t>Furst</t>
  </si>
  <si>
    <t>Nanette</t>
  </si>
  <si>
    <t>Simson</t>
  </si>
  <si>
    <t>Paulina/Lina</t>
  </si>
  <si>
    <t>Ketty?</t>
  </si>
  <si>
    <t>Leni</t>
  </si>
  <si>
    <t>Amalie</t>
  </si>
  <si>
    <t>Grätz</t>
  </si>
  <si>
    <t>Sali</t>
  </si>
  <si>
    <t>David Joseph</t>
  </si>
  <si>
    <t>Catarina</t>
  </si>
  <si>
    <t>Grunberg</t>
  </si>
  <si>
    <t>Gläsner</t>
  </si>
  <si>
    <t>Gansler</t>
  </si>
  <si>
    <t>Maria Samuel</t>
  </si>
  <si>
    <t>Rosy</t>
  </si>
  <si>
    <t>Zile</t>
  </si>
  <si>
    <t>Regi</t>
  </si>
  <si>
    <t xml:space="preserve">Heimer </t>
  </si>
  <si>
    <t>Hauser</t>
  </si>
  <si>
    <t>Louise</t>
  </si>
  <si>
    <t>Noe?</t>
  </si>
  <si>
    <t>Filip</t>
  </si>
  <si>
    <t>Abraham/Herrmann</t>
  </si>
  <si>
    <t>Golda Catarina</t>
  </si>
  <si>
    <t>Konneth</t>
  </si>
  <si>
    <t>Betti</t>
  </si>
  <si>
    <t>Kozmal</t>
  </si>
  <si>
    <t>Eduard Aron</t>
  </si>
  <si>
    <t>Toni</t>
  </si>
  <si>
    <t>Aaron</t>
  </si>
  <si>
    <t>Konnerth</t>
  </si>
  <si>
    <t>Rösi</t>
  </si>
  <si>
    <t>Konstein?</t>
  </si>
  <si>
    <t>Gottried</t>
  </si>
  <si>
    <t>Rösy</t>
  </si>
  <si>
    <t>Lina</t>
  </si>
  <si>
    <t>Kurrein</t>
  </si>
  <si>
    <t>Konstien</t>
  </si>
  <si>
    <t>Miny</t>
  </si>
  <si>
    <t>Kurzweil</t>
  </si>
  <si>
    <t>Kathi</t>
  </si>
  <si>
    <t>Israel Joachim</t>
  </si>
  <si>
    <t>Ledizke</t>
  </si>
  <si>
    <t>Ledrer</t>
  </si>
  <si>
    <t>Lowenthal</t>
  </si>
  <si>
    <t>Henriety</t>
  </si>
  <si>
    <t>Ledofsky</t>
  </si>
  <si>
    <t>Herrschmann</t>
  </si>
  <si>
    <t>Löwental</t>
  </si>
  <si>
    <t>Caroline</t>
  </si>
  <si>
    <t>Lowenstamm</t>
  </si>
  <si>
    <t>Juda Leopold</t>
  </si>
  <si>
    <t>Lisse</t>
  </si>
  <si>
    <t>Caty</t>
  </si>
  <si>
    <t>Markus Löb</t>
  </si>
  <si>
    <t>Isack H.</t>
  </si>
  <si>
    <t>Daniel Herrman</t>
  </si>
  <si>
    <t>Isak H.</t>
  </si>
  <si>
    <t>Alexander  Isak</t>
  </si>
  <si>
    <t>Isak Alexander</t>
  </si>
  <si>
    <t>Markussel</t>
  </si>
  <si>
    <t>Jacob Sofer</t>
  </si>
  <si>
    <t>Neiner</t>
  </si>
  <si>
    <t>Solomon</t>
  </si>
  <si>
    <t>Rose</t>
  </si>
  <si>
    <t>Oifsel</t>
  </si>
  <si>
    <t>Herschmann</t>
  </si>
  <si>
    <t>Jakob David</t>
  </si>
  <si>
    <t>Rebeka (Bäk)</t>
  </si>
  <si>
    <t>Putzger</t>
  </si>
  <si>
    <t>Potascher</t>
  </si>
  <si>
    <t>Joseph Isais</t>
  </si>
  <si>
    <t>Henrietty</t>
  </si>
  <si>
    <t>Paschkes</t>
  </si>
  <si>
    <t>Jedidiia</t>
  </si>
  <si>
    <t>Nikolsburg</t>
  </si>
  <si>
    <t>Joachim D.</t>
  </si>
  <si>
    <t>Regi Ester?</t>
  </si>
  <si>
    <t>Plaschek</t>
  </si>
  <si>
    <t>Gabriel Herrman</t>
  </si>
  <si>
    <t>Abraham L.</t>
  </si>
  <si>
    <t>Joachim David</t>
  </si>
  <si>
    <t>Potaschek</t>
  </si>
  <si>
    <t>Potasser</t>
  </si>
  <si>
    <t>Ptaschek</t>
  </si>
  <si>
    <t>Pik</t>
  </si>
  <si>
    <t>Fani</t>
  </si>
  <si>
    <t>Juda L.</t>
  </si>
  <si>
    <t>Heimann</t>
  </si>
  <si>
    <t>Adelheid</t>
  </si>
  <si>
    <t>Helen</t>
  </si>
  <si>
    <t>Susanna</t>
  </si>
  <si>
    <t>Pollatschek</t>
  </si>
  <si>
    <t>Allois</t>
  </si>
  <si>
    <t>Pachter</t>
  </si>
  <si>
    <t>Gerstel</t>
  </si>
  <si>
    <t>Ries</t>
  </si>
  <si>
    <t>Adam Ascher</t>
  </si>
  <si>
    <t>Gideon</t>
  </si>
  <si>
    <t>Rösenblüh</t>
  </si>
  <si>
    <t>Abraham Herrmann</t>
  </si>
  <si>
    <t>Allexander</t>
  </si>
  <si>
    <t>Matias</t>
  </si>
  <si>
    <t>Salomon Sigmund</t>
  </si>
  <si>
    <t>Aron Hirsch</t>
  </si>
  <si>
    <t>Aron S.</t>
  </si>
  <si>
    <t>Bety</t>
  </si>
  <si>
    <t>Städtner</t>
  </si>
  <si>
    <t>Ester Netty</t>
  </si>
  <si>
    <t>Joachim Joseph</t>
  </si>
  <si>
    <t>Henriette Hanna</t>
  </si>
  <si>
    <t>Liebe</t>
  </si>
  <si>
    <t>Schreter</t>
  </si>
  <si>
    <t>Swarz</t>
  </si>
  <si>
    <t>Sophie Philip</t>
  </si>
  <si>
    <t>Sopher</t>
  </si>
  <si>
    <t>Israel Herrmann</t>
  </si>
  <si>
    <t>Joseph Joachim</t>
  </si>
  <si>
    <t>Libely</t>
  </si>
  <si>
    <t>Ketty</t>
  </si>
  <si>
    <t>Emil</t>
  </si>
  <si>
    <t>Schräter</t>
  </si>
  <si>
    <t>Stiassni</t>
  </si>
  <si>
    <t>Regy</t>
  </si>
  <si>
    <t>Willhelm</t>
  </si>
  <si>
    <t>Ernestine</t>
  </si>
  <si>
    <t>Markus (Juda Leopold)</t>
  </si>
  <si>
    <t>Johann Isack</t>
  </si>
  <si>
    <t>Johann Isak</t>
  </si>
  <si>
    <t>Matilde</t>
  </si>
  <si>
    <t>Noe</t>
  </si>
  <si>
    <t>Sara/Rosalia</t>
  </si>
  <si>
    <t>Schnirrmacher</t>
  </si>
  <si>
    <t>Triescher</t>
  </si>
  <si>
    <t>Rosali</t>
  </si>
  <si>
    <t>Joachim A</t>
  </si>
  <si>
    <t>Tschiassny</t>
  </si>
  <si>
    <t>Joachim A.</t>
  </si>
  <si>
    <t>Tschiasny</t>
  </si>
  <si>
    <t>Joachim W.</t>
  </si>
  <si>
    <t>Emma</t>
  </si>
  <si>
    <t>Tausig</t>
  </si>
  <si>
    <t>Scharlotte</t>
  </si>
  <si>
    <t>KattI</t>
  </si>
  <si>
    <t>Tshiasni</t>
  </si>
  <si>
    <t>Tschiasni</t>
  </si>
  <si>
    <t>Zubak</t>
  </si>
  <si>
    <t>J.Herrmann</t>
  </si>
  <si>
    <t>J. Herrmann</t>
  </si>
  <si>
    <t>Maly</t>
  </si>
  <si>
    <t>H.S. Markus</t>
  </si>
  <si>
    <t>S. Simon</t>
  </si>
  <si>
    <t>Nathan David</t>
  </si>
  <si>
    <t>Benath</t>
  </si>
  <si>
    <t>Adelina</t>
  </si>
  <si>
    <t>Juda Löbel</t>
  </si>
  <si>
    <t>Bayer</t>
  </si>
  <si>
    <t xml:space="preserve">Jakob </t>
  </si>
  <si>
    <t>Aron Markus</t>
  </si>
  <si>
    <t>Abraham Leopold</t>
  </si>
  <si>
    <t>Isidor</t>
  </si>
  <si>
    <t>Simon Latzer</t>
  </si>
  <si>
    <t>Simon Nephali</t>
  </si>
  <si>
    <t>Juda Löb</t>
  </si>
  <si>
    <t>Elias Herrman</t>
  </si>
  <si>
    <t>Babethi</t>
  </si>
  <si>
    <t>Germain</t>
  </si>
  <si>
    <t>Carl</t>
  </si>
  <si>
    <t>Bauer Epstein</t>
  </si>
  <si>
    <t>Nathan Herrmann</t>
  </si>
  <si>
    <t>Arnold</t>
  </si>
  <si>
    <t>Bonci</t>
  </si>
  <si>
    <t>Simon A.</t>
  </si>
  <si>
    <t>Emiel</t>
  </si>
  <si>
    <t>Sigmund Selig</t>
  </si>
  <si>
    <t>Beweis</t>
  </si>
  <si>
    <t>Sigmund Salomon</t>
  </si>
  <si>
    <t>N. David</t>
  </si>
  <si>
    <t>Simon N.</t>
  </si>
  <si>
    <t>Nathan Herrman</t>
  </si>
  <si>
    <t>Koppelman</t>
  </si>
  <si>
    <t>Mannfried</t>
  </si>
  <si>
    <t>Jakob Nephtali</t>
  </si>
  <si>
    <t>Simon Nephtali</t>
  </si>
  <si>
    <t>N.</t>
  </si>
  <si>
    <t>Netti</t>
  </si>
  <si>
    <t>Albert Max</t>
  </si>
  <si>
    <t>Rösie</t>
  </si>
  <si>
    <t>Beweis?</t>
  </si>
  <si>
    <t>Daniek</t>
  </si>
  <si>
    <t>Dubsky</t>
  </si>
  <si>
    <t>Rösi Adler</t>
  </si>
  <si>
    <t>Dainek</t>
  </si>
  <si>
    <t>Josephine</t>
  </si>
  <si>
    <t>Dainik</t>
  </si>
  <si>
    <t>Moritz Leopold</t>
  </si>
  <si>
    <t>Leontine</t>
  </si>
  <si>
    <t>Sidona</t>
  </si>
  <si>
    <t>Karl</t>
  </si>
  <si>
    <t>Zezilie</t>
  </si>
  <si>
    <t>Bertha</t>
  </si>
  <si>
    <t>Alois</t>
  </si>
  <si>
    <t>Sali/Schendl</t>
  </si>
  <si>
    <t>Noini Sara</t>
  </si>
  <si>
    <t>Fischmann</t>
  </si>
  <si>
    <t>Fuchs (Beweis)</t>
  </si>
  <si>
    <t>Nephtal</t>
  </si>
  <si>
    <t>Max?</t>
  </si>
  <si>
    <t>Minna</t>
  </si>
  <si>
    <t>Mariani</t>
  </si>
  <si>
    <t>Gross</t>
  </si>
  <si>
    <t>Emauel</t>
  </si>
  <si>
    <t>Rosy/Rachel</t>
  </si>
  <si>
    <t>Lotty</t>
  </si>
  <si>
    <t>Julie</t>
  </si>
  <si>
    <t>Howard?</t>
  </si>
  <si>
    <t>Emilia</t>
  </si>
  <si>
    <t>H. Leopold</t>
  </si>
  <si>
    <t>1850?</t>
  </si>
  <si>
    <t>Cäcilia</t>
  </si>
  <si>
    <t>Emanuel Hirsch</t>
  </si>
  <si>
    <t>Judith/Johanna</t>
  </si>
  <si>
    <t>Abram Moses</t>
  </si>
  <si>
    <t>Markus B.</t>
  </si>
  <si>
    <t>Ludwig</t>
  </si>
  <si>
    <t>Zezilia</t>
  </si>
  <si>
    <t>Moritz Markus</t>
  </si>
  <si>
    <t xml:space="preserve"> Julius</t>
  </si>
  <si>
    <t>Kleininger</t>
  </si>
  <si>
    <t>Leib</t>
  </si>
  <si>
    <t>Kohn Zerkowitz</t>
  </si>
  <si>
    <t>Beathe</t>
  </si>
  <si>
    <t>Josephin</t>
  </si>
  <si>
    <t>Selig Elias</t>
  </si>
  <si>
    <t>Ssli</t>
  </si>
  <si>
    <t>Agness</t>
  </si>
  <si>
    <t>Ferdinand</t>
  </si>
  <si>
    <t>Aron Adolf</t>
  </si>
  <si>
    <t>Lea Helena</t>
  </si>
  <si>
    <t>Neumann</t>
  </si>
  <si>
    <t>Franz</t>
  </si>
  <si>
    <t>Kati</t>
  </si>
  <si>
    <t>Ornstein (Bäk)</t>
  </si>
  <si>
    <t>Tini</t>
  </si>
  <si>
    <t>Lionel</t>
  </si>
  <si>
    <t>J.David</t>
  </si>
  <si>
    <t>Pollnauer</t>
  </si>
  <si>
    <t>Nepthali</t>
  </si>
  <si>
    <t>Berthold</t>
  </si>
  <si>
    <t>Julius/Juda</t>
  </si>
  <si>
    <t>Allex</t>
  </si>
  <si>
    <t>Rudolf</t>
  </si>
  <si>
    <t>Isidor/Isaias</t>
  </si>
  <si>
    <t>Stiasny</t>
  </si>
  <si>
    <t>Mina/Mindel</t>
  </si>
  <si>
    <t>Euphrosine</t>
  </si>
  <si>
    <t>Herrmann/Löw</t>
  </si>
  <si>
    <t>Juni</t>
  </si>
  <si>
    <t>Ludmilla</t>
  </si>
  <si>
    <t>Heinreich</t>
  </si>
  <si>
    <t>Sigmund Simon</t>
  </si>
  <si>
    <t>Agnes</t>
  </si>
  <si>
    <t>Wolf/Willhelm</t>
  </si>
  <si>
    <t>Synek</t>
  </si>
  <si>
    <t>Isak L.</t>
  </si>
  <si>
    <t>Isaias Samuel</t>
  </si>
  <si>
    <t>Fanny</t>
  </si>
  <si>
    <t>Singer</t>
  </si>
  <si>
    <t>Helene</t>
  </si>
  <si>
    <t>Anastasia</t>
  </si>
  <si>
    <t>Schidrowtiz</t>
  </si>
  <si>
    <t>Fione Veronika</t>
  </si>
  <si>
    <t>Micael</t>
  </si>
  <si>
    <t>Schretter</t>
  </si>
  <si>
    <t>Slatin</t>
  </si>
  <si>
    <t>Siegfried</t>
  </si>
  <si>
    <t>L.H.</t>
  </si>
  <si>
    <t>Schuschny</t>
  </si>
  <si>
    <t>Schussny</t>
  </si>
  <si>
    <t>Schrätter</t>
  </si>
  <si>
    <t>Julia</t>
  </si>
  <si>
    <t>Joseph L.</t>
  </si>
  <si>
    <t>Joachium</t>
  </si>
  <si>
    <t>Alex</t>
  </si>
  <si>
    <t>Hildbert</t>
  </si>
  <si>
    <t>Tüchi</t>
  </si>
  <si>
    <t>Natan</t>
  </si>
  <si>
    <t>Josephine/Pepi</t>
  </si>
  <si>
    <t>Mathilde</t>
  </si>
  <si>
    <t>Zazila</t>
  </si>
  <si>
    <t>HBM</t>
  </si>
  <si>
    <t>Bäck</t>
  </si>
  <si>
    <t>Bodascher</t>
  </si>
  <si>
    <t>Back</t>
  </si>
  <si>
    <t>Sidonia</t>
  </si>
  <si>
    <t>Heni</t>
  </si>
  <si>
    <t>Diamant</t>
  </si>
  <si>
    <t>Fürcht</t>
  </si>
  <si>
    <t>Manfred</t>
  </si>
  <si>
    <t>Filipp</t>
  </si>
  <si>
    <t>Regine</t>
  </si>
  <si>
    <t>Ernstinee</t>
  </si>
  <si>
    <t>Gläser</t>
  </si>
  <si>
    <t>Isabella</t>
  </si>
  <si>
    <t>Jamnitzer</t>
  </si>
  <si>
    <t>Kohnstein</t>
  </si>
  <si>
    <t>Kohn</t>
  </si>
  <si>
    <t>Heinirch</t>
  </si>
  <si>
    <t>Libuchowitz</t>
  </si>
  <si>
    <t>Ledsky</t>
  </si>
  <si>
    <t>Camill</t>
  </si>
  <si>
    <t>Lowy</t>
  </si>
  <si>
    <t>Luerer</t>
  </si>
  <si>
    <t>Isak Adolf</t>
  </si>
  <si>
    <t>Alfred</t>
  </si>
  <si>
    <t>Alfried</t>
  </si>
  <si>
    <t>Nethilde</t>
  </si>
  <si>
    <t>Pokorny</t>
  </si>
  <si>
    <t>Adeline</t>
  </si>
  <si>
    <t>Babethe</t>
  </si>
  <si>
    <t>Josefin</t>
  </si>
  <si>
    <t>Schiller</t>
  </si>
  <si>
    <t>Sinek</t>
  </si>
  <si>
    <t>Schushny</t>
  </si>
  <si>
    <t>Amelie</t>
  </si>
  <si>
    <t>Spitzer</t>
  </si>
  <si>
    <t>Amelia</t>
  </si>
  <si>
    <t>Hermin</t>
  </si>
  <si>
    <t>Babette</t>
  </si>
  <si>
    <t>Weisenstein</t>
  </si>
  <si>
    <t>Antonie</t>
  </si>
  <si>
    <t>Wurmsohn</t>
  </si>
  <si>
    <t>Jetti</t>
  </si>
  <si>
    <t>Wesely</t>
  </si>
  <si>
    <t>Friederike</t>
  </si>
  <si>
    <t>Cacilia</t>
  </si>
  <si>
    <t>Arthur</t>
  </si>
  <si>
    <t>Simon S.</t>
  </si>
  <si>
    <t>Nathan Herman</t>
  </si>
  <si>
    <t>Abraham Albert</t>
  </si>
  <si>
    <t>Benjamine</t>
  </si>
  <si>
    <t>Brunner</t>
  </si>
  <si>
    <t>Efrahine</t>
  </si>
  <si>
    <t>Gustav</t>
  </si>
  <si>
    <t>Brock</t>
  </si>
  <si>
    <t>Juda Salomon</t>
  </si>
  <si>
    <t>Burger</t>
  </si>
  <si>
    <t>Theodor</t>
  </si>
  <si>
    <t>Augustine</t>
  </si>
  <si>
    <t>Siegmund</t>
  </si>
  <si>
    <t>Elkan</t>
  </si>
  <si>
    <t>Nathan Hermann</t>
  </si>
  <si>
    <t>Benesch</t>
  </si>
  <si>
    <t>Salomon Juda</t>
  </si>
  <si>
    <t>Albert Abraham</t>
  </si>
  <si>
    <t>Cäcilie</t>
  </si>
  <si>
    <t>Camilla</t>
  </si>
  <si>
    <t>Jacob/Julius</t>
  </si>
  <si>
    <t>Robert</t>
  </si>
  <si>
    <t>Eugenie</t>
  </si>
  <si>
    <t>Ella</t>
  </si>
  <si>
    <t>Armin</t>
  </si>
  <si>
    <t>Josefina</t>
  </si>
  <si>
    <t>Moses L.</t>
  </si>
  <si>
    <t>Ahron Adolf</t>
  </si>
  <si>
    <t>Rachelle</t>
  </si>
  <si>
    <t>Jeannie</t>
  </si>
  <si>
    <t>Auguste</t>
  </si>
  <si>
    <t>Clara</t>
  </si>
  <si>
    <t>Freund</t>
  </si>
  <si>
    <t>Edmund</t>
  </si>
  <si>
    <t>Adele</t>
  </si>
  <si>
    <t>Jakob B.</t>
  </si>
  <si>
    <t>isidor</t>
  </si>
  <si>
    <t>Goldfarb</t>
  </si>
  <si>
    <t>hermann</t>
  </si>
  <si>
    <t>August</t>
  </si>
  <si>
    <t>Goldmann</t>
  </si>
  <si>
    <t>Flora</t>
  </si>
  <si>
    <t>David Josef</t>
  </si>
  <si>
    <t>Hilbert</t>
  </si>
  <si>
    <t>Theresa</t>
  </si>
  <si>
    <t>Abraham Gottfried</t>
  </si>
  <si>
    <t>Louisa</t>
  </si>
  <si>
    <t>Oskar</t>
  </si>
  <si>
    <t>Joffe</t>
  </si>
  <si>
    <t>Veit Philipp</t>
  </si>
  <si>
    <t>Siegmund/Betti</t>
  </si>
  <si>
    <t>Jellinek</t>
  </si>
  <si>
    <t>Kohnrad</t>
  </si>
  <si>
    <t>Moses Lasar</t>
  </si>
  <si>
    <t>Koblitz</t>
  </si>
  <si>
    <t>Joel/Jung</t>
  </si>
  <si>
    <t>Ledytzky</t>
  </si>
  <si>
    <t>Berta</t>
  </si>
  <si>
    <t>Sofe</t>
  </si>
  <si>
    <t>Sydonie</t>
  </si>
  <si>
    <t>Merkesel (v.Wertheimer)</t>
  </si>
  <si>
    <t>Mautner</t>
  </si>
  <si>
    <t>Isak Wolf</t>
  </si>
  <si>
    <t>Hedwig</t>
  </si>
  <si>
    <t>ignatz</t>
  </si>
  <si>
    <t>Ernst</t>
  </si>
  <si>
    <t>Hugo</t>
  </si>
  <si>
    <t>Mark</t>
  </si>
  <si>
    <t>Paula Glaser</t>
  </si>
  <si>
    <t>Sidonie</t>
  </si>
  <si>
    <t>Osterreicher</t>
  </si>
  <si>
    <t>Johannes Abraham</t>
  </si>
  <si>
    <t>Markus Max</t>
  </si>
  <si>
    <t>I. Josef</t>
  </si>
  <si>
    <t>Pichler</t>
  </si>
  <si>
    <t>Victor</t>
  </si>
  <si>
    <t>Luisa</t>
  </si>
  <si>
    <t>Emanuel Wilhelm</t>
  </si>
  <si>
    <t>Isak ignatz</t>
  </si>
  <si>
    <t>Wilhelm Emanuel</t>
  </si>
  <si>
    <t>Eugen</t>
  </si>
  <si>
    <t>Rosale</t>
  </si>
  <si>
    <t>Ottilie</t>
  </si>
  <si>
    <t>Friedrich</t>
  </si>
  <si>
    <t>Lora</t>
  </si>
  <si>
    <t>Dele</t>
  </si>
  <si>
    <t>Max Markus</t>
  </si>
  <si>
    <t>Aflred</t>
  </si>
  <si>
    <t>Maximillian</t>
  </si>
  <si>
    <t>Pächter</t>
  </si>
  <si>
    <t>Leopold Julius</t>
  </si>
  <si>
    <t>Emanuel Leopold</t>
  </si>
  <si>
    <t>Otto</t>
  </si>
  <si>
    <t>Josef isaias</t>
  </si>
  <si>
    <t>Edel</t>
  </si>
  <si>
    <t>Julius Leopold</t>
  </si>
  <si>
    <t>Porges</t>
  </si>
  <si>
    <t>Lambertina</t>
  </si>
  <si>
    <t>Appolonia</t>
  </si>
  <si>
    <t>Simon isak</t>
  </si>
  <si>
    <t>Rederer</t>
  </si>
  <si>
    <t>Malvin</t>
  </si>
  <si>
    <t>Adolf Abraham</t>
  </si>
  <si>
    <t>Ahron</t>
  </si>
  <si>
    <t>Josef A.</t>
  </si>
  <si>
    <t>Schweiger</t>
  </si>
  <si>
    <t>Aharon</t>
  </si>
  <si>
    <t>Josef L.</t>
  </si>
  <si>
    <t>Stössler</t>
  </si>
  <si>
    <t>Hermann Isak</t>
  </si>
  <si>
    <t>Israel hermann</t>
  </si>
  <si>
    <t>Schneck</t>
  </si>
  <si>
    <t>Schwarzbarth</t>
  </si>
  <si>
    <t>Wilhelmina</t>
  </si>
  <si>
    <t>Israel Hermann</t>
  </si>
  <si>
    <t>Hermann isak</t>
  </si>
  <si>
    <t>Ida</t>
  </si>
  <si>
    <t>Zydonie</t>
  </si>
  <si>
    <t>Vogel</t>
  </si>
  <si>
    <t>Julius Gotthold</t>
  </si>
  <si>
    <t>Joanne</t>
  </si>
  <si>
    <t>Eisabeth</t>
  </si>
  <si>
    <t>Heinrich Enoch</t>
  </si>
  <si>
    <t>Neftaly</t>
  </si>
  <si>
    <t>Wittrofsky</t>
  </si>
  <si>
    <t>Zeisel</t>
  </si>
  <si>
    <t>Elfriede</t>
  </si>
  <si>
    <t>Richard</t>
  </si>
  <si>
    <t>Exel (v.Fuchs)</t>
  </si>
  <si>
    <t>Moriz</t>
  </si>
  <si>
    <t>Friedmann</t>
  </si>
  <si>
    <t>Fuchs (Exel)</t>
  </si>
  <si>
    <t>Isak Ignaz</t>
  </si>
  <si>
    <t>Marie Emma</t>
  </si>
  <si>
    <t>Hermann Leopold</t>
  </si>
  <si>
    <t>Olga</t>
  </si>
  <si>
    <t>Pouzar</t>
  </si>
  <si>
    <t>Rubin</t>
  </si>
  <si>
    <t>Steinhart</t>
  </si>
  <si>
    <t>Spitz</t>
  </si>
  <si>
    <t>Elsa</t>
  </si>
  <si>
    <t>Wasserman</t>
  </si>
  <si>
    <t>Fabian</t>
  </si>
  <si>
    <t>Gärtner</t>
  </si>
  <si>
    <t>Julius S</t>
  </si>
  <si>
    <t>Moses Moriz</t>
  </si>
  <si>
    <t>Therese</t>
  </si>
  <si>
    <t>Pokorni</t>
  </si>
  <si>
    <t>Joachim Heinrich</t>
  </si>
  <si>
    <t>Roth</t>
  </si>
  <si>
    <t>Gisela</t>
  </si>
  <si>
    <t>Seidel</t>
  </si>
  <si>
    <t>Jenny</t>
  </si>
  <si>
    <t>Suschny</t>
  </si>
  <si>
    <t>Schreiber</t>
  </si>
  <si>
    <t>ida</t>
  </si>
  <si>
    <t>Furcht</t>
  </si>
  <si>
    <t>Friedjung</t>
  </si>
  <si>
    <t>isak Ignaz</t>
  </si>
  <si>
    <t>Simon Löw</t>
  </si>
  <si>
    <t>Hirsch</t>
  </si>
  <si>
    <t>Georg</t>
  </si>
  <si>
    <t>Hannok</t>
  </si>
  <si>
    <t>Angela</t>
  </si>
  <si>
    <t>Jella</t>
  </si>
  <si>
    <t>Gella</t>
  </si>
  <si>
    <t>Irma</t>
  </si>
  <si>
    <t>Johannes Spira</t>
  </si>
  <si>
    <t>Gottfired</t>
  </si>
  <si>
    <t>Selma</t>
  </si>
  <si>
    <t>Exel (v. Fuchs)</t>
  </si>
  <si>
    <t>Oswald</t>
  </si>
  <si>
    <t>Irene</t>
  </si>
  <si>
    <t>Gutfruend</t>
  </si>
  <si>
    <t>Salus</t>
  </si>
  <si>
    <t>Oscar</t>
  </si>
  <si>
    <t>Richard Lionel</t>
  </si>
  <si>
    <t>Jakob Neftali</t>
  </si>
  <si>
    <t>Eleonore</t>
  </si>
  <si>
    <t>Grün</t>
  </si>
  <si>
    <t>Adolf Aron</t>
  </si>
  <si>
    <t>isak-Ignaz</t>
  </si>
  <si>
    <t>Sigmund M.</t>
  </si>
  <si>
    <t>Clementine</t>
  </si>
  <si>
    <t>Hecht</t>
  </si>
  <si>
    <t>Walter</t>
  </si>
  <si>
    <t>Merkesl (v. Wertheimer)</t>
  </si>
  <si>
    <t>Muneles</t>
  </si>
  <si>
    <t>Mortz</t>
  </si>
  <si>
    <t>Leo</t>
  </si>
  <si>
    <t>Leonore</t>
  </si>
  <si>
    <t>David Ludwig</t>
  </si>
  <si>
    <t>Ottokar</t>
  </si>
  <si>
    <t>Pisker</t>
  </si>
  <si>
    <t>Wachtl</t>
  </si>
  <si>
    <t>Stephanie</t>
  </si>
  <si>
    <t>Hoffmann</t>
  </si>
  <si>
    <t>Inwald</t>
  </si>
  <si>
    <t>Pachner</t>
  </si>
  <si>
    <t>Stella</t>
  </si>
  <si>
    <t>Paul</t>
  </si>
  <si>
    <t>Margarethe</t>
  </si>
  <si>
    <t>Rudolfine</t>
  </si>
  <si>
    <t>Blumenfeld</t>
  </si>
  <si>
    <t>Adolf/Abraham</t>
  </si>
  <si>
    <t>Blum</t>
  </si>
  <si>
    <t>Glaser</t>
  </si>
  <si>
    <t>ignaz</t>
  </si>
  <si>
    <t>Rie</t>
  </si>
  <si>
    <t>Freidrich</t>
  </si>
  <si>
    <t>Spielmann</t>
  </si>
  <si>
    <t>Walther</t>
  </si>
  <si>
    <t>Abraham/Adolf</t>
  </si>
  <si>
    <t>Max (Ignaz)</t>
  </si>
  <si>
    <t>Grünberger (v.Beinkeles)</t>
  </si>
  <si>
    <t>Krakauer</t>
  </si>
  <si>
    <t>Jakob Löb</t>
  </si>
  <si>
    <t>Stark</t>
  </si>
  <si>
    <t>Stern</t>
  </si>
  <si>
    <t>Moses (Moriz)</t>
  </si>
  <si>
    <t>Samson (Siegmund)</t>
  </si>
  <si>
    <t>Margareta</t>
  </si>
  <si>
    <t>Hilda</t>
  </si>
  <si>
    <t>Fritz</t>
  </si>
  <si>
    <t>Jelle</t>
  </si>
  <si>
    <t>Kuhn</t>
  </si>
  <si>
    <t>Melanie</t>
  </si>
  <si>
    <t>Grunberger (Beinkeles)</t>
  </si>
  <si>
    <t>Malvine</t>
  </si>
  <si>
    <t>Jacobi</t>
  </si>
  <si>
    <t>Eisler</t>
  </si>
  <si>
    <t>Laura</t>
  </si>
  <si>
    <t>Korasek</t>
  </si>
  <si>
    <t>Löwy</t>
  </si>
  <si>
    <t>David Anton</t>
  </si>
  <si>
    <t>Stettner</t>
  </si>
  <si>
    <t>Hans Fritz</t>
  </si>
  <si>
    <t>Erich</t>
  </si>
  <si>
    <t>Else</t>
  </si>
  <si>
    <t>Erwin</t>
  </si>
  <si>
    <t>Margarete</t>
  </si>
  <si>
    <t>Hans</t>
  </si>
  <si>
    <t>Firnberg</t>
  </si>
  <si>
    <t>Frankl</t>
  </si>
  <si>
    <t>Edgar</t>
  </si>
  <si>
    <t>Siegmund Jakob</t>
  </si>
  <si>
    <t>Karpeles</t>
  </si>
  <si>
    <t>Hilde</t>
  </si>
  <si>
    <t>Alfrede</t>
  </si>
  <si>
    <t>Jocahim Heinrich</t>
  </si>
  <si>
    <t>Sensky</t>
  </si>
  <si>
    <t>Wilheim</t>
  </si>
  <si>
    <t>Lazar (Alois)</t>
  </si>
  <si>
    <t>Brod</t>
  </si>
  <si>
    <t>Grossmann</t>
  </si>
  <si>
    <t>Ilona?</t>
  </si>
  <si>
    <t>Löwit</t>
  </si>
  <si>
    <t>Fried..</t>
  </si>
  <si>
    <t>Berthe</t>
  </si>
  <si>
    <t>Willheim</t>
  </si>
  <si>
    <t>Elsner</t>
  </si>
  <si>
    <t>Grodzensky</t>
  </si>
  <si>
    <t>Glück (Posiles)</t>
  </si>
  <si>
    <t>Posiles (Glück)</t>
  </si>
  <si>
    <t>Schanzer</t>
  </si>
  <si>
    <t>Gansel</t>
  </si>
  <si>
    <t>Hubert</t>
  </si>
  <si>
    <t>Gertrude</t>
  </si>
  <si>
    <t>Olsa</t>
  </si>
  <si>
    <t>Dauber</t>
  </si>
  <si>
    <t>Baruch (Berthold)</t>
  </si>
  <si>
    <t>Eisenberg (v.Wasserman)</t>
  </si>
  <si>
    <t>Leopold (Lazar)</t>
  </si>
  <si>
    <t>Gerta</t>
  </si>
  <si>
    <t>Hildegarde</t>
  </si>
  <si>
    <t>Wasserman (v.Eisenberg)</t>
  </si>
  <si>
    <t>Gustav Lev</t>
  </si>
  <si>
    <t>Julius Joachim</t>
  </si>
  <si>
    <t>Willy</t>
  </si>
  <si>
    <t>Krakow (Krakauer)</t>
  </si>
  <si>
    <t>Bruno</t>
  </si>
  <si>
    <t>Gela</t>
  </si>
  <si>
    <t>Pistor (v.Schram)</t>
  </si>
  <si>
    <t>Schram (Pistor)</t>
  </si>
  <si>
    <t>Franzi</t>
  </si>
  <si>
    <t>Alfed</t>
  </si>
  <si>
    <t>Gertrud</t>
  </si>
  <si>
    <t>Alfried (Alfred)</t>
  </si>
  <si>
    <t>Wachtel</t>
  </si>
  <si>
    <t>Viktor</t>
  </si>
  <si>
    <t>Pistor (v. Schram)</t>
  </si>
  <si>
    <t>Reinhold</t>
  </si>
  <si>
    <t>Alice</t>
  </si>
  <si>
    <t>Erna</t>
  </si>
  <si>
    <t>Eisner</t>
  </si>
  <si>
    <t>Krakow</t>
  </si>
  <si>
    <t>Moric (Moriz)</t>
  </si>
  <si>
    <t>Selig/Berta</t>
  </si>
  <si>
    <t>5-25</t>
  </si>
  <si>
    <t>1882</t>
  </si>
  <si>
    <t>1866-5-20</t>
  </si>
  <si>
    <t>1867-12-14</t>
  </si>
  <si>
    <t>1865-02-10</t>
  </si>
  <si>
    <t>1865-05-02</t>
  </si>
  <si>
    <t>1865-04-3</t>
  </si>
  <si>
    <t>1865-04-27</t>
  </si>
  <si>
    <t>1865-05-14</t>
  </si>
  <si>
    <t>1865-07-27</t>
  </si>
  <si>
    <t>1865-08-14</t>
  </si>
  <si>
    <t>1865-09-15</t>
  </si>
  <si>
    <t>1866-02-17</t>
  </si>
  <si>
    <t>1866-02-22</t>
  </si>
  <si>
    <t>1865-05-0-2</t>
  </si>
  <si>
    <t>1866-05-10</t>
  </si>
  <si>
    <t>1866-07-11</t>
  </si>
  <si>
    <t>1866-08-29</t>
  </si>
  <si>
    <t>1866-10-26</t>
  </si>
  <si>
    <t>1866-11-3</t>
  </si>
  <si>
    <t>1867-01-07</t>
  </si>
  <si>
    <t>1867-04-10</t>
  </si>
  <si>
    <t>1867-08-30</t>
  </si>
  <si>
    <t>1867-10-03</t>
  </si>
  <si>
    <t>1867-10-22</t>
  </si>
  <si>
    <t>1868-03-14</t>
  </si>
  <si>
    <t>1868-05-16</t>
  </si>
  <si>
    <t>1868-06-06</t>
  </si>
  <si>
    <t>1868-07-01</t>
  </si>
  <si>
    <t>1868-07-29</t>
  </si>
  <si>
    <t>1868-10-04</t>
  </si>
  <si>
    <t>1868-12-17</t>
  </si>
  <si>
    <t>1869-04-02</t>
  </si>
  <si>
    <t>1869-06-28</t>
  </si>
  <si>
    <t>1869-03-24</t>
  </si>
  <si>
    <t>1868-08-15</t>
  </si>
  <si>
    <t>1869-09-04</t>
  </si>
  <si>
    <t>1868-05-19</t>
  </si>
  <si>
    <t>1869-09-24</t>
  </si>
  <si>
    <t>1870-05-23</t>
  </si>
  <si>
    <t>1870-04-01</t>
  </si>
  <si>
    <t>1870-06-01</t>
  </si>
  <si>
    <t>1870-12-15</t>
  </si>
  <si>
    <t>1871-02-24</t>
  </si>
  <si>
    <t>1871-05-14</t>
  </si>
  <si>
    <t>1871-09-09</t>
  </si>
  <si>
    <t>1871-01-25</t>
  </si>
  <si>
    <t>1872-03-11</t>
  </si>
  <si>
    <t>1872-04-07</t>
  </si>
  <si>
    <t>1872-06-19</t>
  </si>
  <si>
    <t>1873-01-08</t>
  </si>
  <si>
    <t>1873-04-25</t>
  </si>
  <si>
    <t>1873-04-26</t>
  </si>
  <si>
    <t>1873-04-27</t>
  </si>
  <si>
    <t>1873-05-08</t>
  </si>
  <si>
    <t>1873-04-18</t>
  </si>
  <si>
    <t>1874-05-30</t>
  </si>
  <si>
    <t>1874-06-1</t>
  </si>
  <si>
    <t>1874-07-06</t>
  </si>
  <si>
    <t>1867-12-21</t>
  </si>
  <si>
    <t>1869-07-20</t>
  </si>
  <si>
    <t>1871-03-28</t>
  </si>
  <si>
    <t>1872-02-25</t>
  </si>
  <si>
    <t>1866-05-07</t>
  </si>
  <si>
    <t>1867-12-29</t>
  </si>
  <si>
    <t>1869-07-11</t>
  </si>
  <si>
    <t>1871-01-19</t>
  </si>
  <si>
    <t>1872-04-14</t>
  </si>
  <si>
    <t>1872-12-10</t>
  </si>
  <si>
    <t>1873-10-31</t>
  </si>
  <si>
    <t>1865-04-01</t>
  </si>
  <si>
    <t>1865-05-10</t>
  </si>
  <si>
    <t>1865-11-02</t>
  </si>
  <si>
    <t>1865-11-14</t>
  </si>
  <si>
    <t>1866-02-28</t>
  </si>
  <si>
    <t>1866-04-05</t>
  </si>
  <si>
    <t>1866-09-19</t>
  </si>
  <si>
    <t>1866-09-20</t>
  </si>
  <si>
    <t>1866-11-24</t>
  </si>
  <si>
    <t>1867-01-15</t>
  </si>
  <si>
    <t>1867-06-09</t>
  </si>
  <si>
    <t>1867-07-22</t>
  </si>
  <si>
    <t>1868-02-04</t>
  </si>
  <si>
    <t>1868-07-17</t>
  </si>
  <si>
    <t>1868-12-05</t>
  </si>
  <si>
    <t>1868-06-20</t>
  </si>
  <si>
    <t>1868-06-28</t>
  </si>
  <si>
    <t>1869-03-08</t>
  </si>
  <si>
    <t>1869-07-28</t>
  </si>
  <si>
    <t>1869-10-30</t>
  </si>
  <si>
    <t>1869-10-31</t>
  </si>
  <si>
    <t>1869-12-19</t>
  </si>
  <si>
    <t>1870-05-20</t>
  </si>
  <si>
    <t>1870-08-16</t>
  </si>
  <si>
    <t>1870-11-25</t>
  </si>
  <si>
    <t>1871-04-27</t>
  </si>
  <si>
    <t>1871-08-13</t>
  </si>
  <si>
    <t>1872-01-23</t>
  </si>
  <si>
    <t>1872-06-20</t>
  </si>
  <si>
    <t>1872-07-12</t>
  </si>
  <si>
    <t>1872-09-14</t>
  </si>
  <si>
    <t>1872-11-13</t>
  </si>
  <si>
    <t>1872-11-18</t>
  </si>
  <si>
    <t>1873-05-25</t>
  </si>
  <si>
    <t>1873-11-22</t>
  </si>
  <si>
    <t>1874-01-08</t>
  </si>
  <si>
    <t>1874-07-26</t>
  </si>
  <si>
    <t>1874-08-21</t>
  </si>
  <si>
    <t>1874-11-24</t>
  </si>
  <si>
    <t>1865-02-07</t>
  </si>
  <si>
    <t>1866-01-25</t>
  </si>
  <si>
    <t>1866-02-07</t>
  </si>
  <si>
    <t>1866-03-20</t>
  </si>
  <si>
    <t>1866-04-12</t>
  </si>
  <si>
    <t>1866-05-22</t>
  </si>
  <si>
    <t>1866-03-13</t>
  </si>
  <si>
    <t>1866-12-16</t>
  </si>
  <si>
    <t>1867-03-01</t>
  </si>
  <si>
    <t>1867-03-31</t>
  </si>
  <si>
    <t>1867-11-20</t>
  </si>
  <si>
    <t>1868-02-26</t>
  </si>
  <si>
    <t>1868-03-29</t>
  </si>
  <si>
    <t>1868-04-04</t>
  </si>
  <si>
    <t>1868-05-09</t>
  </si>
  <si>
    <t>1867-05-10</t>
  </si>
  <si>
    <t>1868-07-10</t>
  </si>
  <si>
    <t>1868-09-04</t>
  </si>
  <si>
    <t>1868-05-01</t>
  </si>
  <si>
    <t>1869-03-13</t>
  </si>
  <si>
    <t>1869-05-01</t>
  </si>
  <si>
    <t>1869-05-26</t>
  </si>
  <si>
    <t>1869-12-31</t>
  </si>
  <si>
    <t>1870-03-17</t>
  </si>
  <si>
    <t>1870-06-28</t>
  </si>
  <si>
    <t>1870-09-22</t>
  </si>
  <si>
    <t>1870-10-12</t>
  </si>
  <si>
    <t>1870-11-09</t>
  </si>
  <si>
    <t>1870-12-10</t>
  </si>
  <si>
    <t>1871-05-11</t>
  </si>
  <si>
    <t>1871-05-25</t>
  </si>
  <si>
    <t>1871-08-24</t>
  </si>
  <si>
    <t>1872-01-27</t>
  </si>
  <si>
    <t>1872-02-23</t>
  </si>
  <si>
    <t>1872-03-23</t>
  </si>
  <si>
    <t>1872-04-16</t>
  </si>
  <si>
    <t>1872-07-06</t>
  </si>
  <si>
    <t>1872-08-24</t>
  </si>
  <si>
    <t>1872-10-13</t>
  </si>
  <si>
    <t>1873-04-15</t>
  </si>
  <si>
    <t>1873-06-19</t>
  </si>
  <si>
    <t>1873-11-16</t>
  </si>
  <si>
    <t>1874-02-15</t>
  </si>
  <si>
    <t>1874-05-26</t>
  </si>
  <si>
    <t>1874-08-11</t>
  </si>
  <si>
    <t>1874-09-15</t>
  </si>
  <si>
    <t>1874-12-07</t>
  </si>
  <si>
    <t>1865-04-24</t>
  </si>
  <si>
    <t>1865-12-17</t>
  </si>
  <si>
    <t>1866-07-07</t>
  </si>
  <si>
    <t>1866-10-21</t>
  </si>
  <si>
    <t>1867-09-25</t>
  </si>
  <si>
    <t>1868-01-15</t>
  </si>
  <si>
    <t>1868-07-15</t>
  </si>
  <si>
    <t>1869-06-12</t>
  </si>
  <si>
    <t>1870-04-12</t>
  </si>
  <si>
    <t>1870-10-06</t>
  </si>
  <si>
    <t>1871-05-07</t>
  </si>
  <si>
    <t>1871-06-16</t>
  </si>
  <si>
    <t>1872-08-11</t>
  </si>
  <si>
    <t>1873-02-20</t>
  </si>
  <si>
    <t>1873-04-03</t>
  </si>
  <si>
    <t>1874-10-13</t>
  </si>
  <si>
    <t>1866-01-24</t>
  </si>
  <si>
    <t>1874-07-08</t>
  </si>
  <si>
    <t>1865-03-09</t>
  </si>
  <si>
    <t>1865-05-08</t>
  </si>
  <si>
    <t>1865-06-26</t>
  </si>
  <si>
    <t>1866-01-05</t>
  </si>
  <si>
    <t>1866-11-19</t>
  </si>
  <si>
    <t>1867-01-05</t>
  </si>
  <si>
    <t>1867-07-27</t>
  </si>
  <si>
    <t>1870-05-22</t>
  </si>
  <si>
    <t>1871-06-14</t>
  </si>
  <si>
    <t>1871-11-11</t>
  </si>
  <si>
    <t>1872-10-09</t>
  </si>
  <si>
    <t>1872-07-07</t>
  </si>
  <si>
    <t>1872-12-22</t>
  </si>
  <si>
    <t>1873-10-04</t>
  </si>
  <si>
    <t>1865-04-03</t>
  </si>
  <si>
    <t>1865-09-20</t>
  </si>
  <si>
    <t>1866-01-15</t>
  </si>
  <si>
    <t>1866-01-28</t>
  </si>
  <si>
    <t>1866-09-10</t>
  </si>
  <si>
    <t>1867-01-31</t>
  </si>
  <si>
    <t>1867-09-22</t>
  </si>
  <si>
    <t>1866-02-23</t>
  </si>
  <si>
    <t>1868-01-06</t>
  </si>
  <si>
    <t>1868-09-18</t>
  </si>
  <si>
    <t>1868-11-08</t>
  </si>
  <si>
    <t>1869-03-10</t>
  </si>
  <si>
    <t>1869-09-08</t>
  </si>
  <si>
    <t>1870-04-03</t>
  </si>
  <si>
    <t>1870-06-25</t>
  </si>
  <si>
    <t>1870-10-28</t>
  </si>
  <si>
    <t>1870-10-20</t>
  </si>
  <si>
    <t>1871-04-09</t>
  </si>
  <si>
    <t>1871-12-04</t>
  </si>
  <si>
    <t>1871-12-.23</t>
  </si>
  <si>
    <t>1872-12-14</t>
  </si>
  <si>
    <t>1873-09-04</t>
  </si>
  <si>
    <t>1873-09-08</t>
  </si>
  <si>
    <t>1874-03-31</t>
  </si>
  <si>
    <t>1874-04-04</t>
  </si>
  <si>
    <t>1874-05-10</t>
  </si>
  <si>
    <t>1867-02-09</t>
  </si>
  <si>
    <t>1867-11-13</t>
  </si>
  <si>
    <t>1868-01-07</t>
  </si>
  <si>
    <t>1869-06-08</t>
  </si>
  <si>
    <t>1871-05-22</t>
  </si>
  <si>
    <t>1873-09-11</t>
  </si>
  <si>
    <t>1865-03-05</t>
  </si>
  <si>
    <t>1865-08-23</t>
  </si>
  <si>
    <t>1866-01-29</t>
  </si>
  <si>
    <t>1866-03-30</t>
  </si>
  <si>
    <t>1867-01-30</t>
  </si>
  <si>
    <t>1868-05-10</t>
  </si>
  <si>
    <t>1869-07-03</t>
  </si>
  <si>
    <t>1870-04-23</t>
  </si>
  <si>
    <t>1871-04-04</t>
  </si>
  <si>
    <t>1872-03-22</t>
  </si>
  <si>
    <t>1872-10-05</t>
  </si>
  <si>
    <t>1874-02-18</t>
  </si>
  <si>
    <t>1874-01-25</t>
  </si>
  <si>
    <t>1870-09-18</t>
  </si>
  <si>
    <t>1872-05-29</t>
  </si>
  <si>
    <t>1873-12-5</t>
  </si>
  <si>
    <t>1874-09-11</t>
  </si>
  <si>
    <t>1865-05-24</t>
  </si>
  <si>
    <t>1865-06-29</t>
  </si>
  <si>
    <t>1865-10-13</t>
  </si>
  <si>
    <t>1866-05-17</t>
  </si>
  <si>
    <t>1866-08-08</t>
  </si>
  <si>
    <t>1866-10-15</t>
  </si>
  <si>
    <t>1866-10-17</t>
  </si>
  <si>
    <t>1867-05-08</t>
  </si>
  <si>
    <t>1867-0717</t>
  </si>
  <si>
    <t>1867-10-08</t>
  </si>
  <si>
    <t>1867-10-24</t>
  </si>
  <si>
    <t>1867-12-07</t>
  </si>
  <si>
    <t>1867-12-03</t>
  </si>
  <si>
    <t>1868-12-03</t>
  </si>
  <si>
    <t>1868-03-08</t>
  </si>
  <si>
    <t>1868-04-06</t>
  </si>
  <si>
    <t>1868-09-02</t>
  </si>
  <si>
    <t>1868-09-29</t>
  </si>
  <si>
    <t>1868-09-13</t>
  </si>
  <si>
    <t>1868-10-27</t>
  </si>
  <si>
    <t>1869-04-30</t>
  </si>
  <si>
    <t>1869-07-30</t>
  </si>
  <si>
    <t>1869-11-15</t>
  </si>
  <si>
    <t>1869-08-18</t>
  </si>
  <si>
    <t>1869-11-05</t>
  </si>
  <si>
    <t>1870-08-01</t>
  </si>
  <si>
    <t>1870-09-17</t>
  </si>
  <si>
    <t>1870-08-02</t>
  </si>
  <si>
    <t>1871-02-01</t>
  </si>
  <si>
    <t>1871-03-20</t>
  </si>
  <si>
    <t>1871-04-12</t>
  </si>
  <si>
    <t>1871-04-24</t>
  </si>
  <si>
    <t>1871-06-01</t>
  </si>
  <si>
    <t>1871-05-21</t>
  </si>
  <si>
    <t>1871-07-07</t>
  </si>
  <si>
    <t>1871-08-28</t>
  </si>
  <si>
    <t>1872-01-21</t>
  </si>
  <si>
    <t>1872-02-26</t>
  </si>
  <si>
    <t>1872-03-02</t>
  </si>
  <si>
    <t>1872-07-08</t>
  </si>
  <si>
    <t>1872-08-18</t>
  </si>
  <si>
    <t>1871-10-18</t>
  </si>
  <si>
    <t>1872-09-26</t>
  </si>
  <si>
    <t>1872-11-03</t>
  </si>
  <si>
    <t>1873-03-08</t>
  </si>
  <si>
    <t>1873-03-19</t>
  </si>
  <si>
    <t>1873-04-05</t>
  </si>
  <si>
    <t>1873-08.28</t>
  </si>
  <si>
    <t>1873-11-24</t>
  </si>
  <si>
    <t>1874-02.27</t>
  </si>
  <si>
    <t>1874-03-15</t>
  </si>
  <si>
    <t>1872-03-26</t>
  </si>
  <si>
    <t>1874-06-02</t>
  </si>
  <si>
    <t>1874-07-02</t>
  </si>
  <si>
    <t>1874-04-07</t>
  </si>
  <si>
    <t>1874-10-31</t>
  </si>
  <si>
    <t>1874-12-11</t>
  </si>
  <si>
    <t>1874-03-30</t>
  </si>
  <si>
    <t>1865-05-09</t>
  </si>
  <si>
    <t>1865-09-22</t>
  </si>
  <si>
    <t>1866-02-24</t>
  </si>
  <si>
    <t>1866-09-02</t>
  </si>
  <si>
    <t>1866-10-29</t>
  </si>
  <si>
    <t>1867-06-18</t>
  </si>
  <si>
    <t>1867-03-16</t>
  </si>
  <si>
    <t>1868-01-27</t>
  </si>
  <si>
    <t>1868-07-27</t>
  </si>
  <si>
    <t>1847-08-16</t>
  </si>
  <si>
    <t>1850-07-15</t>
  </si>
  <si>
    <t>1868-08-04</t>
  </si>
  <si>
    <t>1869-03-12</t>
  </si>
  <si>
    <t>1869-10-10</t>
  </si>
  <si>
    <t>1868-05-27</t>
  </si>
  <si>
    <t>1871-01-12</t>
  </si>
  <si>
    <t>1871-05-27</t>
  </si>
  <si>
    <t>1872-01-08</t>
  </si>
  <si>
    <t>1872-08-25</t>
  </si>
  <si>
    <t>1872-09-30</t>
  </si>
  <si>
    <t>1872-10-30</t>
  </si>
  <si>
    <t>1873-11-07</t>
  </si>
  <si>
    <t>1865-03-31</t>
  </si>
  <si>
    <t>1865-08-08</t>
  </si>
  <si>
    <t>1865-08-19</t>
  </si>
  <si>
    <t>1865-11-30</t>
  </si>
  <si>
    <t>1866-01-11</t>
  </si>
  <si>
    <t>1866-03-09</t>
  </si>
  <si>
    <t>1866-03-07</t>
  </si>
  <si>
    <t>1866-04-25</t>
  </si>
  <si>
    <t>1866-04-13</t>
  </si>
  <si>
    <t>1866-06-26</t>
  </si>
  <si>
    <t>1866-08-23</t>
  </si>
  <si>
    <t>1866-09-13</t>
  </si>
  <si>
    <t>1866-23-30</t>
  </si>
  <si>
    <t>1867-05-20</t>
  </si>
  <si>
    <t>1867-11-06</t>
  </si>
  <si>
    <t>1867-08-23</t>
  </si>
  <si>
    <t>1868-02-25</t>
  </si>
  <si>
    <t>1868-01-26</t>
  </si>
  <si>
    <t>1868-07-14</t>
  </si>
  <si>
    <t>1868-08-11</t>
  </si>
  <si>
    <t>1868-08-30</t>
  </si>
  <si>
    <t>1868-09-05</t>
  </si>
  <si>
    <t>1868-06-26</t>
  </si>
  <si>
    <t>1869-01-30</t>
  </si>
  <si>
    <t>1869-07-06</t>
  </si>
  <si>
    <t>1869-08-11</t>
  </si>
  <si>
    <t>1869-10-09</t>
  </si>
  <si>
    <t>1869-08-30</t>
  </si>
  <si>
    <t>1869-10-02</t>
  </si>
  <si>
    <t>1869-12-15</t>
  </si>
  <si>
    <t>1869-09-20</t>
  </si>
  <si>
    <t>1869-12-23</t>
  </si>
  <si>
    <t>1867-12-08</t>
  </si>
  <si>
    <t>1869-11-23</t>
  </si>
  <si>
    <t>1863-01-08</t>
  </si>
  <si>
    <t>1868-03-13</t>
  </si>
  <si>
    <t>1870-10-10</t>
  </si>
  <si>
    <t>1870-11-1-</t>
  </si>
  <si>
    <t>1870-11-18</t>
  </si>
  <si>
    <t>1870-09-13</t>
  </si>
  <si>
    <t>1871-03-07</t>
  </si>
  <si>
    <t>1871-02-27</t>
  </si>
  <si>
    <t>1868-02-10</t>
  </si>
  <si>
    <t>1870-01-14</t>
  </si>
  <si>
    <t>1871-08-21</t>
  </si>
  <si>
    <t>1871-09-11</t>
  </si>
  <si>
    <t>1871-10-20</t>
  </si>
  <si>
    <t>1871-11-09</t>
  </si>
  <si>
    <t>1872-02-12</t>
  </si>
  <si>
    <t>1872-01-28</t>
  </si>
  <si>
    <t>1872-08-23</t>
  </si>
  <si>
    <t>1872-08-12</t>
  </si>
  <si>
    <t>1872-07-10</t>
  </si>
  <si>
    <t>1872-12-31</t>
  </si>
  <si>
    <t>1873-04-13</t>
  </si>
  <si>
    <t>1873-07-21</t>
  </si>
  <si>
    <t>1873-07-31</t>
  </si>
  <si>
    <t>1874-01-28</t>
  </si>
  <si>
    <t>1874-02-07</t>
  </si>
  <si>
    <t>1874-02-08</t>
  </si>
  <si>
    <t>1862-12-28</t>
  </si>
  <si>
    <t>1874-01-15</t>
  </si>
  <si>
    <t>1874-03-02</t>
  </si>
  <si>
    <t>1874-06-30</t>
  </si>
  <si>
    <t>1865-01-29</t>
  </si>
  <si>
    <t>1867-10-23</t>
  </si>
  <si>
    <t>1867-11-30</t>
  </si>
  <si>
    <t>1867-09-12</t>
  </si>
  <si>
    <t>1867-10-04</t>
  </si>
  <si>
    <t>1866-01-09</t>
  </si>
  <si>
    <t>1871-04-15</t>
  </si>
  <si>
    <t>1872-02-10</t>
  </si>
  <si>
    <t>1871-05-29</t>
  </si>
  <si>
    <t>1865-03-23</t>
  </si>
  <si>
    <t>1862-08-23</t>
  </si>
  <si>
    <t>1863-09-15</t>
  </si>
  <si>
    <t>1865-07-06</t>
  </si>
  <si>
    <t>1865-12-02</t>
  </si>
  <si>
    <t>1865-12-05</t>
  </si>
  <si>
    <t>1856-12-18</t>
  </si>
  <si>
    <t>1866-09-28</t>
  </si>
  <si>
    <t>1866-04-30</t>
  </si>
  <si>
    <t>1866-08-16</t>
  </si>
  <si>
    <t>1866-10-25</t>
  </si>
  <si>
    <t>1866-11-29</t>
  </si>
  <si>
    <t>1867-07-04</t>
  </si>
  <si>
    <t>1867-12-04</t>
  </si>
  <si>
    <t>1867-02-23</t>
  </si>
  <si>
    <t>1867-01-17</t>
  </si>
  <si>
    <t>1868-05-26</t>
  </si>
  <si>
    <t>1868-07-26</t>
  </si>
  <si>
    <t>1869-11-01</t>
  </si>
  <si>
    <t>1869-12-01</t>
  </si>
  <si>
    <t>1869-05-14</t>
  </si>
  <si>
    <t>1869-08-14</t>
  </si>
  <si>
    <t>1869-10-21</t>
  </si>
  <si>
    <t>1869-02-18</t>
  </si>
  <si>
    <t>1869-12-17</t>
  </si>
  <si>
    <t>1870-03-20</t>
  </si>
  <si>
    <t>1870-04-08</t>
  </si>
  <si>
    <t>1870-09-10</t>
  </si>
  <si>
    <t>1870-11-07</t>
  </si>
  <si>
    <t>1871-06-19</t>
  </si>
  <si>
    <t>1871-09-10</t>
  </si>
  <si>
    <t>1872-05-01</t>
  </si>
  <si>
    <t>1872-11-08</t>
  </si>
  <si>
    <t>1873-09-19</t>
  </si>
  <si>
    <t>1870-02-11</t>
  </si>
  <si>
    <t>1871-03-24</t>
  </si>
  <si>
    <t>1872-08-04</t>
  </si>
  <si>
    <t>1881-08-15</t>
  </si>
  <si>
    <t>1872-04-29</t>
  </si>
  <si>
    <t>1881-11-17</t>
  </si>
  <si>
    <t>1881-04-06</t>
  </si>
  <si>
    <t>1881-09-22</t>
  </si>
  <si>
    <t>1881-01-16</t>
  </si>
  <si>
    <t>1881-01-12</t>
  </si>
  <si>
    <t>1881-03-10</t>
  </si>
  <si>
    <t>1881-03-39</t>
  </si>
  <si>
    <t>1881-09-08</t>
  </si>
  <si>
    <t>1881-11-15</t>
  </si>
  <si>
    <t>1881-01-01</t>
  </si>
  <si>
    <t>1881-01-04</t>
  </si>
  <si>
    <t>1881-04-23</t>
  </si>
  <si>
    <t>1881-04-03</t>
  </si>
  <si>
    <t>1881-06-05</t>
  </si>
  <si>
    <t>1871-06-27</t>
  </si>
  <si>
    <t>1875-09-01</t>
  </si>
  <si>
    <t>1881-04-25</t>
  </si>
  <si>
    <t>1881-09-20</t>
  </si>
  <si>
    <t>1881-06-25</t>
  </si>
  <si>
    <t>1881-112-06</t>
  </si>
  <si>
    <t>1881-01-08</t>
  </si>
  <si>
    <t>1881-01-14</t>
  </si>
  <si>
    <t>1865-11-12</t>
  </si>
  <si>
    <t>1881-07-10</t>
  </si>
  <si>
    <t>1881-04-15</t>
  </si>
  <si>
    <t>1881-06-01</t>
  </si>
  <si>
    <t>1881-09-16</t>
  </si>
  <si>
    <t>1881-10-05</t>
  </si>
  <si>
    <t>1881-05-11</t>
  </si>
  <si>
    <t>1881-12-14</t>
  </si>
  <si>
    <t>1865-1-19</t>
  </si>
  <si>
    <t>1890-05-16</t>
  </si>
  <si>
    <t>1890-11-06</t>
  </si>
  <si>
    <t>1890-12-05</t>
  </si>
  <si>
    <t>1890-04-30</t>
  </si>
  <si>
    <t>1890-06-21</t>
  </si>
  <si>
    <t>1890-0514</t>
  </si>
  <si>
    <t>1890-03-07</t>
  </si>
  <si>
    <t>1890-09-10</t>
  </si>
  <si>
    <t>1890-02-26</t>
  </si>
  <si>
    <t>1890-08-19</t>
  </si>
  <si>
    <t>1890-10-01</t>
  </si>
  <si>
    <t>1890-03-11</t>
  </si>
  <si>
    <t>1890-04-28</t>
  </si>
  <si>
    <t>1890-06-28</t>
  </si>
  <si>
    <t>1890-07-01</t>
  </si>
  <si>
    <t>1890-11.08</t>
  </si>
  <si>
    <t>1890-12-09</t>
  </si>
  <si>
    <t>1890-01-08</t>
  </si>
  <si>
    <t>1890-03-23</t>
  </si>
  <si>
    <t>1890-02-09</t>
  </si>
  <si>
    <t>1890-01-16</t>
  </si>
  <si>
    <t>1890-03-02</t>
  </si>
  <si>
    <t>1891-02-04</t>
  </si>
  <si>
    <t>1891-10-16</t>
  </si>
  <si>
    <t>1891-12-23</t>
  </si>
  <si>
    <t>1891-03-01</t>
  </si>
  <si>
    <t>1891-09-10</t>
  </si>
  <si>
    <t>1891-01-18</t>
  </si>
  <si>
    <t>1891-02-06</t>
  </si>
  <si>
    <t>1891-11-22</t>
  </si>
  <si>
    <t>1891-01-10</t>
  </si>
  <si>
    <t>1891-02-26</t>
  </si>
  <si>
    <t>1891-03-06</t>
  </si>
  <si>
    <t>1891-07-08</t>
  </si>
  <si>
    <t>1891-12-16</t>
  </si>
  <si>
    <t>1891-01-15</t>
  </si>
  <si>
    <t>1891-07-20</t>
  </si>
  <si>
    <t>1891-11-02</t>
  </si>
  <si>
    <t>1891-08-19</t>
  </si>
  <si>
    <t>1891-05-01</t>
  </si>
  <si>
    <t>1891-06-16</t>
  </si>
  <si>
    <t>1891-08-17</t>
  </si>
  <si>
    <t>1891-07-06</t>
  </si>
  <si>
    <t>1891-01-08</t>
  </si>
  <si>
    <t>1891-05-05</t>
  </si>
  <si>
    <t>1891-10-09</t>
  </si>
  <si>
    <t>1891-06-01</t>
  </si>
  <si>
    <t>1891-08-28</t>
  </si>
  <si>
    <t>1891-09-03</t>
  </si>
  <si>
    <t>1892-12-25</t>
  </si>
  <si>
    <t>1893-10-18</t>
  </si>
  <si>
    <t>1893-05-25</t>
  </si>
  <si>
    <t>1893-06-14</t>
  </si>
  <si>
    <t>1893-09-18</t>
  </si>
  <si>
    <t>1893-09-21</t>
  </si>
  <si>
    <t>1893-01-01</t>
  </si>
  <si>
    <t>1893-05-16</t>
  </si>
  <si>
    <t>1893-11-27</t>
  </si>
  <si>
    <t>1893-03-22</t>
  </si>
  <si>
    <t>1893-07-05</t>
  </si>
  <si>
    <t>1893-02-12</t>
  </si>
  <si>
    <t>1893-03-10</t>
  </si>
  <si>
    <t>1893-04-20</t>
  </si>
  <si>
    <t>1893-11-12</t>
  </si>
  <si>
    <t>1893-01-06</t>
  </si>
  <si>
    <t>1893-11-02</t>
  </si>
  <si>
    <t>1894-01-25</t>
  </si>
  <si>
    <t>1894-01-05</t>
  </si>
  <si>
    <t>1894-08-12</t>
  </si>
  <si>
    <t>1894-06-19</t>
  </si>
  <si>
    <t>1894-12-18</t>
  </si>
  <si>
    <t>1894-01-30</t>
  </si>
  <si>
    <t>1876-12-31</t>
  </si>
  <si>
    <t>1879-11-03</t>
  </si>
  <si>
    <t>1894-01-18</t>
  </si>
  <si>
    <t>1894-02-08</t>
  </si>
  <si>
    <t>1894-11-25</t>
  </si>
  <si>
    <t>1894-09-20</t>
  </si>
  <si>
    <t>1894-12-19</t>
  </si>
  <si>
    <t>1894-02-02</t>
  </si>
  <si>
    <t>1894-04-16</t>
  </si>
  <si>
    <t>1894-06-05</t>
  </si>
  <si>
    <t>1894-03-15</t>
  </si>
  <si>
    <t>1894-03-18</t>
  </si>
  <si>
    <t>1894-07-11</t>
  </si>
  <si>
    <t>1894-09-08</t>
  </si>
  <si>
    <t>1894-09-11</t>
  </si>
  <si>
    <t>1894-10-03</t>
  </si>
  <si>
    <t>1894-04-07</t>
  </si>
  <si>
    <t>1894-05-16</t>
  </si>
  <si>
    <t>1894-08-24</t>
  </si>
  <si>
    <t>1895-02-21</t>
  </si>
  <si>
    <t>1895-02-17</t>
  </si>
  <si>
    <t>1895-06-02</t>
  </si>
  <si>
    <t>1895-06-04</t>
  </si>
  <si>
    <t>1895-12-06</t>
  </si>
  <si>
    <t>1895-04-18</t>
  </si>
  <si>
    <t>1895-12-21</t>
  </si>
  <si>
    <t>1895-04-16</t>
  </si>
  <si>
    <t>1895-09-08</t>
  </si>
  <si>
    <t>1895-09-20</t>
  </si>
  <si>
    <t>1895-09-05</t>
  </si>
  <si>
    <t>1895-09-02</t>
  </si>
  <si>
    <t>1895-12-27</t>
  </si>
  <si>
    <t>1895-05-25</t>
  </si>
  <si>
    <t>1895-02-01</t>
  </si>
  <si>
    <t>1895-03-09</t>
  </si>
  <si>
    <t>1895-04-03</t>
  </si>
  <si>
    <t>1895-11-27</t>
  </si>
  <si>
    <t>1895-03-03</t>
  </si>
  <si>
    <t>1895-04-28</t>
  </si>
  <si>
    <t>1895-04-30</t>
  </si>
  <si>
    <t>1895-05-23</t>
  </si>
  <si>
    <t>1895-06-01</t>
  </si>
  <si>
    <t>1895-06-06</t>
  </si>
  <si>
    <t>1895-01-02</t>
  </si>
  <si>
    <t>1896-02-03</t>
  </si>
  <si>
    <t>1896-11-07</t>
  </si>
  <si>
    <t>1896-07-16</t>
  </si>
  <si>
    <t>1896-06-18</t>
  </si>
  <si>
    <t>1896-10-03</t>
  </si>
  <si>
    <t>1896-03-01</t>
  </si>
  <si>
    <t>1896-12-16</t>
  </si>
  <si>
    <t>1896-01-15</t>
  </si>
  <si>
    <t>1896-06-07</t>
  </si>
  <si>
    <t>1896-11-01</t>
  </si>
  <si>
    <t>1896-01-10</t>
  </si>
  <si>
    <t>1896-10-06</t>
  </si>
  <si>
    <t>1896-02-13</t>
  </si>
  <si>
    <t>1896-10-19</t>
  </si>
  <si>
    <t>1896-12-26</t>
  </si>
  <si>
    <t>1896-02-29</t>
  </si>
  <si>
    <t>1896-03-14</t>
  </si>
  <si>
    <t>1896-06-11</t>
  </si>
  <si>
    <t>1896-06-16</t>
  </si>
  <si>
    <t>1896-10-27</t>
  </si>
  <si>
    <t>1896-12-09</t>
  </si>
  <si>
    <t>1896-11-28</t>
  </si>
  <si>
    <t>1896-05-29</t>
  </si>
  <si>
    <t>1896-06-21</t>
  </si>
  <si>
    <t>1896-07-03</t>
  </si>
  <si>
    <t>1896-09-28</t>
  </si>
  <si>
    <t>1897-01-10</t>
  </si>
  <si>
    <t>1897-07-05</t>
  </si>
  <si>
    <t>1897-03-06</t>
  </si>
  <si>
    <t>1897-02-15</t>
  </si>
  <si>
    <t>1897-09-23</t>
  </si>
  <si>
    <t>1897-05-05</t>
  </si>
  <si>
    <t>1897-06-07</t>
  </si>
  <si>
    <t>1897-05-17</t>
  </si>
  <si>
    <t>1897-06-27</t>
  </si>
  <si>
    <t>1897-10-18</t>
  </si>
  <si>
    <t>1897-11-17</t>
  </si>
  <si>
    <t>1897-03-16</t>
  </si>
  <si>
    <t>1897-11-10</t>
  </si>
  <si>
    <t>1897-11-30</t>
  </si>
  <si>
    <t>1897-12-09</t>
  </si>
  <si>
    <t>1897-08-16</t>
  </si>
  <si>
    <t>1897-02-14</t>
  </si>
  <si>
    <t>1897-11-19</t>
  </si>
  <si>
    <t>1898-03-04</t>
  </si>
  <si>
    <t>1898-04-14</t>
  </si>
  <si>
    <t>1898-01-06</t>
  </si>
  <si>
    <t>1898-09-28</t>
  </si>
  <si>
    <t>1898-11-25</t>
  </si>
  <si>
    <t>1898-07-09</t>
  </si>
  <si>
    <t>1898-05-15</t>
  </si>
  <si>
    <t>1898-09-12</t>
  </si>
  <si>
    <t>1898-04-05</t>
  </si>
  <si>
    <t>1898-06-03</t>
  </si>
  <si>
    <t>1898-07-16</t>
  </si>
  <si>
    <t>1898-04-10</t>
  </si>
  <si>
    <t>1898-03-06</t>
  </si>
  <si>
    <t>1898-05-06</t>
  </si>
  <si>
    <t>1898-03-26</t>
  </si>
  <si>
    <t>1898-02-08</t>
  </si>
  <si>
    <t>1898-06-11</t>
  </si>
  <si>
    <t>1898-08-14</t>
  </si>
  <si>
    <t>1899-09-09</t>
  </si>
  <si>
    <t>1899-03-30</t>
  </si>
  <si>
    <t>1899-02-28</t>
  </si>
  <si>
    <t>1899-03-31</t>
  </si>
  <si>
    <t>1899-06-18</t>
  </si>
  <si>
    <t>1899-05-02</t>
  </si>
  <si>
    <t>1899-08-05</t>
  </si>
  <si>
    <t>1899-06-05</t>
  </si>
  <si>
    <t>1899-02-18</t>
  </si>
  <si>
    <t>1899-04-24</t>
  </si>
  <si>
    <t>1899-05-12</t>
  </si>
  <si>
    <t>1899-07-31</t>
  </si>
  <si>
    <t>1899-04-29</t>
  </si>
  <si>
    <t>1899-08-24</t>
  </si>
  <si>
    <t>1899-10-20</t>
  </si>
  <si>
    <t>1899-03-01</t>
  </si>
  <si>
    <t>1899-03-17</t>
  </si>
  <si>
    <t>1899-07-04</t>
  </si>
  <si>
    <t>1899-11-30</t>
  </si>
  <si>
    <t>1890-05-11</t>
  </si>
  <si>
    <t>1893-01-12</t>
  </si>
  <si>
    <t>Dr. M.H. Herrmann</t>
  </si>
  <si>
    <t>Moric</t>
  </si>
  <si>
    <t>5-26</t>
  </si>
  <si>
    <t>1872</t>
  </si>
  <si>
    <t>Bohdan</t>
  </si>
  <si>
    <t>5-27</t>
  </si>
  <si>
    <t>1888</t>
  </si>
  <si>
    <t>Adel</t>
  </si>
  <si>
    <t>/Klara</t>
  </si>
  <si>
    <t>1895</t>
  </si>
  <si>
    <t>/Matylda</t>
  </si>
  <si>
    <t>1-1</t>
  </si>
  <si>
    <t>1-4</t>
  </si>
  <si>
    <t>Julius/Matylda</t>
  </si>
  <si>
    <t>1899</t>
  </si>
  <si>
    <t>Richard/Jana</t>
  </si>
  <si>
    <t>3-19</t>
  </si>
  <si>
    <t>1921</t>
  </si>
  <si>
    <t>Simon/Marie</t>
  </si>
  <si>
    <t>Marta</t>
  </si>
  <si>
    <t>1922</t>
  </si>
  <si>
    <t>Edita</t>
  </si>
  <si>
    <t>Robert/Marianna</t>
  </si>
  <si>
    <t>1928</t>
  </si>
  <si>
    <t>Apfel</t>
  </si>
  <si>
    <t>Arnost</t>
  </si>
  <si>
    <t>1875</t>
  </si>
  <si>
    <t>Zikmund/Jana</t>
  </si>
  <si>
    <t>1-7</t>
  </si>
  <si>
    <t>Zikmund</t>
  </si>
  <si>
    <t>Leopold/Katti</t>
  </si>
  <si>
    <t>2-10</t>
  </si>
  <si>
    <t>Emanuel/Josefa</t>
  </si>
  <si>
    <t>2-13</t>
  </si>
  <si>
    <t>Arnostka</t>
  </si>
  <si>
    <t>Josef Julius/Libusa Elisa</t>
  </si>
  <si>
    <t>2-14</t>
  </si>
  <si>
    <t>Jindrich/Jana</t>
  </si>
  <si>
    <t>3-22</t>
  </si>
  <si>
    <t>Brauner</t>
  </si>
  <si>
    <t>Adolf/Rosa</t>
  </si>
  <si>
    <t>5-31</t>
  </si>
  <si>
    <t>Josef (Jachym)</t>
  </si>
  <si>
    <t>Jakub/Jana (Josefa)</t>
  </si>
  <si>
    <t>1876</t>
  </si>
  <si>
    <t>Budschowtiz</t>
  </si>
  <si>
    <t>3-12</t>
  </si>
  <si>
    <t>6-39</t>
  </si>
  <si>
    <t>Albert/Betti</t>
  </si>
  <si>
    <t>4-21</t>
  </si>
  <si>
    <t>Emanuel/Cäcilie</t>
  </si>
  <si>
    <t>5-29</t>
  </si>
  <si>
    <t>Elkan/Betti</t>
  </si>
  <si>
    <t>6-31</t>
  </si>
  <si>
    <t>David (Ludvik)</t>
  </si>
  <si>
    <t>Samuel/Hanni</t>
  </si>
  <si>
    <t>7-42</t>
  </si>
  <si>
    <t>Jakub</t>
  </si>
  <si>
    <t>Jakub/Josefina</t>
  </si>
  <si>
    <t>9-52</t>
  </si>
  <si>
    <t>Juda Leopold/Katerina</t>
  </si>
  <si>
    <t>10-56</t>
  </si>
  <si>
    <t>1877</t>
  </si>
  <si>
    <t>2-11</t>
  </si>
  <si>
    <t>Jindrich</t>
  </si>
  <si>
    <t>Moric S/Netti</t>
  </si>
  <si>
    <t>5-28</t>
  </si>
  <si>
    <t>Salomon/Anna</t>
  </si>
  <si>
    <t>6-32</t>
  </si>
  <si>
    <t>Josef/Josefina</t>
  </si>
  <si>
    <t>9-48</t>
  </si>
  <si>
    <t>Bertold Leo</t>
  </si>
  <si>
    <t>1878</t>
  </si>
  <si>
    <t>2-12</t>
  </si>
  <si>
    <t>Charlota</t>
  </si>
  <si>
    <t>Eduard/Hermina</t>
  </si>
  <si>
    <t>4-32</t>
  </si>
  <si>
    <t>Albert/Hanni</t>
  </si>
  <si>
    <t>5-13</t>
  </si>
  <si>
    <t>Terezie</t>
  </si>
  <si>
    <t>Jan</t>
  </si>
  <si>
    <t>1880</t>
  </si>
  <si>
    <t>1879</t>
  </si>
  <si>
    <t>1881</t>
  </si>
  <si>
    <t>Karel</t>
  </si>
  <si>
    <t>Juda Salomon/Anna</t>
  </si>
  <si>
    <t>Elfrieda</t>
  </si>
  <si>
    <t>Selig (Zikmund)/Jana</t>
  </si>
  <si>
    <t>3-23</t>
  </si>
  <si>
    <t>Emil/Cäcilie</t>
  </si>
  <si>
    <t>5-34</t>
  </si>
  <si>
    <t>Eduard/Hermilia</t>
  </si>
  <si>
    <t>4-26</t>
  </si>
  <si>
    <t>1883</t>
  </si>
  <si>
    <t>2-8</t>
  </si>
  <si>
    <t>4-28</t>
  </si>
  <si>
    <t>Moric/Netti</t>
  </si>
  <si>
    <t>4-31</t>
  </si>
  <si>
    <t>1884</t>
  </si>
  <si>
    <t>Emil/Cecilie</t>
  </si>
  <si>
    <t>1885</t>
  </si>
  <si>
    <t>1--3</t>
  </si>
  <si>
    <t>Jakub/Frantiska</t>
  </si>
  <si>
    <t>3-26</t>
  </si>
  <si>
    <t>5-36</t>
  </si>
  <si>
    <t>Lazar/Demuth v. Antonie</t>
  </si>
  <si>
    <t>5-38</t>
  </si>
  <si>
    <t>Zikmund/Sali</t>
  </si>
  <si>
    <t>2-17</t>
  </si>
  <si>
    <t>1886</t>
  </si>
  <si>
    <t>2-16</t>
  </si>
  <si>
    <t>2-18</t>
  </si>
  <si>
    <t>1887</t>
  </si>
  <si>
    <t>Stepanka</t>
  </si>
  <si>
    <t>Filip/Josefina</t>
  </si>
  <si>
    <t>2-19</t>
  </si>
  <si>
    <t>Böck</t>
  </si>
  <si>
    <t>Frantisek/Arnostka</t>
  </si>
  <si>
    <t>2-15</t>
  </si>
  <si>
    <t>Benesh</t>
  </si>
  <si>
    <t>3-25</t>
  </si>
  <si>
    <t>Simon/Arnostka</t>
  </si>
  <si>
    <t>4-29</t>
  </si>
  <si>
    <t>Malvina</t>
  </si>
  <si>
    <t>Lazar/Demut v. Antonie</t>
  </si>
  <si>
    <t>1889</t>
  </si>
  <si>
    <t>1-8</t>
  </si>
  <si>
    <t>Moric/Marie</t>
  </si>
  <si>
    <t>David/Fanni</t>
  </si>
  <si>
    <t>1890</t>
  </si>
  <si>
    <t>3-20</t>
  </si>
  <si>
    <t>1891</t>
  </si>
  <si>
    <t>1-6</t>
  </si>
  <si>
    <t>Filip/Josefna</t>
  </si>
  <si>
    <t>Marketa</t>
  </si>
  <si>
    <t>3-30</t>
  </si>
  <si>
    <t>1893</t>
  </si>
  <si>
    <t>3-18</t>
  </si>
  <si>
    <t>1894</t>
  </si>
  <si>
    <t>Vitegslav</t>
  </si>
  <si>
    <t>1-3</t>
  </si>
  <si>
    <t>Leontina</t>
  </si>
  <si>
    <t>Albert/Klara</t>
  </si>
  <si>
    <t>3-17</t>
  </si>
  <si>
    <t>1896</t>
  </si>
  <si>
    <t>1-2</t>
  </si>
  <si>
    <t>Jana</t>
  </si>
  <si>
    <t>Jindrich/Resi</t>
  </si>
  <si>
    <t>4-24</t>
  </si>
  <si>
    <t>1897</t>
  </si>
  <si>
    <t>1898</t>
  </si>
  <si>
    <t>2-9</t>
  </si>
  <si>
    <t>1900</t>
  </si>
  <si>
    <t>Bedrich</t>
  </si>
  <si>
    <t>1901</t>
  </si>
  <si>
    <t>1903</t>
  </si>
  <si>
    <t>Babich</t>
  </si>
  <si>
    <t>1904</t>
  </si>
  <si>
    <t>Emanuel/Anna</t>
  </si>
  <si>
    <t>1906</t>
  </si>
  <si>
    <t>1907</t>
  </si>
  <si>
    <t>Marek/Eleonora</t>
  </si>
  <si>
    <t>2-6</t>
  </si>
  <si>
    <t>1908</t>
  </si>
  <si>
    <t>Kurt</t>
  </si>
  <si>
    <t>Bertold/Jana</t>
  </si>
  <si>
    <t>1910</t>
  </si>
  <si>
    <t>1911</t>
  </si>
  <si>
    <t>1913</t>
  </si>
  <si>
    <t>Hanus</t>
  </si>
  <si>
    <t>Katerina</t>
  </si>
  <si>
    <t>Josef/Hermina</t>
  </si>
  <si>
    <t>1916</t>
  </si>
  <si>
    <t>1917</t>
  </si>
  <si>
    <t>Bandler</t>
  </si>
  <si>
    <t>Josef Mayer/Priva</t>
  </si>
  <si>
    <t>Hanna</t>
  </si>
  <si>
    <t>Richard/Elfrieda</t>
  </si>
  <si>
    <t>1925</t>
  </si>
  <si>
    <t>1930</t>
  </si>
  <si>
    <t>Beneš</t>
  </si>
  <si>
    <t>Emil/Anna</t>
  </si>
  <si>
    <t>1933</t>
  </si>
  <si>
    <t>Zuzana</t>
  </si>
  <si>
    <t>Arnost/Inge</t>
  </si>
  <si>
    <t>1937</t>
  </si>
  <si>
    <t>Hana</t>
  </si>
  <si>
    <t>Arnost/Ingeborg</t>
  </si>
  <si>
    <t>Gabriel/Rosalia</t>
  </si>
  <si>
    <t>Gabriela/Sali</t>
  </si>
  <si>
    <t>4-18</t>
  </si>
  <si>
    <t>Helena</t>
  </si>
  <si>
    <t>Gabriel/Rosalie</t>
  </si>
  <si>
    <t>3-15</t>
  </si>
  <si>
    <t>Hedvika</t>
  </si>
  <si>
    <t>Jonas/Eleonora</t>
  </si>
  <si>
    <t>7-12/30</t>
  </si>
  <si>
    <t>Bohumir/Alzbeta</t>
  </si>
  <si>
    <t>Leopoldina</t>
  </si>
  <si>
    <t>1-5</t>
  </si>
  <si>
    <t>Ludvik</t>
  </si>
  <si>
    <t>Jindirch</t>
  </si>
  <si>
    <t>1-9</t>
  </si>
  <si>
    <t>3-24</t>
  </si>
  <si>
    <t>Maximilian/Arnostka</t>
  </si>
  <si>
    <t>Baruch (Berthold)/Flora</t>
  </si>
  <si>
    <t>Danner</t>
  </si>
  <si>
    <t>Milos</t>
  </si>
  <si>
    <t>Wolf/Elsa</t>
  </si>
  <si>
    <t>Moric/Lina</t>
  </si>
  <si>
    <t>Moric/Ema</t>
  </si>
  <si>
    <t>Artur</t>
  </si>
  <si>
    <t>Maximilian/Sidonie</t>
  </si>
  <si>
    <t>Eisenberg (v. Wasserman)</t>
  </si>
  <si>
    <t>Israel/Gisela</t>
  </si>
  <si>
    <t>1905</t>
  </si>
  <si>
    <t>Maximlian/Sidonie</t>
  </si>
  <si>
    <t>1924</t>
  </si>
  <si>
    <t>Hynek</t>
  </si>
  <si>
    <t>Viktor/Emilie</t>
  </si>
  <si>
    <t>Adolf/Regina</t>
  </si>
  <si>
    <t>Aloisie</t>
  </si>
  <si>
    <t>Vilem</t>
  </si>
  <si>
    <t>Vilem/Terezie</t>
  </si>
  <si>
    <t>Samson/Rosi</t>
  </si>
  <si>
    <t>Ignac</t>
  </si>
  <si>
    <t>Mojzes (Moric)/Rosalia</t>
  </si>
  <si>
    <t>6-40</t>
  </si>
  <si>
    <t>Simon/Jeti</t>
  </si>
  <si>
    <t>Moric/Josefina</t>
  </si>
  <si>
    <t>Jindriska</t>
  </si>
  <si>
    <t>Moric (r. Edel)/Lina</t>
  </si>
  <si>
    <t>3-14</t>
  </si>
  <si>
    <t>Pinkas (Leopold)/Amalie</t>
  </si>
  <si>
    <t>8-46</t>
  </si>
  <si>
    <t>Josef/Sofie</t>
  </si>
  <si>
    <t>9-57</t>
  </si>
  <si>
    <t>Albert/Julie</t>
  </si>
  <si>
    <t>10-57</t>
  </si>
  <si>
    <t>Simon/Julie (Jetti)</t>
  </si>
  <si>
    <t>Vitegslav (Samson)</t>
  </si>
  <si>
    <t>Simon (Samson)? Resi</t>
  </si>
  <si>
    <t>Josef/Betti</t>
  </si>
  <si>
    <t>4-22</t>
  </si>
  <si>
    <t>Moric/Minna</t>
  </si>
  <si>
    <t>Zdenka</t>
  </si>
  <si>
    <t>Bertold</t>
  </si>
  <si>
    <t>Moric/Pepi (Paulina)</t>
  </si>
  <si>
    <t>Vitezlav/Berta</t>
  </si>
  <si>
    <t>Josef/Babetta</t>
  </si>
  <si>
    <t>Simon Simson/Rosa</t>
  </si>
  <si>
    <t>Josef/Zofie</t>
  </si>
  <si>
    <t>Yonde/Emilie Ema</t>
  </si>
  <si>
    <t>Vitezslav</t>
  </si>
  <si>
    <t>Abraham Albert/Juliska</t>
  </si>
  <si>
    <t>Alexander/Babetta</t>
  </si>
  <si>
    <t>5-35</t>
  </si>
  <si>
    <t>Ignac/Emilie Ema</t>
  </si>
  <si>
    <t>4-2/20</t>
  </si>
  <si>
    <t>5-9</t>
  </si>
  <si>
    <t>5-12</t>
  </si>
  <si>
    <t>Matylda</t>
  </si>
  <si>
    <t>5-17</t>
  </si>
  <si>
    <t>Moric/Josefa (Pepi)</t>
  </si>
  <si>
    <t>Josef/Sali</t>
  </si>
  <si>
    <t>Simon/Rosa</t>
  </si>
  <si>
    <t>Josef/Terezia</t>
  </si>
  <si>
    <t>4-20</t>
  </si>
  <si>
    <t>5-33</t>
  </si>
  <si>
    <t>Julius Joachim/Terezie</t>
  </si>
  <si>
    <t>Alexander/Babetta (Betty)</t>
  </si>
  <si>
    <t>Moric/Paulina</t>
  </si>
  <si>
    <t>Moric/Klara</t>
  </si>
  <si>
    <t>1860</t>
  </si>
  <si>
    <t>Max.Rosa</t>
  </si>
  <si>
    <t>1862</t>
  </si>
  <si>
    <t>Max/Rosa</t>
  </si>
  <si>
    <t>1864</t>
  </si>
  <si>
    <t>Jindrich/Terezie</t>
  </si>
  <si>
    <t>4-30</t>
  </si>
  <si>
    <t>SimonRosa</t>
  </si>
  <si>
    <t>Irena</t>
  </si>
  <si>
    <t>Josef/Terezie</t>
  </si>
  <si>
    <t>Samson/Rosa</t>
  </si>
  <si>
    <t>Salomon/Zofie</t>
  </si>
  <si>
    <t>Euzenie</t>
  </si>
  <si>
    <t>Alexander/Beth</t>
  </si>
  <si>
    <t>3-21</t>
  </si>
  <si>
    <t>Dr. David Bassist/Fanni</t>
  </si>
  <si>
    <t>Alexander/Betty</t>
  </si>
  <si>
    <t>3-28</t>
  </si>
  <si>
    <t>Jindirch/Julie</t>
  </si>
  <si>
    <t>Julius (Jachym)/Terezie</t>
  </si>
  <si>
    <t>Hanus Bedrich</t>
  </si>
  <si>
    <t>Karel/Antonie</t>
  </si>
  <si>
    <t>Moric/Regina</t>
  </si>
  <si>
    <t>Jindrich/Julie</t>
  </si>
  <si>
    <t>Eduard/Augusta</t>
  </si>
  <si>
    <t>1-19</t>
  </si>
  <si>
    <t>Ludvik/Hermina</t>
  </si>
  <si>
    <t>Eduard/August</t>
  </si>
  <si>
    <t>1902</t>
  </si>
  <si>
    <t>Gustav Leo</t>
  </si>
  <si>
    <t>Mojzes (Moric)/Charlota</t>
  </si>
  <si>
    <t>Fedridt</t>
  </si>
  <si>
    <t>Leopold/Gisela</t>
  </si>
  <si>
    <t>Moyses (Moric)/Charlota</t>
  </si>
  <si>
    <t>Fürth</t>
  </si>
  <si>
    <t>Zikmund/Regina</t>
  </si>
  <si>
    <t>Alfred/Josefina</t>
  </si>
  <si>
    <t>Pavel</t>
  </si>
  <si>
    <t>Hugo/Elsa</t>
  </si>
  <si>
    <t>Grena</t>
  </si>
  <si>
    <t>Pavel Viktor</t>
  </si>
  <si>
    <t>1909</t>
  </si>
  <si>
    <t>Bertold/Marketa</t>
  </si>
  <si>
    <t>1912</t>
  </si>
  <si>
    <t>Ludvik/Stepanka</t>
  </si>
  <si>
    <t>Ema</t>
  </si>
  <si>
    <t>1914</t>
  </si>
  <si>
    <t>1918</t>
  </si>
  <si>
    <t>Eduard/Augusina</t>
  </si>
  <si>
    <t>1919</t>
  </si>
  <si>
    <t>Alfred/Olga</t>
  </si>
  <si>
    <t>1920</t>
  </si>
  <si>
    <t>Oskar/Sidonie</t>
  </si>
  <si>
    <t>Lizzi</t>
  </si>
  <si>
    <t>Artur/Terezie</t>
  </si>
  <si>
    <t>Elfi Paulina</t>
  </si>
  <si>
    <t>Moric/Vilemina</t>
  </si>
  <si>
    <t>1923</t>
  </si>
  <si>
    <t>Erika</t>
  </si>
  <si>
    <t>Viktor/Marta</t>
  </si>
  <si>
    <t>Jiri</t>
  </si>
  <si>
    <t>Ruth</t>
  </si>
  <si>
    <t>1926</t>
  </si>
  <si>
    <t>Albert/Fanni</t>
  </si>
  <si>
    <t>Ignac/Anna</t>
  </si>
  <si>
    <t>Ignac/Emilie</t>
  </si>
  <si>
    <t>Leopold/Filipina</t>
  </si>
  <si>
    <t>5-37</t>
  </si>
  <si>
    <t>Baruch/Sali</t>
  </si>
  <si>
    <t>3-13</t>
  </si>
  <si>
    <t>Herrman/Pepi (Paulina)</t>
  </si>
  <si>
    <t>8-48</t>
  </si>
  <si>
    <t>Herrman/Alzbeta (Luisa)</t>
  </si>
  <si>
    <t>Isak(Ignac)/Cecilie</t>
  </si>
  <si>
    <t>7-40</t>
  </si>
  <si>
    <t>Bernard/Fanni</t>
  </si>
  <si>
    <t>7-41</t>
  </si>
  <si>
    <t>Zikmund/Fanni</t>
  </si>
  <si>
    <t>Ignac Izak/Cecilie</t>
  </si>
  <si>
    <t>Charlota (Schewe)</t>
  </si>
  <si>
    <t>Herrman/Paulina Pepi</t>
  </si>
  <si>
    <t>5-30</t>
  </si>
  <si>
    <t>Jakub/Amalia</t>
  </si>
  <si>
    <t>Bernard/Fani</t>
  </si>
  <si>
    <t>Jakub/Amalie</t>
  </si>
  <si>
    <t>5-10</t>
  </si>
  <si>
    <t>8-14/32</t>
  </si>
  <si>
    <t>Glassner</t>
  </si>
  <si>
    <t>Herrman/Josefa (Pavla)</t>
  </si>
  <si>
    <t>Izak (Ignac)/Cäcilie</t>
  </si>
  <si>
    <t>Simon Löwi/Jindirska</t>
  </si>
  <si>
    <t>Simon Löw/Jindriska</t>
  </si>
  <si>
    <t>4-33</t>
  </si>
  <si>
    <t>Izak (v.Ignac)/Cecilie</t>
  </si>
  <si>
    <t>Benard/Fanny</t>
  </si>
  <si>
    <t>3-16</t>
  </si>
  <si>
    <t>Herman/Pepi (v.Pavla)</t>
  </si>
  <si>
    <t>Jakub/Zofie</t>
  </si>
  <si>
    <t>Eleonora</t>
  </si>
  <si>
    <t>Aron Adolf/Nanetta</t>
  </si>
  <si>
    <t>Jela</t>
  </si>
  <si>
    <t>Isak (ignac)/Cecilie</t>
  </si>
  <si>
    <t>Klementina</t>
  </si>
  <si>
    <t>5-40</t>
  </si>
  <si>
    <t>5-42</t>
  </si>
  <si>
    <t>Herrman/Pepi (Paula)</t>
  </si>
  <si>
    <t>Izak (Ignac)/Cecilie</t>
  </si>
  <si>
    <t>2-20</t>
  </si>
  <si>
    <t>Bernard/Fanny</t>
  </si>
  <si>
    <t>Salomon Zikmund/Rosalie</t>
  </si>
  <si>
    <t>Izak (v. Ignac)/Cecilie</t>
  </si>
  <si>
    <t>Herman/Pepi (v. Pavla)</t>
  </si>
  <si>
    <t>Samuel/Luisa</t>
  </si>
  <si>
    <t>Ignac/Terezie</t>
  </si>
  <si>
    <t>Zikmun/Jana</t>
  </si>
  <si>
    <t>Isak (v. Ignac)/Babeta</t>
  </si>
  <si>
    <t>4-27</t>
  </si>
  <si>
    <t>Max (Marek)/Ema</t>
  </si>
  <si>
    <t>Evzen</t>
  </si>
  <si>
    <t>Adolf/Adela</t>
  </si>
  <si>
    <t>Salomon/Regina</t>
  </si>
  <si>
    <t>Eduard/Julie</t>
  </si>
  <si>
    <t>Wily</t>
  </si>
  <si>
    <t>Arnold/Helena</t>
  </si>
  <si>
    <t>Dr. Leopold (Lazar)/Marie</t>
  </si>
  <si>
    <t>Euzen</t>
  </si>
  <si>
    <t>Ignaz/Terezie</t>
  </si>
  <si>
    <t>Dr. Leopold/Marie</t>
  </si>
  <si>
    <t>Goldreich</t>
  </si>
  <si>
    <t>Otto/Evzenie</t>
  </si>
  <si>
    <t>Grab</t>
  </si>
  <si>
    <t>Julius/Helena</t>
  </si>
  <si>
    <t>Truda</t>
  </si>
  <si>
    <t>Vilem/Otylie</t>
  </si>
  <si>
    <t>Zikmund/Kamila</t>
  </si>
  <si>
    <t>2-7</t>
  </si>
  <si>
    <t>2-3</t>
  </si>
  <si>
    <t>Doris</t>
  </si>
  <si>
    <t>Vilem/Otilie</t>
  </si>
  <si>
    <t>2-1</t>
  </si>
  <si>
    <t>Goldenberg</t>
  </si>
  <si>
    <t>Lisbet</t>
  </si>
  <si>
    <t>Marek Hersh./Chana</t>
  </si>
  <si>
    <t>Antonin</t>
  </si>
  <si>
    <t>Marianna</t>
  </si>
  <si>
    <t>Bertold/Josefina</t>
  </si>
  <si>
    <t>Gellner</t>
  </si>
  <si>
    <t>Rudolf/Anna</t>
  </si>
  <si>
    <t>Vilem/Otllie</t>
  </si>
  <si>
    <t>BertoldJosefina</t>
  </si>
  <si>
    <t>Hanus Zikmund</t>
  </si>
  <si>
    <t>Bedrich/Antonie</t>
  </si>
  <si>
    <t>Leo/Marie</t>
  </si>
  <si>
    <t>Luizana</t>
  </si>
  <si>
    <t>Herta</t>
  </si>
  <si>
    <t>Emanuel/Irma</t>
  </si>
  <si>
    <t>1929</t>
  </si>
  <si>
    <t>Hanus Tomas</t>
  </si>
  <si>
    <t>Dr. Vilem/Gerta</t>
  </si>
  <si>
    <t>Harry</t>
  </si>
  <si>
    <t>Frantisek</t>
  </si>
  <si>
    <t>Gabriel/Josefina</t>
  </si>
  <si>
    <t>Herrman/Adelina</t>
  </si>
  <si>
    <t>Herrman/Regina</t>
  </si>
  <si>
    <t>Bernard/Katerina</t>
  </si>
  <si>
    <t>8-44</t>
  </si>
  <si>
    <t>1874</t>
  </si>
  <si>
    <t>Henrika</t>
  </si>
  <si>
    <t>Ottilia</t>
  </si>
  <si>
    <t>9-45</t>
  </si>
  <si>
    <t>Hanak</t>
  </si>
  <si>
    <t>Leopold/Rosa</t>
  </si>
  <si>
    <t>3-9</t>
  </si>
  <si>
    <t>Moric/Veronika</t>
  </si>
  <si>
    <t>Moric/Hanni</t>
  </si>
  <si>
    <t>Waltr</t>
  </si>
  <si>
    <t>Jachym/Karolina</t>
  </si>
  <si>
    <t>Josef/Regina</t>
  </si>
  <si>
    <t>August/Rachel</t>
  </si>
  <si>
    <t>Herrman/Hermina</t>
  </si>
  <si>
    <t>3-29</t>
  </si>
  <si>
    <t>Jachum/Karolina</t>
  </si>
  <si>
    <t>Leopold/Aloisie</t>
  </si>
  <si>
    <t>Herrmann/Hermina</t>
  </si>
  <si>
    <t>Bohumir/Karolina</t>
  </si>
  <si>
    <t>Babiska</t>
  </si>
  <si>
    <t>Josef/Paulina</t>
  </si>
  <si>
    <t>Hoffman</t>
  </si>
  <si>
    <t>Huss</t>
  </si>
  <si>
    <t>Loser/Jetti</t>
  </si>
  <si>
    <t>Bernard/Hermine</t>
  </si>
  <si>
    <t>Bernard/Hermina</t>
  </si>
  <si>
    <t>Zofie</t>
  </si>
  <si>
    <t>Julius/Fanny</t>
  </si>
  <si>
    <t>Adela</t>
  </si>
  <si>
    <t>Hamus Herrman</t>
  </si>
  <si>
    <t>Bertold/Anna</t>
  </si>
  <si>
    <t>Zikmund/Rosalia</t>
  </si>
  <si>
    <t>5-41</t>
  </si>
  <si>
    <t>Jakobi</t>
  </si>
  <si>
    <t>Herrman/Berta</t>
  </si>
  <si>
    <t>Josef/Minna</t>
  </si>
  <si>
    <t>Josef Joachim</t>
  </si>
  <si>
    <t>Zikmund/Amalie</t>
  </si>
  <si>
    <t>Moric/Adela</t>
  </si>
  <si>
    <t>4-23</t>
  </si>
  <si>
    <t>Marek/Fiska</t>
  </si>
  <si>
    <t>Moyzes (Moric)/Julie</t>
  </si>
  <si>
    <t>Simon/Charlota</t>
  </si>
  <si>
    <t>Marek</t>
  </si>
  <si>
    <t>Frantiska</t>
  </si>
  <si>
    <t>4-1/21</t>
  </si>
  <si>
    <t>Josef/Louisa</t>
  </si>
  <si>
    <t>Josef/Berta</t>
  </si>
  <si>
    <t>Pavla</t>
  </si>
  <si>
    <t>Salomon/Jana (Charlota)</t>
  </si>
  <si>
    <t>Josef/Luisa</t>
  </si>
  <si>
    <t>Leopold/Jana</t>
  </si>
  <si>
    <t>Viezslav</t>
  </si>
  <si>
    <t>David/Marie</t>
  </si>
  <si>
    <t>3-27</t>
  </si>
  <si>
    <t>Alzbeta</t>
  </si>
  <si>
    <t>Koralek</t>
  </si>
  <si>
    <t>Jakub/Berta</t>
  </si>
  <si>
    <t>Jakub Löb/Rosalie</t>
  </si>
  <si>
    <t>Moric/Terezie</t>
  </si>
  <si>
    <t>Bedriska</t>
  </si>
  <si>
    <t>Richard/Luisa</t>
  </si>
  <si>
    <t>Gertruda</t>
  </si>
  <si>
    <t>Richard/Luisa (Eloisia)</t>
  </si>
  <si>
    <t>Krakau</t>
  </si>
  <si>
    <t>Krakau (Krakauer)</t>
  </si>
  <si>
    <t>Pavlina</t>
  </si>
  <si>
    <t>Jakub Löb/Rosalia</t>
  </si>
  <si>
    <t>Krakau (v.Krakauer)</t>
  </si>
  <si>
    <t>3-11</t>
  </si>
  <si>
    <t>1915</t>
  </si>
  <si>
    <t>Korecky</t>
  </si>
  <si>
    <t>Uscher/Ciavya</t>
  </si>
  <si>
    <t>Konigsberg</t>
  </si>
  <si>
    <t>Elka Sara</t>
  </si>
  <si>
    <t>Abraham/Ester</t>
  </si>
  <si>
    <t>1942</t>
  </si>
  <si>
    <t>Kafka</t>
  </si>
  <si>
    <t>Eva Malka</t>
  </si>
  <si>
    <t>Pavel/Hedvika</t>
  </si>
  <si>
    <t>Jakub/Marie</t>
  </si>
  <si>
    <t>Juda Leopold/Cäcilia (Cili)</t>
  </si>
  <si>
    <t>David Josef/Antonie</t>
  </si>
  <si>
    <t>9-50</t>
  </si>
  <si>
    <t>Lederer Fleisher</t>
  </si>
  <si>
    <t>Herrman/Julie</t>
  </si>
  <si>
    <t>9-47</t>
  </si>
  <si>
    <t>Simon/Jindriska</t>
  </si>
  <si>
    <t>4-25</t>
  </si>
  <si>
    <t>Augusta</t>
  </si>
  <si>
    <t>Herrman/Julie (Jindriska)</t>
  </si>
  <si>
    <t>Juda Leopold/Cäcilie</t>
  </si>
  <si>
    <t>Herman/Julie</t>
  </si>
  <si>
    <t>1871</t>
  </si>
  <si>
    <t>Juda Leopold/Cilli</t>
  </si>
  <si>
    <t>Max/Berta</t>
  </si>
  <si>
    <t>1-10</t>
  </si>
  <si>
    <t>Ignac/Katti</t>
  </si>
  <si>
    <t>3-126</t>
  </si>
  <si>
    <t>Bohdan/Zofie</t>
  </si>
  <si>
    <t>Salomon/Evzenie</t>
  </si>
  <si>
    <t>2-43</t>
  </si>
  <si>
    <t>Salomon/Rozenia</t>
  </si>
  <si>
    <t>Emil/Berta</t>
  </si>
  <si>
    <t>1935</t>
  </si>
  <si>
    <t>Arpad/Baszie</t>
  </si>
  <si>
    <t>1939</t>
  </si>
  <si>
    <t>Jakub/Julie</t>
  </si>
  <si>
    <t>Jan/Resi</t>
  </si>
  <si>
    <t>5-24</t>
  </si>
  <si>
    <t>Markesel (v. Wertheimer)</t>
  </si>
  <si>
    <t>Jindirska</t>
  </si>
  <si>
    <t>Cecilie</t>
  </si>
  <si>
    <t>Mauthner</t>
  </si>
  <si>
    <t>Babuska</t>
  </si>
  <si>
    <t>5-14</t>
  </si>
  <si>
    <t>Markesel</t>
  </si>
  <si>
    <t>Jachym (v. Jakub)/Hani</t>
  </si>
  <si>
    <t>Moric/Cecilie</t>
  </si>
  <si>
    <t>Jakub/Hanni</t>
  </si>
  <si>
    <t>Julius/Rosalia</t>
  </si>
  <si>
    <t>Abraham Albert/Leni</t>
  </si>
  <si>
    <t>Arabela</t>
  </si>
  <si>
    <t>Ignac/Julie</t>
  </si>
  <si>
    <t>4-19</t>
  </si>
  <si>
    <t>Julius/Rosalie</t>
  </si>
  <si>
    <t>Marek (Moric)/Eva</t>
  </si>
  <si>
    <t>5-32</t>
  </si>
  <si>
    <t>Bertax?</t>
  </si>
  <si>
    <t>Marek/Eva</t>
  </si>
  <si>
    <t>Neuner (v. Stiassny)</t>
  </si>
  <si>
    <t>Etna</t>
  </si>
  <si>
    <t>Neugrösch</t>
  </si>
  <si>
    <t>Barabara (r. Theresia)</t>
  </si>
  <si>
    <t>5-39</t>
  </si>
  <si>
    <t>Filip/Amalie</t>
  </si>
  <si>
    <t>Jakub/Charlota</t>
  </si>
  <si>
    <t>Eduard/Pepi</t>
  </si>
  <si>
    <t>Moric/Pavlina</t>
  </si>
  <si>
    <t>Bedrich/Malvina</t>
  </si>
  <si>
    <t>Pavil</t>
  </si>
  <si>
    <t>Arnost/Eleonora</t>
  </si>
  <si>
    <t>Rudolf/Jana</t>
  </si>
  <si>
    <t>Lily</t>
  </si>
  <si>
    <t>Nachbar</t>
  </si>
  <si>
    <t>Michl Gerschon</t>
  </si>
  <si>
    <t>Hersch/Possje</t>
  </si>
  <si>
    <t>Arno</t>
  </si>
  <si>
    <t>Josef/Hilda</t>
  </si>
  <si>
    <t>Hana (Eva)</t>
  </si>
  <si>
    <t>Leopold/Josefina</t>
  </si>
  <si>
    <t>Filip/Anna (Netti)</t>
  </si>
  <si>
    <t>4-4/22</t>
  </si>
  <si>
    <t>max</t>
  </si>
  <si>
    <t>Herrman Leopold/Josefina</t>
  </si>
  <si>
    <t>7-13/31</t>
  </si>
  <si>
    <t>Filip/Ana (Netti)</t>
  </si>
  <si>
    <t>Karel/Nelli</t>
  </si>
  <si>
    <t>Alfred/Arnostka</t>
  </si>
  <si>
    <t>2-2</t>
  </si>
  <si>
    <t>Karel/Nelly</t>
  </si>
  <si>
    <t>Pollakova</t>
  </si>
  <si>
    <t>Herrman/Amalie</t>
  </si>
  <si>
    <t>Pollacek</t>
  </si>
  <si>
    <t>Alois/Cäciilie</t>
  </si>
  <si>
    <t>Eduard/Mina</t>
  </si>
  <si>
    <t>Josua Jachum/Salomina</t>
  </si>
  <si>
    <t>6-38</t>
  </si>
  <si>
    <t>Elisa</t>
  </si>
  <si>
    <t>Gerson/Kati</t>
  </si>
  <si>
    <t>6-41</t>
  </si>
  <si>
    <t>Leopold v. Julius/Julie</t>
  </si>
  <si>
    <t>Max/Leni</t>
  </si>
  <si>
    <t>Alos/Cecilie</t>
  </si>
  <si>
    <t>Max Marek/Regie</t>
  </si>
  <si>
    <t>Eduard/Minna</t>
  </si>
  <si>
    <t>8-47</t>
  </si>
  <si>
    <t>Jakub/Karolina</t>
  </si>
  <si>
    <t>David Ludvik</t>
  </si>
  <si>
    <t>Simon/Anna</t>
  </si>
  <si>
    <t>7-36</t>
  </si>
  <si>
    <t>Jachum/Betti</t>
  </si>
  <si>
    <t>8-43</t>
  </si>
  <si>
    <t>Leop.v. Julius/Julile</t>
  </si>
  <si>
    <t>9-46</t>
  </si>
  <si>
    <t>Juda Sal Bok/Anna</t>
  </si>
  <si>
    <t>Alois/Cecilie</t>
  </si>
  <si>
    <t>Ignac/Sali</t>
  </si>
  <si>
    <t>Moric/Florentina</t>
  </si>
  <si>
    <t>2-24</t>
  </si>
  <si>
    <t>Samuel/Marie</t>
  </si>
  <si>
    <t>Luise</t>
  </si>
  <si>
    <t>Alois/Cäcilie</t>
  </si>
  <si>
    <t>3-8</t>
  </si>
  <si>
    <t>Gerson/Katrina</t>
  </si>
  <si>
    <t>6-16</t>
  </si>
  <si>
    <t>7-11/20</t>
  </si>
  <si>
    <t>Leopl v. Julius/Jindriska</t>
  </si>
  <si>
    <t>Ignac/Marie</t>
  </si>
  <si>
    <t>Jakub/Helena</t>
  </si>
  <si>
    <t>Marek Max/Leni</t>
  </si>
  <si>
    <t>Maximilian/Regina</t>
  </si>
  <si>
    <t>Jachym Jindirch</t>
  </si>
  <si>
    <t>Julius Leopold/Jindriska</t>
  </si>
  <si>
    <t>Julius Leo../Jindriska (Julie)</t>
  </si>
  <si>
    <t>Otilie</t>
  </si>
  <si>
    <t>Gerson/Katerina</t>
  </si>
  <si>
    <t>Ignac/Rosalia</t>
  </si>
  <si>
    <t>Leonora</t>
  </si>
  <si>
    <t>Maimilian/Regina</t>
  </si>
  <si>
    <t>Samuel/Rosa</t>
  </si>
  <si>
    <t>Max/Marie</t>
  </si>
  <si>
    <t>1865</t>
  </si>
  <si>
    <t>Zikmund/Zofie</t>
  </si>
  <si>
    <t>1867</t>
  </si>
  <si>
    <t>Igmac/Fanni</t>
  </si>
  <si>
    <t>Julius Leo./Jindirska (julie)</t>
  </si>
  <si>
    <t>Emanuel/Rosalie</t>
  </si>
  <si>
    <t>Ignac/Fann</t>
  </si>
  <si>
    <t>Geson/Katerina</t>
  </si>
  <si>
    <t>Ignac/Cecilie</t>
  </si>
  <si>
    <t>Alexander/Regina</t>
  </si>
  <si>
    <t>Ignac/Fanni</t>
  </si>
  <si>
    <t>Max/Charlota</t>
  </si>
  <si>
    <t>Karel/Jana</t>
  </si>
  <si>
    <t>Filip/Anna</t>
  </si>
  <si>
    <t>Alfred/Babeta</t>
  </si>
  <si>
    <t>Elfried</t>
  </si>
  <si>
    <t>Max/Hermina</t>
  </si>
  <si>
    <t>Ignac/Fani</t>
  </si>
  <si>
    <t>Salomon/Regenia</t>
  </si>
  <si>
    <t>Pister (v. Schram)</t>
  </si>
  <si>
    <t>Max/Matylda</t>
  </si>
  <si>
    <t>Vilem/Katerina</t>
  </si>
  <si>
    <t>Leopold/Katerina</t>
  </si>
  <si>
    <t>Pistor (v, Schram)</t>
  </si>
  <si>
    <t>Brno</t>
  </si>
  <si>
    <t>Herrman/Lori</t>
  </si>
  <si>
    <t>Arnost/Malvina</t>
  </si>
  <si>
    <t>Lilly</t>
  </si>
  <si>
    <t>Emil/Truda</t>
  </si>
  <si>
    <t>Pickova</t>
  </si>
  <si>
    <t>Eva Lucy</t>
  </si>
  <si>
    <t>Zikmund/Marta</t>
  </si>
  <si>
    <t>Albraham Albert/Katerina</t>
  </si>
  <si>
    <t>Ruzena</t>
  </si>
  <si>
    <t>1870</t>
  </si>
  <si>
    <t>Alexander Samuel/Julie</t>
  </si>
  <si>
    <t>6-15</t>
  </si>
  <si>
    <t>Jakub/Betti</t>
  </si>
  <si>
    <t>7-43</t>
  </si>
  <si>
    <t>Jindrich/Karolina</t>
  </si>
  <si>
    <t>Abraham/Betti</t>
  </si>
  <si>
    <t>Friedmann/Hermina</t>
  </si>
  <si>
    <t>Bedrich/Hermina</t>
  </si>
  <si>
    <t>Abrraham Heman/Betti</t>
  </si>
  <si>
    <t>Robitschek</t>
  </si>
  <si>
    <t>Gustav/Rosalia</t>
  </si>
  <si>
    <t>Jakub/Beth</t>
  </si>
  <si>
    <t>Otto/Helena</t>
  </si>
  <si>
    <t>Roubicek</t>
  </si>
  <si>
    <t>Elli</t>
  </si>
  <si>
    <t>Ervin/Marianna</t>
  </si>
  <si>
    <t>Herman Hirsch</t>
  </si>
  <si>
    <t>Jakub/Jetti</t>
  </si>
  <si>
    <t>Ladislav/Terezie</t>
  </si>
  <si>
    <t>1932</t>
  </si>
  <si>
    <t>Salomon/Resi</t>
  </si>
  <si>
    <t>Leopold/Sali</t>
  </si>
  <si>
    <t>Abraham/Fanni</t>
  </si>
  <si>
    <t>Israel Herrman/Susana</t>
  </si>
  <si>
    <t>Veit/Netti</t>
  </si>
  <si>
    <t>Franni</t>
  </si>
  <si>
    <t>Zikmund/Antonioa</t>
  </si>
  <si>
    <t>5-33a</t>
  </si>
  <si>
    <t>Leonhard</t>
  </si>
  <si>
    <t>Zikmund/Antonia</t>
  </si>
  <si>
    <t>1869</t>
  </si>
  <si>
    <t>1873</t>
  </si>
  <si>
    <t>Josef/Fani</t>
  </si>
  <si>
    <t>Adolf/Leopoldina</t>
  </si>
  <si>
    <t>Bernard/Jindriska</t>
  </si>
  <si>
    <t>Herrman J./Betti (Blumele)</t>
  </si>
  <si>
    <t>6-33</t>
  </si>
  <si>
    <t>Ignac/Karolina</t>
  </si>
  <si>
    <t>7-37</t>
  </si>
  <si>
    <t>8-45</t>
  </si>
  <si>
    <t>Vilem H./Josefa</t>
  </si>
  <si>
    <t>8-49</t>
  </si>
  <si>
    <t>Israel Herrman/Zusana</t>
  </si>
  <si>
    <t>9-54</t>
  </si>
  <si>
    <t>Maximilian Moric/Julie</t>
  </si>
  <si>
    <t>6-35</t>
  </si>
  <si>
    <t>Vit/Ester</t>
  </si>
  <si>
    <t>Josef Ez./Hanni</t>
  </si>
  <si>
    <t>Moyzes/Regina</t>
  </si>
  <si>
    <t>Salomon/Rosa</t>
  </si>
  <si>
    <t>Adolf Abraham/Leopoldina</t>
  </si>
  <si>
    <t>Simon/Josefina</t>
  </si>
  <si>
    <t>Abraham (v. Albert)/Hanni</t>
  </si>
  <si>
    <t>Mojzes/Regina</t>
  </si>
  <si>
    <t>3-5</t>
  </si>
  <si>
    <t>3-6</t>
  </si>
  <si>
    <t>LeopoldSali</t>
  </si>
  <si>
    <t>3-7</t>
  </si>
  <si>
    <t>ignac/Karolina</t>
  </si>
  <si>
    <t>4-3/21</t>
  </si>
  <si>
    <t>Josef (Emil)/Hanni</t>
  </si>
  <si>
    <t>5-11</t>
  </si>
  <si>
    <t>Abraham/Hanni</t>
  </si>
  <si>
    <t>Leopold/Amalie</t>
  </si>
  <si>
    <t>Vilem/Josefina</t>
  </si>
  <si>
    <t>Emanuel/Rosa</t>
  </si>
  <si>
    <t>Bernard/Charlota</t>
  </si>
  <si>
    <t>Josef/Jana</t>
  </si>
  <si>
    <t>Lionel Leopold/Amalia</t>
  </si>
  <si>
    <t>2-26</t>
  </si>
  <si>
    <t>Soffe</t>
  </si>
  <si>
    <t>4-35</t>
  </si>
  <si>
    <t>Jindrich/Netti</t>
  </si>
  <si>
    <t>Samuel/Rosalie</t>
  </si>
  <si>
    <t>Evzenie</t>
  </si>
  <si>
    <t>Vilem/Fanni</t>
  </si>
  <si>
    <t>Hartwig (v. Ludvik)/Beatrice</t>
  </si>
  <si>
    <t>Samuel/Rosalia</t>
  </si>
  <si>
    <t>1-14</t>
  </si>
  <si>
    <t>Rudolf/Hermina</t>
  </si>
  <si>
    <t>David Antonin/Marie</t>
  </si>
  <si>
    <t>Zikmund/Netti</t>
  </si>
  <si>
    <t>Isidor/Ludmila</t>
  </si>
  <si>
    <t>Jachym (v. Jindrich)/Emilie</t>
  </si>
  <si>
    <t>Ervin</t>
  </si>
  <si>
    <t>Vitezslav/Alice</t>
  </si>
  <si>
    <t>Vilem/Fanny</t>
  </si>
  <si>
    <t>Senski</t>
  </si>
  <si>
    <t>Alois/Josefina</t>
  </si>
  <si>
    <t>Adolf/Emilie</t>
  </si>
  <si>
    <t>Hildegarda</t>
  </si>
  <si>
    <t>Simon/Rosalia</t>
  </si>
  <si>
    <t>Alfreid (Alfred)/Karolina</t>
  </si>
  <si>
    <t>Gustav/Terezie</t>
  </si>
  <si>
    <t>Bohumir/Anna</t>
  </si>
  <si>
    <t>Bohumil/Anna</t>
  </si>
  <si>
    <t>Jakub/Ella</t>
  </si>
  <si>
    <t>Emil/Ida</t>
  </si>
  <si>
    <t>Sandr</t>
  </si>
  <si>
    <t>Hugo/Hedvika</t>
  </si>
  <si>
    <t>Margita</t>
  </si>
  <si>
    <t>Moric (Mojzes)/Babetta</t>
  </si>
  <si>
    <t>Vilemina</t>
  </si>
  <si>
    <t>Aron/Luisa</t>
  </si>
  <si>
    <t>7-38</t>
  </si>
  <si>
    <t>Samuel (r. Isaias)/Terezie</t>
  </si>
  <si>
    <t>6-34</t>
  </si>
  <si>
    <t>Schick</t>
  </si>
  <si>
    <t>Enoch/Katerina</t>
  </si>
  <si>
    <t>1-3 (1913)</t>
  </si>
  <si>
    <t>Schenk</t>
  </si>
  <si>
    <t>Isajas Samuel/Terezie</t>
  </si>
  <si>
    <t>Vilem/Pepi</t>
  </si>
  <si>
    <t>Bohumir/Rosalie</t>
  </si>
  <si>
    <t>Schrötte</t>
  </si>
  <si>
    <t>Wolf Vilem/Rezi</t>
  </si>
  <si>
    <t>Kamila</t>
  </si>
  <si>
    <t>Bohumir/Rosalia</t>
  </si>
  <si>
    <t>Volf Vilem/Rezi</t>
  </si>
  <si>
    <t>Karel/Karolina</t>
  </si>
  <si>
    <t>Schram (r. Pister)</t>
  </si>
  <si>
    <t>Abraham (v. Albert)/Josefa</t>
  </si>
  <si>
    <t>Samuel/Matylda</t>
  </si>
  <si>
    <t>Traub</t>
  </si>
  <si>
    <t>Mojzes</t>
  </si>
  <si>
    <t>Mojzes/Berta</t>
  </si>
  <si>
    <t>Anny</t>
  </si>
  <si>
    <t>Hugo/Marketa</t>
  </si>
  <si>
    <t>Tänzeles</t>
  </si>
  <si>
    <t>Ilse Tessy</t>
  </si>
  <si>
    <t>Karel/Rachel</t>
  </si>
  <si>
    <t>Margit</t>
  </si>
  <si>
    <t>Marietta</t>
  </si>
  <si>
    <t>Samson/Julie</t>
  </si>
  <si>
    <t>Samson/Wilki Bedriska</t>
  </si>
  <si>
    <t>Venhoda</t>
  </si>
  <si>
    <t>Hanna Hilda</t>
  </si>
  <si>
    <t>Alois/Hilde</t>
  </si>
  <si>
    <t>Emanuel/Zofie</t>
  </si>
  <si>
    <t>Moyzes Moric/Resi</t>
  </si>
  <si>
    <t>6-42</t>
  </si>
  <si>
    <t>6-43</t>
  </si>
  <si>
    <t>Natan/Leni (Eleonora)</t>
  </si>
  <si>
    <t>6-26</t>
  </si>
  <si>
    <t>Abraham (Albert)/Rosa</t>
  </si>
  <si>
    <t>7-39</t>
  </si>
  <si>
    <t>Adolf/Hanni</t>
  </si>
  <si>
    <t>Moyzes Löb/Rösi</t>
  </si>
  <si>
    <t>Willimowitz</t>
  </si>
  <si>
    <t>Samuel/Jetti</t>
  </si>
  <si>
    <t>2-5</t>
  </si>
  <si>
    <t>7-10/28</t>
  </si>
  <si>
    <t>Natan/Eleonora</t>
  </si>
  <si>
    <t>4-34</t>
  </si>
  <si>
    <t>Moyzes (v. Moric)/Jana</t>
  </si>
  <si>
    <t>Ferdinand/Karolina</t>
  </si>
  <si>
    <t>Samuel/Fanny</t>
  </si>
  <si>
    <t>Moyzes Moric/Jana</t>
  </si>
  <si>
    <t>2-22</t>
  </si>
  <si>
    <t>Juda Herrman/Berta</t>
  </si>
  <si>
    <t>Mojzes (v. Moric)</t>
  </si>
  <si>
    <t>Samson Zikmund/Matylda</t>
  </si>
  <si>
    <t>Mojzes (v. Moric)/Jana</t>
  </si>
  <si>
    <t>Filip/Emilie</t>
  </si>
  <si>
    <t>irena</t>
  </si>
  <si>
    <t>Albert/Berta</t>
  </si>
  <si>
    <t>Moric/Julie</t>
  </si>
  <si>
    <t>Artur/Zofie</t>
  </si>
  <si>
    <t>Moric/Arabella</t>
  </si>
  <si>
    <t>Wassermann (r. Eisenberg)</t>
  </si>
  <si>
    <t>israel/Gisela</t>
  </si>
  <si>
    <t>Moric/Arabel</t>
  </si>
  <si>
    <t>Jindrich/Stepanka</t>
  </si>
  <si>
    <t>Julius/Adela</t>
  </si>
  <si>
    <t>105</t>
  </si>
  <si>
    <t>Weigl</t>
  </si>
  <si>
    <t>Blanka</t>
  </si>
  <si>
    <t>Zikmund/Ludmila</t>
  </si>
  <si>
    <t>Emil/Olga</t>
  </si>
  <si>
    <t>Juliu/Adela</t>
  </si>
  <si>
    <t>Max/Marta</t>
  </si>
  <si>
    <t>1931</t>
  </si>
  <si>
    <t>Karel (v.Jiri)</t>
  </si>
  <si>
    <t>Arnost/{Pavel</t>
  </si>
  <si>
    <t>Josef/Marta</t>
  </si>
  <si>
    <t>1938</t>
  </si>
  <si>
    <t>Salomon/Dora</t>
  </si>
  <si>
    <t>David//Alzbeta (Luisa)</t>
  </si>
  <si>
    <t>David/Luisa</t>
  </si>
  <si>
    <t xml:space="preserve"> Richard (Dr.)</t>
  </si>
  <si>
    <t>Richard (Dr.)</t>
  </si>
  <si>
    <t xml:space="preserve"> Samuel (Dr.)</t>
  </si>
  <si>
    <t xml:space="preserve">    </t>
  </si>
  <si>
    <t>Bassist (Fürst)</t>
  </si>
  <si>
    <t>Grünberger (Beinkeles)</t>
  </si>
  <si>
    <t>Sander</t>
  </si>
  <si>
    <t>Sofer (Hofman)</t>
  </si>
  <si>
    <t>Spira (Prinz)</t>
  </si>
  <si>
    <t>1847</t>
  </si>
  <si>
    <t>Richard (Dr.)/Sidonie</t>
  </si>
  <si>
    <t>Sine?</t>
  </si>
  <si>
    <t>David (v. Ludvik)/Netti</t>
  </si>
  <si>
    <t>David( v. Ludvik)/Netti</t>
  </si>
  <si>
    <t>David/Netti</t>
  </si>
  <si>
    <t xml:space="preserve"> Samuel Dr./Babette</t>
  </si>
  <si>
    <t>Samuel Dr./Babeta</t>
  </si>
  <si>
    <t xml:space="preserve"> Samuel Dr./Babetta</t>
  </si>
  <si>
    <t>Gerson (v. Josef)/Katti</t>
  </si>
  <si>
    <t>Leop. (r. Emanue)l/Rosalia</t>
  </si>
  <si>
    <t>Otto/Paulina (r. Apolonia)</t>
  </si>
  <si>
    <t xml:space="preserve"> Simon Dr.</t>
  </si>
  <si>
    <t>Siegmund Dr.</t>
  </si>
  <si>
    <t>Julius Dr./Elsa</t>
  </si>
  <si>
    <t>Julius Dr /Elsa</t>
  </si>
  <si>
    <t>Samuel/Fanni</t>
  </si>
  <si>
    <t>Leopold Dr./Klara</t>
  </si>
  <si>
    <t xml:space="preserve"> Leopold Dr./Klara</t>
  </si>
  <si>
    <t>Simon (Cantor)</t>
  </si>
  <si>
    <t>Grünberger (Beinkelis)</t>
  </si>
  <si>
    <t>Lazar v.Alois/Demut v Ant.</t>
  </si>
  <si>
    <t>Lazar v.Alois/Demut v. Ant.</t>
  </si>
  <si>
    <t>Abraham (v.Adolf)/Fanni</t>
  </si>
  <si>
    <t>Abraham (v. Adolf)/Fanni</t>
  </si>
  <si>
    <t>?Igudo/Barbara</t>
  </si>
  <si>
    <t>Bohumir (Gottfreid)/Alzbeta</t>
  </si>
  <si>
    <t>Vitezslav (Samuel)/Berta</t>
  </si>
  <si>
    <t>Vitezslav/Berta</t>
  </si>
  <si>
    <t>Fürst (Bassist)</t>
  </si>
  <si>
    <t>Dr. Leopold(v. Lazar)/Marie</t>
  </si>
  <si>
    <t xml:space="preserve">Dr. Leopold (Lazar) </t>
  </si>
  <si>
    <t>Gutfreund</t>
  </si>
  <si>
    <t>1861</t>
  </si>
  <si>
    <t>Bruner</t>
  </si>
  <si>
    <t>Feoni</t>
  </si>
  <si>
    <t>Norbert</t>
  </si>
  <si>
    <t>58</t>
  </si>
  <si>
    <t>Gabriel?</t>
  </si>
  <si>
    <t>Fazi</t>
  </si>
  <si>
    <t>45</t>
  </si>
  <si>
    <t>Koika</t>
  </si>
  <si>
    <t>41</t>
  </si>
  <si>
    <t>1858</t>
  </si>
  <si>
    <t>Friderike</t>
  </si>
  <si>
    <t>Putsker</t>
  </si>
  <si>
    <t>1859</t>
  </si>
  <si>
    <t>Scherer</t>
  </si>
  <si>
    <t>Leni (Elenore)</t>
  </si>
  <si>
    <t>Isai(s?)</t>
  </si>
  <si>
    <t>Tani</t>
  </si>
  <si>
    <t>1857</t>
  </si>
  <si>
    <t>Mörenz</t>
  </si>
  <si>
    <t>Jeanne</t>
  </si>
  <si>
    <t>Cezilie</t>
  </si>
  <si>
    <t>35</t>
  </si>
  <si>
    <t>Innozenz</t>
  </si>
  <si>
    <t>60</t>
  </si>
  <si>
    <t>Bettty</t>
  </si>
  <si>
    <t>43</t>
  </si>
  <si>
    <t>Isak Neuner/Elenore</t>
  </si>
  <si>
    <t>Babeth/Abr. Schnirmacher</t>
  </si>
  <si>
    <t>86</t>
  </si>
  <si>
    <t>Samuel (Rabb.)</t>
  </si>
  <si>
    <t>Hartwig (v. Ludwig)</t>
  </si>
  <si>
    <t>1900-03-26</t>
  </si>
  <si>
    <t>1900-10-11</t>
  </si>
  <si>
    <t>Elkani</t>
  </si>
  <si>
    <t>14</t>
  </si>
  <si>
    <t>15</t>
  </si>
  <si>
    <t>16</t>
  </si>
  <si>
    <t>7</t>
  </si>
  <si>
    <t>4</t>
  </si>
  <si>
    <t>3</t>
  </si>
  <si>
    <t>Simon Samson</t>
  </si>
  <si>
    <t>11</t>
  </si>
  <si>
    <t>17</t>
  </si>
  <si>
    <t>19</t>
  </si>
  <si>
    <t>25</t>
  </si>
  <si>
    <t>28</t>
  </si>
  <si>
    <t>29</t>
  </si>
  <si>
    <t>20</t>
  </si>
  <si>
    <t>32</t>
  </si>
  <si>
    <t>1872-09-22</t>
  </si>
  <si>
    <t>34</t>
  </si>
  <si>
    <t>38</t>
  </si>
  <si>
    <t>36</t>
  </si>
  <si>
    <t>39</t>
  </si>
  <si>
    <t>42</t>
  </si>
  <si>
    <t>48</t>
  </si>
  <si>
    <t>Biatrice</t>
  </si>
  <si>
    <t>Hersh</t>
  </si>
  <si>
    <t>Isaia</t>
  </si>
  <si>
    <t>Hendl</t>
  </si>
  <si>
    <t>Frandl</t>
  </si>
  <si>
    <t>Botascher</t>
  </si>
  <si>
    <t>Bondo</t>
  </si>
  <si>
    <t>Luzia</t>
  </si>
  <si>
    <t>Berel</t>
  </si>
  <si>
    <t>114</t>
  </si>
  <si>
    <t>83</t>
  </si>
  <si>
    <t>1795</t>
  </si>
  <si>
    <t>Leea</t>
  </si>
  <si>
    <t>Hana?</t>
  </si>
  <si>
    <t>Lena</t>
  </si>
  <si>
    <t>Mariandl</t>
  </si>
  <si>
    <t>Abigail</t>
  </si>
  <si>
    <t>Mattel</t>
  </si>
  <si>
    <t>Heskie</t>
  </si>
  <si>
    <t>Chajelle</t>
  </si>
  <si>
    <t>Löbel</t>
  </si>
  <si>
    <t xml:space="preserve">Gabriel </t>
  </si>
  <si>
    <t>71</t>
  </si>
  <si>
    <t>Berr</t>
  </si>
  <si>
    <t>1787</t>
  </si>
  <si>
    <t>Heski</t>
  </si>
  <si>
    <t>Riffka</t>
  </si>
  <si>
    <t>21</t>
  </si>
  <si>
    <t>Holitsch</t>
  </si>
  <si>
    <t>Hönig</t>
  </si>
  <si>
    <t>109</t>
  </si>
  <si>
    <t>Efraym</t>
  </si>
  <si>
    <t>1800</t>
  </si>
  <si>
    <t>Kotzker</t>
  </si>
  <si>
    <t>Kontser</t>
  </si>
  <si>
    <t>Kogner</t>
  </si>
  <si>
    <t>1825</t>
  </si>
  <si>
    <t>148</t>
  </si>
  <si>
    <t>Koserein</t>
  </si>
  <si>
    <t>Ladner</t>
  </si>
  <si>
    <t>100</t>
  </si>
  <si>
    <t>99</t>
  </si>
  <si>
    <t>Elkana</t>
  </si>
  <si>
    <t>1818</t>
  </si>
  <si>
    <t>Leuerer</t>
  </si>
  <si>
    <t>Valk  Valentin</t>
  </si>
  <si>
    <t>Leurerer</t>
  </si>
  <si>
    <t>Maller</t>
  </si>
  <si>
    <t>Neimer</t>
  </si>
  <si>
    <t>139</t>
  </si>
  <si>
    <t>Neüstein</t>
  </si>
  <si>
    <t>Balthasar</t>
  </si>
  <si>
    <t>2</t>
  </si>
  <si>
    <t>Fekr</t>
  </si>
  <si>
    <t>Fekl</t>
  </si>
  <si>
    <t>Nettel</t>
  </si>
  <si>
    <t>Pagga</t>
  </si>
  <si>
    <t>Peristein</t>
  </si>
  <si>
    <t>Gutman</t>
  </si>
  <si>
    <t>118</t>
  </si>
  <si>
    <t>116</t>
  </si>
  <si>
    <t>102</t>
  </si>
  <si>
    <t>103</t>
  </si>
  <si>
    <t>106</t>
  </si>
  <si>
    <t>1810</t>
  </si>
  <si>
    <t>107</t>
  </si>
  <si>
    <t>108</t>
  </si>
  <si>
    <t>110</t>
  </si>
  <si>
    <t>113</t>
  </si>
  <si>
    <t>Podascher</t>
  </si>
  <si>
    <t>Theford</t>
  </si>
  <si>
    <t>Beina</t>
  </si>
  <si>
    <t>Simon Alexander</t>
  </si>
  <si>
    <t>66</t>
  </si>
  <si>
    <t>Lirbufe</t>
  </si>
  <si>
    <t>54</t>
  </si>
  <si>
    <t>Reichel</t>
  </si>
  <si>
    <t>Kalman Joseph</t>
  </si>
  <si>
    <t>101</t>
  </si>
  <si>
    <t>80</t>
  </si>
  <si>
    <t>132</t>
  </si>
  <si>
    <t>1819</t>
  </si>
  <si>
    <t>127b</t>
  </si>
  <si>
    <t>128</t>
  </si>
  <si>
    <t>145</t>
  </si>
  <si>
    <t>130</t>
  </si>
  <si>
    <t>94</t>
  </si>
  <si>
    <t>Sobotisch</t>
  </si>
  <si>
    <t>Schnelky</t>
  </si>
  <si>
    <t>Nanny</t>
  </si>
  <si>
    <t>Gedon</t>
  </si>
  <si>
    <t>95</t>
  </si>
  <si>
    <t>92</t>
  </si>
  <si>
    <t>70</t>
  </si>
  <si>
    <t>Schröter</t>
  </si>
  <si>
    <t>97</t>
  </si>
  <si>
    <t>104</t>
  </si>
  <si>
    <t>Marriana</t>
  </si>
  <si>
    <t>96</t>
  </si>
  <si>
    <t>Isak Hesch</t>
  </si>
  <si>
    <t>79</t>
  </si>
  <si>
    <t>1803</t>
  </si>
  <si>
    <t>Stiasnie</t>
  </si>
  <si>
    <t>89</t>
  </si>
  <si>
    <t>Schelky</t>
  </si>
  <si>
    <t>Schusny</t>
  </si>
  <si>
    <t>129</t>
  </si>
  <si>
    <t>Shmelky</t>
  </si>
  <si>
    <t>150</t>
  </si>
  <si>
    <t>1789</t>
  </si>
  <si>
    <t>69</t>
  </si>
  <si>
    <t>88</t>
  </si>
  <si>
    <t>90</t>
  </si>
  <si>
    <t>Perrel</t>
  </si>
  <si>
    <t>72</t>
  </si>
  <si>
    <t>Trietsh</t>
  </si>
  <si>
    <t>Triesher</t>
  </si>
  <si>
    <t>Tudesky</t>
  </si>
  <si>
    <t>Bonina</t>
  </si>
  <si>
    <t>1805</t>
  </si>
  <si>
    <t>Tritsch</t>
  </si>
  <si>
    <t>Schuster</t>
  </si>
  <si>
    <t>Schmelky</t>
  </si>
  <si>
    <t>Schmelka</t>
  </si>
  <si>
    <t>Schulhofer</t>
  </si>
  <si>
    <t>Efnyn</t>
  </si>
  <si>
    <t>Mattius</t>
  </si>
  <si>
    <t>Heskuna</t>
  </si>
  <si>
    <t>Abraham Benjamin</t>
  </si>
  <si>
    <t>Walllis</t>
  </si>
  <si>
    <t>Simon/Barbara</t>
  </si>
  <si>
    <t>Wesselen</t>
  </si>
  <si>
    <t>Abraham Israel/ Gittel</t>
  </si>
  <si>
    <t>Selig Löbel</t>
  </si>
  <si>
    <t>Joetz</t>
  </si>
  <si>
    <t>Falk</t>
  </si>
  <si>
    <t>Mathis</t>
  </si>
  <si>
    <t>Henne</t>
  </si>
  <si>
    <t>Sellig Löb</t>
  </si>
  <si>
    <t>Gabriel Hersh</t>
  </si>
  <si>
    <t>127</t>
  </si>
  <si>
    <t>Pik (Pick?)</t>
  </si>
  <si>
    <t>81</t>
  </si>
  <si>
    <t>Jonathan</t>
  </si>
  <si>
    <t>Karillisheim?</t>
  </si>
  <si>
    <t>Chaje</t>
  </si>
  <si>
    <t>Wan?</t>
  </si>
  <si>
    <t>Riaza</t>
  </si>
  <si>
    <t>Schlamos</t>
  </si>
  <si>
    <t>8</t>
  </si>
  <si>
    <t>Gungel</t>
  </si>
  <si>
    <t>Scharin?</t>
  </si>
  <si>
    <t>Schan?</t>
  </si>
  <si>
    <t>Wogidtz?</t>
  </si>
  <si>
    <t>Mordechaim</t>
  </si>
  <si>
    <t>Leirer</t>
  </si>
  <si>
    <t>Liessa</t>
  </si>
  <si>
    <t>Leirer?</t>
  </si>
  <si>
    <t>R. Löw</t>
  </si>
  <si>
    <t>Rektor</t>
  </si>
  <si>
    <t>Soffir</t>
  </si>
  <si>
    <t>Pezerel (Paulina)</t>
  </si>
  <si>
    <t>Wortiz</t>
  </si>
  <si>
    <t>Kotsska</t>
  </si>
  <si>
    <t>Kanilsheimer</t>
  </si>
  <si>
    <t>Batsher</t>
  </si>
  <si>
    <t>Leditzker</t>
  </si>
  <si>
    <t>Boas</t>
  </si>
  <si>
    <t>Genina</t>
  </si>
  <si>
    <t>Benarth</t>
  </si>
  <si>
    <t>74</t>
  </si>
  <si>
    <t>77</t>
  </si>
  <si>
    <t>73</t>
  </si>
  <si>
    <t>Leki</t>
  </si>
  <si>
    <t>Baroch</t>
  </si>
  <si>
    <t>82</t>
  </si>
  <si>
    <t>78</t>
  </si>
  <si>
    <t>85</t>
  </si>
  <si>
    <t>87</t>
  </si>
  <si>
    <t>93</t>
  </si>
  <si>
    <t>Balthüngster</t>
  </si>
  <si>
    <t>117</t>
  </si>
  <si>
    <t xml:space="preserve"> Libusha</t>
  </si>
  <si>
    <t>Kotska</t>
  </si>
  <si>
    <t>Esmuel</t>
  </si>
  <si>
    <t>Bognel</t>
  </si>
  <si>
    <t>1831</t>
  </si>
  <si>
    <t>Oissel</t>
  </si>
  <si>
    <t>1835</t>
  </si>
  <si>
    <t>1-86</t>
  </si>
  <si>
    <t>2-87</t>
  </si>
  <si>
    <t>3-88</t>
  </si>
  <si>
    <t>4-89</t>
  </si>
  <si>
    <t>8-93</t>
  </si>
  <si>
    <t>1832</t>
  </si>
  <si>
    <t>7-92</t>
  </si>
  <si>
    <t>1822</t>
  </si>
  <si>
    <t>1824</t>
  </si>
  <si>
    <t>1826</t>
  </si>
  <si>
    <t>1827</t>
  </si>
  <si>
    <t>92-175</t>
  </si>
  <si>
    <t>Herrshman</t>
  </si>
  <si>
    <t>Katarine</t>
  </si>
  <si>
    <t>Lewi</t>
  </si>
  <si>
    <t>Kreis?</t>
  </si>
  <si>
    <t>1836</t>
  </si>
  <si>
    <t>1843</t>
  </si>
  <si>
    <t>1834</t>
  </si>
  <si>
    <t>9-53</t>
  </si>
  <si>
    <t>Fleischer-Lederer</t>
  </si>
  <si>
    <t>Beneschová</t>
  </si>
  <si>
    <t>Wallig</t>
  </si>
  <si>
    <t>Tänzerles</t>
  </si>
  <si>
    <t>INDEX IMAGE PAGE</t>
  </si>
  <si>
    <t>COMMENTS</t>
  </si>
  <si>
    <t>FATHER'S/MOTHER'S NAME</t>
  </si>
  <si>
    <t>5-90</t>
  </si>
  <si>
    <t>6-91</t>
  </si>
  <si>
    <t>9-94</t>
  </si>
  <si>
    <t>13-98</t>
  </si>
  <si>
    <t>11-96</t>
  </si>
  <si>
    <t>12-97</t>
  </si>
  <si>
    <t>10-95</t>
  </si>
  <si>
    <t>9-93</t>
  </si>
  <si>
    <t>14-99</t>
  </si>
  <si>
    <t>15-100</t>
  </si>
  <si>
    <t>16-101</t>
  </si>
  <si>
    <t>17-102</t>
  </si>
  <si>
    <t>18-103</t>
  </si>
  <si>
    <t>19-104</t>
  </si>
  <si>
    <t>22-107</t>
  </si>
  <si>
    <t>20-105</t>
  </si>
  <si>
    <t>21-106</t>
  </si>
  <si>
    <t>23-108</t>
  </si>
  <si>
    <t>26-111</t>
  </si>
  <si>
    <t>24-109</t>
  </si>
  <si>
    <t>25-110</t>
  </si>
  <si>
    <t>28-113</t>
  </si>
  <si>
    <t>27-112</t>
  </si>
  <si>
    <t>29-114</t>
  </si>
  <si>
    <t>30-115</t>
  </si>
  <si>
    <t>32-117</t>
  </si>
  <si>
    <t>34-119</t>
  </si>
  <si>
    <t>31-115</t>
  </si>
  <si>
    <t>32-116</t>
  </si>
  <si>
    <t>33-117</t>
  </si>
  <si>
    <t>34-118</t>
  </si>
  <si>
    <t>35-119</t>
  </si>
  <si>
    <t>41-125</t>
  </si>
  <si>
    <t>37-121</t>
  </si>
  <si>
    <t>36-120</t>
  </si>
  <si>
    <t>39-123</t>
  </si>
  <si>
    <t>38-122</t>
  </si>
  <si>
    <t>40-124</t>
  </si>
  <si>
    <t>44-128</t>
  </si>
  <si>
    <t>42-126</t>
  </si>
  <si>
    <t>45-129</t>
  </si>
  <si>
    <t>43-127</t>
  </si>
  <si>
    <t>47-131</t>
  </si>
  <si>
    <t>48-132</t>
  </si>
  <si>
    <t>46-130</t>
  </si>
  <si>
    <t>49-133</t>
  </si>
  <si>
    <t>52-136</t>
  </si>
  <si>
    <t>53-137</t>
  </si>
  <si>
    <t>50-134</t>
  </si>
  <si>
    <t>51-135</t>
  </si>
  <si>
    <t>59-142</t>
  </si>
  <si>
    <t>54-138</t>
  </si>
  <si>
    <t>56-140</t>
  </si>
  <si>
    <t>55-139</t>
  </si>
  <si>
    <t>57-141</t>
  </si>
  <si>
    <t>58-142</t>
  </si>
  <si>
    <t>60-143</t>
  </si>
  <si>
    <t>66-149</t>
  </si>
  <si>
    <t>69-152</t>
  </si>
  <si>
    <t>74-157</t>
  </si>
  <si>
    <t>70-153</t>
  </si>
  <si>
    <t>67-150</t>
  </si>
  <si>
    <t>68-151</t>
  </si>
  <si>
    <t>65-148</t>
  </si>
  <si>
    <t>64-147</t>
  </si>
  <si>
    <t>63-146</t>
  </si>
  <si>
    <t>62-145</t>
  </si>
  <si>
    <t>71-154</t>
  </si>
  <si>
    <t>73-156</t>
  </si>
  <si>
    <t>75-158</t>
  </si>
  <si>
    <t>72-155</t>
  </si>
  <si>
    <t>80-163</t>
  </si>
  <si>
    <t>79-162</t>
  </si>
  <si>
    <t>78-161</t>
  </si>
  <si>
    <t>77-160</t>
  </si>
  <si>
    <t>81-164</t>
  </si>
  <si>
    <t>76-159</t>
  </si>
  <si>
    <t>82-165</t>
  </si>
  <si>
    <t>83-166</t>
  </si>
  <si>
    <t>84-167</t>
  </si>
  <si>
    <t>86-169</t>
  </si>
  <si>
    <t>87-170</t>
  </si>
  <si>
    <t>85-168</t>
  </si>
  <si>
    <t>88-171</t>
  </si>
  <si>
    <t>89-172</t>
  </si>
  <si>
    <t>90-173</t>
  </si>
  <si>
    <t>91-174</t>
  </si>
  <si>
    <t>93-176</t>
  </si>
  <si>
    <t>94-177</t>
  </si>
  <si>
    <t>96-179</t>
  </si>
  <si>
    <t>99-182</t>
  </si>
  <si>
    <t>97-180</t>
  </si>
  <si>
    <t>98-181</t>
  </si>
  <si>
    <t>100-183</t>
  </si>
  <si>
    <t>95-178</t>
  </si>
  <si>
    <t>105-188</t>
  </si>
  <si>
    <t>108-191</t>
  </si>
  <si>
    <t>107-190</t>
  </si>
  <si>
    <t>103-186</t>
  </si>
  <si>
    <t>101-184</t>
  </si>
  <si>
    <t>104-187</t>
  </si>
  <si>
    <t>106-189</t>
  </si>
  <si>
    <t>109-192</t>
  </si>
  <si>
    <t>113-196</t>
  </si>
  <si>
    <t>112-195</t>
  </si>
  <si>
    <t>110-193</t>
  </si>
  <si>
    <t>115-198</t>
  </si>
  <si>
    <t>111-194</t>
  </si>
  <si>
    <t>1828</t>
  </si>
  <si>
    <t>117-199</t>
  </si>
  <si>
    <t>114-194</t>
  </si>
  <si>
    <t>114-197</t>
  </si>
  <si>
    <t>YEAR OF BIRTH</t>
  </si>
  <si>
    <t>1869-02-06</t>
  </si>
  <si>
    <t>MaX/Helena</t>
  </si>
  <si>
    <t>Libe</t>
  </si>
  <si>
    <t>Herrman/Leny</t>
  </si>
  <si>
    <t>102-185</t>
  </si>
  <si>
    <t>Aron Abraham</t>
  </si>
  <si>
    <t>E?elia</t>
  </si>
  <si>
    <t>Merkesel (v. Wertheimer)</t>
  </si>
  <si>
    <t>Wolf (Joachim)</t>
  </si>
  <si>
    <t>1885-09-25</t>
  </si>
  <si>
    <t>Isak/Henni (Schenk)</t>
  </si>
  <si>
    <t>Moses/Anna Barbara (Benesch)</t>
  </si>
  <si>
    <t>Jan (v. Wertheimer)/Resi</t>
  </si>
  <si>
    <t>Joachim (v.Jakob W.)/Hanni Blum</t>
  </si>
  <si>
    <t>Johann M./Rosi Benesch</t>
  </si>
  <si>
    <t>Johann M./Rosiel Benesch</t>
  </si>
  <si>
    <t>Merkel</t>
  </si>
  <si>
    <t>Jakob/?</t>
  </si>
  <si>
    <t>Johann M./Rösi Benesch</t>
  </si>
  <si>
    <t>Johann/Rösi</t>
  </si>
  <si>
    <t>Isak/Fani Schnek</t>
  </si>
  <si>
    <t>Jachum M./ (Jakub W.)/Hani</t>
  </si>
  <si>
    <t>Jakob/?Polatschek</t>
  </si>
  <si>
    <t>Joachim Wolf/Juli Judith Gottlein</t>
  </si>
  <si>
    <t>Salomon/Demuth Glasner</t>
  </si>
  <si>
    <t>Not available</t>
  </si>
  <si>
    <t>see Tichy</t>
  </si>
  <si>
    <t>see Wertheim(er)</t>
  </si>
  <si>
    <t>see Subak</t>
  </si>
  <si>
    <t>see Schwarz</t>
  </si>
  <si>
    <t>see Sorer</t>
  </si>
  <si>
    <t>see Rosner</t>
  </si>
  <si>
    <t>see Reckendorf</t>
  </si>
  <si>
    <t>see Pollak</t>
  </si>
  <si>
    <t>see Neuner</t>
  </si>
  <si>
    <t>see Markesel</t>
  </si>
  <si>
    <t>see Kurrein</t>
  </si>
  <si>
    <t>see Konrein</t>
  </si>
  <si>
    <t>see Kohnberger</t>
  </si>
  <si>
    <t>see Fuchs</t>
  </si>
  <si>
    <t>see Butschowitz</t>
  </si>
  <si>
    <t>see Bäk</t>
  </si>
  <si>
    <t>1</t>
  </si>
  <si>
    <t>Abraham/Magdalena</t>
  </si>
  <si>
    <t>twom</t>
  </si>
  <si>
    <t>Falk/Ester</t>
  </si>
  <si>
    <t>David Joseph/Nani</t>
  </si>
  <si>
    <t>Moises/Louise</t>
  </si>
  <si>
    <t>Celestine?</t>
  </si>
  <si>
    <t>Abraham/Rosi</t>
  </si>
  <si>
    <t>Markus/Karoline</t>
  </si>
  <si>
    <t>Joachim/Paulina</t>
  </si>
  <si>
    <t>Ezechiel/Danutha</t>
  </si>
  <si>
    <t>Elias/Anna</t>
  </si>
  <si>
    <t>Köratek</t>
  </si>
  <si>
    <t>Isak/Rossel?</t>
  </si>
  <si>
    <t>Josef/Antonie</t>
  </si>
  <si>
    <t>Joachim/Rosa</t>
  </si>
  <si>
    <t>Pinsker</t>
  </si>
  <si>
    <t>Charlottte</t>
  </si>
  <si>
    <t>Joachiim David</t>
  </si>
  <si>
    <t>Juda/Rosa</t>
  </si>
  <si>
    <t>Veit/Ester</t>
  </si>
  <si>
    <t>Hermann/Regina</t>
  </si>
  <si>
    <t>Josef Abraham</t>
  </si>
  <si>
    <t>Jakob/Mariany</t>
  </si>
  <si>
    <t>Juda/Ester</t>
  </si>
  <si>
    <t>1813</t>
  </si>
  <si>
    <t>Josef/Rösel</t>
  </si>
  <si>
    <t>Jakob/Mariany P.</t>
  </si>
  <si>
    <t>Cheile</t>
  </si>
  <si>
    <t>Wolff</t>
  </si>
  <si>
    <t>1798</t>
  </si>
  <si>
    <t>1830</t>
  </si>
  <si>
    <t>Efrasine</t>
  </si>
  <si>
    <t>DATA IMAGE PAGE</t>
  </si>
  <si>
    <t xml:space="preserve">twin </t>
  </si>
  <si>
    <t>DATA FOLIO PAGE</t>
  </si>
  <si>
    <t>120</t>
  </si>
  <si>
    <t>Lazar/Jüttel</t>
  </si>
  <si>
    <t>Jakob/Brindel</t>
  </si>
  <si>
    <t>22</t>
  </si>
  <si>
    <t>Bernath/Pauline</t>
  </si>
  <si>
    <t>David/Rosa</t>
  </si>
  <si>
    <t>DavidRösl</t>
  </si>
  <si>
    <t>1820</t>
  </si>
  <si>
    <t>Nathan/Johanna</t>
  </si>
  <si>
    <t>Bauer (Pauer)</t>
  </si>
  <si>
    <t>162</t>
  </si>
  <si>
    <t>156</t>
  </si>
  <si>
    <t>1829</t>
  </si>
  <si>
    <t>Samuel/Sibilla</t>
  </si>
  <si>
    <t>Philip/Ewa</t>
  </si>
  <si>
    <t>Schalothi</t>
  </si>
  <si>
    <t>see Konrad</t>
  </si>
  <si>
    <t>1812</t>
  </si>
  <si>
    <t>91</t>
  </si>
  <si>
    <t>1817</t>
  </si>
  <si>
    <t>Koblitzky</t>
  </si>
  <si>
    <t>Koslitzky</t>
  </si>
  <si>
    <t>Goldschmied</t>
  </si>
  <si>
    <t>127ad</t>
  </si>
  <si>
    <t>Szygmund</t>
  </si>
  <si>
    <t>Piernitz</t>
  </si>
  <si>
    <t>1891-03-04</t>
  </si>
  <si>
    <t>158</t>
  </si>
  <si>
    <t>INV.#</t>
  </si>
  <si>
    <t>Exel (vulgo Fuchs)</t>
  </si>
  <si>
    <t xml:space="preserve">  Grünberger (v. Beinkeles)</t>
  </si>
  <si>
    <t xml:space="preserve">   Grünberger (v. Beinkelis)</t>
  </si>
  <si>
    <t>see Kohn Zerkowitz</t>
  </si>
  <si>
    <t>Zerkowitz</t>
  </si>
  <si>
    <t>Schnürmacher</t>
  </si>
  <si>
    <t>Leopold/Ewa</t>
  </si>
  <si>
    <t>Leopold/Anna</t>
  </si>
  <si>
    <t>Leopold/Esther</t>
  </si>
  <si>
    <t>Jakob/Juditha</t>
  </si>
  <si>
    <t>Jakob/Julie</t>
  </si>
  <si>
    <t>1854</t>
  </si>
  <si>
    <t>1849</t>
  </si>
  <si>
    <t>Joseph/Regina</t>
  </si>
  <si>
    <t>46</t>
  </si>
  <si>
    <t>Abraham/Julie</t>
  </si>
  <si>
    <t>http://www.badatelna.eu/reprodukce/?fondId=1073&amp;zaznamId=1108960&amp;reproId=3780225</t>
  </si>
  <si>
    <t>page</t>
  </si>
  <si>
    <t>inv</t>
  </si>
  <si>
    <t>zaznamid</t>
  </si>
  <si>
    <t>reproid</t>
  </si>
  <si>
    <t>fond</t>
  </si>
  <si>
    <t>MTLINK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</si>
</sst>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color rgb="FF000000"/>
      <name val="Arial"/>
    </font>
    <font>
      <sz val="12"/>
      <color rgb="FF000000"/>
      <name val="Arial"/>
    </font>
    <font>
      <u/>
      <sz val="10"/>
      <color theme="10"/>
      <name val="Arial"/>
    </font>
    <font>
      <u/>
      <sz val="10"/>
      <color theme="11"/>
      <name val="Arial"/>
    </font>
    <font>
      <sz val="8"/>
      <name val="Arial"/>
    </font>
    <font>
      <u/>
      <sz val="12"/>
      <color theme="10"/>
      <name val="Arial"/>
    </font>
    <font>
      <u/>
      <sz val="12"/>
      <color theme="11"/>
      <name val="Arial"/>
    </font>
    <font>
      <sz val="12"/>
      <color rgb="FFFF0000"/>
      <name val="Arial"/>
    </font>
    <font>
      <sz val="12"/>
      <name val="Arial"/>
    </font>
    <font>
      <b/>
      <sz val="12"/>
      <color rgb="FF000000"/>
      <name val="Arial"/>
    </font>
    <font>
      <b/>
      <sz val="12"/>
      <name val="Arial"/>
    </font>
    <font>
      <b/>
      <sz val="12"/>
      <color rgb="FFFF0000"/>
      <name val="Arial"/>
    </font>
    <font>
      <b/>
      <sz val="2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7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1"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0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49" fontId="7" fillId="0" borderId="0" xfId="0" applyNumberFormat="1" applyFont="1" applyAlignment="1">
      <alignment horizontal="center" wrapText="1"/>
    </xf>
    <xf numFmtId="49" fontId="8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0" fontId="8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" fontId="9" fillId="0" borderId="0" xfId="0" applyNumberFormat="1" applyFont="1" applyAlignment="1">
      <alignment horizontal="center" wrapText="1"/>
    </xf>
    <xf numFmtId="0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wrapText="1"/>
    </xf>
    <xf numFmtId="0" fontId="11" fillId="0" borderId="0" xfId="0" applyFont="1" applyAlignment="1">
      <alignment horizontal="center" wrapText="1"/>
    </xf>
    <xf numFmtId="0" fontId="10" fillId="0" borderId="0" xfId="3031" applyFont="1" applyAlignment="1">
      <alignment horizontal="center" wrapText="1"/>
    </xf>
    <xf numFmtId="0" fontId="9" fillId="0" borderId="0" xfId="0" applyFont="1" applyAlignment="1">
      <alignment horizontal="left" wrapText="1"/>
    </xf>
    <xf numFmtId="0" fontId="0" fillId="0" borderId="0" xfId="0" applyNumberFormat="1" applyFont="1" applyAlignment="1">
      <alignment horizontal="center" wrapText="1"/>
    </xf>
    <xf numFmtId="0" fontId="5" fillId="0" borderId="0" xfId="3031" applyAlignment="1">
      <alignment wrapText="1"/>
    </xf>
    <xf numFmtId="0" fontId="12" fillId="0" borderId="0" xfId="0" applyFont="1" applyAlignment="1">
      <alignment horizontal="center" wrapText="1"/>
    </xf>
  </cellXfs>
  <cellStyles count="347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34" builtinId="9" hidden="1"/>
    <cellStyle name="Followed Hyperlink" xfId="2036" builtinId="9" hidden="1"/>
    <cellStyle name="Followed Hyperlink" xfId="2038" builtinId="9" hidden="1"/>
    <cellStyle name="Followed Hyperlink" xfId="2040" builtinId="9" hidden="1"/>
    <cellStyle name="Followed Hyperlink" xfId="2042" builtinId="9" hidden="1"/>
    <cellStyle name="Followed Hyperlink" xfId="2044" builtinId="9" hidden="1"/>
    <cellStyle name="Followed Hyperlink" xfId="2046" builtinId="9" hidden="1"/>
    <cellStyle name="Followed Hyperlink" xfId="2048" builtinId="9" hidden="1"/>
    <cellStyle name="Followed Hyperlink" xfId="2050" builtinId="9" hidden="1"/>
    <cellStyle name="Followed Hyperlink" xfId="2052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4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4" builtinId="9" hidden="1"/>
    <cellStyle name="Followed Hyperlink" xfId="2146" builtinId="9" hidden="1"/>
    <cellStyle name="Followed Hyperlink" xfId="2148" builtinId="9" hidden="1"/>
    <cellStyle name="Followed Hyperlink" xfId="2150" builtinId="9" hidden="1"/>
    <cellStyle name="Followed Hyperlink" xfId="2152" builtinId="9" hidden="1"/>
    <cellStyle name="Followed Hyperlink" xfId="2154" builtinId="9" hidden="1"/>
    <cellStyle name="Followed Hyperlink" xfId="2156" builtinId="9" hidden="1"/>
    <cellStyle name="Followed Hyperlink" xfId="2158" builtinId="9" hidden="1"/>
    <cellStyle name="Followed Hyperlink" xfId="2160" builtinId="9" hidden="1"/>
    <cellStyle name="Followed Hyperlink" xfId="2162" builtinId="9" hidden="1"/>
    <cellStyle name="Followed Hyperlink" xfId="2164" builtinId="9" hidden="1"/>
    <cellStyle name="Followed Hyperlink" xfId="2166" builtinId="9" hidden="1"/>
    <cellStyle name="Followed Hyperlink" xfId="2168" builtinId="9" hidden="1"/>
    <cellStyle name="Followed Hyperlink" xfId="2170" builtinId="9" hidden="1"/>
    <cellStyle name="Followed Hyperlink" xfId="2172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Followed Hyperlink" xfId="2192" builtinId="9" hidden="1"/>
    <cellStyle name="Followed Hyperlink" xfId="2194" builtinId="9" hidden="1"/>
    <cellStyle name="Followed Hyperlink" xfId="2196" builtinId="9" hidden="1"/>
    <cellStyle name="Followed Hyperlink" xfId="2198" builtinId="9" hidden="1"/>
    <cellStyle name="Followed Hyperlink" xfId="2200" builtinId="9" hidden="1"/>
    <cellStyle name="Followed Hyperlink" xfId="2202" builtinId="9" hidden="1"/>
    <cellStyle name="Followed Hyperlink" xfId="2204" builtinId="9" hidden="1"/>
    <cellStyle name="Followed Hyperlink" xfId="2206" builtinId="9" hidden="1"/>
    <cellStyle name="Followed Hyperlink" xfId="2208" builtinId="9" hidden="1"/>
    <cellStyle name="Followed Hyperlink" xfId="2210" builtinId="9" hidden="1"/>
    <cellStyle name="Followed Hyperlink" xfId="2212" builtinId="9" hidden="1"/>
    <cellStyle name="Followed Hyperlink" xfId="2214" builtinId="9" hidden="1"/>
    <cellStyle name="Followed Hyperlink" xfId="2216" builtinId="9" hidden="1"/>
    <cellStyle name="Followed Hyperlink" xfId="2218" builtinId="9" hidden="1"/>
    <cellStyle name="Followed Hyperlink" xfId="2220" builtinId="9" hidden="1"/>
    <cellStyle name="Followed Hyperlink" xfId="2222" builtinId="9" hidden="1"/>
    <cellStyle name="Followed Hyperlink" xfId="2224" builtinId="9" hidden="1"/>
    <cellStyle name="Followed Hyperlink" xfId="2226" builtinId="9" hidden="1"/>
    <cellStyle name="Followed Hyperlink" xfId="2228" builtinId="9" hidden="1"/>
    <cellStyle name="Followed Hyperlink" xfId="2230" builtinId="9" hidden="1"/>
    <cellStyle name="Followed Hyperlink" xfId="2232" builtinId="9" hidden="1"/>
    <cellStyle name="Followed Hyperlink" xfId="2234" builtinId="9" hidden="1"/>
    <cellStyle name="Followed Hyperlink" xfId="2236" builtinId="9" hidden="1"/>
    <cellStyle name="Followed Hyperlink" xfId="2238" builtinId="9" hidden="1"/>
    <cellStyle name="Followed Hyperlink" xfId="2240" builtinId="9" hidden="1"/>
    <cellStyle name="Followed Hyperlink" xfId="2242" builtinId="9" hidden="1"/>
    <cellStyle name="Followed Hyperlink" xfId="2244" builtinId="9" hidden="1"/>
    <cellStyle name="Followed Hyperlink" xfId="2246" builtinId="9" hidden="1"/>
    <cellStyle name="Followed Hyperlink" xfId="2248" builtinId="9" hidden="1"/>
    <cellStyle name="Followed Hyperlink" xfId="2250" builtinId="9" hidden="1"/>
    <cellStyle name="Followed Hyperlink" xfId="2252" builtinId="9" hidden="1"/>
    <cellStyle name="Followed Hyperlink" xfId="2254" builtinId="9" hidden="1"/>
    <cellStyle name="Followed Hyperlink" xfId="2256" builtinId="9" hidden="1"/>
    <cellStyle name="Followed Hyperlink" xfId="2258" builtinId="9" hidden="1"/>
    <cellStyle name="Followed Hyperlink" xfId="2260" builtinId="9" hidden="1"/>
    <cellStyle name="Followed Hyperlink" xfId="2262" builtinId="9" hidden="1"/>
    <cellStyle name="Followed Hyperlink" xfId="2264" builtinId="9" hidden="1"/>
    <cellStyle name="Followed Hyperlink" xfId="2266" builtinId="9" hidden="1"/>
    <cellStyle name="Followed Hyperlink" xfId="2268" builtinId="9" hidden="1"/>
    <cellStyle name="Followed Hyperlink" xfId="2270" builtinId="9" hidden="1"/>
    <cellStyle name="Followed Hyperlink" xfId="2272" builtinId="9" hidden="1"/>
    <cellStyle name="Followed Hyperlink" xfId="2274" builtinId="9" hidden="1"/>
    <cellStyle name="Followed Hyperlink" xfId="2276" builtinId="9" hidden="1"/>
    <cellStyle name="Followed Hyperlink" xfId="2278" builtinId="9" hidden="1"/>
    <cellStyle name="Followed Hyperlink" xfId="2280" builtinId="9" hidden="1"/>
    <cellStyle name="Followed Hyperlink" xfId="2282" builtinId="9" hidden="1"/>
    <cellStyle name="Followed Hyperlink" xfId="2284" builtinId="9" hidden="1"/>
    <cellStyle name="Followed Hyperlink" xfId="2286" builtinId="9" hidden="1"/>
    <cellStyle name="Followed Hyperlink" xfId="2288" builtinId="9" hidden="1"/>
    <cellStyle name="Followed Hyperlink" xfId="2290" builtinId="9" hidden="1"/>
    <cellStyle name="Followed Hyperlink" xfId="2292" builtinId="9" hidden="1"/>
    <cellStyle name="Followed Hyperlink" xfId="2294" builtinId="9" hidden="1"/>
    <cellStyle name="Followed Hyperlink" xfId="2296" builtinId="9" hidden="1"/>
    <cellStyle name="Followed Hyperlink" xfId="2298" builtinId="9" hidden="1"/>
    <cellStyle name="Followed Hyperlink" xfId="2300" builtinId="9" hidden="1"/>
    <cellStyle name="Followed Hyperlink" xfId="2302" builtinId="9" hidden="1"/>
    <cellStyle name="Followed Hyperlink" xfId="2304" builtinId="9" hidden="1"/>
    <cellStyle name="Followed Hyperlink" xfId="2306" builtinId="9" hidden="1"/>
    <cellStyle name="Followed Hyperlink" xfId="2308" builtinId="9" hidden="1"/>
    <cellStyle name="Followed Hyperlink" xfId="2310" builtinId="9" hidden="1"/>
    <cellStyle name="Followed Hyperlink" xfId="2312" builtinId="9" hidden="1"/>
    <cellStyle name="Followed Hyperlink" xfId="2314" builtinId="9" hidden="1"/>
    <cellStyle name="Followed Hyperlink" xfId="2316" builtinId="9" hidden="1"/>
    <cellStyle name="Followed Hyperlink" xfId="2318" builtinId="9" hidden="1"/>
    <cellStyle name="Followed Hyperlink" xfId="2320" builtinId="9" hidden="1"/>
    <cellStyle name="Followed Hyperlink" xfId="2322" builtinId="9" hidden="1"/>
    <cellStyle name="Followed Hyperlink" xfId="2324" builtinId="9" hidden="1"/>
    <cellStyle name="Followed Hyperlink" xfId="2326" builtinId="9" hidden="1"/>
    <cellStyle name="Followed Hyperlink" xfId="2328" builtinId="9" hidden="1"/>
    <cellStyle name="Followed Hyperlink" xfId="2330" builtinId="9" hidden="1"/>
    <cellStyle name="Followed Hyperlink" xfId="2332" builtinId="9" hidden="1"/>
    <cellStyle name="Followed Hyperlink" xfId="2334" builtinId="9" hidden="1"/>
    <cellStyle name="Followed Hyperlink" xfId="2336" builtinId="9" hidden="1"/>
    <cellStyle name="Followed Hyperlink" xfId="2338" builtinId="9" hidden="1"/>
    <cellStyle name="Followed Hyperlink" xfId="2340" builtinId="9" hidden="1"/>
    <cellStyle name="Followed Hyperlink" xfId="2342" builtinId="9" hidden="1"/>
    <cellStyle name="Followed Hyperlink" xfId="2344" builtinId="9" hidden="1"/>
    <cellStyle name="Followed Hyperlink" xfId="2346" builtinId="9" hidden="1"/>
    <cellStyle name="Followed Hyperlink" xfId="2348" builtinId="9" hidden="1"/>
    <cellStyle name="Followed Hyperlink" xfId="2350" builtinId="9" hidden="1"/>
    <cellStyle name="Followed Hyperlink" xfId="2352" builtinId="9" hidden="1"/>
    <cellStyle name="Followed Hyperlink" xfId="2354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Followed Hyperlink" xfId="2364" builtinId="9" hidden="1"/>
    <cellStyle name="Followed Hyperlink" xfId="2366" builtinId="9" hidden="1"/>
    <cellStyle name="Followed Hyperlink" xfId="2368" builtinId="9" hidden="1"/>
    <cellStyle name="Followed Hyperlink" xfId="2370" builtinId="9" hidden="1"/>
    <cellStyle name="Followed Hyperlink" xfId="2372" builtinId="9" hidden="1"/>
    <cellStyle name="Followed Hyperlink" xfId="2374" builtinId="9" hidden="1"/>
    <cellStyle name="Followed Hyperlink" xfId="2376" builtinId="9" hidden="1"/>
    <cellStyle name="Followed Hyperlink" xfId="2378" builtinId="9" hidden="1"/>
    <cellStyle name="Followed Hyperlink" xfId="2380" builtinId="9" hidden="1"/>
    <cellStyle name="Followed Hyperlink" xfId="2382" builtinId="9" hidden="1"/>
    <cellStyle name="Followed Hyperlink" xfId="2384" builtinId="9" hidden="1"/>
    <cellStyle name="Followed Hyperlink" xfId="2386" builtinId="9" hidden="1"/>
    <cellStyle name="Followed Hyperlink" xfId="2388" builtinId="9" hidden="1"/>
    <cellStyle name="Followed Hyperlink" xfId="2390" builtinId="9" hidden="1"/>
    <cellStyle name="Followed Hyperlink" xfId="2392" builtinId="9" hidden="1"/>
    <cellStyle name="Followed Hyperlink" xfId="2394" builtinId="9" hidden="1"/>
    <cellStyle name="Followed Hyperlink" xfId="2396" builtinId="9" hidden="1"/>
    <cellStyle name="Followed Hyperlink" xfId="2398" builtinId="9" hidden="1"/>
    <cellStyle name="Followed Hyperlink" xfId="2400" builtinId="9" hidden="1"/>
    <cellStyle name="Followed Hyperlink" xfId="2402" builtinId="9" hidden="1"/>
    <cellStyle name="Followed Hyperlink" xfId="2404" builtinId="9" hidden="1"/>
    <cellStyle name="Followed Hyperlink" xfId="2406" builtinId="9" hidden="1"/>
    <cellStyle name="Followed Hyperlink" xfId="2408" builtinId="9" hidden="1"/>
    <cellStyle name="Followed Hyperlink" xfId="2410" builtinId="9" hidden="1"/>
    <cellStyle name="Followed Hyperlink" xfId="2412" builtinId="9" hidden="1"/>
    <cellStyle name="Followed Hyperlink" xfId="2414" builtinId="9" hidden="1"/>
    <cellStyle name="Followed Hyperlink" xfId="2416" builtinId="9" hidden="1"/>
    <cellStyle name="Followed Hyperlink" xfId="2418" builtinId="9" hidden="1"/>
    <cellStyle name="Followed Hyperlink" xfId="2420" builtinId="9" hidden="1"/>
    <cellStyle name="Followed Hyperlink" xfId="2422" builtinId="9" hidden="1"/>
    <cellStyle name="Followed Hyperlink" xfId="2424" builtinId="9" hidden="1"/>
    <cellStyle name="Followed Hyperlink" xfId="2426" builtinId="9" hidden="1"/>
    <cellStyle name="Followed Hyperlink" xfId="2428" builtinId="9" hidden="1"/>
    <cellStyle name="Followed Hyperlink" xfId="2430" builtinId="9" hidden="1"/>
    <cellStyle name="Followed Hyperlink" xfId="2432" builtinId="9" hidden="1"/>
    <cellStyle name="Followed Hyperlink" xfId="2434" builtinId="9" hidden="1"/>
    <cellStyle name="Followed Hyperlink" xfId="2436" builtinId="9" hidden="1"/>
    <cellStyle name="Followed Hyperlink" xfId="2438" builtinId="9" hidden="1"/>
    <cellStyle name="Followed Hyperlink" xfId="2440" builtinId="9" hidden="1"/>
    <cellStyle name="Followed Hyperlink" xfId="2442" builtinId="9" hidden="1"/>
    <cellStyle name="Followed Hyperlink" xfId="2444" builtinId="9" hidden="1"/>
    <cellStyle name="Followed Hyperlink" xfId="2446" builtinId="9" hidden="1"/>
    <cellStyle name="Followed Hyperlink" xfId="2448" builtinId="9" hidden="1"/>
    <cellStyle name="Followed Hyperlink" xfId="2450" builtinId="9" hidden="1"/>
    <cellStyle name="Followed Hyperlink" xfId="2452" builtinId="9" hidden="1"/>
    <cellStyle name="Followed Hyperlink" xfId="2454" builtinId="9" hidden="1"/>
    <cellStyle name="Followed Hyperlink" xfId="2456" builtinId="9" hidden="1"/>
    <cellStyle name="Followed Hyperlink" xfId="2458" builtinId="9" hidden="1"/>
    <cellStyle name="Followed Hyperlink" xfId="2460" builtinId="9" hidden="1"/>
    <cellStyle name="Followed Hyperlink" xfId="2462" builtinId="9" hidden="1"/>
    <cellStyle name="Followed Hyperlink" xfId="2464" builtinId="9" hidden="1"/>
    <cellStyle name="Followed Hyperlink" xfId="2466" builtinId="9" hidden="1"/>
    <cellStyle name="Followed Hyperlink" xfId="2468" builtinId="9" hidden="1"/>
    <cellStyle name="Followed Hyperlink" xfId="2470" builtinId="9" hidden="1"/>
    <cellStyle name="Followed Hyperlink" xfId="2472" builtinId="9" hidden="1"/>
    <cellStyle name="Followed Hyperlink" xfId="2474" builtinId="9" hidden="1"/>
    <cellStyle name="Followed Hyperlink" xfId="2476" builtinId="9" hidden="1"/>
    <cellStyle name="Followed Hyperlink" xfId="2478" builtinId="9" hidden="1"/>
    <cellStyle name="Followed Hyperlink" xfId="2480" builtinId="9" hidden="1"/>
    <cellStyle name="Followed Hyperlink" xfId="2482" builtinId="9" hidden="1"/>
    <cellStyle name="Followed Hyperlink" xfId="2484" builtinId="9" hidden="1"/>
    <cellStyle name="Followed Hyperlink" xfId="2486" builtinId="9" hidden="1"/>
    <cellStyle name="Followed Hyperlink" xfId="2488" builtinId="9" hidden="1"/>
    <cellStyle name="Followed Hyperlink" xfId="2490" builtinId="9" hidden="1"/>
    <cellStyle name="Followed Hyperlink" xfId="2492" builtinId="9" hidden="1"/>
    <cellStyle name="Followed Hyperlink" xfId="2494" builtinId="9" hidden="1"/>
    <cellStyle name="Followed Hyperlink" xfId="2496" builtinId="9" hidden="1"/>
    <cellStyle name="Followed Hyperlink" xfId="2498" builtinId="9" hidden="1"/>
    <cellStyle name="Followed Hyperlink" xfId="2500" builtinId="9" hidden="1"/>
    <cellStyle name="Followed Hyperlink" xfId="2502" builtinId="9" hidden="1"/>
    <cellStyle name="Followed Hyperlink" xfId="2504" builtinId="9" hidden="1"/>
    <cellStyle name="Followed Hyperlink" xfId="2506" builtinId="9" hidden="1"/>
    <cellStyle name="Followed Hyperlink" xfId="2508" builtinId="9" hidden="1"/>
    <cellStyle name="Followed Hyperlink" xfId="2510" builtinId="9" hidden="1"/>
    <cellStyle name="Followed Hyperlink" xfId="2512" builtinId="9" hidden="1"/>
    <cellStyle name="Followed Hyperlink" xfId="2514" builtinId="9" hidden="1"/>
    <cellStyle name="Followed Hyperlink" xfId="2516" builtinId="9" hidden="1"/>
    <cellStyle name="Followed Hyperlink" xfId="2518" builtinId="9" hidden="1"/>
    <cellStyle name="Followed Hyperlink" xfId="2520" builtinId="9" hidden="1"/>
    <cellStyle name="Followed Hyperlink" xfId="2522" builtinId="9" hidden="1"/>
    <cellStyle name="Followed Hyperlink" xfId="2524" builtinId="9" hidden="1"/>
    <cellStyle name="Followed Hyperlink" xfId="2526" builtinId="9" hidden="1"/>
    <cellStyle name="Followed Hyperlink" xfId="2528" builtinId="9" hidden="1"/>
    <cellStyle name="Followed Hyperlink" xfId="2530" builtinId="9" hidden="1"/>
    <cellStyle name="Followed Hyperlink" xfId="2532" builtinId="9" hidden="1"/>
    <cellStyle name="Followed Hyperlink" xfId="2534" builtinId="9" hidden="1"/>
    <cellStyle name="Followed Hyperlink" xfId="2536" builtinId="9" hidden="1"/>
    <cellStyle name="Followed Hyperlink" xfId="2538" builtinId="9" hidden="1"/>
    <cellStyle name="Followed Hyperlink" xfId="2540" builtinId="9" hidden="1"/>
    <cellStyle name="Followed Hyperlink" xfId="2542" builtinId="9" hidden="1"/>
    <cellStyle name="Followed Hyperlink" xfId="2544" builtinId="9" hidden="1"/>
    <cellStyle name="Followed Hyperlink" xfId="2546" builtinId="9" hidden="1"/>
    <cellStyle name="Followed Hyperlink" xfId="2548" builtinId="9" hidden="1"/>
    <cellStyle name="Followed Hyperlink" xfId="2550" builtinId="9" hidden="1"/>
    <cellStyle name="Followed Hyperlink" xfId="2552" builtinId="9" hidden="1"/>
    <cellStyle name="Followed Hyperlink" xfId="2554" builtinId="9" hidden="1"/>
    <cellStyle name="Followed Hyperlink" xfId="2556" builtinId="9" hidden="1"/>
    <cellStyle name="Followed Hyperlink" xfId="2558" builtinId="9" hidden="1"/>
    <cellStyle name="Followed Hyperlink" xfId="2560" builtinId="9" hidden="1"/>
    <cellStyle name="Followed Hyperlink" xfId="2562" builtinId="9" hidden="1"/>
    <cellStyle name="Followed Hyperlink" xfId="2564" builtinId="9" hidden="1"/>
    <cellStyle name="Followed Hyperlink" xfId="2566" builtinId="9" hidden="1"/>
    <cellStyle name="Followed Hyperlink" xfId="2568" builtinId="9" hidden="1"/>
    <cellStyle name="Followed Hyperlink" xfId="2570" builtinId="9" hidden="1"/>
    <cellStyle name="Followed Hyperlink" xfId="2572" builtinId="9" hidden="1"/>
    <cellStyle name="Followed Hyperlink" xfId="2574" builtinId="9" hidden="1"/>
    <cellStyle name="Followed Hyperlink" xfId="2576" builtinId="9" hidden="1"/>
    <cellStyle name="Followed Hyperlink" xfId="2578" builtinId="9" hidden="1"/>
    <cellStyle name="Followed Hyperlink" xfId="2580" builtinId="9" hidden="1"/>
    <cellStyle name="Followed Hyperlink" xfId="2582" builtinId="9" hidden="1"/>
    <cellStyle name="Followed Hyperlink" xfId="2584" builtinId="9" hidden="1"/>
    <cellStyle name="Followed Hyperlink" xfId="2586" builtinId="9" hidden="1"/>
    <cellStyle name="Followed Hyperlink" xfId="2588" builtinId="9" hidden="1"/>
    <cellStyle name="Followed Hyperlink" xfId="2590" builtinId="9" hidden="1"/>
    <cellStyle name="Followed Hyperlink" xfId="2592" builtinId="9" hidden="1"/>
    <cellStyle name="Followed Hyperlink" xfId="2594" builtinId="9" hidden="1"/>
    <cellStyle name="Followed Hyperlink" xfId="2596" builtinId="9" hidden="1"/>
    <cellStyle name="Followed Hyperlink" xfId="2598" builtinId="9" hidden="1"/>
    <cellStyle name="Followed Hyperlink" xfId="2600" builtinId="9" hidden="1"/>
    <cellStyle name="Followed Hyperlink" xfId="2602" builtinId="9" hidden="1"/>
    <cellStyle name="Followed Hyperlink" xfId="2604" builtinId="9" hidden="1"/>
    <cellStyle name="Followed Hyperlink" xfId="2606" builtinId="9" hidden="1"/>
    <cellStyle name="Followed Hyperlink" xfId="2608" builtinId="9" hidden="1"/>
    <cellStyle name="Followed Hyperlink" xfId="2610" builtinId="9" hidden="1"/>
    <cellStyle name="Followed Hyperlink" xfId="2612" builtinId="9" hidden="1"/>
    <cellStyle name="Followed Hyperlink" xfId="2614" builtinId="9" hidden="1"/>
    <cellStyle name="Followed Hyperlink" xfId="2616" builtinId="9" hidden="1"/>
    <cellStyle name="Followed Hyperlink" xfId="2618" builtinId="9" hidden="1"/>
    <cellStyle name="Followed Hyperlink" xfId="2620" builtinId="9" hidden="1"/>
    <cellStyle name="Followed Hyperlink" xfId="2622" builtinId="9" hidden="1"/>
    <cellStyle name="Followed Hyperlink" xfId="2624" builtinId="9" hidden="1"/>
    <cellStyle name="Followed Hyperlink" xfId="2626" builtinId="9" hidden="1"/>
    <cellStyle name="Followed Hyperlink" xfId="2628" builtinId="9" hidden="1"/>
    <cellStyle name="Followed Hyperlink" xfId="2630" builtinId="9" hidden="1"/>
    <cellStyle name="Followed Hyperlink" xfId="2632" builtinId="9" hidden="1"/>
    <cellStyle name="Followed Hyperlink" xfId="2634" builtinId="9" hidden="1"/>
    <cellStyle name="Followed Hyperlink" xfId="2636" builtinId="9" hidden="1"/>
    <cellStyle name="Followed Hyperlink" xfId="2638" builtinId="9" hidden="1"/>
    <cellStyle name="Followed Hyperlink" xfId="2640" builtinId="9" hidden="1"/>
    <cellStyle name="Followed Hyperlink" xfId="2642" builtinId="9" hidden="1"/>
    <cellStyle name="Followed Hyperlink" xfId="2644" builtinId="9" hidden="1"/>
    <cellStyle name="Followed Hyperlink" xfId="2646" builtinId="9" hidden="1"/>
    <cellStyle name="Followed Hyperlink" xfId="2648" builtinId="9" hidden="1"/>
    <cellStyle name="Followed Hyperlink" xfId="2650" builtinId="9" hidden="1"/>
    <cellStyle name="Followed Hyperlink" xfId="2652" builtinId="9" hidden="1"/>
    <cellStyle name="Followed Hyperlink" xfId="2654" builtinId="9" hidden="1"/>
    <cellStyle name="Followed Hyperlink" xfId="2656" builtinId="9" hidden="1"/>
    <cellStyle name="Followed Hyperlink" xfId="2658" builtinId="9" hidden="1"/>
    <cellStyle name="Followed Hyperlink" xfId="2660" builtinId="9" hidden="1"/>
    <cellStyle name="Followed Hyperlink" xfId="2662" builtinId="9" hidden="1"/>
    <cellStyle name="Followed Hyperlink" xfId="2664" builtinId="9" hidden="1"/>
    <cellStyle name="Followed Hyperlink" xfId="2666" builtinId="9" hidden="1"/>
    <cellStyle name="Followed Hyperlink" xfId="2668" builtinId="9" hidden="1"/>
    <cellStyle name="Followed Hyperlink" xfId="2670" builtinId="9" hidden="1"/>
    <cellStyle name="Followed Hyperlink" xfId="2672" builtinId="9" hidden="1"/>
    <cellStyle name="Followed Hyperlink" xfId="2674" builtinId="9" hidden="1"/>
    <cellStyle name="Followed Hyperlink" xfId="2676" builtinId="9" hidden="1"/>
    <cellStyle name="Followed Hyperlink" xfId="2678" builtinId="9" hidden="1"/>
    <cellStyle name="Followed Hyperlink" xfId="2680" builtinId="9" hidden="1"/>
    <cellStyle name="Followed Hyperlink" xfId="2682" builtinId="9" hidden="1"/>
    <cellStyle name="Followed Hyperlink" xfId="2684" builtinId="9" hidden="1"/>
    <cellStyle name="Followed Hyperlink" xfId="2686" builtinId="9" hidden="1"/>
    <cellStyle name="Followed Hyperlink" xfId="2688" builtinId="9" hidden="1"/>
    <cellStyle name="Followed Hyperlink" xfId="2690" builtinId="9" hidden="1"/>
    <cellStyle name="Followed Hyperlink" xfId="2692" builtinId="9" hidden="1"/>
    <cellStyle name="Followed Hyperlink" xfId="2694" builtinId="9" hidden="1"/>
    <cellStyle name="Followed Hyperlink" xfId="2696" builtinId="9" hidden="1"/>
    <cellStyle name="Followed Hyperlink" xfId="2698" builtinId="9" hidden="1"/>
    <cellStyle name="Followed Hyperlink" xfId="2700" builtinId="9" hidden="1"/>
    <cellStyle name="Followed Hyperlink" xfId="2702" builtinId="9" hidden="1"/>
    <cellStyle name="Followed Hyperlink" xfId="2704" builtinId="9" hidden="1"/>
    <cellStyle name="Followed Hyperlink" xfId="2706" builtinId="9" hidden="1"/>
    <cellStyle name="Followed Hyperlink" xfId="2708" builtinId="9" hidden="1"/>
    <cellStyle name="Followed Hyperlink" xfId="2710" builtinId="9" hidden="1"/>
    <cellStyle name="Followed Hyperlink" xfId="2712" builtinId="9" hidden="1"/>
    <cellStyle name="Followed Hyperlink" xfId="2714" builtinId="9" hidden="1"/>
    <cellStyle name="Followed Hyperlink" xfId="2716" builtinId="9" hidden="1"/>
    <cellStyle name="Followed Hyperlink" xfId="2718" builtinId="9" hidden="1"/>
    <cellStyle name="Followed Hyperlink" xfId="2720" builtinId="9" hidden="1"/>
    <cellStyle name="Followed Hyperlink" xfId="2722" builtinId="9" hidden="1"/>
    <cellStyle name="Followed Hyperlink" xfId="2724" builtinId="9" hidden="1"/>
    <cellStyle name="Followed Hyperlink" xfId="2726" builtinId="9" hidden="1"/>
    <cellStyle name="Followed Hyperlink" xfId="2728" builtinId="9" hidden="1"/>
    <cellStyle name="Followed Hyperlink" xfId="2730" builtinId="9" hidden="1"/>
    <cellStyle name="Followed Hyperlink" xfId="2732" builtinId="9" hidden="1"/>
    <cellStyle name="Followed Hyperlink" xfId="2734" builtinId="9" hidden="1"/>
    <cellStyle name="Followed Hyperlink" xfId="2736" builtinId="9" hidden="1"/>
    <cellStyle name="Followed Hyperlink" xfId="2738" builtinId="9" hidden="1"/>
    <cellStyle name="Followed Hyperlink" xfId="2740" builtinId="9" hidden="1"/>
    <cellStyle name="Followed Hyperlink" xfId="2742" builtinId="9" hidden="1"/>
    <cellStyle name="Followed Hyperlink" xfId="2744" builtinId="9" hidden="1"/>
    <cellStyle name="Followed Hyperlink" xfId="2746" builtinId="9" hidden="1"/>
    <cellStyle name="Followed Hyperlink" xfId="2748" builtinId="9" hidden="1"/>
    <cellStyle name="Followed Hyperlink" xfId="2750" builtinId="9" hidden="1"/>
    <cellStyle name="Followed Hyperlink" xfId="2752" builtinId="9" hidden="1"/>
    <cellStyle name="Followed Hyperlink" xfId="2754" builtinId="9" hidden="1"/>
    <cellStyle name="Followed Hyperlink" xfId="2756" builtinId="9" hidden="1"/>
    <cellStyle name="Followed Hyperlink" xfId="2758" builtinId="9" hidden="1"/>
    <cellStyle name="Followed Hyperlink" xfId="2760" builtinId="9" hidden="1"/>
    <cellStyle name="Followed Hyperlink" xfId="2762" builtinId="9" hidden="1"/>
    <cellStyle name="Followed Hyperlink" xfId="2764" builtinId="9" hidden="1"/>
    <cellStyle name="Followed Hyperlink" xfId="2766" builtinId="9" hidden="1"/>
    <cellStyle name="Followed Hyperlink" xfId="2768" builtinId="9" hidden="1"/>
    <cellStyle name="Followed Hyperlink" xfId="2770" builtinId="9" hidden="1"/>
    <cellStyle name="Followed Hyperlink" xfId="2772" builtinId="9" hidden="1"/>
    <cellStyle name="Followed Hyperlink" xfId="2774" builtinId="9" hidden="1"/>
    <cellStyle name="Followed Hyperlink" xfId="2776" builtinId="9" hidden="1"/>
    <cellStyle name="Followed Hyperlink" xfId="2778" builtinId="9" hidden="1"/>
    <cellStyle name="Followed Hyperlink" xfId="2780" builtinId="9" hidden="1"/>
    <cellStyle name="Followed Hyperlink" xfId="2782" builtinId="9" hidden="1"/>
    <cellStyle name="Followed Hyperlink" xfId="2784" builtinId="9" hidden="1"/>
    <cellStyle name="Followed Hyperlink" xfId="2786" builtinId="9" hidden="1"/>
    <cellStyle name="Followed Hyperlink" xfId="2788" builtinId="9" hidden="1"/>
    <cellStyle name="Followed Hyperlink" xfId="2790" builtinId="9" hidden="1"/>
    <cellStyle name="Followed Hyperlink" xfId="2792" builtinId="9" hidden="1"/>
    <cellStyle name="Followed Hyperlink" xfId="2794" builtinId="9" hidden="1"/>
    <cellStyle name="Followed Hyperlink" xfId="2796" builtinId="9" hidden="1"/>
    <cellStyle name="Followed Hyperlink" xfId="2798" builtinId="9" hidden="1"/>
    <cellStyle name="Followed Hyperlink" xfId="2800" builtinId="9" hidden="1"/>
    <cellStyle name="Followed Hyperlink" xfId="2802" builtinId="9" hidden="1"/>
    <cellStyle name="Followed Hyperlink" xfId="2804" builtinId="9" hidden="1"/>
    <cellStyle name="Followed Hyperlink" xfId="2806" builtinId="9" hidden="1"/>
    <cellStyle name="Followed Hyperlink" xfId="2808" builtinId="9" hidden="1"/>
    <cellStyle name="Followed Hyperlink" xfId="2810" builtinId="9" hidden="1"/>
    <cellStyle name="Followed Hyperlink" xfId="2812" builtinId="9" hidden="1"/>
    <cellStyle name="Followed Hyperlink" xfId="2814" builtinId="9" hidden="1"/>
    <cellStyle name="Followed Hyperlink" xfId="2816" builtinId="9" hidden="1"/>
    <cellStyle name="Followed Hyperlink" xfId="2818" builtinId="9" hidden="1"/>
    <cellStyle name="Followed Hyperlink" xfId="2820" builtinId="9" hidden="1"/>
    <cellStyle name="Followed Hyperlink" xfId="2822" builtinId="9" hidden="1"/>
    <cellStyle name="Followed Hyperlink" xfId="2824" builtinId="9" hidden="1"/>
    <cellStyle name="Followed Hyperlink" xfId="2826" builtinId="9" hidden="1"/>
    <cellStyle name="Followed Hyperlink" xfId="2828" builtinId="9" hidden="1"/>
    <cellStyle name="Followed Hyperlink" xfId="2830" builtinId="9" hidden="1"/>
    <cellStyle name="Followed Hyperlink" xfId="2832" builtinId="9" hidden="1"/>
    <cellStyle name="Followed Hyperlink" xfId="2834" builtinId="9" hidden="1"/>
    <cellStyle name="Followed Hyperlink" xfId="2836" builtinId="9" hidden="1"/>
    <cellStyle name="Followed Hyperlink" xfId="2838" builtinId="9" hidden="1"/>
    <cellStyle name="Followed Hyperlink" xfId="2840" builtinId="9" hidden="1"/>
    <cellStyle name="Followed Hyperlink" xfId="2842" builtinId="9" hidden="1"/>
    <cellStyle name="Followed Hyperlink" xfId="2844" builtinId="9" hidden="1"/>
    <cellStyle name="Followed Hyperlink" xfId="2846" builtinId="9" hidden="1"/>
    <cellStyle name="Followed Hyperlink" xfId="2848" builtinId="9" hidden="1"/>
    <cellStyle name="Followed Hyperlink" xfId="2850" builtinId="9" hidden="1"/>
    <cellStyle name="Followed Hyperlink" xfId="2852" builtinId="9" hidden="1"/>
    <cellStyle name="Followed Hyperlink" xfId="2854" builtinId="9" hidden="1"/>
    <cellStyle name="Followed Hyperlink" xfId="2856" builtinId="9" hidden="1"/>
    <cellStyle name="Followed Hyperlink" xfId="2858" builtinId="9" hidden="1"/>
    <cellStyle name="Followed Hyperlink" xfId="2860" builtinId="9" hidden="1"/>
    <cellStyle name="Followed Hyperlink" xfId="2862" builtinId="9" hidden="1"/>
    <cellStyle name="Followed Hyperlink" xfId="2864" builtinId="9" hidden="1"/>
    <cellStyle name="Followed Hyperlink" xfId="2866" builtinId="9" hidden="1"/>
    <cellStyle name="Followed Hyperlink" xfId="2868" builtinId="9" hidden="1"/>
    <cellStyle name="Followed Hyperlink" xfId="2870" builtinId="9" hidden="1"/>
    <cellStyle name="Followed Hyperlink" xfId="2872" builtinId="9" hidden="1"/>
    <cellStyle name="Followed Hyperlink" xfId="2874" builtinId="9" hidden="1"/>
    <cellStyle name="Followed Hyperlink" xfId="2876" builtinId="9" hidden="1"/>
    <cellStyle name="Followed Hyperlink" xfId="2878" builtinId="9" hidden="1"/>
    <cellStyle name="Followed Hyperlink" xfId="2880" builtinId="9" hidden="1"/>
    <cellStyle name="Followed Hyperlink" xfId="2882" builtinId="9" hidden="1"/>
    <cellStyle name="Followed Hyperlink" xfId="2884" builtinId="9" hidden="1"/>
    <cellStyle name="Followed Hyperlink" xfId="2886" builtinId="9" hidden="1"/>
    <cellStyle name="Followed Hyperlink" xfId="2888" builtinId="9" hidden="1"/>
    <cellStyle name="Followed Hyperlink" xfId="2890" builtinId="9" hidden="1"/>
    <cellStyle name="Followed Hyperlink" xfId="2892" builtinId="9" hidden="1"/>
    <cellStyle name="Followed Hyperlink" xfId="2894" builtinId="9" hidden="1"/>
    <cellStyle name="Followed Hyperlink" xfId="2896" builtinId="9" hidden="1"/>
    <cellStyle name="Followed Hyperlink" xfId="2898" builtinId="9" hidden="1"/>
    <cellStyle name="Followed Hyperlink" xfId="2900" builtinId="9" hidden="1"/>
    <cellStyle name="Followed Hyperlink" xfId="2902" builtinId="9" hidden="1"/>
    <cellStyle name="Followed Hyperlink" xfId="2904" builtinId="9" hidden="1"/>
    <cellStyle name="Followed Hyperlink" xfId="2906" builtinId="9" hidden="1"/>
    <cellStyle name="Followed Hyperlink" xfId="2908" builtinId="9" hidden="1"/>
    <cellStyle name="Followed Hyperlink" xfId="2910" builtinId="9" hidden="1"/>
    <cellStyle name="Followed Hyperlink" xfId="2912" builtinId="9" hidden="1"/>
    <cellStyle name="Followed Hyperlink" xfId="2914" builtinId="9" hidden="1"/>
    <cellStyle name="Followed Hyperlink" xfId="2916" builtinId="9" hidden="1"/>
    <cellStyle name="Followed Hyperlink" xfId="2918" builtinId="9" hidden="1"/>
    <cellStyle name="Followed Hyperlink" xfId="2920" builtinId="9" hidden="1"/>
    <cellStyle name="Followed Hyperlink" xfId="2922" builtinId="9" hidden="1"/>
    <cellStyle name="Followed Hyperlink" xfId="2924" builtinId="9" hidden="1"/>
    <cellStyle name="Followed Hyperlink" xfId="2926" builtinId="9" hidden="1"/>
    <cellStyle name="Followed Hyperlink" xfId="2928" builtinId="9" hidden="1"/>
    <cellStyle name="Followed Hyperlink" xfId="2930" builtinId="9" hidden="1"/>
    <cellStyle name="Followed Hyperlink" xfId="2932" builtinId="9" hidden="1"/>
    <cellStyle name="Followed Hyperlink" xfId="2934" builtinId="9" hidden="1"/>
    <cellStyle name="Followed Hyperlink" xfId="2936" builtinId="9" hidden="1"/>
    <cellStyle name="Followed Hyperlink" xfId="2938" builtinId="9" hidden="1"/>
    <cellStyle name="Followed Hyperlink" xfId="2940" builtinId="9" hidden="1"/>
    <cellStyle name="Followed Hyperlink" xfId="2942" builtinId="9" hidden="1"/>
    <cellStyle name="Followed Hyperlink" xfId="2944" builtinId="9" hidden="1"/>
    <cellStyle name="Followed Hyperlink" xfId="2946" builtinId="9" hidden="1"/>
    <cellStyle name="Followed Hyperlink" xfId="2948" builtinId="9" hidden="1"/>
    <cellStyle name="Followed Hyperlink" xfId="2950" builtinId="9" hidden="1"/>
    <cellStyle name="Followed Hyperlink" xfId="2952" builtinId="9" hidden="1"/>
    <cellStyle name="Followed Hyperlink" xfId="2954" builtinId="9" hidden="1"/>
    <cellStyle name="Followed Hyperlink" xfId="2956" builtinId="9" hidden="1"/>
    <cellStyle name="Followed Hyperlink" xfId="2958" builtinId="9" hidden="1"/>
    <cellStyle name="Followed Hyperlink" xfId="2960" builtinId="9" hidden="1"/>
    <cellStyle name="Followed Hyperlink" xfId="2962" builtinId="9" hidden="1"/>
    <cellStyle name="Followed Hyperlink" xfId="2964" builtinId="9" hidden="1"/>
    <cellStyle name="Followed Hyperlink" xfId="2966" builtinId="9" hidden="1"/>
    <cellStyle name="Followed Hyperlink" xfId="2968" builtinId="9" hidden="1"/>
    <cellStyle name="Followed Hyperlink" xfId="2970" builtinId="9" hidden="1"/>
    <cellStyle name="Followed Hyperlink" xfId="2972" builtinId="9" hidden="1"/>
    <cellStyle name="Followed Hyperlink" xfId="2974" builtinId="9" hidden="1"/>
    <cellStyle name="Followed Hyperlink" xfId="2976" builtinId="9" hidden="1"/>
    <cellStyle name="Followed Hyperlink" xfId="2978" builtinId="9" hidden="1"/>
    <cellStyle name="Followed Hyperlink" xfId="2980" builtinId="9" hidden="1"/>
    <cellStyle name="Followed Hyperlink" xfId="2982" builtinId="9" hidden="1"/>
    <cellStyle name="Followed Hyperlink" xfId="2984" builtinId="9" hidden="1"/>
    <cellStyle name="Followed Hyperlink" xfId="2986" builtinId="9" hidden="1"/>
    <cellStyle name="Followed Hyperlink" xfId="2988" builtinId="9" hidden="1"/>
    <cellStyle name="Followed Hyperlink" xfId="2990" builtinId="9" hidden="1"/>
    <cellStyle name="Followed Hyperlink" xfId="2992" builtinId="9" hidden="1"/>
    <cellStyle name="Followed Hyperlink" xfId="2994" builtinId="9" hidden="1"/>
    <cellStyle name="Followed Hyperlink" xfId="2996" builtinId="9" hidden="1"/>
    <cellStyle name="Followed Hyperlink" xfId="2998" builtinId="9" hidden="1"/>
    <cellStyle name="Followed Hyperlink" xfId="3000" builtinId="9" hidden="1"/>
    <cellStyle name="Followed Hyperlink" xfId="3002" builtinId="9" hidden="1"/>
    <cellStyle name="Followed Hyperlink" xfId="3004" builtinId="9" hidden="1"/>
    <cellStyle name="Followed Hyperlink" xfId="3006" builtinId="9" hidden="1"/>
    <cellStyle name="Followed Hyperlink" xfId="3008" builtinId="9" hidden="1"/>
    <cellStyle name="Followed Hyperlink" xfId="3010" builtinId="9" hidden="1"/>
    <cellStyle name="Followed Hyperlink" xfId="3012" builtinId="9" hidden="1"/>
    <cellStyle name="Followed Hyperlink" xfId="3014" builtinId="9" hidden="1"/>
    <cellStyle name="Followed Hyperlink" xfId="3016" builtinId="9" hidden="1"/>
    <cellStyle name="Followed Hyperlink" xfId="3018" builtinId="9" hidden="1"/>
    <cellStyle name="Followed Hyperlink" xfId="3020" builtinId="9" hidden="1"/>
    <cellStyle name="Followed Hyperlink" xfId="3022" builtinId="9" hidden="1"/>
    <cellStyle name="Followed Hyperlink" xfId="3024" builtinId="9" hidden="1"/>
    <cellStyle name="Followed Hyperlink" xfId="3026" builtinId="9" hidden="1"/>
    <cellStyle name="Followed Hyperlink" xfId="3028" builtinId="9" hidden="1"/>
    <cellStyle name="Followed Hyperlink" xfId="3030" builtinId="9" hidden="1"/>
    <cellStyle name="Followed Hyperlink" xfId="3032" builtinId="9" hidden="1"/>
    <cellStyle name="Followed Hyperlink" xfId="3033" builtinId="9" hidden="1"/>
    <cellStyle name="Followed Hyperlink" xfId="3034" builtinId="9" hidden="1"/>
    <cellStyle name="Followed Hyperlink" xfId="3035" builtinId="9" hidden="1"/>
    <cellStyle name="Followed Hyperlink" xfId="3036" builtinId="9" hidden="1"/>
    <cellStyle name="Followed Hyperlink" xfId="3037" builtinId="9" hidden="1"/>
    <cellStyle name="Followed Hyperlink" xfId="3038" builtinId="9" hidden="1"/>
    <cellStyle name="Followed Hyperlink" xfId="3039" builtinId="9" hidden="1"/>
    <cellStyle name="Followed Hyperlink" xfId="3040" builtinId="9" hidden="1"/>
    <cellStyle name="Followed Hyperlink" xfId="3041" builtinId="9" hidden="1"/>
    <cellStyle name="Followed Hyperlink" xfId="3042" builtinId="9" hidden="1"/>
    <cellStyle name="Followed Hyperlink" xfId="3043" builtinId="9" hidden="1"/>
    <cellStyle name="Followed Hyperlink" xfId="3044" builtinId="9" hidden="1"/>
    <cellStyle name="Followed Hyperlink" xfId="3045" builtinId="9" hidden="1"/>
    <cellStyle name="Followed Hyperlink" xfId="3046" builtinId="9" hidden="1"/>
    <cellStyle name="Followed Hyperlink" xfId="3047" builtinId="9" hidden="1"/>
    <cellStyle name="Followed Hyperlink" xfId="3048" builtinId="9" hidden="1"/>
    <cellStyle name="Followed Hyperlink" xfId="3049" builtinId="9" hidden="1"/>
    <cellStyle name="Followed Hyperlink" xfId="3050" builtinId="9" hidden="1"/>
    <cellStyle name="Followed Hyperlink" xfId="3051" builtinId="9" hidden="1"/>
    <cellStyle name="Followed Hyperlink" xfId="3052" builtinId="9" hidden="1"/>
    <cellStyle name="Followed Hyperlink" xfId="3053" builtinId="9" hidden="1"/>
    <cellStyle name="Followed Hyperlink" xfId="3054" builtinId="9" hidden="1"/>
    <cellStyle name="Followed Hyperlink" xfId="3055" builtinId="9" hidden="1"/>
    <cellStyle name="Followed Hyperlink" xfId="3056" builtinId="9" hidden="1"/>
    <cellStyle name="Followed Hyperlink" xfId="3057" builtinId="9" hidden="1"/>
    <cellStyle name="Followed Hyperlink" xfId="3058" builtinId="9" hidden="1"/>
    <cellStyle name="Followed Hyperlink" xfId="3059" builtinId="9" hidden="1"/>
    <cellStyle name="Followed Hyperlink" xfId="3060" builtinId="9" hidden="1"/>
    <cellStyle name="Followed Hyperlink" xfId="3061" builtinId="9" hidden="1"/>
    <cellStyle name="Followed Hyperlink" xfId="3062" builtinId="9" hidden="1"/>
    <cellStyle name="Followed Hyperlink" xfId="3063" builtinId="9" hidden="1"/>
    <cellStyle name="Followed Hyperlink" xfId="3064" builtinId="9" hidden="1"/>
    <cellStyle name="Followed Hyperlink" xfId="3065" builtinId="9" hidden="1"/>
    <cellStyle name="Followed Hyperlink" xfId="3066" builtinId="9" hidden="1"/>
    <cellStyle name="Followed Hyperlink" xfId="3067" builtinId="9" hidden="1"/>
    <cellStyle name="Followed Hyperlink" xfId="3068" builtinId="9" hidden="1"/>
    <cellStyle name="Followed Hyperlink" xfId="3069" builtinId="9" hidden="1"/>
    <cellStyle name="Followed Hyperlink" xfId="3070" builtinId="9" hidden="1"/>
    <cellStyle name="Followed Hyperlink" xfId="3071" builtinId="9" hidden="1"/>
    <cellStyle name="Followed Hyperlink" xfId="3072" builtinId="9" hidden="1"/>
    <cellStyle name="Followed Hyperlink" xfId="3073" builtinId="9" hidden="1"/>
    <cellStyle name="Followed Hyperlink" xfId="3074" builtinId="9" hidden="1"/>
    <cellStyle name="Followed Hyperlink" xfId="3075" builtinId="9" hidden="1"/>
    <cellStyle name="Followed Hyperlink" xfId="3076" builtinId="9" hidden="1"/>
    <cellStyle name="Followed Hyperlink" xfId="3077" builtinId="9" hidden="1"/>
    <cellStyle name="Followed Hyperlink" xfId="3078" builtinId="9" hidden="1"/>
    <cellStyle name="Followed Hyperlink" xfId="3079" builtinId="9" hidden="1"/>
    <cellStyle name="Followed Hyperlink" xfId="3080" builtinId="9" hidden="1"/>
    <cellStyle name="Followed Hyperlink" xfId="3081" builtinId="9" hidden="1"/>
    <cellStyle name="Followed Hyperlink" xfId="3082" builtinId="9" hidden="1"/>
    <cellStyle name="Followed Hyperlink" xfId="3083" builtinId="9" hidden="1"/>
    <cellStyle name="Followed Hyperlink" xfId="3084" builtinId="9" hidden="1"/>
    <cellStyle name="Followed Hyperlink" xfId="3085" builtinId="9" hidden="1"/>
    <cellStyle name="Followed Hyperlink" xfId="3086" builtinId="9" hidden="1"/>
    <cellStyle name="Followed Hyperlink" xfId="3087" builtinId="9" hidden="1"/>
    <cellStyle name="Followed Hyperlink" xfId="3088" builtinId="9" hidden="1"/>
    <cellStyle name="Followed Hyperlink" xfId="3089" builtinId="9" hidden="1"/>
    <cellStyle name="Followed Hyperlink" xfId="3090" builtinId="9" hidden="1"/>
    <cellStyle name="Followed Hyperlink" xfId="3091" builtinId="9" hidden="1"/>
    <cellStyle name="Followed Hyperlink" xfId="3092" builtinId="9" hidden="1"/>
    <cellStyle name="Followed Hyperlink" xfId="3093" builtinId="9" hidden="1"/>
    <cellStyle name="Followed Hyperlink" xfId="3094" builtinId="9" hidden="1"/>
    <cellStyle name="Followed Hyperlink" xfId="3095" builtinId="9" hidden="1"/>
    <cellStyle name="Followed Hyperlink" xfId="3096" builtinId="9" hidden="1"/>
    <cellStyle name="Followed Hyperlink" xfId="3097" builtinId="9" hidden="1"/>
    <cellStyle name="Followed Hyperlink" xfId="3098" builtinId="9" hidden="1"/>
    <cellStyle name="Followed Hyperlink" xfId="3099" builtinId="9" hidden="1"/>
    <cellStyle name="Followed Hyperlink" xfId="3100" builtinId="9" hidden="1"/>
    <cellStyle name="Followed Hyperlink" xfId="3101" builtinId="9" hidden="1"/>
    <cellStyle name="Followed Hyperlink" xfId="3102" builtinId="9" hidden="1"/>
    <cellStyle name="Followed Hyperlink" xfId="3103" builtinId="9" hidden="1"/>
    <cellStyle name="Followed Hyperlink" xfId="3104" builtinId="9" hidden="1"/>
    <cellStyle name="Followed Hyperlink" xfId="3105" builtinId="9" hidden="1"/>
    <cellStyle name="Followed Hyperlink" xfId="3106" builtinId="9" hidden="1"/>
    <cellStyle name="Followed Hyperlink" xfId="3107" builtinId="9" hidden="1"/>
    <cellStyle name="Followed Hyperlink" xfId="3108" builtinId="9" hidden="1"/>
    <cellStyle name="Followed Hyperlink" xfId="3109" builtinId="9" hidden="1"/>
    <cellStyle name="Followed Hyperlink" xfId="3110" builtinId="9" hidden="1"/>
    <cellStyle name="Followed Hyperlink" xfId="3111" builtinId="9" hidden="1"/>
    <cellStyle name="Followed Hyperlink" xfId="3112" builtinId="9" hidden="1"/>
    <cellStyle name="Followed Hyperlink" xfId="3113" builtinId="9" hidden="1"/>
    <cellStyle name="Followed Hyperlink" xfId="3114" builtinId="9" hidden="1"/>
    <cellStyle name="Followed Hyperlink" xfId="3115" builtinId="9" hidden="1"/>
    <cellStyle name="Followed Hyperlink" xfId="3116" builtinId="9" hidden="1"/>
    <cellStyle name="Followed Hyperlink" xfId="3117" builtinId="9" hidden="1"/>
    <cellStyle name="Followed Hyperlink" xfId="3118" builtinId="9" hidden="1"/>
    <cellStyle name="Followed Hyperlink" xfId="3119" builtinId="9" hidden="1"/>
    <cellStyle name="Followed Hyperlink" xfId="3120" builtinId="9" hidden="1"/>
    <cellStyle name="Followed Hyperlink" xfId="3121" builtinId="9" hidden="1"/>
    <cellStyle name="Followed Hyperlink" xfId="3122" builtinId="9" hidden="1"/>
    <cellStyle name="Followed Hyperlink" xfId="3123" builtinId="9" hidden="1"/>
    <cellStyle name="Followed Hyperlink" xfId="3124" builtinId="9" hidden="1"/>
    <cellStyle name="Followed Hyperlink" xfId="3125" builtinId="9" hidden="1"/>
    <cellStyle name="Followed Hyperlink" xfId="3126" builtinId="9" hidden="1"/>
    <cellStyle name="Followed Hyperlink" xfId="3127" builtinId="9" hidden="1"/>
    <cellStyle name="Followed Hyperlink" xfId="3128" builtinId="9" hidden="1"/>
    <cellStyle name="Followed Hyperlink" xfId="3129" builtinId="9" hidden="1"/>
    <cellStyle name="Followed Hyperlink" xfId="3130" builtinId="9" hidden="1"/>
    <cellStyle name="Followed Hyperlink" xfId="3131" builtinId="9" hidden="1"/>
    <cellStyle name="Followed Hyperlink" xfId="3132" builtinId="9" hidden="1"/>
    <cellStyle name="Followed Hyperlink" xfId="3133" builtinId="9" hidden="1"/>
    <cellStyle name="Followed Hyperlink" xfId="3134" builtinId="9" hidden="1"/>
    <cellStyle name="Followed Hyperlink" xfId="3135" builtinId="9" hidden="1"/>
    <cellStyle name="Followed Hyperlink" xfId="3136" builtinId="9" hidden="1"/>
    <cellStyle name="Followed Hyperlink" xfId="3137" builtinId="9" hidden="1"/>
    <cellStyle name="Followed Hyperlink" xfId="3138" builtinId="9" hidden="1"/>
    <cellStyle name="Followed Hyperlink" xfId="3139" builtinId="9" hidden="1"/>
    <cellStyle name="Followed Hyperlink" xfId="3140" builtinId="9" hidden="1"/>
    <cellStyle name="Followed Hyperlink" xfId="3141" builtinId="9" hidden="1"/>
    <cellStyle name="Followed Hyperlink" xfId="3142" builtinId="9" hidden="1"/>
    <cellStyle name="Followed Hyperlink" xfId="3143" builtinId="9" hidden="1"/>
    <cellStyle name="Followed Hyperlink" xfId="3144" builtinId="9" hidden="1"/>
    <cellStyle name="Followed Hyperlink" xfId="3145" builtinId="9" hidden="1"/>
    <cellStyle name="Followed Hyperlink" xfId="3146" builtinId="9" hidden="1"/>
    <cellStyle name="Followed Hyperlink" xfId="3147" builtinId="9" hidden="1"/>
    <cellStyle name="Followed Hyperlink" xfId="3148" builtinId="9" hidden="1"/>
    <cellStyle name="Followed Hyperlink" xfId="3149" builtinId="9" hidden="1"/>
    <cellStyle name="Followed Hyperlink" xfId="3150" builtinId="9" hidden="1"/>
    <cellStyle name="Followed Hyperlink" xfId="3151" builtinId="9" hidden="1"/>
    <cellStyle name="Followed Hyperlink" xfId="3152" builtinId="9" hidden="1"/>
    <cellStyle name="Followed Hyperlink" xfId="3153" builtinId="9" hidden="1"/>
    <cellStyle name="Followed Hyperlink" xfId="3154" builtinId="9" hidden="1"/>
    <cellStyle name="Followed Hyperlink" xfId="3155" builtinId="9" hidden="1"/>
    <cellStyle name="Followed Hyperlink" xfId="3156" builtinId="9" hidden="1"/>
    <cellStyle name="Followed Hyperlink" xfId="3157" builtinId="9" hidden="1"/>
    <cellStyle name="Followed Hyperlink" xfId="3158" builtinId="9" hidden="1"/>
    <cellStyle name="Followed Hyperlink" xfId="3159" builtinId="9" hidden="1"/>
    <cellStyle name="Followed Hyperlink" xfId="3160" builtinId="9" hidden="1"/>
    <cellStyle name="Followed Hyperlink" xfId="3161" builtinId="9" hidden="1"/>
    <cellStyle name="Followed Hyperlink" xfId="3162" builtinId="9" hidden="1"/>
    <cellStyle name="Followed Hyperlink" xfId="3163" builtinId="9" hidden="1"/>
    <cellStyle name="Followed Hyperlink" xfId="3164" builtinId="9" hidden="1"/>
    <cellStyle name="Followed Hyperlink" xfId="3165" builtinId="9" hidden="1"/>
    <cellStyle name="Followed Hyperlink" xfId="3166" builtinId="9" hidden="1"/>
    <cellStyle name="Followed Hyperlink" xfId="3167" builtinId="9" hidden="1"/>
    <cellStyle name="Followed Hyperlink" xfId="3168" builtinId="9" hidden="1"/>
    <cellStyle name="Followed Hyperlink" xfId="3169" builtinId="9" hidden="1"/>
    <cellStyle name="Followed Hyperlink" xfId="3170" builtinId="9" hidden="1"/>
    <cellStyle name="Followed Hyperlink" xfId="3171" builtinId="9" hidden="1"/>
    <cellStyle name="Followed Hyperlink" xfId="3172" builtinId="9" hidden="1"/>
    <cellStyle name="Followed Hyperlink" xfId="3173" builtinId="9" hidden="1"/>
    <cellStyle name="Followed Hyperlink" xfId="3174" builtinId="9" hidden="1"/>
    <cellStyle name="Followed Hyperlink" xfId="3175" builtinId="9" hidden="1"/>
    <cellStyle name="Followed Hyperlink" xfId="3176" builtinId="9" hidden="1"/>
    <cellStyle name="Followed Hyperlink" xfId="3177" builtinId="9" hidden="1"/>
    <cellStyle name="Followed Hyperlink" xfId="3178" builtinId="9" hidden="1"/>
    <cellStyle name="Followed Hyperlink" xfId="3179" builtinId="9" hidden="1"/>
    <cellStyle name="Followed Hyperlink" xfId="3180" builtinId="9" hidden="1"/>
    <cellStyle name="Followed Hyperlink" xfId="3181" builtinId="9" hidden="1"/>
    <cellStyle name="Followed Hyperlink" xfId="3182" builtinId="9" hidden="1"/>
    <cellStyle name="Followed Hyperlink" xfId="3183" builtinId="9" hidden="1"/>
    <cellStyle name="Followed Hyperlink" xfId="3184" builtinId="9" hidden="1"/>
    <cellStyle name="Followed Hyperlink" xfId="3185" builtinId="9" hidden="1"/>
    <cellStyle name="Followed Hyperlink" xfId="3186" builtinId="9" hidden="1"/>
    <cellStyle name="Followed Hyperlink" xfId="3187" builtinId="9" hidden="1"/>
    <cellStyle name="Followed Hyperlink" xfId="3188" builtinId="9" hidden="1"/>
    <cellStyle name="Followed Hyperlink" xfId="3189" builtinId="9" hidden="1"/>
    <cellStyle name="Followed Hyperlink" xfId="3190" builtinId="9" hidden="1"/>
    <cellStyle name="Followed Hyperlink" xfId="3191" builtinId="9" hidden="1"/>
    <cellStyle name="Followed Hyperlink" xfId="3192" builtinId="9" hidden="1"/>
    <cellStyle name="Followed Hyperlink" xfId="3193" builtinId="9" hidden="1"/>
    <cellStyle name="Followed Hyperlink" xfId="3194" builtinId="9" hidden="1"/>
    <cellStyle name="Followed Hyperlink" xfId="3195" builtinId="9" hidden="1"/>
    <cellStyle name="Followed Hyperlink" xfId="3196" builtinId="9" hidden="1"/>
    <cellStyle name="Followed Hyperlink" xfId="3197" builtinId="9" hidden="1"/>
    <cellStyle name="Followed Hyperlink" xfId="3198" builtinId="9" hidden="1"/>
    <cellStyle name="Followed Hyperlink" xfId="3199" builtinId="9" hidden="1"/>
    <cellStyle name="Followed Hyperlink" xfId="3200" builtinId="9" hidden="1"/>
    <cellStyle name="Followed Hyperlink" xfId="3201" builtinId="9" hidden="1"/>
    <cellStyle name="Followed Hyperlink" xfId="3202" builtinId="9" hidden="1"/>
    <cellStyle name="Followed Hyperlink" xfId="3203" builtinId="9" hidden="1"/>
    <cellStyle name="Followed Hyperlink" xfId="3204" builtinId="9" hidden="1"/>
    <cellStyle name="Followed Hyperlink" xfId="3205" builtinId="9" hidden="1"/>
    <cellStyle name="Followed Hyperlink" xfId="3206" builtinId="9" hidden="1"/>
    <cellStyle name="Followed Hyperlink" xfId="3207" builtinId="9" hidden="1"/>
    <cellStyle name="Followed Hyperlink" xfId="3208" builtinId="9" hidden="1"/>
    <cellStyle name="Followed Hyperlink" xfId="3209" builtinId="9" hidden="1"/>
    <cellStyle name="Followed Hyperlink" xfId="3210" builtinId="9" hidden="1"/>
    <cellStyle name="Followed Hyperlink" xfId="3211" builtinId="9" hidden="1"/>
    <cellStyle name="Followed Hyperlink" xfId="3212" builtinId="9" hidden="1"/>
    <cellStyle name="Followed Hyperlink" xfId="3213" builtinId="9" hidden="1"/>
    <cellStyle name="Followed Hyperlink" xfId="3214" builtinId="9" hidden="1"/>
    <cellStyle name="Followed Hyperlink" xfId="3215" builtinId="9" hidden="1"/>
    <cellStyle name="Followed Hyperlink" xfId="3216" builtinId="9" hidden="1"/>
    <cellStyle name="Followed Hyperlink" xfId="3217" builtinId="9" hidden="1"/>
    <cellStyle name="Followed Hyperlink" xfId="3218" builtinId="9" hidden="1"/>
    <cellStyle name="Followed Hyperlink" xfId="3219" builtinId="9" hidden="1"/>
    <cellStyle name="Followed Hyperlink" xfId="3220" builtinId="9" hidden="1"/>
    <cellStyle name="Followed Hyperlink" xfId="3221" builtinId="9" hidden="1"/>
    <cellStyle name="Followed Hyperlink" xfId="3222" builtinId="9" hidden="1"/>
    <cellStyle name="Followed Hyperlink" xfId="3223" builtinId="9" hidden="1"/>
    <cellStyle name="Followed Hyperlink" xfId="3224" builtinId="9" hidden="1"/>
    <cellStyle name="Followed Hyperlink" xfId="3225" builtinId="9" hidden="1"/>
    <cellStyle name="Followed Hyperlink" xfId="3226" builtinId="9" hidden="1"/>
    <cellStyle name="Followed Hyperlink" xfId="3227" builtinId="9" hidden="1"/>
    <cellStyle name="Followed Hyperlink" xfId="3228" builtinId="9" hidden="1"/>
    <cellStyle name="Followed Hyperlink" xfId="3229" builtinId="9" hidden="1"/>
    <cellStyle name="Followed Hyperlink" xfId="3230" builtinId="9" hidden="1"/>
    <cellStyle name="Followed Hyperlink" xfId="3231" builtinId="9" hidden="1"/>
    <cellStyle name="Followed Hyperlink" xfId="3232" builtinId="9" hidden="1"/>
    <cellStyle name="Followed Hyperlink" xfId="3233" builtinId="9" hidden="1"/>
    <cellStyle name="Followed Hyperlink" xfId="3234" builtinId="9" hidden="1"/>
    <cellStyle name="Followed Hyperlink" xfId="3235" builtinId="9" hidden="1"/>
    <cellStyle name="Followed Hyperlink" xfId="3236" builtinId="9" hidden="1"/>
    <cellStyle name="Followed Hyperlink" xfId="3237" builtinId="9" hidden="1"/>
    <cellStyle name="Followed Hyperlink" xfId="3238" builtinId="9" hidden="1"/>
    <cellStyle name="Followed Hyperlink" xfId="3239" builtinId="9" hidden="1"/>
    <cellStyle name="Followed Hyperlink" xfId="3240" builtinId="9" hidden="1"/>
    <cellStyle name="Followed Hyperlink" xfId="3241" builtinId="9" hidden="1"/>
    <cellStyle name="Followed Hyperlink" xfId="3242" builtinId="9" hidden="1"/>
    <cellStyle name="Followed Hyperlink" xfId="3243" builtinId="9" hidden="1"/>
    <cellStyle name="Followed Hyperlink" xfId="3244" builtinId="9" hidden="1"/>
    <cellStyle name="Followed Hyperlink" xfId="3245" builtinId="9" hidden="1"/>
    <cellStyle name="Followed Hyperlink" xfId="3246" builtinId="9" hidden="1"/>
    <cellStyle name="Followed Hyperlink" xfId="3247" builtinId="9" hidden="1"/>
    <cellStyle name="Followed Hyperlink" xfId="3248" builtinId="9" hidden="1"/>
    <cellStyle name="Followed Hyperlink" xfId="3249" builtinId="9" hidden="1"/>
    <cellStyle name="Followed Hyperlink" xfId="3250" builtinId="9" hidden="1"/>
    <cellStyle name="Followed Hyperlink" xfId="3251" builtinId="9" hidden="1"/>
    <cellStyle name="Followed Hyperlink" xfId="3252" builtinId="9" hidden="1"/>
    <cellStyle name="Followed Hyperlink" xfId="3253" builtinId="9" hidden="1"/>
    <cellStyle name="Followed Hyperlink" xfId="3254" builtinId="9" hidden="1"/>
    <cellStyle name="Followed Hyperlink" xfId="3255" builtinId="9" hidden="1"/>
    <cellStyle name="Followed Hyperlink" xfId="3256" builtinId="9" hidden="1"/>
    <cellStyle name="Followed Hyperlink" xfId="3257" builtinId="9" hidden="1"/>
    <cellStyle name="Followed Hyperlink" xfId="3258" builtinId="9" hidden="1"/>
    <cellStyle name="Followed Hyperlink" xfId="3259" builtinId="9" hidden="1"/>
    <cellStyle name="Followed Hyperlink" xfId="3260" builtinId="9" hidden="1"/>
    <cellStyle name="Followed Hyperlink" xfId="3261" builtinId="9" hidden="1"/>
    <cellStyle name="Followed Hyperlink" xfId="3262" builtinId="9" hidden="1"/>
    <cellStyle name="Followed Hyperlink" xfId="3263" builtinId="9" hidden="1"/>
    <cellStyle name="Followed Hyperlink" xfId="3264" builtinId="9" hidden="1"/>
    <cellStyle name="Followed Hyperlink" xfId="3265" builtinId="9" hidden="1"/>
    <cellStyle name="Followed Hyperlink" xfId="3266" builtinId="9" hidden="1"/>
    <cellStyle name="Followed Hyperlink" xfId="3267" builtinId="9" hidden="1"/>
    <cellStyle name="Followed Hyperlink" xfId="3268" builtinId="9" hidden="1"/>
    <cellStyle name="Followed Hyperlink" xfId="3269" builtinId="9" hidden="1"/>
    <cellStyle name="Followed Hyperlink" xfId="3270" builtinId="9" hidden="1"/>
    <cellStyle name="Followed Hyperlink" xfId="3271" builtinId="9" hidden="1"/>
    <cellStyle name="Followed Hyperlink" xfId="3272" builtinId="9" hidden="1"/>
    <cellStyle name="Followed Hyperlink" xfId="3273" builtinId="9" hidden="1"/>
    <cellStyle name="Followed Hyperlink" xfId="3274" builtinId="9" hidden="1"/>
    <cellStyle name="Followed Hyperlink" xfId="3275" builtinId="9" hidden="1"/>
    <cellStyle name="Followed Hyperlink" xfId="3276" builtinId="9" hidden="1"/>
    <cellStyle name="Followed Hyperlink" xfId="3277" builtinId="9" hidden="1"/>
    <cellStyle name="Followed Hyperlink" xfId="3278" builtinId="9" hidden="1"/>
    <cellStyle name="Followed Hyperlink" xfId="3279" builtinId="9" hidden="1"/>
    <cellStyle name="Followed Hyperlink" xfId="3280" builtinId="9" hidden="1"/>
    <cellStyle name="Followed Hyperlink" xfId="3281" builtinId="9" hidden="1"/>
    <cellStyle name="Followed Hyperlink" xfId="3282" builtinId="9" hidden="1"/>
    <cellStyle name="Followed Hyperlink" xfId="3283" builtinId="9" hidden="1"/>
    <cellStyle name="Followed Hyperlink" xfId="3284" builtinId="9" hidden="1"/>
    <cellStyle name="Followed Hyperlink" xfId="3285" builtinId="9" hidden="1"/>
    <cellStyle name="Followed Hyperlink" xfId="3286" builtinId="9" hidden="1"/>
    <cellStyle name="Followed Hyperlink" xfId="3287" builtinId="9" hidden="1"/>
    <cellStyle name="Followed Hyperlink" xfId="3288" builtinId="9" hidden="1"/>
    <cellStyle name="Followed Hyperlink" xfId="3289" builtinId="9" hidden="1"/>
    <cellStyle name="Followed Hyperlink" xfId="3290" builtinId="9" hidden="1"/>
    <cellStyle name="Followed Hyperlink" xfId="3291" builtinId="9" hidden="1"/>
    <cellStyle name="Followed Hyperlink" xfId="3292" builtinId="9" hidden="1"/>
    <cellStyle name="Followed Hyperlink" xfId="3293" builtinId="9" hidden="1"/>
    <cellStyle name="Followed Hyperlink" xfId="3294" builtinId="9" hidden="1"/>
    <cellStyle name="Followed Hyperlink" xfId="3295" builtinId="9" hidden="1"/>
    <cellStyle name="Followed Hyperlink" xfId="3296" builtinId="9" hidden="1"/>
    <cellStyle name="Followed Hyperlink" xfId="3297" builtinId="9" hidden="1"/>
    <cellStyle name="Followed Hyperlink" xfId="3298" builtinId="9" hidden="1"/>
    <cellStyle name="Followed Hyperlink" xfId="3299" builtinId="9" hidden="1"/>
    <cellStyle name="Followed Hyperlink" xfId="3300" builtinId="9" hidden="1"/>
    <cellStyle name="Followed Hyperlink" xfId="3301" builtinId="9" hidden="1"/>
    <cellStyle name="Followed Hyperlink" xfId="3302" builtinId="9" hidden="1"/>
    <cellStyle name="Followed Hyperlink" xfId="3303" builtinId="9" hidden="1"/>
    <cellStyle name="Followed Hyperlink" xfId="3304" builtinId="9" hidden="1"/>
    <cellStyle name="Followed Hyperlink" xfId="3305" builtinId="9" hidden="1"/>
    <cellStyle name="Followed Hyperlink" xfId="3306" builtinId="9" hidden="1"/>
    <cellStyle name="Followed Hyperlink" xfId="3307" builtinId="9" hidden="1"/>
    <cellStyle name="Followed Hyperlink" xfId="3308" builtinId="9" hidden="1"/>
    <cellStyle name="Followed Hyperlink" xfId="3309" builtinId="9" hidden="1"/>
    <cellStyle name="Followed Hyperlink" xfId="3310" builtinId="9" hidden="1"/>
    <cellStyle name="Followed Hyperlink" xfId="3311" builtinId="9" hidden="1"/>
    <cellStyle name="Followed Hyperlink" xfId="3312" builtinId="9" hidden="1"/>
    <cellStyle name="Followed Hyperlink" xfId="3313" builtinId="9" hidden="1"/>
    <cellStyle name="Followed Hyperlink" xfId="3314" builtinId="9" hidden="1"/>
    <cellStyle name="Followed Hyperlink" xfId="3315" builtinId="9" hidden="1"/>
    <cellStyle name="Followed Hyperlink" xfId="3316" builtinId="9" hidden="1"/>
    <cellStyle name="Followed Hyperlink" xfId="3317" builtinId="9" hidden="1"/>
    <cellStyle name="Followed Hyperlink" xfId="3318" builtinId="9" hidden="1"/>
    <cellStyle name="Followed Hyperlink" xfId="3319" builtinId="9" hidden="1"/>
    <cellStyle name="Followed Hyperlink" xfId="3320" builtinId="9" hidden="1"/>
    <cellStyle name="Followed Hyperlink" xfId="3321" builtinId="9" hidden="1"/>
    <cellStyle name="Followed Hyperlink" xfId="3322" builtinId="9" hidden="1"/>
    <cellStyle name="Followed Hyperlink" xfId="3323" builtinId="9" hidden="1"/>
    <cellStyle name="Followed Hyperlink" xfId="3324" builtinId="9" hidden="1"/>
    <cellStyle name="Followed Hyperlink" xfId="3325" builtinId="9" hidden="1"/>
    <cellStyle name="Followed Hyperlink" xfId="3326" builtinId="9" hidden="1"/>
    <cellStyle name="Followed Hyperlink" xfId="3327" builtinId="9" hidden="1"/>
    <cellStyle name="Followed Hyperlink" xfId="3328" builtinId="9" hidden="1"/>
    <cellStyle name="Followed Hyperlink" xfId="3329" builtinId="9" hidden="1"/>
    <cellStyle name="Followed Hyperlink" xfId="3330" builtinId="9" hidden="1"/>
    <cellStyle name="Followed Hyperlink" xfId="3331" builtinId="9" hidden="1"/>
    <cellStyle name="Followed Hyperlink" xfId="3332" builtinId="9" hidden="1"/>
    <cellStyle name="Followed Hyperlink" xfId="3333" builtinId="9" hidden="1"/>
    <cellStyle name="Followed Hyperlink" xfId="3334" builtinId="9" hidden="1"/>
    <cellStyle name="Followed Hyperlink" xfId="3335" builtinId="9" hidden="1"/>
    <cellStyle name="Followed Hyperlink" xfId="3336" builtinId="9" hidden="1"/>
    <cellStyle name="Followed Hyperlink" xfId="3337" builtinId="9" hidden="1"/>
    <cellStyle name="Followed Hyperlink" xfId="3338" builtinId="9" hidden="1"/>
    <cellStyle name="Followed Hyperlink" xfId="3339" builtinId="9" hidden="1"/>
    <cellStyle name="Followed Hyperlink" xfId="3340" builtinId="9" hidden="1"/>
    <cellStyle name="Followed Hyperlink" xfId="3341" builtinId="9" hidden="1"/>
    <cellStyle name="Followed Hyperlink" xfId="3342" builtinId="9" hidden="1"/>
    <cellStyle name="Followed Hyperlink" xfId="3343" builtinId="9" hidden="1"/>
    <cellStyle name="Followed Hyperlink" xfId="3344" builtinId="9" hidden="1"/>
    <cellStyle name="Followed Hyperlink" xfId="3345" builtinId="9" hidden="1"/>
    <cellStyle name="Followed Hyperlink" xfId="3346" builtinId="9" hidden="1"/>
    <cellStyle name="Followed Hyperlink" xfId="3347" builtinId="9" hidden="1"/>
    <cellStyle name="Followed Hyperlink" xfId="3348" builtinId="9" hidden="1"/>
    <cellStyle name="Followed Hyperlink" xfId="3349" builtinId="9" hidden="1"/>
    <cellStyle name="Followed Hyperlink" xfId="3350" builtinId="9" hidden="1"/>
    <cellStyle name="Followed Hyperlink" xfId="3351" builtinId="9" hidden="1"/>
    <cellStyle name="Followed Hyperlink" xfId="3352" builtinId="9" hidden="1"/>
    <cellStyle name="Followed Hyperlink" xfId="3353" builtinId="9" hidden="1"/>
    <cellStyle name="Followed Hyperlink" xfId="3354" builtinId="9" hidden="1"/>
    <cellStyle name="Followed Hyperlink" xfId="3355" builtinId="9" hidden="1"/>
    <cellStyle name="Followed Hyperlink" xfId="3356" builtinId="9" hidden="1"/>
    <cellStyle name="Followed Hyperlink" xfId="3357" builtinId="9" hidden="1"/>
    <cellStyle name="Followed Hyperlink" xfId="3358" builtinId="9" hidden="1"/>
    <cellStyle name="Followed Hyperlink" xfId="3359" builtinId="9" hidden="1"/>
    <cellStyle name="Followed Hyperlink" xfId="3360" builtinId="9" hidden="1"/>
    <cellStyle name="Followed Hyperlink" xfId="3361" builtinId="9" hidden="1"/>
    <cellStyle name="Followed Hyperlink" xfId="3362" builtinId="9" hidden="1"/>
    <cellStyle name="Followed Hyperlink" xfId="3363" builtinId="9" hidden="1"/>
    <cellStyle name="Followed Hyperlink" xfId="3364" builtinId="9" hidden="1"/>
    <cellStyle name="Followed Hyperlink" xfId="3365" builtinId="9" hidden="1"/>
    <cellStyle name="Followed Hyperlink" xfId="3366" builtinId="9" hidden="1"/>
    <cellStyle name="Followed Hyperlink" xfId="3367" builtinId="9" hidden="1"/>
    <cellStyle name="Followed Hyperlink" xfId="3368" builtinId="9" hidden="1"/>
    <cellStyle name="Followed Hyperlink" xfId="3369" builtinId="9" hidden="1"/>
    <cellStyle name="Followed Hyperlink" xfId="3370" builtinId="9" hidden="1"/>
    <cellStyle name="Followed Hyperlink" xfId="3371" builtinId="9" hidden="1"/>
    <cellStyle name="Followed Hyperlink" xfId="3372" builtinId="9" hidden="1"/>
    <cellStyle name="Followed Hyperlink" xfId="3373" builtinId="9" hidden="1"/>
    <cellStyle name="Followed Hyperlink" xfId="3374" builtinId="9" hidden="1"/>
    <cellStyle name="Followed Hyperlink" xfId="3375" builtinId="9" hidden="1"/>
    <cellStyle name="Followed Hyperlink" xfId="3376" builtinId="9" hidden="1"/>
    <cellStyle name="Followed Hyperlink" xfId="3377" builtinId="9" hidden="1"/>
    <cellStyle name="Followed Hyperlink" xfId="3378" builtinId="9" hidden="1"/>
    <cellStyle name="Followed Hyperlink" xfId="3379" builtinId="9" hidden="1"/>
    <cellStyle name="Followed Hyperlink" xfId="3380" builtinId="9" hidden="1"/>
    <cellStyle name="Followed Hyperlink" xfId="3381" builtinId="9" hidden="1"/>
    <cellStyle name="Followed Hyperlink" xfId="3382" builtinId="9" hidden="1"/>
    <cellStyle name="Followed Hyperlink" xfId="3383" builtinId="9" hidden="1"/>
    <cellStyle name="Followed Hyperlink" xfId="3384" builtinId="9" hidden="1"/>
    <cellStyle name="Followed Hyperlink" xfId="3385" builtinId="9" hidden="1"/>
    <cellStyle name="Followed Hyperlink" xfId="3386" builtinId="9" hidden="1"/>
    <cellStyle name="Followed Hyperlink" xfId="3387" builtinId="9" hidden="1"/>
    <cellStyle name="Followed Hyperlink" xfId="3388" builtinId="9" hidden="1"/>
    <cellStyle name="Followed Hyperlink" xfId="3389" builtinId="9" hidden="1"/>
    <cellStyle name="Followed Hyperlink" xfId="3390" builtinId="9" hidden="1"/>
    <cellStyle name="Followed Hyperlink" xfId="3391" builtinId="9" hidden="1"/>
    <cellStyle name="Followed Hyperlink" xfId="3392" builtinId="9" hidden="1"/>
    <cellStyle name="Followed Hyperlink" xfId="3393" builtinId="9" hidden="1"/>
    <cellStyle name="Followed Hyperlink" xfId="3394" builtinId="9" hidden="1"/>
    <cellStyle name="Followed Hyperlink" xfId="3395" builtinId="9" hidden="1"/>
    <cellStyle name="Followed Hyperlink" xfId="3396" builtinId="9" hidden="1"/>
    <cellStyle name="Followed Hyperlink" xfId="3397" builtinId="9" hidden="1"/>
    <cellStyle name="Followed Hyperlink" xfId="3398" builtinId="9" hidden="1"/>
    <cellStyle name="Followed Hyperlink" xfId="3399" builtinId="9" hidden="1"/>
    <cellStyle name="Followed Hyperlink" xfId="3400" builtinId="9" hidden="1"/>
    <cellStyle name="Followed Hyperlink" xfId="3401" builtinId="9" hidden="1"/>
    <cellStyle name="Followed Hyperlink" xfId="3402" builtinId="9" hidden="1"/>
    <cellStyle name="Followed Hyperlink" xfId="3403" builtinId="9" hidden="1"/>
    <cellStyle name="Followed Hyperlink" xfId="3404" builtinId="9" hidden="1"/>
    <cellStyle name="Followed Hyperlink" xfId="3405" builtinId="9" hidden="1"/>
    <cellStyle name="Followed Hyperlink" xfId="3406" builtinId="9" hidden="1"/>
    <cellStyle name="Followed Hyperlink" xfId="3407" builtinId="9" hidden="1"/>
    <cellStyle name="Followed Hyperlink" xfId="3408" builtinId="9" hidden="1"/>
    <cellStyle name="Followed Hyperlink" xfId="3409" builtinId="9" hidden="1"/>
    <cellStyle name="Followed Hyperlink" xfId="3410" builtinId="9" hidden="1"/>
    <cellStyle name="Followed Hyperlink" xfId="3411" builtinId="9" hidden="1"/>
    <cellStyle name="Followed Hyperlink" xfId="3412" builtinId="9" hidden="1"/>
    <cellStyle name="Followed Hyperlink" xfId="3413" builtinId="9" hidden="1"/>
    <cellStyle name="Followed Hyperlink" xfId="3414" builtinId="9" hidden="1"/>
    <cellStyle name="Followed Hyperlink" xfId="3415" builtinId="9" hidden="1"/>
    <cellStyle name="Followed Hyperlink" xfId="3416" builtinId="9" hidden="1"/>
    <cellStyle name="Followed Hyperlink" xfId="3417" builtinId="9" hidden="1"/>
    <cellStyle name="Followed Hyperlink" xfId="3418" builtinId="9" hidden="1"/>
    <cellStyle name="Followed Hyperlink" xfId="3419" builtinId="9" hidden="1"/>
    <cellStyle name="Followed Hyperlink" xfId="3420" builtinId="9" hidden="1"/>
    <cellStyle name="Followed Hyperlink" xfId="3421" builtinId="9" hidden="1"/>
    <cellStyle name="Followed Hyperlink" xfId="3422" builtinId="9" hidden="1"/>
    <cellStyle name="Followed Hyperlink" xfId="3423" builtinId="9" hidden="1"/>
    <cellStyle name="Followed Hyperlink" xfId="3424" builtinId="9" hidden="1"/>
    <cellStyle name="Followed Hyperlink" xfId="3425" builtinId="9" hidden="1"/>
    <cellStyle name="Followed Hyperlink" xfId="3426" builtinId="9" hidden="1"/>
    <cellStyle name="Followed Hyperlink" xfId="3427" builtinId="9" hidden="1"/>
    <cellStyle name="Followed Hyperlink" xfId="3428" builtinId="9" hidden="1"/>
    <cellStyle name="Followed Hyperlink" xfId="3429" builtinId="9" hidden="1"/>
    <cellStyle name="Followed Hyperlink" xfId="3430" builtinId="9" hidden="1"/>
    <cellStyle name="Followed Hyperlink" xfId="3431" builtinId="9" hidden="1"/>
    <cellStyle name="Followed Hyperlink" xfId="3432" builtinId="9" hidden="1"/>
    <cellStyle name="Followed Hyperlink" xfId="3433" builtinId="9" hidden="1"/>
    <cellStyle name="Followed Hyperlink" xfId="3434" builtinId="9" hidden="1"/>
    <cellStyle name="Followed Hyperlink" xfId="3435" builtinId="9" hidden="1"/>
    <cellStyle name="Followed Hyperlink" xfId="3436" builtinId="9" hidden="1"/>
    <cellStyle name="Followed Hyperlink" xfId="3437" builtinId="9" hidden="1"/>
    <cellStyle name="Followed Hyperlink" xfId="3438" builtinId="9" hidden="1"/>
    <cellStyle name="Followed Hyperlink" xfId="3439" builtinId="9" hidden="1"/>
    <cellStyle name="Followed Hyperlink" xfId="3440" builtinId="9" hidden="1"/>
    <cellStyle name="Followed Hyperlink" xfId="3441" builtinId="9" hidden="1"/>
    <cellStyle name="Followed Hyperlink" xfId="3442" builtinId="9" hidden="1"/>
    <cellStyle name="Followed Hyperlink" xfId="3443" builtinId="9" hidden="1"/>
    <cellStyle name="Followed Hyperlink" xfId="3444" builtinId="9" hidden="1"/>
    <cellStyle name="Followed Hyperlink" xfId="3445" builtinId="9" hidden="1"/>
    <cellStyle name="Followed Hyperlink" xfId="3446" builtinId="9" hidden="1"/>
    <cellStyle name="Followed Hyperlink" xfId="3447" builtinId="9" hidden="1"/>
    <cellStyle name="Followed Hyperlink" xfId="3448" builtinId="9" hidden="1"/>
    <cellStyle name="Followed Hyperlink" xfId="3449" builtinId="9" hidden="1"/>
    <cellStyle name="Followed Hyperlink" xfId="3450" builtinId="9" hidden="1"/>
    <cellStyle name="Followed Hyperlink" xfId="3451" builtinId="9" hidden="1"/>
    <cellStyle name="Followed Hyperlink" xfId="3452" builtinId="9" hidden="1"/>
    <cellStyle name="Followed Hyperlink" xfId="3453" builtinId="9" hidden="1"/>
    <cellStyle name="Followed Hyperlink" xfId="3454" builtinId="9" hidden="1"/>
    <cellStyle name="Followed Hyperlink" xfId="3455" builtinId="9" hidden="1"/>
    <cellStyle name="Followed Hyperlink" xfId="3456" builtinId="9" hidden="1"/>
    <cellStyle name="Followed Hyperlink" xfId="3457" builtinId="9" hidden="1"/>
    <cellStyle name="Followed Hyperlink" xfId="3458" builtinId="9" hidden="1"/>
    <cellStyle name="Followed Hyperlink" xfId="3459" builtinId="9" hidden="1"/>
    <cellStyle name="Followed Hyperlink" xfId="3460" builtinId="9" hidden="1"/>
    <cellStyle name="Followed Hyperlink" xfId="3461" builtinId="9" hidden="1"/>
    <cellStyle name="Followed Hyperlink" xfId="3462" builtinId="9" hidden="1"/>
    <cellStyle name="Followed Hyperlink" xfId="3463" builtinId="9" hidden="1"/>
    <cellStyle name="Followed Hyperlink" xfId="3464" builtinId="9" hidden="1"/>
    <cellStyle name="Followed Hyperlink" xfId="3465" builtinId="9" hidden="1"/>
    <cellStyle name="Followed Hyperlink" xfId="3466" builtinId="9" hidden="1"/>
    <cellStyle name="Followed Hyperlink" xfId="3467" builtinId="9" hidden="1"/>
    <cellStyle name="Followed Hyperlink" xfId="3468" builtinId="9" hidden="1"/>
    <cellStyle name="Followed Hyperlink" xfId="3469" builtinId="9" hidden="1"/>
    <cellStyle name="Followed Hyperlink" xfId="3470" builtinId="9" hidden="1"/>
    <cellStyle name="Followed Hyperlink" xfId="347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29" builtinId="8" hidden="1"/>
    <cellStyle name="Hyperlink" xfId="2031" builtinId="8" hidden="1"/>
    <cellStyle name="Hyperlink" xfId="2033" builtinId="8" hidden="1"/>
    <cellStyle name="Hyperlink" xfId="2035" builtinId="8" hidden="1"/>
    <cellStyle name="Hyperlink" xfId="2037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5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3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5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3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1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09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49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7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5" builtinId="8" hidden="1"/>
    <cellStyle name="Hyperlink" xfId="2167" builtinId="8" hidden="1"/>
    <cellStyle name="Hyperlink" xfId="2169" builtinId="8" hidden="1"/>
    <cellStyle name="Hyperlink" xfId="2171" builtinId="8" hidden="1"/>
    <cellStyle name="Hyperlink" xfId="2173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7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5" builtinId="8" hidden="1"/>
    <cellStyle name="Hyperlink" xfId="2207" builtinId="8" hidden="1"/>
    <cellStyle name="Hyperlink" xfId="2209" builtinId="8" hidden="1"/>
    <cellStyle name="Hyperlink" xfId="2211" builtinId="8" hidden="1"/>
    <cellStyle name="Hyperlink" xfId="2213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1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29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7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5" builtinId="8" hidden="1"/>
    <cellStyle name="Hyperlink" xfId="2247" builtinId="8" hidden="1"/>
    <cellStyle name="Hyperlink" xfId="2249" builtinId="8" hidden="1"/>
    <cellStyle name="Hyperlink" xfId="2251" builtinId="8" hidden="1"/>
    <cellStyle name="Hyperlink" xfId="2253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1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69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7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5" builtinId="8" hidden="1"/>
    <cellStyle name="Hyperlink" xfId="2287" builtinId="8" hidden="1"/>
    <cellStyle name="Hyperlink" xfId="2289" builtinId="8" hidden="1"/>
    <cellStyle name="Hyperlink" xfId="2291" builtinId="8" hidden="1"/>
    <cellStyle name="Hyperlink" xfId="2293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1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09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7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5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3" builtinId="8" hidden="1"/>
    <cellStyle name="Hyperlink" xfId="2335" builtinId="8" hidden="1"/>
    <cellStyle name="Hyperlink" xfId="2337" builtinId="8" hidden="1"/>
    <cellStyle name="Hyperlink" xfId="2339" builtinId="8" hidden="1"/>
    <cellStyle name="Hyperlink" xfId="2341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49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7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5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3" builtinId="8" hidden="1"/>
    <cellStyle name="Hyperlink" xfId="2375" builtinId="8" hidden="1"/>
    <cellStyle name="Hyperlink" xfId="2377" builtinId="8" hidden="1"/>
    <cellStyle name="Hyperlink" xfId="2379" builtinId="8" hidden="1"/>
    <cellStyle name="Hyperlink" xfId="2381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89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7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5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3" builtinId="8" hidden="1"/>
    <cellStyle name="Hyperlink" xfId="2415" builtinId="8" hidden="1"/>
    <cellStyle name="Hyperlink" xfId="2417" builtinId="8" hidden="1"/>
    <cellStyle name="Hyperlink" xfId="2419" builtinId="8" hidden="1"/>
    <cellStyle name="Hyperlink" xfId="2421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29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7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5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3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1" builtinId="8" hidden="1"/>
    <cellStyle name="Hyperlink" xfId="2463" builtinId="8" hidden="1"/>
    <cellStyle name="Hyperlink" xfId="2465" builtinId="8" hidden="1"/>
    <cellStyle name="Hyperlink" xfId="2467" builtinId="8" hidden="1"/>
    <cellStyle name="Hyperlink" xfId="2469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7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5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3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1" builtinId="8" hidden="1"/>
    <cellStyle name="Hyperlink" xfId="2503" builtinId="8" hidden="1"/>
    <cellStyle name="Hyperlink" xfId="2505" builtinId="8" hidden="1"/>
    <cellStyle name="Hyperlink" xfId="2507" builtinId="8" hidden="1"/>
    <cellStyle name="Hyperlink" xfId="2509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7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5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3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1" builtinId="8" hidden="1"/>
    <cellStyle name="Hyperlink" xfId="2543" builtinId="8" hidden="1"/>
    <cellStyle name="Hyperlink" xfId="2545" builtinId="8" hidden="1"/>
    <cellStyle name="Hyperlink" xfId="2547" builtinId="8" hidden="1"/>
    <cellStyle name="Hyperlink" xfId="2549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7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5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3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1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89" builtinId="8" hidden="1"/>
    <cellStyle name="Hyperlink" xfId="2591" builtinId="8" hidden="1"/>
    <cellStyle name="Hyperlink" xfId="2593" builtinId="8" hidden="1"/>
    <cellStyle name="Hyperlink" xfId="2595" builtinId="8" hidden="1"/>
    <cellStyle name="Hyperlink" xfId="2597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5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3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1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29" builtinId="8" hidden="1"/>
    <cellStyle name="Hyperlink" xfId="2631" builtinId="8" hidden="1"/>
    <cellStyle name="Hyperlink" xfId="2633" builtinId="8" hidden="1"/>
    <cellStyle name="Hyperlink" xfId="2635" builtinId="8" hidden="1"/>
    <cellStyle name="Hyperlink" xfId="2637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5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3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1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69" builtinId="8" hidden="1"/>
    <cellStyle name="Hyperlink" xfId="2671" builtinId="8" hidden="1"/>
    <cellStyle name="Hyperlink" xfId="2673" builtinId="8" hidden="1"/>
    <cellStyle name="Hyperlink" xfId="2675" builtinId="8" hidden="1"/>
    <cellStyle name="Hyperlink" xfId="2677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5" builtinId="8" hidden="1"/>
    <cellStyle name="Hyperlink" xfId="2687" builtinId="8" hidden="1"/>
    <cellStyle name="Hyperlink" xfId="2689" builtinId="8" hidden="1"/>
    <cellStyle name="Hyperlink" xfId="2691" builtinId="8" hidden="1"/>
    <cellStyle name="Hyperlink" xfId="2693" builtinId="8" hidden="1"/>
    <cellStyle name="Hyperlink" xfId="2695" builtinId="8" hidden="1"/>
    <cellStyle name="Hyperlink" xfId="2697" builtinId="8" hidden="1"/>
    <cellStyle name="Hyperlink" xfId="2699" builtinId="8" hidden="1"/>
    <cellStyle name="Hyperlink" xfId="2701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09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17" builtinId="8" hidden="1"/>
    <cellStyle name="Hyperlink" xfId="2719" builtinId="8" hidden="1"/>
    <cellStyle name="Hyperlink" xfId="2721" builtinId="8" hidden="1"/>
    <cellStyle name="Hyperlink" xfId="2723" builtinId="8" hidden="1"/>
    <cellStyle name="Hyperlink" xfId="2725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3" builtinId="8" hidden="1"/>
    <cellStyle name="Hyperlink" xfId="2735" builtinId="8" hidden="1"/>
    <cellStyle name="Hyperlink" xfId="2737" builtinId="8" hidden="1"/>
    <cellStyle name="Hyperlink" xfId="2739" builtinId="8" hidden="1"/>
    <cellStyle name="Hyperlink" xfId="2741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49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7" builtinId="8" hidden="1"/>
    <cellStyle name="Hyperlink" xfId="2759" builtinId="8" hidden="1"/>
    <cellStyle name="Hyperlink" xfId="2761" builtinId="8" hidden="1"/>
    <cellStyle name="Hyperlink" xfId="2763" builtinId="8" hidden="1"/>
    <cellStyle name="Hyperlink" xfId="2765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3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1" builtinId="8" hidden="1"/>
    <cellStyle name="Hyperlink" xfId="2783" builtinId="8" hidden="1"/>
    <cellStyle name="Hyperlink" xfId="2785" builtinId="8" hidden="1"/>
    <cellStyle name="Hyperlink" xfId="2787" builtinId="8" hidden="1"/>
    <cellStyle name="Hyperlink" xfId="2789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7" builtinId="8" hidden="1"/>
    <cellStyle name="Hyperlink" xfId="2799" builtinId="8" hidden="1"/>
    <cellStyle name="Hyperlink" xfId="2801" builtinId="8" hidden="1"/>
    <cellStyle name="Hyperlink" xfId="2803" builtinId="8" hidden="1"/>
    <cellStyle name="Hyperlink" xfId="2805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3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1" builtinId="8" hidden="1"/>
    <cellStyle name="Hyperlink" xfId="2823" builtinId="8" hidden="1"/>
    <cellStyle name="Hyperlink" xfId="2825" builtinId="8" hidden="1"/>
    <cellStyle name="Hyperlink" xfId="2827" builtinId="8" hidden="1"/>
    <cellStyle name="Hyperlink" xfId="2829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7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5" builtinId="8" hidden="1"/>
    <cellStyle name="Hyperlink" xfId="2847" builtinId="8" hidden="1"/>
    <cellStyle name="Hyperlink" xfId="2849" builtinId="8" hidden="1"/>
    <cellStyle name="Hyperlink" xfId="2851" builtinId="8" hidden="1"/>
    <cellStyle name="Hyperlink" xfId="2853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1" builtinId="8" hidden="1"/>
    <cellStyle name="Hyperlink" xfId="2863" builtinId="8" hidden="1"/>
    <cellStyle name="Hyperlink" xfId="2865" builtinId="8" hidden="1"/>
    <cellStyle name="Hyperlink" xfId="2867" builtinId="8" hidden="1"/>
    <cellStyle name="Hyperlink" xfId="2869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7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5" builtinId="8" hidden="1"/>
    <cellStyle name="Hyperlink" xfId="2887" builtinId="8" hidden="1"/>
    <cellStyle name="Hyperlink" xfId="2889" builtinId="8" hidden="1"/>
    <cellStyle name="Hyperlink" xfId="2891" builtinId="8" hidden="1"/>
    <cellStyle name="Hyperlink" xfId="2893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1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09" builtinId="8" hidden="1"/>
    <cellStyle name="Hyperlink" xfId="2911" builtinId="8" hidden="1"/>
    <cellStyle name="Hyperlink" xfId="2913" builtinId="8" hidden="1"/>
    <cellStyle name="Hyperlink" xfId="2915" builtinId="8" hidden="1"/>
    <cellStyle name="Hyperlink" xfId="2917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5" builtinId="8" hidden="1"/>
    <cellStyle name="Hyperlink" xfId="2927" builtinId="8" hidden="1"/>
    <cellStyle name="Hyperlink" xfId="2929" builtinId="8" hidden="1"/>
    <cellStyle name="Hyperlink" xfId="2931" builtinId="8" hidden="1"/>
    <cellStyle name="Hyperlink" xfId="2933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1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49" builtinId="8" hidden="1"/>
    <cellStyle name="Hyperlink" xfId="2951" builtinId="8" hidden="1"/>
    <cellStyle name="Hyperlink" xfId="2953" builtinId="8" hidden="1"/>
    <cellStyle name="Hyperlink" xfId="2955" builtinId="8" hidden="1"/>
    <cellStyle name="Hyperlink" xfId="2957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5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3" builtinId="8" hidden="1"/>
    <cellStyle name="Hyperlink" xfId="2975" builtinId="8" hidden="1"/>
    <cellStyle name="Hyperlink" xfId="2977" builtinId="8" hidden="1"/>
    <cellStyle name="Hyperlink" xfId="2979" builtinId="8" hidden="1"/>
    <cellStyle name="Hyperlink" xfId="2981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89" builtinId="8" hidden="1"/>
    <cellStyle name="Hyperlink" xfId="2991" builtinId="8" hidden="1"/>
    <cellStyle name="Hyperlink" xfId="2993" builtinId="8" hidden="1"/>
    <cellStyle name="Hyperlink" xfId="2995" builtinId="8" hidden="1"/>
    <cellStyle name="Hyperlink" xfId="2997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5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3" builtinId="8" hidden="1"/>
    <cellStyle name="Hyperlink" xfId="3015" builtinId="8" hidden="1"/>
    <cellStyle name="Hyperlink" xfId="3017" builtinId="8" hidden="1"/>
    <cellStyle name="Hyperlink" xfId="3019" builtinId="8" hidden="1"/>
    <cellStyle name="Hyperlink" xfId="3021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29" builtinId="8" hidden="1"/>
    <cellStyle name="Hyperlink" xfId="3031" builtinId="8"/>
    <cellStyle name="Normal" xfId="0" builtinId="0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adatelna.eu/reprodukce/?fondId=1073&amp;zaznamId=1108960&amp;reproId=37802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05"/>
  <sheetViews>
    <sheetView tabSelected="1" workbookViewId="0">
      <pane ySplit="1" topLeftCell="A3459" activePane="bottomLeft" state="frozen"/>
      <selection pane="bottomLeft" activeCell="A3478" sqref="A3478"/>
    </sheetView>
  </sheetViews>
  <sheetFormatPr defaultColWidth="13.44140625" defaultRowHeight="15" customHeight="1" x14ac:dyDescent="0.25"/>
  <cols>
    <col min="1" max="1" width="23.44140625" style="24" customWidth="1"/>
    <col min="2" max="2" width="18.33203125" style="24" customWidth="1"/>
    <col min="3" max="3" width="16.6640625" style="9" customWidth="1"/>
    <col min="4" max="4" width="25" customWidth="1"/>
    <col min="5" max="5" width="13.44140625" customWidth="1"/>
    <col min="6" max="6" width="11.88671875" style="24" customWidth="1"/>
    <col min="7" max="7" width="17.44140625" style="24" customWidth="1"/>
    <col min="8" max="8" width="18.109375" style="9" customWidth="1"/>
    <col min="9" max="9" width="17.109375" customWidth="1"/>
    <col min="10" max="10" width="18" customWidth="1"/>
    <col min="12" max="12" width="72.33203125" bestFit="1" customWidth="1"/>
    <col min="13" max="13" width="5" bestFit="1" customWidth="1"/>
    <col min="14" max="14" width="8.33203125" bestFit="1" customWidth="1"/>
    <col min="15" max="15" width="8.44140625" bestFit="1" customWidth="1"/>
    <col min="16" max="16" width="7.109375" customWidth="1"/>
  </cols>
  <sheetData>
    <row r="1" spans="1:15" s="3" customFormat="1" ht="15" customHeight="1" x14ac:dyDescent="0.25">
      <c r="A1" s="18" t="s">
        <v>0</v>
      </c>
      <c r="B1" s="18" t="s">
        <v>1</v>
      </c>
      <c r="C1" s="10" t="s">
        <v>3245</v>
      </c>
      <c r="D1" s="3" t="s">
        <v>3132</v>
      </c>
      <c r="E1" s="3" t="s">
        <v>939</v>
      </c>
      <c r="F1" s="18" t="s">
        <v>3352</v>
      </c>
      <c r="G1" s="18" t="s">
        <v>3321</v>
      </c>
      <c r="H1" s="10" t="s">
        <v>3323</v>
      </c>
      <c r="I1" s="3" t="s">
        <v>3130</v>
      </c>
      <c r="J1" s="3" t="s">
        <v>226</v>
      </c>
      <c r="K1" s="3" t="s">
        <v>3131</v>
      </c>
      <c r="L1" t="s">
        <v>3375</v>
      </c>
      <c r="M1" t="s">
        <v>3374</v>
      </c>
      <c r="N1" t="s">
        <v>3372</v>
      </c>
      <c r="O1" t="s">
        <v>3373</v>
      </c>
    </row>
    <row r="2" spans="1:15" s="3" customFormat="1" ht="15" customHeight="1" x14ac:dyDescent="0.25">
      <c r="A2" s="19" t="s">
        <v>33</v>
      </c>
      <c r="B2" s="18" t="s">
        <v>92</v>
      </c>
      <c r="C2" s="5">
        <v>1788</v>
      </c>
      <c r="D2" s="1" t="s">
        <v>166</v>
      </c>
      <c r="E2" s="1" t="s">
        <v>2</v>
      </c>
      <c r="F2" s="18">
        <v>2173</v>
      </c>
      <c r="G2" s="18">
        <v>19</v>
      </c>
      <c r="H2" s="5">
        <v>32</v>
      </c>
      <c r="I2" s="1">
        <v>115</v>
      </c>
      <c r="J2" s="1">
        <v>259</v>
      </c>
      <c r="K2" s="1"/>
      <c r="L2" t="str">
        <f>IF(G2="Not available","","http://www.badatelna.eu/reprodukce/?fondId="&amp;M2&amp;"&amp;zaznamId="&amp;N2&amp;"&amp;reproId="&amp;O2)</f>
        <v>http://www.badatelna.eu/reprodukce/?fondId=1073&amp;zaznamId=1108959&amp;reproId=3780012</v>
      </c>
      <c r="M2">
        <f>VLOOKUP(F2,Sheet2!$B$1:$E$19,2,FALSE)</f>
        <v>1073</v>
      </c>
      <c r="N2">
        <f>VLOOKUP(F2,Sheet2!$B$1:$E$19,3,FALSE)</f>
        <v>1108959</v>
      </c>
      <c r="O2">
        <f>IF(G2="Not available","",VLOOKUP(F2,Sheet2!$B$1:$E$19,4,FALSE)+(G2-1))</f>
        <v>3780012</v>
      </c>
    </row>
    <row r="3" spans="1:15" s="1" customFormat="1" ht="15.75" x14ac:dyDescent="0.25">
      <c r="A3" s="19" t="s">
        <v>33</v>
      </c>
      <c r="B3" s="18" t="s">
        <v>175</v>
      </c>
      <c r="C3" s="5">
        <v>1785</v>
      </c>
      <c r="D3" s="4" t="s">
        <v>3326</v>
      </c>
      <c r="E3" s="1" t="s">
        <v>2</v>
      </c>
      <c r="F3" s="18">
        <v>2173</v>
      </c>
      <c r="G3" s="18">
        <v>8</v>
      </c>
      <c r="H3" s="5">
        <v>10</v>
      </c>
      <c r="I3" s="1">
        <v>96</v>
      </c>
      <c r="J3" s="1">
        <v>201</v>
      </c>
      <c r="L3" t="str">
        <f t="shared" ref="L3:L66" si="0">IF(G3="Not available","","http://www.badatelna.eu/reprodukce/?fondId="&amp;M3&amp;"&amp;zaznamId="&amp;N3&amp;"&amp;reproId="&amp;O3)</f>
        <v>http://www.badatelna.eu/reprodukce/?fondId=1073&amp;zaznamId=1108959&amp;reproId=3780001</v>
      </c>
      <c r="M3">
        <f>VLOOKUP(F3,Sheet2!$B$1:$E$19,2,FALSE)</f>
        <v>1073</v>
      </c>
      <c r="N3">
        <f>VLOOKUP(F3,Sheet2!$B$1:$E$19,3,FALSE)</f>
        <v>1108959</v>
      </c>
      <c r="O3">
        <f>IF(G3="Not available","",VLOOKUP(F3,Sheet2!$B$1:$E$19,4,FALSE)+(G3-1))</f>
        <v>3780001</v>
      </c>
    </row>
    <row r="4" spans="1:15" s="1" customFormat="1" ht="15" customHeight="1" x14ac:dyDescent="0.25">
      <c r="A4" s="19" t="s">
        <v>33</v>
      </c>
      <c r="B4" s="18" t="s">
        <v>34</v>
      </c>
      <c r="C4" s="5">
        <v>1784</v>
      </c>
      <c r="D4" s="12" t="s">
        <v>3043</v>
      </c>
      <c r="E4" s="1" t="s">
        <v>2</v>
      </c>
      <c r="F4" s="18">
        <v>2173</v>
      </c>
      <c r="G4" s="18">
        <v>5</v>
      </c>
      <c r="H4" s="5">
        <v>4</v>
      </c>
      <c r="I4" s="1">
        <v>115</v>
      </c>
      <c r="J4" s="1">
        <v>259</v>
      </c>
      <c r="L4" t="str">
        <f t="shared" si="0"/>
        <v>http://www.badatelna.eu/reprodukce/?fondId=1073&amp;zaznamId=1108959&amp;reproId=3779998</v>
      </c>
      <c r="M4">
        <f>VLOOKUP(F4,Sheet2!$B$1:$E$19,2,FALSE)</f>
        <v>1073</v>
      </c>
      <c r="N4">
        <f>VLOOKUP(F4,Sheet2!$B$1:$E$19,3,FALSE)</f>
        <v>1108959</v>
      </c>
      <c r="O4">
        <f>IF(G4="Not available","",VLOOKUP(F4,Sheet2!$B$1:$E$19,4,FALSE)+(G4-1))</f>
        <v>3779998</v>
      </c>
    </row>
    <row r="5" spans="1:15" s="1" customFormat="1" ht="15" customHeight="1" x14ac:dyDescent="0.25">
      <c r="A5" s="20" t="s">
        <v>33</v>
      </c>
      <c r="B5" s="21" t="s">
        <v>30</v>
      </c>
      <c r="C5" s="7">
        <v>1785</v>
      </c>
      <c r="D5" s="8" t="s">
        <v>3325</v>
      </c>
      <c r="E5" s="1" t="s">
        <v>2</v>
      </c>
      <c r="F5" s="18">
        <v>2173</v>
      </c>
      <c r="G5" s="21">
        <v>8</v>
      </c>
      <c r="H5" s="7">
        <v>10</v>
      </c>
      <c r="I5" s="2">
        <v>91</v>
      </c>
      <c r="J5" s="2">
        <v>189</v>
      </c>
      <c r="K5" s="2"/>
      <c r="L5" t="str">
        <f t="shared" si="0"/>
        <v>http://www.badatelna.eu/reprodukce/?fondId=1073&amp;zaznamId=1108959&amp;reproId=3780001</v>
      </c>
      <c r="M5">
        <f>VLOOKUP(F5,Sheet2!$B$1:$E$19,2,FALSE)</f>
        <v>1073</v>
      </c>
      <c r="N5">
        <f>VLOOKUP(F5,Sheet2!$B$1:$E$19,3,FALSE)</f>
        <v>1108959</v>
      </c>
      <c r="O5">
        <f>IF(G5="Not available","",VLOOKUP(F5,Sheet2!$B$1:$E$19,4,FALSE)+(G5-1))</f>
        <v>3780001</v>
      </c>
    </row>
    <row r="6" spans="1:15" s="1" customFormat="1" ht="15" customHeight="1" x14ac:dyDescent="0.25">
      <c r="A6" s="19" t="s">
        <v>33</v>
      </c>
      <c r="B6" s="18" t="s">
        <v>83</v>
      </c>
      <c r="C6" s="5">
        <v>1785</v>
      </c>
      <c r="D6" s="1" t="s">
        <v>44</v>
      </c>
      <c r="E6" s="1" t="s">
        <v>2</v>
      </c>
      <c r="F6" s="18">
        <v>2173</v>
      </c>
      <c r="G6" s="18">
        <v>10</v>
      </c>
      <c r="H6" s="5">
        <v>15</v>
      </c>
      <c r="I6" s="1">
        <v>115</v>
      </c>
      <c r="J6" s="1">
        <v>259</v>
      </c>
      <c r="L6" t="str">
        <f t="shared" si="0"/>
        <v>http://www.badatelna.eu/reprodukce/?fondId=1073&amp;zaznamId=1108959&amp;reproId=3780003</v>
      </c>
      <c r="M6">
        <f>VLOOKUP(F6,Sheet2!$B$1:$E$19,2,FALSE)</f>
        <v>1073</v>
      </c>
      <c r="N6">
        <f>VLOOKUP(F6,Sheet2!$B$1:$E$19,3,FALSE)</f>
        <v>1108959</v>
      </c>
      <c r="O6">
        <f>IF(G6="Not available","",VLOOKUP(F6,Sheet2!$B$1:$E$19,4,FALSE)+(G6-1))</f>
        <v>3780003</v>
      </c>
    </row>
    <row r="7" spans="1:15" s="1" customFormat="1" ht="15" customHeight="1" x14ac:dyDescent="0.25">
      <c r="A7" s="18" t="s">
        <v>1950</v>
      </c>
      <c r="B7" s="18" t="s">
        <v>90</v>
      </c>
      <c r="C7" s="6" t="s">
        <v>1949</v>
      </c>
      <c r="D7" s="4" t="s">
        <v>1951</v>
      </c>
      <c r="E7" s="4" t="s">
        <v>2</v>
      </c>
      <c r="F7" s="18">
        <v>2176</v>
      </c>
      <c r="G7" s="18" t="s">
        <v>3271</v>
      </c>
      <c r="H7" s="6" t="s">
        <v>1954</v>
      </c>
      <c r="I7" s="1">
        <v>3</v>
      </c>
      <c r="J7" s="1" t="s">
        <v>3271</v>
      </c>
      <c r="K7" s="3"/>
      <c r="L7" t="str">
        <f t="shared" si="0"/>
        <v/>
      </c>
      <c r="M7">
        <f>VLOOKUP(F7,Sheet2!$B$1:$E$19,2,FALSE)</f>
        <v>1073</v>
      </c>
      <c r="N7">
        <f>VLOOKUP(F7,Sheet2!$B$1:$E$19,3,FALSE)</f>
        <v>1108963</v>
      </c>
      <c r="O7" t="str">
        <f>IF(G7="Not available","",VLOOKUP(F7,Sheet2!$B$1:$E$19,4,FALSE)+(G7-1))</f>
        <v/>
      </c>
    </row>
    <row r="8" spans="1:15" s="1" customFormat="1" ht="15" customHeight="1" x14ac:dyDescent="0.25">
      <c r="A8" s="18" t="s">
        <v>3</v>
      </c>
      <c r="B8" s="18" t="s">
        <v>50</v>
      </c>
      <c r="C8" s="5">
        <v>1835</v>
      </c>
      <c r="D8" s="1" t="s">
        <v>6</v>
      </c>
      <c r="E8" s="1" t="s">
        <v>2</v>
      </c>
      <c r="F8" s="18">
        <v>2174</v>
      </c>
      <c r="G8" s="21">
        <v>81</v>
      </c>
      <c r="H8" s="6" t="s">
        <v>3148</v>
      </c>
      <c r="I8" s="1">
        <v>179</v>
      </c>
      <c r="J8" s="1">
        <v>179</v>
      </c>
      <c r="L8" t="str">
        <f t="shared" si="0"/>
        <v>http://www.badatelna.eu/reprodukce/?fondId=1073&amp;zaznamId=1108960&amp;reproId=3780305</v>
      </c>
      <c r="M8">
        <f>VLOOKUP(F8,Sheet2!$B$1:$E$19,2,FALSE)</f>
        <v>1073</v>
      </c>
      <c r="N8">
        <f>VLOOKUP(F8,Sheet2!$B$1:$E$19,3,FALSE)</f>
        <v>1108960</v>
      </c>
      <c r="O8">
        <f>IF(G8="Not available","",VLOOKUP(F8,Sheet2!$B$1:$E$19,4,FALSE)+(G8-1))</f>
        <v>3780305</v>
      </c>
    </row>
    <row r="9" spans="1:15" s="1" customFormat="1" ht="15" customHeight="1" x14ac:dyDescent="0.25">
      <c r="A9" s="18" t="s">
        <v>3</v>
      </c>
      <c r="B9" s="18" t="s">
        <v>92</v>
      </c>
      <c r="C9" s="5">
        <v>1873</v>
      </c>
      <c r="D9" s="4" t="s">
        <v>1283</v>
      </c>
      <c r="E9" s="4" t="s">
        <v>2</v>
      </c>
      <c r="F9" s="18">
        <v>2176</v>
      </c>
      <c r="G9" s="18" t="s">
        <v>3271</v>
      </c>
      <c r="H9" s="6" t="s">
        <v>1945</v>
      </c>
      <c r="I9" s="1">
        <v>3</v>
      </c>
      <c r="J9" s="1" t="s">
        <v>3271</v>
      </c>
      <c r="L9" t="str">
        <f t="shared" si="0"/>
        <v/>
      </c>
      <c r="M9">
        <f>VLOOKUP(F9,Sheet2!$B$1:$E$19,2,FALSE)</f>
        <v>1073</v>
      </c>
      <c r="N9">
        <f>VLOOKUP(F9,Sheet2!$B$1:$E$19,3,FALSE)</f>
        <v>1108963</v>
      </c>
      <c r="O9" t="str">
        <f>IF(G9="Not available","",VLOOKUP(F9,Sheet2!$B$1:$E$19,4,FALSE)+(G9-1))</f>
        <v/>
      </c>
    </row>
    <row r="10" spans="1:15" s="1" customFormat="1" ht="15" customHeight="1" x14ac:dyDescent="0.25">
      <c r="A10" s="18" t="s">
        <v>3</v>
      </c>
      <c r="B10" s="18" t="s">
        <v>14</v>
      </c>
      <c r="C10" s="5">
        <v>1796</v>
      </c>
      <c r="D10" s="1" t="s">
        <v>8</v>
      </c>
      <c r="E10" s="1" t="s">
        <v>2</v>
      </c>
      <c r="F10" s="18">
        <v>2173</v>
      </c>
      <c r="G10" s="18">
        <v>34</v>
      </c>
      <c r="H10" s="5">
        <v>64</v>
      </c>
      <c r="I10" s="1">
        <v>90</v>
      </c>
      <c r="J10" s="1">
        <v>185</v>
      </c>
      <c r="L10" t="str">
        <f t="shared" si="0"/>
        <v>http://www.badatelna.eu/reprodukce/?fondId=1073&amp;zaznamId=1108959&amp;reproId=3780027</v>
      </c>
      <c r="M10">
        <f>VLOOKUP(F10,Sheet2!$B$1:$E$19,2,FALSE)</f>
        <v>1073</v>
      </c>
      <c r="N10">
        <f>VLOOKUP(F10,Sheet2!$B$1:$E$19,3,FALSE)</f>
        <v>1108959</v>
      </c>
      <c r="O10">
        <f>IF(G10="Not available","",VLOOKUP(F10,Sheet2!$B$1:$E$19,4,FALSE)+(G10-1))</f>
        <v>3780027</v>
      </c>
    </row>
    <row r="11" spans="1:15" s="1" customFormat="1" ht="15" customHeight="1" x14ac:dyDescent="0.25">
      <c r="A11" s="18" t="s">
        <v>3</v>
      </c>
      <c r="B11" s="18" t="s">
        <v>16</v>
      </c>
      <c r="C11" s="5">
        <v>1801</v>
      </c>
      <c r="E11" s="1" t="s">
        <v>2</v>
      </c>
      <c r="F11" s="18">
        <v>2173</v>
      </c>
      <c r="G11" s="18">
        <v>44</v>
      </c>
      <c r="H11" s="5">
        <v>82</v>
      </c>
      <c r="I11" s="1">
        <v>90</v>
      </c>
      <c r="J11" s="1">
        <v>185</v>
      </c>
      <c r="L11" t="str">
        <f t="shared" si="0"/>
        <v>http://www.badatelna.eu/reprodukce/?fondId=1073&amp;zaznamId=1108959&amp;reproId=3780037</v>
      </c>
      <c r="M11">
        <f>VLOOKUP(F11,Sheet2!$B$1:$E$19,2,FALSE)</f>
        <v>1073</v>
      </c>
      <c r="N11">
        <f>VLOOKUP(F11,Sheet2!$B$1:$E$19,3,FALSE)</f>
        <v>1108959</v>
      </c>
      <c r="O11">
        <f>IF(G11="Not available","",VLOOKUP(F11,Sheet2!$B$1:$E$19,4,FALSE)+(G11-1))</f>
        <v>3780037</v>
      </c>
    </row>
    <row r="12" spans="1:15" s="1" customFormat="1" ht="15" customHeight="1" x14ac:dyDescent="0.25">
      <c r="A12" s="18" t="s">
        <v>3</v>
      </c>
      <c r="B12" s="18" t="s">
        <v>674</v>
      </c>
      <c r="C12" s="5">
        <v>1849</v>
      </c>
      <c r="D12" s="1" t="s">
        <v>122</v>
      </c>
      <c r="E12" s="1" t="s">
        <v>2</v>
      </c>
      <c r="F12" s="18">
        <v>2164</v>
      </c>
      <c r="G12" s="18">
        <v>59</v>
      </c>
      <c r="H12" s="5">
        <v>57</v>
      </c>
      <c r="I12" s="1">
        <v>122</v>
      </c>
      <c r="J12" s="3" t="s">
        <v>3271</v>
      </c>
      <c r="L12" t="str">
        <f t="shared" si="0"/>
        <v>http://www.badatelna.eu/reprodukce/?fondId=1073&amp;zaznamId=1108951&amp;reproId=3778773</v>
      </c>
      <c r="M12">
        <f>VLOOKUP(F12,Sheet2!$B$1:$E$19,2,FALSE)</f>
        <v>1073</v>
      </c>
      <c r="N12">
        <f>VLOOKUP(F12,Sheet2!$B$1:$E$19,3,FALSE)</f>
        <v>1108951</v>
      </c>
      <c r="O12">
        <f>IF(G12="Not available","",VLOOKUP(F12,Sheet2!$B$1:$E$19,4,FALSE)+(G12-1))</f>
        <v>3778773</v>
      </c>
    </row>
    <row r="13" spans="1:15" s="1" customFormat="1" ht="15" customHeight="1" x14ac:dyDescent="0.25">
      <c r="A13" s="18" t="s">
        <v>3</v>
      </c>
      <c r="B13" s="18" t="s">
        <v>547</v>
      </c>
      <c r="C13" s="5">
        <v>1832</v>
      </c>
      <c r="D13" s="1" t="s">
        <v>6</v>
      </c>
      <c r="E13" s="1" t="s">
        <v>2</v>
      </c>
      <c r="F13" s="18">
        <v>2174</v>
      </c>
      <c r="G13" s="18">
        <v>67</v>
      </c>
      <c r="H13" s="6" t="s">
        <v>3134</v>
      </c>
      <c r="I13" s="1">
        <v>179</v>
      </c>
      <c r="J13" s="1">
        <v>203</v>
      </c>
      <c r="K13" s="4" t="s">
        <v>609</v>
      </c>
      <c r="L13" t="str">
        <f t="shared" si="0"/>
        <v>http://www.badatelna.eu/reprodukce/?fondId=1073&amp;zaznamId=1108960&amp;reproId=3780291</v>
      </c>
      <c r="M13">
        <f>VLOOKUP(F13,Sheet2!$B$1:$E$19,2,FALSE)</f>
        <v>1073</v>
      </c>
      <c r="N13">
        <f>VLOOKUP(F13,Sheet2!$B$1:$E$19,3,FALSE)</f>
        <v>1108960</v>
      </c>
      <c r="O13">
        <f>IF(G13="Not available","",VLOOKUP(F13,Sheet2!$B$1:$E$19,4,FALSE)+(G13-1))</f>
        <v>3780291</v>
      </c>
    </row>
    <row r="14" spans="1:15" s="1" customFormat="1" ht="15" customHeight="1" x14ac:dyDescent="0.25">
      <c r="A14" s="18" t="s">
        <v>3</v>
      </c>
      <c r="B14" s="18" t="s">
        <v>1947</v>
      </c>
      <c r="C14" s="6" t="s">
        <v>1946</v>
      </c>
      <c r="D14" s="4" t="s">
        <v>1283</v>
      </c>
      <c r="E14" s="4" t="s">
        <v>2</v>
      </c>
      <c r="F14" s="18">
        <v>2176</v>
      </c>
      <c r="G14" s="18" t="s">
        <v>3271</v>
      </c>
      <c r="H14" s="6" t="s">
        <v>1948</v>
      </c>
      <c r="I14" s="1">
        <v>3</v>
      </c>
      <c r="J14" s="1" t="s">
        <v>3271</v>
      </c>
      <c r="L14" t="str">
        <f t="shared" si="0"/>
        <v/>
      </c>
      <c r="M14">
        <f>VLOOKUP(F14,Sheet2!$B$1:$E$19,2,FALSE)</f>
        <v>1073</v>
      </c>
      <c r="N14">
        <f>VLOOKUP(F14,Sheet2!$B$1:$E$19,3,FALSE)</f>
        <v>1108963</v>
      </c>
      <c r="O14" t="str">
        <f>IF(G14="Not available","",VLOOKUP(F14,Sheet2!$B$1:$E$19,4,FALSE)+(G14-1))</f>
        <v/>
      </c>
    </row>
    <row r="15" spans="1:15" s="1" customFormat="1" ht="15" customHeight="1" x14ac:dyDescent="0.25">
      <c r="A15" s="18" t="s">
        <v>3</v>
      </c>
      <c r="B15" s="19" t="s">
        <v>3062</v>
      </c>
      <c r="C15" s="5">
        <v>1789</v>
      </c>
      <c r="D15" s="12" t="s">
        <v>8</v>
      </c>
      <c r="E15" s="1" t="s">
        <v>2</v>
      </c>
      <c r="F15" s="18">
        <v>2173</v>
      </c>
      <c r="G15" s="18">
        <v>21</v>
      </c>
      <c r="H15" s="5">
        <v>37</v>
      </c>
      <c r="I15" s="1">
        <v>90</v>
      </c>
      <c r="J15" s="1">
        <v>185</v>
      </c>
      <c r="L15" t="str">
        <f t="shared" si="0"/>
        <v>http://www.badatelna.eu/reprodukce/?fondId=1073&amp;zaznamId=1108959&amp;reproId=3780014</v>
      </c>
      <c r="M15">
        <f>VLOOKUP(F15,Sheet2!$B$1:$E$19,2,FALSE)</f>
        <v>1073</v>
      </c>
      <c r="N15">
        <f>VLOOKUP(F15,Sheet2!$B$1:$E$19,3,FALSE)</f>
        <v>1108959</v>
      </c>
      <c r="O15">
        <f>IF(G15="Not available","",VLOOKUP(F15,Sheet2!$B$1:$E$19,4,FALSE)+(G15-1))</f>
        <v>3780014</v>
      </c>
    </row>
    <row r="16" spans="1:15" s="1" customFormat="1" ht="15" customHeight="1" x14ac:dyDescent="0.25">
      <c r="A16" s="18" t="s">
        <v>3</v>
      </c>
      <c r="B16" s="18" t="s">
        <v>6</v>
      </c>
      <c r="C16" s="5">
        <v>1787</v>
      </c>
      <c r="D16" s="1" t="s">
        <v>4</v>
      </c>
      <c r="E16" s="1" t="s">
        <v>2</v>
      </c>
      <c r="F16" s="18">
        <v>2173</v>
      </c>
      <c r="G16" s="18">
        <v>14</v>
      </c>
      <c r="H16" s="6" t="s">
        <v>3327</v>
      </c>
      <c r="I16" s="1">
        <v>90</v>
      </c>
      <c r="J16" s="1">
        <v>185</v>
      </c>
      <c r="L16" t="str">
        <f t="shared" si="0"/>
        <v>http://www.badatelna.eu/reprodukce/?fondId=1073&amp;zaznamId=1108959&amp;reproId=3780007</v>
      </c>
      <c r="M16">
        <f>VLOOKUP(F16,Sheet2!$B$1:$E$19,2,FALSE)</f>
        <v>1073</v>
      </c>
      <c r="N16">
        <f>VLOOKUP(F16,Sheet2!$B$1:$E$19,3,FALSE)</f>
        <v>1108959</v>
      </c>
      <c r="O16">
        <f>IF(G16="Not available","",VLOOKUP(F16,Sheet2!$B$1:$E$19,4,FALSE)+(G16-1))</f>
        <v>3780007</v>
      </c>
    </row>
    <row r="17" spans="1:15" s="1" customFormat="1" ht="15" customHeight="1" x14ac:dyDescent="0.25">
      <c r="A17" s="18" t="s">
        <v>3</v>
      </c>
      <c r="B17" s="18" t="s">
        <v>1964</v>
      </c>
      <c r="C17" s="6" t="s">
        <v>1963</v>
      </c>
      <c r="D17" s="4" t="s">
        <v>1965</v>
      </c>
      <c r="E17" s="4" t="s">
        <v>2</v>
      </c>
      <c r="F17" s="18">
        <v>2176</v>
      </c>
      <c r="G17" s="18" t="s">
        <v>3271</v>
      </c>
      <c r="H17" s="6" t="s">
        <v>1954</v>
      </c>
      <c r="I17" s="1">
        <v>3</v>
      </c>
      <c r="J17" s="1" t="s">
        <v>3271</v>
      </c>
      <c r="K17" s="3"/>
      <c r="L17" t="str">
        <f t="shared" si="0"/>
        <v/>
      </c>
      <c r="M17">
        <f>VLOOKUP(F17,Sheet2!$B$1:$E$19,2,FALSE)</f>
        <v>1073</v>
      </c>
      <c r="N17">
        <f>VLOOKUP(F17,Sheet2!$B$1:$E$19,3,FALSE)</f>
        <v>1108963</v>
      </c>
      <c r="O17" t="str">
        <f>IF(G17="Not available","",VLOOKUP(F17,Sheet2!$B$1:$E$19,4,FALSE)+(G17-1))</f>
        <v/>
      </c>
    </row>
    <row r="18" spans="1:15" s="1" customFormat="1" ht="15" customHeight="1" x14ac:dyDescent="0.25">
      <c r="A18" s="18" t="s">
        <v>3</v>
      </c>
      <c r="B18" s="18" t="s">
        <v>562</v>
      </c>
      <c r="C18" s="5">
        <v>1851</v>
      </c>
      <c r="D18" s="1" t="s">
        <v>122</v>
      </c>
      <c r="E18" s="1" t="s">
        <v>2</v>
      </c>
      <c r="F18" s="18">
        <v>2164</v>
      </c>
      <c r="G18" s="18">
        <v>75</v>
      </c>
      <c r="H18" s="5">
        <v>73</v>
      </c>
      <c r="I18" s="1">
        <v>122</v>
      </c>
      <c r="J18" s="3" t="s">
        <v>3271</v>
      </c>
      <c r="L18" t="str">
        <f t="shared" si="0"/>
        <v>http://www.badatelna.eu/reprodukce/?fondId=1073&amp;zaznamId=1108951&amp;reproId=3778789</v>
      </c>
      <c r="M18">
        <f>VLOOKUP(F18,Sheet2!$B$1:$E$19,2,FALSE)</f>
        <v>1073</v>
      </c>
      <c r="N18">
        <f>VLOOKUP(F18,Sheet2!$B$1:$E$19,3,FALSE)</f>
        <v>1108951</v>
      </c>
      <c r="O18">
        <f>IF(G18="Not available","",VLOOKUP(F18,Sheet2!$B$1:$E$19,4,FALSE)+(G18-1))</f>
        <v>3778789</v>
      </c>
    </row>
    <row r="19" spans="1:15" s="1" customFormat="1" ht="15" customHeight="1" x14ac:dyDescent="0.25">
      <c r="A19" s="18" t="s">
        <v>3</v>
      </c>
      <c r="B19" s="18" t="s">
        <v>1126</v>
      </c>
      <c r="C19" s="6" t="s">
        <v>1957</v>
      </c>
      <c r="D19" s="4" t="s">
        <v>1958</v>
      </c>
      <c r="E19" s="4" t="s">
        <v>2</v>
      </c>
      <c r="F19" s="18">
        <v>2176</v>
      </c>
      <c r="G19" s="18" t="s">
        <v>3271</v>
      </c>
      <c r="H19" s="6" t="s">
        <v>1959</v>
      </c>
      <c r="I19" s="1">
        <v>3</v>
      </c>
      <c r="J19" s="1" t="s">
        <v>3271</v>
      </c>
      <c r="K19" s="3"/>
      <c r="L19" t="str">
        <f t="shared" si="0"/>
        <v/>
      </c>
      <c r="M19">
        <f>VLOOKUP(F19,Sheet2!$B$1:$E$19,2,FALSE)</f>
        <v>1073</v>
      </c>
      <c r="N19">
        <f>VLOOKUP(F19,Sheet2!$B$1:$E$19,3,FALSE)</f>
        <v>1108963</v>
      </c>
      <c r="O19" t="str">
        <f>IF(G19="Not available","",VLOOKUP(F19,Sheet2!$B$1:$E$19,4,FALSE)+(G19-1))</f>
        <v/>
      </c>
    </row>
    <row r="20" spans="1:15" s="1" customFormat="1" ht="15" customHeight="1" x14ac:dyDescent="0.25">
      <c r="A20" s="18" t="s">
        <v>3</v>
      </c>
      <c r="B20" s="18" t="s">
        <v>1126</v>
      </c>
      <c r="C20" s="5" t="s">
        <v>1922</v>
      </c>
      <c r="D20" s="1" t="s">
        <v>1113</v>
      </c>
      <c r="E20" s="1" t="s">
        <v>2</v>
      </c>
      <c r="F20" s="18">
        <v>2165</v>
      </c>
      <c r="G20" s="18">
        <v>283</v>
      </c>
      <c r="H20" s="5">
        <v>3</v>
      </c>
      <c r="I20" s="1">
        <v>284</v>
      </c>
      <c r="J20" s="1">
        <v>258</v>
      </c>
      <c r="L20" t="str">
        <f t="shared" si="0"/>
        <v>http://www.badatelna.eu/reprodukce/?fondId=1073&amp;zaznamId=1108952&amp;reproId=3779144</v>
      </c>
      <c r="M20">
        <f>VLOOKUP(F20,Sheet2!$B$1:$E$19,2,FALSE)</f>
        <v>1073</v>
      </c>
      <c r="N20">
        <f>VLOOKUP(F20,Sheet2!$B$1:$E$19,3,FALSE)</f>
        <v>1108952</v>
      </c>
      <c r="O20">
        <f>IF(G20="Not available","",VLOOKUP(F20,Sheet2!$B$1:$E$19,4,FALSE)+(G20-1))</f>
        <v>3779144</v>
      </c>
    </row>
    <row r="21" spans="1:15" s="1" customFormat="1" ht="15" customHeight="1" x14ac:dyDescent="0.25">
      <c r="A21" s="18" t="s">
        <v>3</v>
      </c>
      <c r="B21" s="18" t="s">
        <v>9</v>
      </c>
      <c r="C21" s="5">
        <v>1790</v>
      </c>
      <c r="D21" s="1" t="s">
        <v>4</v>
      </c>
      <c r="E21" s="1" t="s">
        <v>2</v>
      </c>
      <c r="F21" s="18">
        <v>2173</v>
      </c>
      <c r="G21" s="18">
        <v>23</v>
      </c>
      <c r="H21" s="5">
        <v>40</v>
      </c>
      <c r="I21" s="1">
        <v>90</v>
      </c>
      <c r="J21" s="1">
        <v>185</v>
      </c>
      <c r="L21" t="str">
        <f t="shared" si="0"/>
        <v>http://www.badatelna.eu/reprodukce/?fondId=1073&amp;zaznamId=1108959&amp;reproId=3780016</v>
      </c>
      <c r="M21">
        <f>VLOOKUP(F21,Sheet2!$B$1:$E$19,2,FALSE)</f>
        <v>1073</v>
      </c>
      <c r="N21">
        <f>VLOOKUP(F21,Sheet2!$B$1:$E$19,3,FALSE)</f>
        <v>1108959</v>
      </c>
      <c r="O21">
        <f>IF(G21="Not available","",VLOOKUP(F21,Sheet2!$B$1:$E$19,4,FALSE)+(G21-1))</f>
        <v>3780016</v>
      </c>
    </row>
    <row r="22" spans="1:15" s="1" customFormat="1" ht="15" customHeight="1" x14ac:dyDescent="0.25">
      <c r="A22" s="18" t="s">
        <v>3</v>
      </c>
      <c r="B22" s="18" t="s">
        <v>769</v>
      </c>
      <c r="C22" s="6" t="s">
        <v>1952</v>
      </c>
      <c r="D22" s="4" t="s">
        <v>1956</v>
      </c>
      <c r="E22" s="4" t="s">
        <v>2</v>
      </c>
      <c r="F22" s="18">
        <v>2176</v>
      </c>
      <c r="G22" s="18" t="s">
        <v>3271</v>
      </c>
      <c r="H22" s="6" t="s">
        <v>1955</v>
      </c>
      <c r="I22" s="1">
        <v>3</v>
      </c>
      <c r="J22" s="1" t="s">
        <v>3271</v>
      </c>
      <c r="K22" s="3"/>
      <c r="L22" t="str">
        <f t="shared" si="0"/>
        <v/>
      </c>
      <c r="M22">
        <f>VLOOKUP(F22,Sheet2!$B$1:$E$19,2,FALSE)</f>
        <v>1073</v>
      </c>
      <c r="N22">
        <f>VLOOKUP(F22,Sheet2!$B$1:$E$19,3,FALSE)</f>
        <v>1108963</v>
      </c>
      <c r="O22" t="str">
        <f>IF(G22="Not available","",VLOOKUP(F22,Sheet2!$B$1:$E$19,4,FALSE)+(G22-1))</f>
        <v/>
      </c>
    </row>
    <row r="23" spans="1:15" s="1" customFormat="1" ht="15" customHeight="1" x14ac:dyDescent="0.25">
      <c r="A23" s="18" t="s">
        <v>3</v>
      </c>
      <c r="B23" s="18" t="s">
        <v>769</v>
      </c>
      <c r="C23" s="5" t="s">
        <v>1835</v>
      </c>
      <c r="D23" s="1" t="s">
        <v>602</v>
      </c>
      <c r="E23" s="1" t="s">
        <v>2</v>
      </c>
      <c r="F23" s="18">
        <v>2165</v>
      </c>
      <c r="G23" s="18">
        <v>254</v>
      </c>
      <c r="H23" s="5">
        <v>1</v>
      </c>
      <c r="I23" s="1">
        <v>252</v>
      </c>
      <c r="J23" s="1">
        <v>228</v>
      </c>
      <c r="L23" t="str">
        <f t="shared" si="0"/>
        <v>http://www.badatelna.eu/reprodukce/?fondId=1073&amp;zaznamId=1108952&amp;reproId=3779115</v>
      </c>
      <c r="M23">
        <f>VLOOKUP(F23,Sheet2!$B$1:$E$19,2,FALSE)</f>
        <v>1073</v>
      </c>
      <c r="N23">
        <f>VLOOKUP(F23,Sheet2!$B$1:$E$19,3,FALSE)</f>
        <v>1108952</v>
      </c>
      <c r="O23">
        <f>IF(G23="Not available","",VLOOKUP(F23,Sheet2!$B$1:$E$19,4,FALSE)+(G23-1))</f>
        <v>3779115</v>
      </c>
    </row>
    <row r="24" spans="1:15" s="1" customFormat="1" ht="15" customHeight="1" x14ac:dyDescent="0.25">
      <c r="A24" s="18" t="s">
        <v>3</v>
      </c>
      <c r="B24" s="18" t="s">
        <v>15</v>
      </c>
      <c r="C24" s="5">
        <v>1799</v>
      </c>
      <c r="D24" s="1" t="s">
        <v>4</v>
      </c>
      <c r="E24" s="1" t="s">
        <v>2</v>
      </c>
      <c r="F24" s="18">
        <v>2173</v>
      </c>
      <c r="G24" s="18">
        <v>40</v>
      </c>
      <c r="H24" s="5">
        <v>74</v>
      </c>
      <c r="I24" s="1">
        <v>90</v>
      </c>
      <c r="J24" s="1">
        <v>185</v>
      </c>
      <c r="L24" t="str">
        <f t="shared" si="0"/>
        <v>http://www.badatelna.eu/reprodukce/?fondId=1073&amp;zaznamId=1108959&amp;reproId=3780033</v>
      </c>
      <c r="M24">
        <f>VLOOKUP(F24,Sheet2!$B$1:$E$19,2,FALSE)</f>
        <v>1073</v>
      </c>
      <c r="N24">
        <f>VLOOKUP(F24,Sheet2!$B$1:$E$19,3,FALSE)</f>
        <v>1108959</v>
      </c>
      <c r="O24">
        <f>IF(G24="Not available","",VLOOKUP(F24,Sheet2!$B$1:$E$19,4,FALSE)+(G24-1))</f>
        <v>3780033</v>
      </c>
    </row>
    <row r="25" spans="1:15" s="1" customFormat="1" ht="15" customHeight="1" x14ac:dyDescent="0.25">
      <c r="A25" s="18" t="s">
        <v>3</v>
      </c>
      <c r="B25" s="18" t="s">
        <v>983</v>
      </c>
      <c r="C25" s="5" t="s">
        <v>1287</v>
      </c>
      <c r="D25" s="1" t="s">
        <v>603</v>
      </c>
      <c r="E25" s="1" t="s">
        <v>2</v>
      </c>
      <c r="F25" s="18">
        <v>2165</v>
      </c>
      <c r="G25" s="18">
        <v>27</v>
      </c>
      <c r="H25" s="5">
        <v>24</v>
      </c>
      <c r="I25" s="1">
        <v>80</v>
      </c>
      <c r="J25" s="1" t="s">
        <v>3271</v>
      </c>
      <c r="L25" t="str">
        <f t="shared" si="0"/>
        <v>http://www.badatelna.eu/reprodukce/?fondId=1073&amp;zaznamId=1108952&amp;reproId=3778888</v>
      </c>
      <c r="M25">
        <f>VLOOKUP(F25,Sheet2!$B$1:$E$19,2,FALSE)</f>
        <v>1073</v>
      </c>
      <c r="N25">
        <f>VLOOKUP(F25,Sheet2!$B$1:$E$19,3,FALSE)</f>
        <v>1108952</v>
      </c>
      <c r="O25">
        <f>IF(G25="Not available","",VLOOKUP(F25,Sheet2!$B$1:$E$19,4,FALSE)+(G25-1))</f>
        <v>3778888</v>
      </c>
    </row>
    <row r="26" spans="1:15" s="1" customFormat="1" ht="15" customHeight="1" x14ac:dyDescent="0.25">
      <c r="A26" s="18" t="s">
        <v>3</v>
      </c>
      <c r="B26" s="19" t="s">
        <v>2918</v>
      </c>
      <c r="C26" s="5">
        <v>1794</v>
      </c>
      <c r="D26" s="1" t="s">
        <v>8</v>
      </c>
      <c r="E26" s="1" t="s">
        <v>2</v>
      </c>
      <c r="F26" s="18">
        <v>2173</v>
      </c>
      <c r="G26" s="18">
        <v>31</v>
      </c>
      <c r="H26" s="5">
        <v>57</v>
      </c>
      <c r="I26" s="1">
        <v>90</v>
      </c>
      <c r="J26" s="1">
        <v>185</v>
      </c>
      <c r="L26" t="str">
        <f t="shared" si="0"/>
        <v>http://www.badatelna.eu/reprodukce/?fondId=1073&amp;zaznamId=1108959&amp;reproId=3780024</v>
      </c>
      <c r="M26">
        <f>VLOOKUP(F26,Sheet2!$B$1:$E$19,2,FALSE)</f>
        <v>1073</v>
      </c>
      <c r="N26">
        <f>VLOOKUP(F26,Sheet2!$B$1:$E$19,3,FALSE)</f>
        <v>1108959</v>
      </c>
      <c r="O26">
        <f>IF(G26="Not available","",VLOOKUP(F26,Sheet2!$B$1:$E$19,4,FALSE)+(G26-1))</f>
        <v>3780024</v>
      </c>
    </row>
    <row r="27" spans="1:15" s="1" customFormat="1" ht="15" customHeight="1" x14ac:dyDescent="0.25">
      <c r="A27" s="18" t="s">
        <v>3</v>
      </c>
      <c r="B27" s="18" t="s">
        <v>12</v>
      </c>
      <c r="C27" s="5">
        <v>1794</v>
      </c>
      <c r="D27" s="1" t="s">
        <v>4</v>
      </c>
      <c r="E27" s="1" t="s">
        <v>2</v>
      </c>
      <c r="F27" s="18">
        <v>2173</v>
      </c>
      <c r="G27" s="18">
        <v>31</v>
      </c>
      <c r="H27" s="5">
        <v>57</v>
      </c>
      <c r="I27" s="1">
        <v>90</v>
      </c>
      <c r="J27" s="1">
        <v>185</v>
      </c>
      <c r="L27" t="str">
        <f t="shared" si="0"/>
        <v>http://www.badatelna.eu/reprodukce/?fondId=1073&amp;zaznamId=1108959&amp;reproId=3780024</v>
      </c>
      <c r="M27">
        <f>VLOOKUP(F27,Sheet2!$B$1:$E$19,2,FALSE)</f>
        <v>1073</v>
      </c>
      <c r="N27">
        <f>VLOOKUP(F27,Sheet2!$B$1:$E$19,3,FALSE)</f>
        <v>1108959</v>
      </c>
      <c r="O27">
        <f>IF(G27="Not available","",VLOOKUP(F27,Sheet2!$B$1:$E$19,4,FALSE)+(G27-1))</f>
        <v>3780024</v>
      </c>
    </row>
    <row r="28" spans="1:15" s="1" customFormat="1" ht="15" customHeight="1" x14ac:dyDescent="0.25">
      <c r="A28" s="18" t="s">
        <v>3</v>
      </c>
      <c r="B28" s="18" t="s">
        <v>12</v>
      </c>
      <c r="C28" s="5">
        <v>1836</v>
      </c>
      <c r="D28" s="1" t="s">
        <v>6</v>
      </c>
      <c r="E28" s="1" t="s">
        <v>2</v>
      </c>
      <c r="F28" s="18">
        <v>2174</v>
      </c>
      <c r="G28" s="18">
        <v>89</v>
      </c>
      <c r="H28" s="6" t="s">
        <v>3154</v>
      </c>
      <c r="I28" s="1">
        <v>179</v>
      </c>
      <c r="J28" s="1">
        <v>179</v>
      </c>
      <c r="L28" t="str">
        <f t="shared" si="0"/>
        <v>http://www.badatelna.eu/reprodukce/?fondId=1073&amp;zaznamId=1108960&amp;reproId=3780313</v>
      </c>
      <c r="M28">
        <f>VLOOKUP(F28,Sheet2!$B$1:$E$19,2,FALSE)</f>
        <v>1073</v>
      </c>
      <c r="N28">
        <f>VLOOKUP(F28,Sheet2!$B$1:$E$19,3,FALSE)</f>
        <v>1108960</v>
      </c>
      <c r="O28">
        <f>IF(G28="Not available","",VLOOKUP(F28,Sheet2!$B$1:$E$19,4,FALSE)+(G28-1))</f>
        <v>3780313</v>
      </c>
    </row>
    <row r="29" spans="1:15" s="1" customFormat="1" ht="15" customHeight="1" x14ac:dyDescent="0.25">
      <c r="A29" s="18" t="s">
        <v>3</v>
      </c>
      <c r="B29" s="18" t="s">
        <v>40</v>
      </c>
      <c r="C29" s="5">
        <v>1834</v>
      </c>
      <c r="D29" s="1" t="s">
        <v>6</v>
      </c>
      <c r="E29" s="1" t="s">
        <v>2</v>
      </c>
      <c r="F29" s="18">
        <v>2174</v>
      </c>
      <c r="G29" s="18">
        <v>75</v>
      </c>
      <c r="H29" s="6" t="s">
        <v>3141</v>
      </c>
      <c r="I29" s="1">
        <v>179</v>
      </c>
      <c r="J29" s="1">
        <v>179</v>
      </c>
      <c r="L29" t="str">
        <f t="shared" si="0"/>
        <v>http://www.badatelna.eu/reprodukce/?fondId=1073&amp;zaznamId=1108960&amp;reproId=3780299</v>
      </c>
      <c r="M29">
        <f>VLOOKUP(F29,Sheet2!$B$1:$E$19,2,FALSE)</f>
        <v>1073</v>
      </c>
      <c r="N29">
        <f>VLOOKUP(F29,Sheet2!$B$1:$E$19,3,FALSE)</f>
        <v>1108960</v>
      </c>
      <c r="O29">
        <f>IF(G29="Not available","",VLOOKUP(F29,Sheet2!$B$1:$E$19,4,FALSE)+(G29-1))</f>
        <v>3780299</v>
      </c>
    </row>
    <row r="30" spans="1:15" s="2" customFormat="1" ht="15" customHeight="1" x14ac:dyDescent="0.25">
      <c r="A30" s="18" t="s">
        <v>3</v>
      </c>
      <c r="B30" s="18" t="s">
        <v>26</v>
      </c>
      <c r="C30" s="5">
        <v>1827</v>
      </c>
      <c r="D30" s="1"/>
      <c r="E30" s="1" t="s">
        <v>2</v>
      </c>
      <c r="F30" s="18">
        <v>2173</v>
      </c>
      <c r="G30" s="18">
        <v>82</v>
      </c>
      <c r="H30" s="5">
        <v>156</v>
      </c>
      <c r="I30" s="1">
        <v>90</v>
      </c>
      <c r="J30" s="1">
        <v>185</v>
      </c>
      <c r="K30" s="1"/>
      <c r="L30" t="str">
        <f t="shared" si="0"/>
        <v>http://www.badatelna.eu/reprodukce/?fondId=1073&amp;zaznamId=1108959&amp;reproId=3780075</v>
      </c>
      <c r="M30">
        <f>VLOOKUP(F30,Sheet2!$B$1:$E$19,2,FALSE)</f>
        <v>1073</v>
      </c>
      <c r="N30">
        <f>VLOOKUP(F30,Sheet2!$B$1:$E$19,3,FALSE)</f>
        <v>1108959</v>
      </c>
      <c r="O30">
        <f>IF(G30="Not available","",VLOOKUP(F30,Sheet2!$B$1:$E$19,4,FALSE)+(G30-1))</f>
        <v>3780075</v>
      </c>
    </row>
    <row r="31" spans="1:15" s="2" customFormat="1" ht="15" customHeight="1" x14ac:dyDescent="0.25">
      <c r="A31" s="18" t="s">
        <v>3</v>
      </c>
      <c r="B31" s="18" t="s">
        <v>137</v>
      </c>
      <c r="C31" s="5">
        <v>1838</v>
      </c>
      <c r="D31" s="1" t="s">
        <v>6</v>
      </c>
      <c r="E31" s="1" t="s">
        <v>2</v>
      </c>
      <c r="F31" s="18">
        <v>2174</v>
      </c>
      <c r="G31" s="21">
        <v>102</v>
      </c>
      <c r="H31" s="6" t="s">
        <v>3165</v>
      </c>
      <c r="I31" s="1">
        <v>179</v>
      </c>
      <c r="J31" s="1">
        <v>179</v>
      </c>
      <c r="K31" s="1"/>
      <c r="L31" t="str">
        <f t="shared" si="0"/>
        <v>http://www.badatelna.eu/reprodukce/?fondId=1073&amp;zaznamId=1108960&amp;reproId=3780326</v>
      </c>
      <c r="M31">
        <f>VLOOKUP(F31,Sheet2!$B$1:$E$19,2,FALSE)</f>
        <v>1073</v>
      </c>
      <c r="N31">
        <f>VLOOKUP(F31,Sheet2!$B$1:$E$19,3,FALSE)</f>
        <v>1108960</v>
      </c>
      <c r="O31">
        <f>IF(G31="Not available","",VLOOKUP(F31,Sheet2!$B$1:$E$19,4,FALSE)+(G31-1))</f>
        <v>3780326</v>
      </c>
    </row>
    <row r="32" spans="1:15" s="2" customFormat="1" ht="15" customHeight="1" x14ac:dyDescent="0.25">
      <c r="A32" s="18" t="s">
        <v>3</v>
      </c>
      <c r="B32" s="18" t="s">
        <v>602</v>
      </c>
      <c r="C32" s="5">
        <v>1843</v>
      </c>
      <c r="D32" s="1" t="s">
        <v>6</v>
      </c>
      <c r="E32" s="1" t="s">
        <v>2</v>
      </c>
      <c r="F32" s="18">
        <v>2174</v>
      </c>
      <c r="G32" s="21">
        <v>139</v>
      </c>
      <c r="H32" s="6" t="s">
        <v>3206</v>
      </c>
      <c r="I32" s="1">
        <v>179</v>
      </c>
      <c r="J32" s="1">
        <v>179</v>
      </c>
      <c r="K32" s="1"/>
      <c r="L32" t="str">
        <f t="shared" si="0"/>
        <v>http://www.badatelna.eu/reprodukce/?fondId=1073&amp;zaznamId=1108960&amp;reproId=3780363</v>
      </c>
      <c r="M32">
        <f>VLOOKUP(F32,Sheet2!$B$1:$E$19,2,FALSE)</f>
        <v>1073</v>
      </c>
      <c r="N32">
        <f>VLOOKUP(F32,Sheet2!$B$1:$E$19,3,FALSE)</f>
        <v>1108960</v>
      </c>
      <c r="O32">
        <f>IF(G32="Not available","",VLOOKUP(F32,Sheet2!$B$1:$E$19,4,FALSE)+(G32-1))</f>
        <v>3780363</v>
      </c>
    </row>
    <row r="33" spans="1:15" s="2" customFormat="1" ht="15" customHeight="1" x14ac:dyDescent="0.25">
      <c r="A33" s="18" t="s">
        <v>3</v>
      </c>
      <c r="B33" s="18" t="s">
        <v>602</v>
      </c>
      <c r="C33" s="5">
        <v>1864</v>
      </c>
      <c r="D33" s="1"/>
      <c r="E33" s="1" t="s">
        <v>939</v>
      </c>
      <c r="F33" s="18">
        <v>999</v>
      </c>
      <c r="G33" s="18">
        <v>50</v>
      </c>
      <c r="H33" s="5">
        <v>48</v>
      </c>
      <c r="I33" s="1">
        <v>62</v>
      </c>
      <c r="J33" s="1">
        <v>95</v>
      </c>
      <c r="K33" s="1"/>
      <c r="L33" t="str">
        <f t="shared" si="0"/>
        <v>http://www.badatelna.eu/reprodukce/?fondId=241&amp;zaznamId=1133739&amp;reproId=3885779</v>
      </c>
      <c r="M33">
        <f>VLOOKUP(F33,Sheet2!$B$1:$E$19,2,FALSE)</f>
        <v>241</v>
      </c>
      <c r="N33">
        <f>VLOOKUP(F33,Sheet2!$B$1:$E$19,3,FALSE)</f>
        <v>1133739</v>
      </c>
      <c r="O33">
        <f>IF(G33="Not available","",VLOOKUP(F33,Sheet2!$B$1:$E$19,4,FALSE)+(G33-1))</f>
        <v>3885779</v>
      </c>
    </row>
    <row r="34" spans="1:15" s="2" customFormat="1" ht="15" customHeight="1" x14ac:dyDescent="0.25">
      <c r="A34" s="18" t="s">
        <v>3</v>
      </c>
      <c r="B34" s="18" t="s">
        <v>22</v>
      </c>
      <c r="C34" s="5">
        <v>1824</v>
      </c>
      <c r="D34" s="1"/>
      <c r="E34" s="1" t="s">
        <v>2</v>
      </c>
      <c r="F34" s="18">
        <v>2173</v>
      </c>
      <c r="G34" s="18">
        <v>75</v>
      </c>
      <c r="H34" s="5">
        <v>143</v>
      </c>
      <c r="I34" s="1">
        <v>90</v>
      </c>
      <c r="J34" s="1">
        <v>185</v>
      </c>
      <c r="K34" s="1"/>
      <c r="L34" t="str">
        <f t="shared" si="0"/>
        <v>http://www.badatelna.eu/reprodukce/?fondId=1073&amp;zaznamId=1108959&amp;reproId=3780068</v>
      </c>
      <c r="M34">
        <f>VLOOKUP(F34,Sheet2!$B$1:$E$19,2,FALSE)</f>
        <v>1073</v>
      </c>
      <c r="N34">
        <f>VLOOKUP(F34,Sheet2!$B$1:$E$19,3,FALSE)</f>
        <v>1108959</v>
      </c>
      <c r="O34">
        <f>IF(G34="Not available","",VLOOKUP(F34,Sheet2!$B$1:$E$19,4,FALSE)+(G34-1))</f>
        <v>3780068</v>
      </c>
    </row>
    <row r="35" spans="1:15" s="2" customFormat="1" ht="15" customHeight="1" x14ac:dyDescent="0.25">
      <c r="A35" s="18" t="s">
        <v>3</v>
      </c>
      <c r="B35" s="18" t="s">
        <v>25</v>
      </c>
      <c r="C35" s="5">
        <v>1827</v>
      </c>
      <c r="D35" s="1"/>
      <c r="E35" s="1" t="s">
        <v>2</v>
      </c>
      <c r="F35" s="18">
        <v>2173</v>
      </c>
      <c r="G35" s="18">
        <v>78</v>
      </c>
      <c r="H35" s="5">
        <v>150</v>
      </c>
      <c r="I35" s="1">
        <v>90</v>
      </c>
      <c r="J35" s="1">
        <v>185</v>
      </c>
      <c r="K35" s="1"/>
      <c r="L35" t="str">
        <f t="shared" si="0"/>
        <v>http://www.badatelna.eu/reprodukce/?fondId=1073&amp;zaznamId=1108959&amp;reproId=3780071</v>
      </c>
      <c r="M35">
        <f>VLOOKUP(F35,Sheet2!$B$1:$E$19,2,FALSE)</f>
        <v>1073</v>
      </c>
      <c r="N35">
        <f>VLOOKUP(F35,Sheet2!$B$1:$E$19,3,FALSE)</f>
        <v>1108959</v>
      </c>
      <c r="O35">
        <f>IF(G35="Not available","",VLOOKUP(F35,Sheet2!$B$1:$E$19,4,FALSE)+(G35-1))</f>
        <v>3780071</v>
      </c>
    </row>
    <row r="36" spans="1:15" s="2" customFormat="1" ht="15" customHeight="1" x14ac:dyDescent="0.25">
      <c r="A36" s="18" t="s">
        <v>3</v>
      </c>
      <c r="B36" s="18" t="s">
        <v>1962</v>
      </c>
      <c r="C36" s="6" t="s">
        <v>1960</v>
      </c>
      <c r="D36" s="4" t="s">
        <v>1961</v>
      </c>
      <c r="E36" s="4" t="s">
        <v>2</v>
      </c>
      <c r="F36" s="18">
        <v>2176</v>
      </c>
      <c r="G36" s="18" t="s">
        <v>3271</v>
      </c>
      <c r="H36" s="6" t="s">
        <v>1955</v>
      </c>
      <c r="I36" s="1">
        <v>3</v>
      </c>
      <c r="J36" s="1" t="s">
        <v>3271</v>
      </c>
      <c r="K36" s="3"/>
      <c r="L36" t="str">
        <f t="shared" si="0"/>
        <v/>
      </c>
      <c r="M36">
        <f>VLOOKUP(F36,Sheet2!$B$1:$E$19,2,FALSE)</f>
        <v>1073</v>
      </c>
      <c r="N36">
        <f>VLOOKUP(F36,Sheet2!$B$1:$E$19,3,FALSE)</f>
        <v>1108963</v>
      </c>
      <c r="O36" t="str">
        <f>IF(G36="Not available","",VLOOKUP(F36,Sheet2!$B$1:$E$19,4,FALSE)+(G36-1))</f>
        <v/>
      </c>
    </row>
    <row r="37" spans="1:15" s="2" customFormat="1" ht="15" customHeight="1" x14ac:dyDescent="0.25">
      <c r="A37" s="18" t="s">
        <v>3</v>
      </c>
      <c r="B37" s="18" t="s">
        <v>1282</v>
      </c>
      <c r="C37" s="5">
        <v>1870</v>
      </c>
      <c r="D37" s="4" t="s">
        <v>1283</v>
      </c>
      <c r="E37" s="4" t="s">
        <v>2</v>
      </c>
      <c r="F37" s="18">
        <v>2176</v>
      </c>
      <c r="G37" s="18" t="s">
        <v>3271</v>
      </c>
      <c r="H37" s="6" t="s">
        <v>1284</v>
      </c>
      <c r="I37" s="1">
        <v>3</v>
      </c>
      <c r="J37" s="1" t="s">
        <v>3271</v>
      </c>
      <c r="K37" s="1"/>
      <c r="L37" t="str">
        <f t="shared" si="0"/>
        <v/>
      </c>
      <c r="M37">
        <f>VLOOKUP(F37,Sheet2!$B$1:$E$19,2,FALSE)</f>
        <v>1073</v>
      </c>
      <c r="N37">
        <f>VLOOKUP(F37,Sheet2!$B$1:$E$19,3,FALSE)</f>
        <v>1108963</v>
      </c>
      <c r="O37" t="str">
        <f>IF(G37="Not available","",VLOOKUP(F37,Sheet2!$B$1:$E$19,4,FALSE)+(G37-1))</f>
        <v/>
      </c>
    </row>
    <row r="38" spans="1:15" s="2" customFormat="1" ht="15" customHeight="1" x14ac:dyDescent="0.25">
      <c r="A38" s="18" t="s">
        <v>3</v>
      </c>
      <c r="B38" s="18" t="s">
        <v>13</v>
      </c>
      <c r="C38" s="5">
        <v>1796</v>
      </c>
      <c r="D38" s="1" t="s">
        <v>4</v>
      </c>
      <c r="E38" s="1" t="s">
        <v>2</v>
      </c>
      <c r="F38" s="18">
        <v>2173</v>
      </c>
      <c r="G38" s="18">
        <v>34</v>
      </c>
      <c r="H38" s="5">
        <v>64</v>
      </c>
      <c r="I38" s="1">
        <v>90</v>
      </c>
      <c r="J38" s="1">
        <v>185</v>
      </c>
      <c r="K38" s="1"/>
      <c r="L38" t="str">
        <f t="shared" si="0"/>
        <v>http://www.badatelna.eu/reprodukce/?fondId=1073&amp;zaznamId=1108959&amp;reproId=3780027</v>
      </c>
      <c r="M38">
        <f>VLOOKUP(F38,Sheet2!$B$1:$E$19,2,FALSE)</f>
        <v>1073</v>
      </c>
      <c r="N38">
        <f>VLOOKUP(F38,Sheet2!$B$1:$E$19,3,FALSE)</f>
        <v>1108959</v>
      </c>
      <c r="O38">
        <f>IF(G38="Not available","",VLOOKUP(F38,Sheet2!$B$1:$E$19,4,FALSE)+(G38-1))</f>
        <v>3780027</v>
      </c>
    </row>
    <row r="39" spans="1:15" s="2" customFormat="1" ht="15" customHeight="1" x14ac:dyDescent="0.25">
      <c r="A39" s="18" t="s">
        <v>3</v>
      </c>
      <c r="B39" s="18" t="s">
        <v>13</v>
      </c>
      <c r="C39" s="5">
        <v>1805</v>
      </c>
      <c r="D39" s="4" t="s">
        <v>8</v>
      </c>
      <c r="E39" s="1" t="s">
        <v>2</v>
      </c>
      <c r="F39" s="18">
        <v>2173</v>
      </c>
      <c r="G39" s="18">
        <v>50</v>
      </c>
      <c r="H39" s="5">
        <v>94</v>
      </c>
      <c r="I39" s="1">
        <v>90</v>
      </c>
      <c r="J39" s="1">
        <v>185</v>
      </c>
      <c r="K39" s="1"/>
      <c r="L39" t="str">
        <f t="shared" si="0"/>
        <v>http://www.badatelna.eu/reprodukce/?fondId=1073&amp;zaznamId=1108959&amp;reproId=3780043</v>
      </c>
      <c r="M39">
        <f>VLOOKUP(F39,Sheet2!$B$1:$E$19,2,FALSE)</f>
        <v>1073</v>
      </c>
      <c r="N39">
        <f>VLOOKUP(F39,Sheet2!$B$1:$E$19,3,FALSE)</f>
        <v>1108959</v>
      </c>
      <c r="O39">
        <f>IF(G39="Not available","",VLOOKUP(F39,Sheet2!$B$1:$E$19,4,FALSE)+(G39-1))</f>
        <v>3780043</v>
      </c>
    </row>
    <row r="40" spans="1:15" s="2" customFormat="1" ht="15" customHeight="1" x14ac:dyDescent="0.25">
      <c r="A40" s="18" t="s">
        <v>3</v>
      </c>
      <c r="B40" s="18" t="s">
        <v>18</v>
      </c>
      <c r="C40" s="5">
        <v>1808</v>
      </c>
      <c r="D40" s="4"/>
      <c r="E40" s="1" t="s">
        <v>2</v>
      </c>
      <c r="F40" s="18">
        <v>2173</v>
      </c>
      <c r="G40" s="18">
        <v>54</v>
      </c>
      <c r="H40" s="5">
        <v>102</v>
      </c>
      <c r="I40" s="1">
        <v>90</v>
      </c>
      <c r="J40" s="1">
        <v>185</v>
      </c>
      <c r="K40" s="1"/>
      <c r="L40" t="str">
        <f t="shared" si="0"/>
        <v>http://www.badatelna.eu/reprodukce/?fondId=1073&amp;zaznamId=1108959&amp;reproId=3780047</v>
      </c>
      <c r="M40">
        <f>VLOOKUP(F40,Sheet2!$B$1:$E$19,2,FALSE)</f>
        <v>1073</v>
      </c>
      <c r="N40">
        <f>VLOOKUP(F40,Sheet2!$B$1:$E$19,3,FALSE)</f>
        <v>1108959</v>
      </c>
      <c r="O40">
        <f>IF(G40="Not available","",VLOOKUP(F40,Sheet2!$B$1:$E$19,4,FALSE)+(G40-1))</f>
        <v>3780047</v>
      </c>
    </row>
    <row r="41" spans="1:15" s="2" customFormat="1" ht="15" customHeight="1" x14ac:dyDescent="0.25">
      <c r="A41" s="18" t="s">
        <v>3</v>
      </c>
      <c r="B41" s="18" t="s">
        <v>18</v>
      </c>
      <c r="C41" s="5">
        <v>1821</v>
      </c>
      <c r="D41" s="1"/>
      <c r="E41" s="1" t="s">
        <v>2</v>
      </c>
      <c r="F41" s="18">
        <v>2173</v>
      </c>
      <c r="G41" s="18">
        <v>71</v>
      </c>
      <c r="H41" s="5">
        <v>135</v>
      </c>
      <c r="I41" s="1">
        <v>90</v>
      </c>
      <c r="J41" s="1">
        <v>185</v>
      </c>
      <c r="K41" s="1"/>
      <c r="L41" t="str">
        <f t="shared" si="0"/>
        <v>http://www.badatelna.eu/reprodukce/?fondId=1073&amp;zaznamId=1108959&amp;reproId=3780064</v>
      </c>
      <c r="M41">
        <f>VLOOKUP(F41,Sheet2!$B$1:$E$19,2,FALSE)</f>
        <v>1073</v>
      </c>
      <c r="N41">
        <f>VLOOKUP(F41,Sheet2!$B$1:$E$19,3,FALSE)</f>
        <v>1108959</v>
      </c>
      <c r="O41">
        <f>IF(G41="Not available","",VLOOKUP(F41,Sheet2!$B$1:$E$19,4,FALSE)+(G41-1))</f>
        <v>3780064</v>
      </c>
    </row>
    <row r="42" spans="1:15" s="2" customFormat="1" ht="15" customHeight="1" x14ac:dyDescent="0.25">
      <c r="A42" s="18" t="s">
        <v>3</v>
      </c>
      <c r="B42" s="18" t="s">
        <v>11</v>
      </c>
      <c r="C42" s="5">
        <v>1830</v>
      </c>
      <c r="D42" s="1"/>
      <c r="E42" s="1" t="s">
        <v>2</v>
      </c>
      <c r="F42" s="18">
        <v>2173</v>
      </c>
      <c r="G42" s="18">
        <v>86</v>
      </c>
      <c r="H42" s="5">
        <v>161</v>
      </c>
      <c r="I42" s="1">
        <v>90</v>
      </c>
      <c r="J42" s="1">
        <v>185</v>
      </c>
      <c r="K42" s="1"/>
      <c r="L42" t="str">
        <f t="shared" si="0"/>
        <v>http://www.badatelna.eu/reprodukce/?fondId=1073&amp;zaznamId=1108959&amp;reproId=3780079</v>
      </c>
      <c r="M42">
        <f>VLOOKUP(F42,Sheet2!$B$1:$E$19,2,FALSE)</f>
        <v>1073</v>
      </c>
      <c r="N42">
        <f>VLOOKUP(F42,Sheet2!$B$1:$E$19,3,FALSE)</f>
        <v>1108959</v>
      </c>
      <c r="O42">
        <f>IF(G42="Not available","",VLOOKUP(F42,Sheet2!$B$1:$E$19,4,FALSE)+(G42-1))</f>
        <v>3780079</v>
      </c>
    </row>
    <row r="43" spans="1:15" s="2" customFormat="1" ht="15" customHeight="1" x14ac:dyDescent="0.25">
      <c r="A43" s="18" t="s">
        <v>3</v>
      </c>
      <c r="B43" s="18" t="s">
        <v>398</v>
      </c>
      <c r="C43" s="5">
        <v>1852</v>
      </c>
      <c r="D43" s="1" t="s">
        <v>6</v>
      </c>
      <c r="E43" s="1" t="s">
        <v>2</v>
      </c>
      <c r="F43" s="18">
        <v>2164</v>
      </c>
      <c r="G43" s="18">
        <v>86</v>
      </c>
      <c r="H43" s="5">
        <v>84</v>
      </c>
      <c r="I43" s="1">
        <v>122</v>
      </c>
      <c r="J43" s="4" t="s">
        <v>3271</v>
      </c>
      <c r="K43" s="1"/>
      <c r="L43" t="str">
        <f t="shared" si="0"/>
        <v>http://www.badatelna.eu/reprodukce/?fondId=1073&amp;zaznamId=1108951&amp;reproId=3778800</v>
      </c>
      <c r="M43">
        <f>VLOOKUP(F43,Sheet2!$B$1:$E$19,2,FALSE)</f>
        <v>1073</v>
      </c>
      <c r="N43">
        <f>VLOOKUP(F43,Sheet2!$B$1:$E$19,3,FALSE)</f>
        <v>1108951</v>
      </c>
      <c r="O43">
        <f>IF(G43="Not available","",VLOOKUP(F43,Sheet2!$B$1:$E$19,4,FALSE)+(G43-1))</f>
        <v>3778800</v>
      </c>
    </row>
    <row r="44" spans="1:15" s="2" customFormat="1" ht="15" customHeight="1" x14ac:dyDescent="0.25">
      <c r="A44" s="18" t="s">
        <v>3</v>
      </c>
      <c r="B44" s="18" t="s">
        <v>900</v>
      </c>
      <c r="C44" s="6" t="s">
        <v>1286</v>
      </c>
      <c r="D44" s="1" t="s">
        <v>603</v>
      </c>
      <c r="E44" s="1" t="s">
        <v>2</v>
      </c>
      <c r="F44" s="18">
        <v>2165</v>
      </c>
      <c r="G44" s="18">
        <v>35</v>
      </c>
      <c r="H44" s="5">
        <v>32</v>
      </c>
      <c r="I44" s="1">
        <v>80</v>
      </c>
      <c r="J44" s="1" t="s">
        <v>3271</v>
      </c>
      <c r="K44" s="1"/>
      <c r="L44" t="str">
        <f t="shared" si="0"/>
        <v>http://www.badatelna.eu/reprodukce/?fondId=1073&amp;zaznamId=1108952&amp;reproId=3778896</v>
      </c>
      <c r="M44">
        <f>VLOOKUP(F44,Sheet2!$B$1:$E$19,2,FALSE)</f>
        <v>1073</v>
      </c>
      <c r="N44">
        <f>VLOOKUP(F44,Sheet2!$B$1:$E$19,3,FALSE)</f>
        <v>1108952</v>
      </c>
      <c r="O44">
        <f>IF(G44="Not available","",VLOOKUP(F44,Sheet2!$B$1:$E$19,4,FALSE)+(G44-1))</f>
        <v>3778896</v>
      </c>
    </row>
    <row r="45" spans="1:15" s="2" customFormat="1" ht="15" customHeight="1" x14ac:dyDescent="0.25">
      <c r="A45" s="18" t="s">
        <v>3</v>
      </c>
      <c r="B45" s="18" t="s">
        <v>17</v>
      </c>
      <c r="C45" s="5">
        <v>1803</v>
      </c>
      <c r="D45" s="1"/>
      <c r="E45" s="1" t="s">
        <v>2</v>
      </c>
      <c r="F45" s="18">
        <v>2173</v>
      </c>
      <c r="G45" s="18">
        <v>46</v>
      </c>
      <c r="H45" s="6" t="s">
        <v>3095</v>
      </c>
      <c r="I45" s="1">
        <v>90</v>
      </c>
      <c r="J45" s="1">
        <v>185</v>
      </c>
      <c r="K45" s="1"/>
      <c r="L45" t="str">
        <f t="shared" si="0"/>
        <v>http://www.badatelna.eu/reprodukce/?fondId=1073&amp;zaznamId=1108959&amp;reproId=3780039</v>
      </c>
      <c r="M45">
        <f>VLOOKUP(F45,Sheet2!$B$1:$E$19,2,FALSE)</f>
        <v>1073</v>
      </c>
      <c r="N45">
        <f>VLOOKUP(F45,Sheet2!$B$1:$E$19,3,FALSE)</f>
        <v>1108959</v>
      </c>
      <c r="O45">
        <f>IF(G45="Not available","",VLOOKUP(F45,Sheet2!$B$1:$E$19,4,FALSE)+(G45-1))</f>
        <v>3780039</v>
      </c>
    </row>
    <row r="46" spans="1:15" s="2" customFormat="1" ht="15" customHeight="1" x14ac:dyDescent="0.25">
      <c r="A46" s="18" t="s">
        <v>3</v>
      </c>
      <c r="B46" s="18" t="s">
        <v>24</v>
      </c>
      <c r="C46" s="5">
        <v>1825</v>
      </c>
      <c r="D46" s="1"/>
      <c r="E46" s="1" t="s">
        <v>2</v>
      </c>
      <c r="F46" s="18">
        <v>2173</v>
      </c>
      <c r="G46" s="18">
        <v>77</v>
      </c>
      <c r="H46" s="5">
        <v>147</v>
      </c>
      <c r="I46" s="1">
        <v>90</v>
      </c>
      <c r="J46" s="1">
        <v>185</v>
      </c>
      <c r="K46" s="1"/>
      <c r="L46" t="str">
        <f t="shared" si="0"/>
        <v>http://www.badatelna.eu/reprodukce/?fondId=1073&amp;zaznamId=1108959&amp;reproId=3780070</v>
      </c>
      <c r="M46">
        <f>VLOOKUP(F46,Sheet2!$B$1:$E$19,2,FALSE)</f>
        <v>1073</v>
      </c>
      <c r="N46">
        <f>VLOOKUP(F46,Sheet2!$B$1:$E$19,3,FALSE)</f>
        <v>1108959</v>
      </c>
      <c r="O46">
        <f>IF(G46="Not available","",VLOOKUP(F46,Sheet2!$B$1:$E$19,4,FALSE)+(G46-1))</f>
        <v>3780070</v>
      </c>
    </row>
    <row r="47" spans="1:15" s="2" customFormat="1" ht="15" customHeight="1" x14ac:dyDescent="0.25">
      <c r="A47" s="18" t="s">
        <v>3</v>
      </c>
      <c r="B47" s="18" t="s">
        <v>603</v>
      </c>
      <c r="C47" s="5">
        <v>1840</v>
      </c>
      <c r="D47" s="1" t="s">
        <v>6</v>
      </c>
      <c r="E47" s="1" t="s">
        <v>2</v>
      </c>
      <c r="F47" s="18">
        <v>2174</v>
      </c>
      <c r="G47" s="21">
        <v>132</v>
      </c>
      <c r="H47" s="6" t="s">
        <v>3182</v>
      </c>
      <c r="I47" s="1">
        <v>179</v>
      </c>
      <c r="J47" s="1">
        <v>179</v>
      </c>
      <c r="K47" s="1"/>
      <c r="L47" t="str">
        <f t="shared" si="0"/>
        <v>http://www.badatelna.eu/reprodukce/?fondId=1073&amp;zaznamId=1108960&amp;reproId=3780356</v>
      </c>
      <c r="M47">
        <f>VLOOKUP(F47,Sheet2!$B$1:$E$19,2,FALSE)</f>
        <v>1073</v>
      </c>
      <c r="N47">
        <f>VLOOKUP(F47,Sheet2!$B$1:$E$19,3,FALSE)</f>
        <v>1108960</v>
      </c>
      <c r="O47">
        <f>IF(G47="Not available","",VLOOKUP(F47,Sheet2!$B$1:$E$19,4,FALSE)+(G47-1))</f>
        <v>3780356</v>
      </c>
    </row>
    <row r="48" spans="1:15" s="2" customFormat="1" ht="15" customHeight="1" x14ac:dyDescent="0.25">
      <c r="A48" s="18" t="s">
        <v>1967</v>
      </c>
      <c r="B48" s="18" t="s">
        <v>1968</v>
      </c>
      <c r="C48" s="6" t="s">
        <v>1966</v>
      </c>
      <c r="D48" s="4" t="s">
        <v>2224</v>
      </c>
      <c r="E48" s="4" t="s">
        <v>2</v>
      </c>
      <c r="F48" s="18">
        <v>2176</v>
      </c>
      <c r="G48" s="18" t="s">
        <v>3271</v>
      </c>
      <c r="H48" s="6" t="s">
        <v>1954</v>
      </c>
      <c r="I48" s="1">
        <v>3</v>
      </c>
      <c r="J48" s="1" t="s">
        <v>3271</v>
      </c>
      <c r="K48" s="3"/>
      <c r="L48" t="str">
        <f t="shared" si="0"/>
        <v/>
      </c>
      <c r="M48">
        <f>VLOOKUP(F48,Sheet2!$B$1:$E$19,2,FALSE)</f>
        <v>1073</v>
      </c>
      <c r="N48">
        <f>VLOOKUP(F48,Sheet2!$B$1:$E$19,3,FALSE)</f>
        <v>1108963</v>
      </c>
      <c r="O48" t="str">
        <f>IF(G48="Not available","",VLOOKUP(F48,Sheet2!$B$1:$E$19,4,FALSE)+(G48-1))</f>
        <v/>
      </c>
    </row>
    <row r="49" spans="1:15" s="2" customFormat="1" ht="15" customHeight="1" x14ac:dyDescent="0.25">
      <c r="A49" s="18" t="s">
        <v>5</v>
      </c>
      <c r="B49" s="19" t="s">
        <v>2925</v>
      </c>
      <c r="C49" s="5">
        <v>1785</v>
      </c>
      <c r="D49" s="4" t="s">
        <v>3329</v>
      </c>
      <c r="E49" s="1" t="s">
        <v>2</v>
      </c>
      <c r="F49" s="18">
        <v>2173</v>
      </c>
      <c r="G49" s="18">
        <v>6</v>
      </c>
      <c r="H49" s="5">
        <v>7</v>
      </c>
      <c r="I49" s="1">
        <v>90</v>
      </c>
      <c r="J49" s="1">
        <v>185</v>
      </c>
      <c r="K49" s="1"/>
      <c r="L49" t="str">
        <f t="shared" si="0"/>
        <v>http://www.badatelna.eu/reprodukce/?fondId=1073&amp;zaznamId=1108959&amp;reproId=3779999</v>
      </c>
      <c r="M49">
        <f>VLOOKUP(F49,Sheet2!$B$1:$E$19,2,FALSE)</f>
        <v>1073</v>
      </c>
      <c r="N49">
        <f>VLOOKUP(F49,Sheet2!$B$1:$E$19,3,FALSE)</f>
        <v>1108959</v>
      </c>
      <c r="O49">
        <f>IF(G49="Not available","",VLOOKUP(F49,Sheet2!$B$1:$E$19,4,FALSE)+(G49-1))</f>
        <v>3779999</v>
      </c>
    </row>
    <row r="50" spans="1:15" s="2" customFormat="1" ht="15" customHeight="1" x14ac:dyDescent="0.25">
      <c r="A50" s="18" t="s">
        <v>5</v>
      </c>
      <c r="B50" s="18" t="s">
        <v>6</v>
      </c>
      <c r="C50" s="5">
        <v>1819</v>
      </c>
      <c r="D50" s="4" t="s">
        <v>3328</v>
      </c>
      <c r="E50" s="1" t="s">
        <v>2</v>
      </c>
      <c r="F50" s="18">
        <v>2173</v>
      </c>
      <c r="G50" s="18">
        <v>69</v>
      </c>
      <c r="H50" s="5">
        <v>130</v>
      </c>
      <c r="I50" s="1">
        <v>90</v>
      </c>
      <c r="J50" s="1">
        <v>185</v>
      </c>
      <c r="K50" s="1"/>
      <c r="L50" t="str">
        <f t="shared" si="0"/>
        <v>http://www.badatelna.eu/reprodukce/?fondId=1073&amp;zaznamId=1108959&amp;reproId=3780062</v>
      </c>
      <c r="M50">
        <f>VLOOKUP(F50,Sheet2!$B$1:$E$19,2,FALSE)</f>
        <v>1073</v>
      </c>
      <c r="N50">
        <f>VLOOKUP(F50,Sheet2!$B$1:$E$19,3,FALSE)</f>
        <v>1108959</v>
      </c>
      <c r="O50">
        <f>IF(G50="Not available","",VLOOKUP(F50,Sheet2!$B$1:$E$19,4,FALSE)+(G50-1))</f>
        <v>3780062</v>
      </c>
    </row>
    <row r="51" spans="1:15" s="2" customFormat="1" ht="15" customHeight="1" x14ac:dyDescent="0.25">
      <c r="A51" s="18" t="s">
        <v>5</v>
      </c>
      <c r="B51" s="18" t="s">
        <v>7</v>
      </c>
      <c r="C51" s="5">
        <v>1788</v>
      </c>
      <c r="D51" s="4" t="s">
        <v>3329</v>
      </c>
      <c r="E51" s="1" t="s">
        <v>2</v>
      </c>
      <c r="F51" s="18">
        <v>2173</v>
      </c>
      <c r="G51" s="18">
        <v>17</v>
      </c>
      <c r="H51" s="5">
        <v>29</v>
      </c>
      <c r="I51" s="1">
        <v>90</v>
      </c>
      <c r="J51" s="1">
        <v>185</v>
      </c>
      <c r="K51" s="1"/>
      <c r="L51" t="str">
        <f t="shared" si="0"/>
        <v>http://www.badatelna.eu/reprodukce/?fondId=1073&amp;zaznamId=1108959&amp;reproId=3780010</v>
      </c>
      <c r="M51">
        <f>VLOOKUP(F51,Sheet2!$B$1:$E$19,2,FALSE)</f>
        <v>1073</v>
      </c>
      <c r="N51">
        <f>VLOOKUP(F51,Sheet2!$B$1:$E$19,3,FALSE)</f>
        <v>1108959</v>
      </c>
      <c r="O51">
        <f>IF(G51="Not available","",VLOOKUP(F51,Sheet2!$B$1:$E$19,4,FALSE)+(G51-1))</f>
        <v>3780010</v>
      </c>
    </row>
    <row r="52" spans="1:15" s="2" customFormat="1" ht="15" customHeight="1" x14ac:dyDescent="0.25">
      <c r="A52" s="18" t="s">
        <v>5</v>
      </c>
      <c r="B52" s="18" t="s">
        <v>20</v>
      </c>
      <c r="C52" s="5">
        <v>1817</v>
      </c>
      <c r="D52" s="4" t="s">
        <v>3328</v>
      </c>
      <c r="E52" s="1" t="s">
        <v>2</v>
      </c>
      <c r="F52" s="18">
        <v>2173</v>
      </c>
      <c r="G52" s="18">
        <v>66</v>
      </c>
      <c r="H52" s="5">
        <v>127</v>
      </c>
      <c r="I52" s="1">
        <v>90</v>
      </c>
      <c r="J52" s="1">
        <v>185</v>
      </c>
      <c r="K52" s="1"/>
      <c r="L52" t="str">
        <f t="shared" si="0"/>
        <v>http://www.badatelna.eu/reprodukce/?fondId=1073&amp;zaznamId=1108959&amp;reproId=3780059</v>
      </c>
      <c r="M52">
        <f>VLOOKUP(F52,Sheet2!$B$1:$E$19,2,FALSE)</f>
        <v>1073</v>
      </c>
      <c r="N52">
        <f>VLOOKUP(F52,Sheet2!$B$1:$E$19,3,FALSE)</f>
        <v>1108959</v>
      </c>
      <c r="O52">
        <f>IF(G52="Not available","",VLOOKUP(F52,Sheet2!$B$1:$E$19,4,FALSE)+(G52-1))</f>
        <v>3780059</v>
      </c>
    </row>
    <row r="53" spans="1:15" s="2" customFormat="1" ht="15" customHeight="1" x14ac:dyDescent="0.25">
      <c r="A53" s="18" t="s">
        <v>5</v>
      </c>
      <c r="B53" s="18" t="s">
        <v>21</v>
      </c>
      <c r="C53" s="5">
        <v>1822</v>
      </c>
      <c r="D53" s="4" t="s">
        <v>3328</v>
      </c>
      <c r="E53" s="1" t="s">
        <v>2</v>
      </c>
      <c r="F53" s="18">
        <v>2173</v>
      </c>
      <c r="G53" s="18">
        <v>73</v>
      </c>
      <c r="H53" s="5">
        <v>138</v>
      </c>
      <c r="I53" s="1">
        <v>90</v>
      </c>
      <c r="J53" s="1">
        <v>185</v>
      </c>
      <c r="K53" s="1"/>
      <c r="L53" t="str">
        <f t="shared" si="0"/>
        <v>http://www.badatelna.eu/reprodukce/?fondId=1073&amp;zaznamId=1108959&amp;reproId=3780066</v>
      </c>
      <c r="M53">
        <f>VLOOKUP(F53,Sheet2!$B$1:$E$19,2,FALSE)</f>
        <v>1073</v>
      </c>
      <c r="N53">
        <f>VLOOKUP(F53,Sheet2!$B$1:$E$19,3,FALSE)</f>
        <v>1108959</v>
      </c>
      <c r="O53">
        <f>IF(G53="Not available","",VLOOKUP(F53,Sheet2!$B$1:$E$19,4,FALSE)+(G53-1))</f>
        <v>3780066</v>
      </c>
    </row>
    <row r="54" spans="1:15" s="2" customFormat="1" ht="15" customHeight="1" x14ac:dyDescent="0.25">
      <c r="A54" s="18" t="s">
        <v>5</v>
      </c>
      <c r="B54" s="18" t="s">
        <v>11</v>
      </c>
      <c r="C54" s="5">
        <v>1793</v>
      </c>
      <c r="D54" s="4" t="s">
        <v>3330</v>
      </c>
      <c r="E54" s="1" t="s">
        <v>2</v>
      </c>
      <c r="F54" s="18">
        <v>2173</v>
      </c>
      <c r="G54" s="18">
        <v>29</v>
      </c>
      <c r="H54" s="5">
        <v>53</v>
      </c>
      <c r="I54" s="1">
        <v>90</v>
      </c>
      <c r="J54" s="1">
        <v>185</v>
      </c>
      <c r="K54" s="1"/>
      <c r="L54" t="str">
        <f t="shared" si="0"/>
        <v>http://www.badatelna.eu/reprodukce/?fondId=1073&amp;zaznamId=1108959&amp;reproId=3780022</v>
      </c>
      <c r="M54">
        <f>VLOOKUP(F54,Sheet2!$B$1:$E$19,2,FALSE)</f>
        <v>1073</v>
      </c>
      <c r="N54">
        <f>VLOOKUP(F54,Sheet2!$B$1:$E$19,3,FALSE)</f>
        <v>1108959</v>
      </c>
      <c r="O54">
        <f>IF(G54="Not available","",VLOOKUP(F54,Sheet2!$B$1:$E$19,4,FALSE)+(G54-1))</f>
        <v>3780022</v>
      </c>
    </row>
    <row r="55" spans="1:15" s="2" customFormat="1" ht="15" customHeight="1" x14ac:dyDescent="0.25">
      <c r="A55" s="18" t="s">
        <v>5</v>
      </c>
      <c r="B55" s="18" t="s">
        <v>44</v>
      </c>
      <c r="C55" s="5">
        <v>1860</v>
      </c>
      <c r="D55" s="1"/>
      <c r="E55" s="1" t="s">
        <v>939</v>
      </c>
      <c r="F55" s="18">
        <v>999</v>
      </c>
      <c r="G55" s="18">
        <v>22</v>
      </c>
      <c r="H55" s="5">
        <v>20</v>
      </c>
      <c r="I55" s="1">
        <v>62</v>
      </c>
      <c r="J55" s="1">
        <v>95</v>
      </c>
      <c r="K55" s="1"/>
      <c r="L55" t="str">
        <f t="shared" si="0"/>
        <v>http://www.badatelna.eu/reprodukce/?fondId=241&amp;zaznamId=1133739&amp;reproId=3885751</v>
      </c>
      <c r="M55">
        <f>VLOOKUP(F55,Sheet2!$B$1:$E$19,2,FALSE)</f>
        <v>241</v>
      </c>
      <c r="N55">
        <f>VLOOKUP(F55,Sheet2!$B$1:$E$19,3,FALSE)</f>
        <v>1133739</v>
      </c>
      <c r="O55">
        <f>IF(G55="Not available","",VLOOKUP(F55,Sheet2!$B$1:$E$19,4,FALSE)+(G55-1))</f>
        <v>3885751</v>
      </c>
    </row>
    <row r="56" spans="1:15" s="2" customFormat="1" ht="15" customHeight="1" x14ac:dyDescent="0.25">
      <c r="A56" s="18" t="s">
        <v>5</v>
      </c>
      <c r="B56" s="18" t="s">
        <v>23</v>
      </c>
      <c r="C56" s="5">
        <v>1825</v>
      </c>
      <c r="D56" s="4" t="s">
        <v>162</v>
      </c>
      <c r="E56" s="1" t="s">
        <v>2</v>
      </c>
      <c r="F56" s="18">
        <v>2173</v>
      </c>
      <c r="G56" s="18">
        <v>77</v>
      </c>
      <c r="H56" s="5">
        <v>146</v>
      </c>
      <c r="I56" s="1">
        <v>90</v>
      </c>
      <c r="J56" s="1">
        <v>185</v>
      </c>
      <c r="K56" s="1"/>
      <c r="L56" t="str">
        <f t="shared" si="0"/>
        <v>http://www.badatelna.eu/reprodukce/?fondId=1073&amp;zaznamId=1108959&amp;reproId=3780070</v>
      </c>
      <c r="M56">
        <f>VLOOKUP(F56,Sheet2!$B$1:$E$19,2,FALSE)</f>
        <v>1073</v>
      </c>
      <c r="N56">
        <f>VLOOKUP(F56,Sheet2!$B$1:$E$19,3,FALSE)</f>
        <v>1108959</v>
      </c>
      <c r="O56">
        <f>IF(G56="Not available","",VLOOKUP(F56,Sheet2!$B$1:$E$19,4,FALSE)+(G56-1))</f>
        <v>3780070</v>
      </c>
    </row>
    <row r="57" spans="1:15" s="2" customFormat="1" ht="15" customHeight="1" x14ac:dyDescent="0.25">
      <c r="A57" s="18" t="s">
        <v>5</v>
      </c>
      <c r="B57" s="19" t="s">
        <v>229</v>
      </c>
      <c r="C57" s="5">
        <v>1796</v>
      </c>
      <c r="D57" s="1" t="s">
        <v>6</v>
      </c>
      <c r="E57" s="1" t="s">
        <v>2</v>
      </c>
      <c r="F57" s="18">
        <v>2173</v>
      </c>
      <c r="G57" s="18">
        <v>34</v>
      </c>
      <c r="H57" s="5">
        <v>63</v>
      </c>
      <c r="I57" s="1">
        <v>90</v>
      </c>
      <c r="J57" s="1">
        <v>185</v>
      </c>
      <c r="K57" s="1"/>
      <c r="L57" t="str">
        <f t="shared" si="0"/>
        <v>http://www.badatelna.eu/reprodukce/?fondId=1073&amp;zaznamId=1108959&amp;reproId=3780027</v>
      </c>
      <c r="M57">
        <f>VLOOKUP(F57,Sheet2!$B$1:$E$19,2,FALSE)</f>
        <v>1073</v>
      </c>
      <c r="N57">
        <f>VLOOKUP(F57,Sheet2!$B$1:$E$19,3,FALSE)</f>
        <v>1108959</v>
      </c>
      <c r="O57">
        <f>IF(G57="Not available","",VLOOKUP(F57,Sheet2!$B$1:$E$19,4,FALSE)+(G57-1))</f>
        <v>3780027</v>
      </c>
    </row>
    <row r="58" spans="1:15" s="2" customFormat="1" ht="15" customHeight="1" x14ac:dyDescent="0.25">
      <c r="A58" s="18" t="s">
        <v>5</v>
      </c>
      <c r="B58" s="18" t="s">
        <v>10</v>
      </c>
      <c r="C58" s="5">
        <v>1790</v>
      </c>
      <c r="D58" s="1" t="s">
        <v>6</v>
      </c>
      <c r="E58" s="1" t="s">
        <v>2</v>
      </c>
      <c r="F58" s="18">
        <v>2173</v>
      </c>
      <c r="G58" s="18">
        <v>23</v>
      </c>
      <c r="H58" s="5">
        <v>41</v>
      </c>
      <c r="I58" s="1">
        <v>90</v>
      </c>
      <c r="J58" s="1">
        <v>185</v>
      </c>
      <c r="K58" s="1"/>
      <c r="L58" t="str">
        <f t="shared" si="0"/>
        <v>http://www.badatelna.eu/reprodukce/?fondId=1073&amp;zaznamId=1108959&amp;reproId=3780016</v>
      </c>
      <c r="M58">
        <f>VLOOKUP(F58,Sheet2!$B$1:$E$19,2,FALSE)</f>
        <v>1073</v>
      </c>
      <c r="N58">
        <f>VLOOKUP(F58,Sheet2!$B$1:$E$19,3,FALSE)</f>
        <v>1108959</v>
      </c>
      <c r="O58">
        <f>IF(G58="Not available","",VLOOKUP(F58,Sheet2!$B$1:$E$19,4,FALSE)+(G58-1))</f>
        <v>3780016</v>
      </c>
    </row>
    <row r="59" spans="1:15" s="2" customFormat="1" ht="15" customHeight="1" x14ac:dyDescent="0.25">
      <c r="A59" s="18" t="s">
        <v>5</v>
      </c>
      <c r="B59" s="18" t="s">
        <v>542</v>
      </c>
      <c r="C59" s="5">
        <v>1855</v>
      </c>
      <c r="D59" s="1" t="s">
        <v>6</v>
      </c>
      <c r="E59" s="1" t="s">
        <v>2</v>
      </c>
      <c r="F59" s="18">
        <v>2164</v>
      </c>
      <c r="G59" s="18">
        <v>103</v>
      </c>
      <c r="H59" s="5">
        <v>101</v>
      </c>
      <c r="I59" s="1">
        <v>122</v>
      </c>
      <c r="J59" s="4" t="s">
        <v>3271</v>
      </c>
      <c r="K59" s="1"/>
      <c r="L59" t="str">
        <f t="shared" si="0"/>
        <v>http://www.badatelna.eu/reprodukce/?fondId=1073&amp;zaznamId=1108951&amp;reproId=3778817</v>
      </c>
      <c r="M59">
        <f>VLOOKUP(F59,Sheet2!$B$1:$E$19,2,FALSE)</f>
        <v>1073</v>
      </c>
      <c r="N59">
        <f>VLOOKUP(F59,Sheet2!$B$1:$E$19,3,FALSE)</f>
        <v>1108951</v>
      </c>
      <c r="O59">
        <f>IF(G59="Not available","",VLOOKUP(F59,Sheet2!$B$1:$E$19,4,FALSE)+(G59-1))</f>
        <v>3778817</v>
      </c>
    </row>
    <row r="60" spans="1:15" s="2" customFormat="1" ht="15" customHeight="1" x14ac:dyDescent="0.25">
      <c r="A60" s="18" t="s">
        <v>27</v>
      </c>
      <c r="B60" s="18" t="s">
        <v>541</v>
      </c>
      <c r="C60" s="5">
        <v>1802</v>
      </c>
      <c r="D60" s="1" t="s">
        <v>9</v>
      </c>
      <c r="E60" s="1" t="s">
        <v>2</v>
      </c>
      <c r="F60" s="18">
        <v>2173</v>
      </c>
      <c r="G60" s="18">
        <v>45</v>
      </c>
      <c r="H60" s="5">
        <v>84</v>
      </c>
      <c r="I60" s="1">
        <v>92</v>
      </c>
      <c r="J60" s="1">
        <v>190</v>
      </c>
      <c r="K60" s="1"/>
      <c r="L60" t="str">
        <f t="shared" si="0"/>
        <v>http://www.badatelna.eu/reprodukce/?fondId=1073&amp;zaznamId=1108959&amp;reproId=3780038</v>
      </c>
      <c r="M60">
        <f>VLOOKUP(F60,Sheet2!$B$1:$E$19,2,FALSE)</f>
        <v>1073</v>
      </c>
      <c r="N60">
        <f>VLOOKUP(F60,Sheet2!$B$1:$E$19,3,FALSE)</f>
        <v>1108959</v>
      </c>
      <c r="O60">
        <f>IF(G60="Not available","",VLOOKUP(F60,Sheet2!$B$1:$E$19,4,FALSE)+(G60-1))</f>
        <v>3780038</v>
      </c>
    </row>
    <row r="61" spans="1:15" s="2" customFormat="1" ht="15" customHeight="1" x14ac:dyDescent="0.25">
      <c r="A61" s="18" t="s">
        <v>27</v>
      </c>
      <c r="B61" s="18" t="s">
        <v>632</v>
      </c>
      <c r="C61" s="5">
        <v>1850</v>
      </c>
      <c r="D61" s="1" t="s">
        <v>28</v>
      </c>
      <c r="E61" s="1" t="s">
        <v>2</v>
      </c>
      <c r="F61" s="18">
        <v>2164</v>
      </c>
      <c r="G61" s="18">
        <v>73</v>
      </c>
      <c r="H61" s="5">
        <v>71</v>
      </c>
      <c r="I61" s="1">
        <v>123</v>
      </c>
      <c r="J61" s="4" t="s">
        <v>3271</v>
      </c>
      <c r="K61" s="1"/>
      <c r="L61" t="str">
        <f t="shared" si="0"/>
        <v>http://www.badatelna.eu/reprodukce/?fondId=1073&amp;zaznamId=1108951&amp;reproId=3778787</v>
      </c>
      <c r="M61">
        <f>VLOOKUP(F61,Sheet2!$B$1:$E$19,2,FALSE)</f>
        <v>1073</v>
      </c>
      <c r="N61">
        <f>VLOOKUP(F61,Sheet2!$B$1:$E$19,3,FALSE)</f>
        <v>1108951</v>
      </c>
      <c r="O61">
        <f>IF(G61="Not available","",VLOOKUP(F61,Sheet2!$B$1:$E$19,4,FALSE)+(G61-1))</f>
        <v>3778787</v>
      </c>
    </row>
    <row r="62" spans="1:15" s="2" customFormat="1" ht="15" customHeight="1" x14ac:dyDescent="0.25">
      <c r="A62" s="18" t="s">
        <v>27</v>
      </c>
      <c r="B62" s="18" t="s">
        <v>196</v>
      </c>
      <c r="C62" s="5">
        <v>1848</v>
      </c>
      <c r="D62" s="1" t="s">
        <v>630</v>
      </c>
      <c r="E62" s="1" t="s">
        <v>2</v>
      </c>
      <c r="F62" s="18">
        <v>2164</v>
      </c>
      <c r="G62" s="18">
        <v>20</v>
      </c>
      <c r="H62" s="5">
        <v>18</v>
      </c>
      <c r="I62" s="1">
        <v>123</v>
      </c>
      <c r="J62" s="4" t="s">
        <v>3271</v>
      </c>
      <c r="K62" s="1"/>
      <c r="L62" t="str">
        <f t="shared" si="0"/>
        <v>http://www.badatelna.eu/reprodukce/?fondId=1073&amp;zaznamId=1108951&amp;reproId=3778734</v>
      </c>
      <c r="M62">
        <f>VLOOKUP(F62,Sheet2!$B$1:$E$19,2,FALSE)</f>
        <v>1073</v>
      </c>
      <c r="N62">
        <f>VLOOKUP(F62,Sheet2!$B$1:$E$19,3,FALSE)</f>
        <v>1108951</v>
      </c>
      <c r="O62">
        <f>IF(G62="Not available","",VLOOKUP(F62,Sheet2!$B$1:$E$19,4,FALSE)+(G62-1))</f>
        <v>3778734</v>
      </c>
    </row>
    <row r="63" spans="1:15" s="2" customFormat="1" ht="15" customHeight="1" x14ac:dyDescent="0.25">
      <c r="A63" s="18" t="s">
        <v>27</v>
      </c>
      <c r="B63" s="18" t="s">
        <v>1968</v>
      </c>
      <c r="C63" s="6" t="s">
        <v>2055</v>
      </c>
      <c r="D63" s="4" t="s">
        <v>2018</v>
      </c>
      <c r="E63" s="4" t="s">
        <v>2</v>
      </c>
      <c r="F63" s="18">
        <v>2176</v>
      </c>
      <c r="G63" s="18" t="s">
        <v>3271</v>
      </c>
      <c r="H63" s="6" t="s">
        <v>2054</v>
      </c>
      <c r="I63" s="1">
        <v>5</v>
      </c>
      <c r="J63" s="1" t="s">
        <v>3271</v>
      </c>
      <c r="K63" s="3"/>
      <c r="L63" t="str">
        <f t="shared" si="0"/>
        <v/>
      </c>
      <c r="M63">
        <f>VLOOKUP(F63,Sheet2!$B$1:$E$19,2,FALSE)</f>
        <v>1073</v>
      </c>
      <c r="N63">
        <f>VLOOKUP(F63,Sheet2!$B$1:$E$19,3,FALSE)</f>
        <v>1108963</v>
      </c>
      <c r="O63" t="str">
        <f>IF(G63="Not available","",VLOOKUP(F63,Sheet2!$B$1:$E$19,4,FALSE)+(G63-1))</f>
        <v/>
      </c>
    </row>
    <row r="64" spans="1:15" s="2" customFormat="1" ht="15" customHeight="1" x14ac:dyDescent="0.25">
      <c r="A64" s="21" t="s">
        <v>27</v>
      </c>
      <c r="B64" s="21" t="s">
        <v>28</v>
      </c>
      <c r="C64" s="7">
        <v>1784</v>
      </c>
      <c r="D64" s="2" t="s">
        <v>422</v>
      </c>
      <c r="E64" s="1" t="s">
        <v>2</v>
      </c>
      <c r="F64" s="18">
        <v>2173</v>
      </c>
      <c r="G64" s="21">
        <v>3</v>
      </c>
      <c r="H64" s="7">
        <v>1</v>
      </c>
      <c r="I64" s="2">
        <v>91</v>
      </c>
      <c r="J64" s="2">
        <v>189</v>
      </c>
      <c r="L64" t="str">
        <f t="shared" si="0"/>
        <v>http://www.badatelna.eu/reprodukce/?fondId=1073&amp;zaznamId=1108959&amp;reproId=3779996</v>
      </c>
      <c r="M64">
        <f>VLOOKUP(F64,Sheet2!$B$1:$E$19,2,FALSE)</f>
        <v>1073</v>
      </c>
      <c r="N64">
        <f>VLOOKUP(F64,Sheet2!$B$1:$E$19,3,FALSE)</f>
        <v>1108959</v>
      </c>
      <c r="O64">
        <f>IF(G64="Not available","",VLOOKUP(F64,Sheet2!$B$1:$E$19,4,FALSE)+(G64-1))</f>
        <v>3779996</v>
      </c>
    </row>
    <row r="65" spans="1:15" s="2" customFormat="1" ht="15" customHeight="1" x14ac:dyDescent="0.25">
      <c r="A65" s="18" t="s">
        <v>27</v>
      </c>
      <c r="B65" s="18" t="s">
        <v>28</v>
      </c>
      <c r="C65" s="5">
        <v>1804</v>
      </c>
      <c r="D65" s="1" t="s">
        <v>9</v>
      </c>
      <c r="E65" s="1" t="s">
        <v>2</v>
      </c>
      <c r="F65" s="18">
        <v>2173</v>
      </c>
      <c r="G65" s="18">
        <v>48</v>
      </c>
      <c r="H65" s="5">
        <v>90</v>
      </c>
      <c r="I65" s="1">
        <v>92</v>
      </c>
      <c r="J65" s="1">
        <v>190</v>
      </c>
      <c r="K65" s="1"/>
      <c r="L65" t="str">
        <f t="shared" si="0"/>
        <v>http://www.badatelna.eu/reprodukce/?fondId=1073&amp;zaznamId=1108959&amp;reproId=3780041</v>
      </c>
      <c r="M65">
        <f>VLOOKUP(F65,Sheet2!$B$1:$E$19,2,FALSE)</f>
        <v>1073</v>
      </c>
      <c r="N65">
        <f>VLOOKUP(F65,Sheet2!$B$1:$E$19,3,FALSE)</f>
        <v>1108959</v>
      </c>
      <c r="O65">
        <f>IF(G65="Not available","",VLOOKUP(F65,Sheet2!$B$1:$E$19,4,FALSE)+(G65-1))</f>
        <v>3780041</v>
      </c>
    </row>
    <row r="66" spans="1:15" s="2" customFormat="1" ht="15" customHeight="1" x14ac:dyDescent="0.25">
      <c r="A66" s="18" t="s">
        <v>27</v>
      </c>
      <c r="B66" s="18" t="s">
        <v>2014</v>
      </c>
      <c r="C66" s="6" t="s">
        <v>2015</v>
      </c>
      <c r="D66" s="4" t="s">
        <v>2018</v>
      </c>
      <c r="E66" s="4" t="s">
        <v>2</v>
      </c>
      <c r="F66" s="18">
        <v>2176</v>
      </c>
      <c r="G66" s="18" t="s">
        <v>3271</v>
      </c>
      <c r="H66" s="6" t="s">
        <v>2016</v>
      </c>
      <c r="I66" s="1">
        <v>4</v>
      </c>
      <c r="J66" s="1" t="s">
        <v>3271</v>
      </c>
      <c r="K66" s="3"/>
      <c r="L66" t="str">
        <f t="shared" si="0"/>
        <v/>
      </c>
      <c r="M66">
        <f>VLOOKUP(F66,Sheet2!$B$1:$E$19,2,FALSE)</f>
        <v>1073</v>
      </c>
      <c r="N66">
        <f>VLOOKUP(F66,Sheet2!$B$1:$E$19,3,FALSE)</f>
        <v>1108963</v>
      </c>
      <c r="O66" t="str">
        <f>IF(G66="Not available","",VLOOKUP(F66,Sheet2!$B$1:$E$19,4,FALSE)+(G66-1))</f>
        <v/>
      </c>
    </row>
    <row r="67" spans="1:15" s="2" customFormat="1" ht="15" customHeight="1" x14ac:dyDescent="0.25">
      <c r="A67" s="18" t="s">
        <v>27</v>
      </c>
      <c r="B67" s="18" t="s">
        <v>547</v>
      </c>
      <c r="C67" s="5">
        <v>1840</v>
      </c>
      <c r="D67" s="1" t="s">
        <v>623</v>
      </c>
      <c r="E67" s="1" t="s">
        <v>2</v>
      </c>
      <c r="F67" s="18">
        <v>2174</v>
      </c>
      <c r="G67" s="18">
        <v>111</v>
      </c>
      <c r="H67" s="16" t="s">
        <v>3181</v>
      </c>
      <c r="I67" s="1">
        <v>181</v>
      </c>
      <c r="J67" s="1">
        <v>205</v>
      </c>
      <c r="K67" s="1"/>
      <c r="L67" t="str">
        <f t="shared" ref="L67:L130" si="1">IF(G67="Not available","","http://www.badatelna.eu/reprodukce/?fondId="&amp;M67&amp;"&amp;zaznamId="&amp;N67&amp;"&amp;reproId="&amp;O67)</f>
        <v>http://www.badatelna.eu/reprodukce/?fondId=1073&amp;zaznamId=1108960&amp;reproId=3780335</v>
      </c>
      <c r="M67">
        <f>VLOOKUP(F67,Sheet2!$B$1:$E$19,2,FALSE)</f>
        <v>1073</v>
      </c>
      <c r="N67">
        <f>VLOOKUP(F67,Sheet2!$B$1:$E$19,3,FALSE)</f>
        <v>1108960</v>
      </c>
      <c r="O67">
        <f>IF(G67="Not available","",VLOOKUP(F67,Sheet2!$B$1:$E$19,4,FALSE)+(G67-1))</f>
        <v>3780335</v>
      </c>
    </row>
    <row r="68" spans="1:15" s="2" customFormat="1" ht="15" customHeight="1" x14ac:dyDescent="0.25">
      <c r="A68" s="18" t="s">
        <v>27</v>
      </c>
      <c r="B68" s="18" t="s">
        <v>816</v>
      </c>
      <c r="C68" s="5">
        <v>1850</v>
      </c>
      <c r="D68" s="1" t="s">
        <v>630</v>
      </c>
      <c r="E68" s="1" t="s">
        <v>2</v>
      </c>
      <c r="F68" s="18">
        <v>2164</v>
      </c>
      <c r="G68" s="18">
        <v>75</v>
      </c>
      <c r="H68" s="5">
        <v>73</v>
      </c>
      <c r="I68" s="1">
        <v>123</v>
      </c>
      <c r="J68" s="4" t="s">
        <v>3271</v>
      </c>
      <c r="K68" s="1"/>
      <c r="L68" t="str">
        <f t="shared" si="1"/>
        <v>http://www.badatelna.eu/reprodukce/?fondId=1073&amp;zaznamId=1108951&amp;reproId=3778789</v>
      </c>
      <c r="M68">
        <f>VLOOKUP(F68,Sheet2!$B$1:$E$19,2,FALSE)</f>
        <v>1073</v>
      </c>
      <c r="N68">
        <f>VLOOKUP(F68,Sheet2!$B$1:$E$19,3,FALSE)</f>
        <v>1108951</v>
      </c>
      <c r="O68">
        <f>IF(G68="Not available","",VLOOKUP(F68,Sheet2!$B$1:$E$19,4,FALSE)+(G68-1))</f>
        <v>3778789</v>
      </c>
    </row>
    <row r="69" spans="1:15" s="2" customFormat="1" ht="15" customHeight="1" x14ac:dyDescent="0.25">
      <c r="A69" s="18" t="s">
        <v>27</v>
      </c>
      <c r="B69" s="18" t="s">
        <v>816</v>
      </c>
      <c r="C69" s="5">
        <v>1854</v>
      </c>
      <c r="D69" s="1" t="s">
        <v>28</v>
      </c>
      <c r="E69" s="1" t="s">
        <v>2</v>
      </c>
      <c r="F69" s="18">
        <v>2164</v>
      </c>
      <c r="G69" s="18">
        <v>95</v>
      </c>
      <c r="H69" s="5">
        <v>93</v>
      </c>
      <c r="I69" s="1">
        <v>123</v>
      </c>
      <c r="J69" s="4" t="s">
        <v>3271</v>
      </c>
      <c r="K69" s="1"/>
      <c r="L69" t="str">
        <f t="shared" si="1"/>
        <v>http://www.badatelna.eu/reprodukce/?fondId=1073&amp;zaznamId=1108951&amp;reproId=3778809</v>
      </c>
      <c r="M69">
        <f>VLOOKUP(F69,Sheet2!$B$1:$E$19,2,FALSE)</f>
        <v>1073</v>
      </c>
      <c r="N69">
        <f>VLOOKUP(F69,Sheet2!$B$1:$E$19,3,FALSE)</f>
        <v>1108951</v>
      </c>
      <c r="O69">
        <f>IF(G69="Not available","",VLOOKUP(F69,Sheet2!$B$1:$E$19,4,FALSE)+(G69-1))</f>
        <v>3778809</v>
      </c>
    </row>
    <row r="70" spans="1:15" s="2" customFormat="1" ht="15" customHeight="1" x14ac:dyDescent="0.25">
      <c r="A70" s="18" t="s">
        <v>27</v>
      </c>
      <c r="B70" s="18" t="s">
        <v>482</v>
      </c>
      <c r="C70" s="5">
        <v>1837</v>
      </c>
      <c r="D70" s="1" t="s">
        <v>478</v>
      </c>
      <c r="E70" s="1" t="s">
        <v>2</v>
      </c>
      <c r="F70" s="18">
        <v>2174</v>
      </c>
      <c r="G70" s="18">
        <v>92</v>
      </c>
      <c r="H70" s="6" t="s">
        <v>3160</v>
      </c>
      <c r="I70" s="1">
        <v>181</v>
      </c>
      <c r="J70" s="1">
        <v>205</v>
      </c>
      <c r="K70" s="1"/>
      <c r="L70" t="str">
        <f t="shared" si="1"/>
        <v>http://www.badatelna.eu/reprodukce/?fondId=1073&amp;zaznamId=1108960&amp;reproId=3780316</v>
      </c>
      <c r="M70">
        <f>VLOOKUP(F70,Sheet2!$B$1:$E$19,2,FALSE)</f>
        <v>1073</v>
      </c>
      <c r="N70">
        <f>VLOOKUP(F70,Sheet2!$B$1:$E$19,3,FALSE)</f>
        <v>1108960</v>
      </c>
      <c r="O70">
        <f>IF(G70="Not available","",VLOOKUP(F70,Sheet2!$B$1:$E$19,4,FALSE)+(G70-1))</f>
        <v>3780316</v>
      </c>
    </row>
    <row r="71" spans="1:15" s="2" customFormat="1" ht="15" customHeight="1" x14ac:dyDescent="0.25">
      <c r="A71" s="18" t="s">
        <v>27</v>
      </c>
      <c r="B71" s="18" t="s">
        <v>2017</v>
      </c>
      <c r="C71" s="6" t="s">
        <v>2025</v>
      </c>
      <c r="D71" s="4" t="s">
        <v>2018</v>
      </c>
      <c r="E71" s="4" t="s">
        <v>2</v>
      </c>
      <c r="F71" s="18">
        <v>2176</v>
      </c>
      <c r="G71" s="18" t="s">
        <v>3271</v>
      </c>
      <c r="H71" s="6" t="s">
        <v>1976</v>
      </c>
      <c r="I71" s="1">
        <v>4</v>
      </c>
      <c r="J71" s="1" t="s">
        <v>3271</v>
      </c>
      <c r="K71" s="1"/>
      <c r="L71" t="str">
        <f t="shared" si="1"/>
        <v/>
      </c>
      <c r="M71">
        <f>VLOOKUP(F71,Sheet2!$B$1:$E$19,2,FALSE)</f>
        <v>1073</v>
      </c>
      <c r="N71">
        <f>VLOOKUP(F71,Sheet2!$B$1:$E$19,3,FALSE)</f>
        <v>1108963</v>
      </c>
      <c r="O71" t="str">
        <f>IF(G71="Not available","",VLOOKUP(F71,Sheet2!$B$1:$E$19,4,FALSE)+(G71-1))</f>
        <v/>
      </c>
    </row>
    <row r="72" spans="1:15" s="2" customFormat="1" ht="15" customHeight="1" x14ac:dyDescent="0.25">
      <c r="A72" s="18" t="s">
        <v>27</v>
      </c>
      <c r="B72" s="18" t="s">
        <v>439</v>
      </c>
      <c r="C72" s="5">
        <v>1829</v>
      </c>
      <c r="D72" s="1" t="s">
        <v>44</v>
      </c>
      <c r="E72" s="1" t="s">
        <v>2</v>
      </c>
      <c r="F72" s="18">
        <v>2173</v>
      </c>
      <c r="G72" s="18">
        <v>82</v>
      </c>
      <c r="H72" s="5">
        <v>157</v>
      </c>
      <c r="I72" s="1">
        <v>93</v>
      </c>
      <c r="J72" s="1">
        <v>194</v>
      </c>
      <c r="K72" s="1"/>
      <c r="L72" t="str">
        <f t="shared" si="1"/>
        <v>http://www.badatelna.eu/reprodukce/?fondId=1073&amp;zaznamId=1108959&amp;reproId=3780075</v>
      </c>
      <c r="M72">
        <f>VLOOKUP(F72,Sheet2!$B$1:$E$19,2,FALSE)</f>
        <v>1073</v>
      </c>
      <c r="N72">
        <f>VLOOKUP(F72,Sheet2!$B$1:$E$19,3,FALSE)</f>
        <v>1108959</v>
      </c>
      <c r="O72">
        <f>IF(G72="Not available","",VLOOKUP(F72,Sheet2!$B$1:$E$19,4,FALSE)+(G72-1))</f>
        <v>3780075</v>
      </c>
    </row>
    <row r="73" spans="1:15" s="2" customFormat="1" ht="15" customHeight="1" x14ac:dyDescent="0.25">
      <c r="A73" s="18" t="s">
        <v>27</v>
      </c>
      <c r="B73" s="18" t="s">
        <v>568</v>
      </c>
      <c r="C73" s="5">
        <v>1841</v>
      </c>
      <c r="D73" s="1" t="s">
        <v>623</v>
      </c>
      <c r="E73" s="1" t="s">
        <v>2</v>
      </c>
      <c r="F73" s="18">
        <v>2174</v>
      </c>
      <c r="G73" s="18">
        <v>120</v>
      </c>
      <c r="H73" s="16" t="s">
        <v>3183</v>
      </c>
      <c r="I73" s="1">
        <v>181</v>
      </c>
      <c r="J73" s="1">
        <v>205</v>
      </c>
      <c r="K73" s="1"/>
      <c r="L73" t="str">
        <f t="shared" si="1"/>
        <v>http://www.badatelna.eu/reprodukce/?fondId=1073&amp;zaznamId=1108960&amp;reproId=3780344</v>
      </c>
      <c r="M73">
        <f>VLOOKUP(F73,Sheet2!$B$1:$E$19,2,FALSE)</f>
        <v>1073</v>
      </c>
      <c r="N73">
        <f>VLOOKUP(F73,Sheet2!$B$1:$E$19,3,FALSE)</f>
        <v>1108960</v>
      </c>
      <c r="O73">
        <f>IF(G73="Not available","",VLOOKUP(F73,Sheet2!$B$1:$E$19,4,FALSE)+(G73-1))</f>
        <v>3780344</v>
      </c>
    </row>
    <row r="74" spans="1:15" s="2" customFormat="1" ht="15" customHeight="1" x14ac:dyDescent="0.25">
      <c r="A74" s="18" t="s">
        <v>27</v>
      </c>
      <c r="B74" s="18" t="s">
        <v>546</v>
      </c>
      <c r="C74" s="5">
        <v>1839</v>
      </c>
      <c r="D74" s="1" t="s">
        <v>28</v>
      </c>
      <c r="E74" s="1" t="s">
        <v>2</v>
      </c>
      <c r="F74" s="18">
        <v>2174</v>
      </c>
      <c r="G74" s="21">
        <v>108</v>
      </c>
      <c r="H74" s="6" t="s">
        <v>3175</v>
      </c>
      <c r="I74" s="1">
        <v>181</v>
      </c>
      <c r="J74" s="1">
        <v>205</v>
      </c>
      <c r="K74" s="1"/>
      <c r="L74" t="str">
        <f t="shared" si="1"/>
        <v>http://www.badatelna.eu/reprodukce/?fondId=1073&amp;zaznamId=1108960&amp;reproId=3780332</v>
      </c>
      <c r="M74">
        <f>VLOOKUP(F74,Sheet2!$B$1:$E$19,2,FALSE)</f>
        <v>1073</v>
      </c>
      <c r="N74">
        <f>VLOOKUP(F74,Sheet2!$B$1:$E$19,3,FALSE)</f>
        <v>1108960</v>
      </c>
      <c r="O74">
        <f>IF(G74="Not available","",VLOOKUP(F74,Sheet2!$B$1:$E$19,4,FALSE)+(G74-1))</f>
        <v>3780332</v>
      </c>
    </row>
    <row r="75" spans="1:15" s="2" customFormat="1" ht="15" customHeight="1" x14ac:dyDescent="0.25">
      <c r="A75" s="18" t="s">
        <v>27</v>
      </c>
      <c r="B75" s="18" t="s">
        <v>546</v>
      </c>
      <c r="C75" s="5">
        <v>1846</v>
      </c>
      <c r="D75" s="1" t="s">
        <v>630</v>
      </c>
      <c r="E75" s="1" t="s">
        <v>2</v>
      </c>
      <c r="F75" s="18">
        <v>2174</v>
      </c>
      <c r="G75" s="18">
        <v>171</v>
      </c>
      <c r="H75" s="16" t="s">
        <v>3228</v>
      </c>
      <c r="I75" s="1">
        <v>181</v>
      </c>
      <c r="J75" s="1">
        <v>206</v>
      </c>
      <c r="K75" s="1"/>
      <c r="L75" t="str">
        <f t="shared" si="1"/>
        <v>http://www.badatelna.eu/reprodukce/?fondId=1073&amp;zaznamId=1108960&amp;reproId=3780395</v>
      </c>
      <c r="M75">
        <f>VLOOKUP(F75,Sheet2!$B$1:$E$19,2,FALSE)</f>
        <v>1073</v>
      </c>
      <c r="N75">
        <f>VLOOKUP(F75,Sheet2!$B$1:$E$19,3,FALSE)</f>
        <v>1108960</v>
      </c>
      <c r="O75">
        <f>IF(G75="Not available","",VLOOKUP(F75,Sheet2!$B$1:$E$19,4,FALSE)+(G75-1))</f>
        <v>3780395</v>
      </c>
    </row>
    <row r="76" spans="1:15" s="2" customFormat="1" ht="15" customHeight="1" x14ac:dyDescent="0.25">
      <c r="A76" s="18" t="s">
        <v>27</v>
      </c>
      <c r="B76" s="18" t="s">
        <v>9</v>
      </c>
      <c r="C76" s="5">
        <v>1838</v>
      </c>
      <c r="D76" s="1" t="s">
        <v>28</v>
      </c>
      <c r="E76" s="1" t="s">
        <v>2</v>
      </c>
      <c r="F76" s="18">
        <v>2174</v>
      </c>
      <c r="G76" s="18">
        <v>98</v>
      </c>
      <c r="H76" s="16" t="s">
        <v>3166</v>
      </c>
      <c r="I76" s="1">
        <v>181</v>
      </c>
      <c r="J76" s="1">
        <v>205</v>
      </c>
      <c r="K76" s="1"/>
      <c r="L76" t="str">
        <f t="shared" si="1"/>
        <v>http://www.badatelna.eu/reprodukce/?fondId=1073&amp;zaznamId=1108960&amp;reproId=3780322</v>
      </c>
      <c r="M76">
        <f>VLOOKUP(F76,Sheet2!$B$1:$E$19,2,FALSE)</f>
        <v>1073</v>
      </c>
      <c r="N76">
        <f>VLOOKUP(F76,Sheet2!$B$1:$E$19,3,FALSE)</f>
        <v>1108960</v>
      </c>
      <c r="O76">
        <f>IF(G76="Not available","",VLOOKUP(F76,Sheet2!$B$1:$E$19,4,FALSE)+(G76-1))</f>
        <v>3780322</v>
      </c>
    </row>
    <row r="77" spans="1:15" s="1" customFormat="1" ht="15" customHeight="1" x14ac:dyDescent="0.25">
      <c r="A77" s="18" t="s">
        <v>27</v>
      </c>
      <c r="B77" s="18" t="s">
        <v>9</v>
      </c>
      <c r="C77" s="5">
        <v>1839</v>
      </c>
      <c r="D77" s="1" t="s">
        <v>623</v>
      </c>
      <c r="E77" s="1" t="s">
        <v>2</v>
      </c>
      <c r="F77" s="18">
        <v>2174</v>
      </c>
      <c r="G77" s="18">
        <v>106</v>
      </c>
      <c r="H77" s="6" t="s">
        <v>3171</v>
      </c>
      <c r="I77" s="1">
        <v>181</v>
      </c>
      <c r="J77" s="1">
        <v>205</v>
      </c>
      <c r="L77" t="str">
        <f t="shared" si="1"/>
        <v>http://www.badatelna.eu/reprodukce/?fondId=1073&amp;zaznamId=1108960&amp;reproId=3780330</v>
      </c>
      <c r="M77">
        <f>VLOOKUP(F77,Sheet2!$B$1:$E$19,2,FALSE)</f>
        <v>1073</v>
      </c>
      <c r="N77">
        <f>VLOOKUP(F77,Sheet2!$B$1:$E$19,3,FALSE)</f>
        <v>1108960</v>
      </c>
      <c r="O77">
        <f>IF(G77="Not available","",VLOOKUP(F77,Sheet2!$B$1:$E$19,4,FALSE)+(G77-1))</f>
        <v>3780330</v>
      </c>
    </row>
    <row r="78" spans="1:15" s="1" customFormat="1" ht="15" customHeight="1" x14ac:dyDescent="0.25">
      <c r="A78" s="18" t="s">
        <v>27</v>
      </c>
      <c r="B78" s="18" t="s">
        <v>9</v>
      </c>
      <c r="C78" s="5">
        <v>1855</v>
      </c>
      <c r="D78" s="1" t="s">
        <v>630</v>
      </c>
      <c r="E78" s="1" t="s">
        <v>2</v>
      </c>
      <c r="F78" s="18">
        <v>2164</v>
      </c>
      <c r="G78" s="18">
        <v>107</v>
      </c>
      <c r="H78" s="5">
        <v>105</v>
      </c>
      <c r="I78" s="1">
        <v>123</v>
      </c>
      <c r="J78" s="4" t="s">
        <v>3271</v>
      </c>
      <c r="L78" t="str">
        <f t="shared" si="1"/>
        <v>http://www.badatelna.eu/reprodukce/?fondId=1073&amp;zaznamId=1108951&amp;reproId=3778821</v>
      </c>
      <c r="M78">
        <f>VLOOKUP(F78,Sheet2!$B$1:$E$19,2,FALSE)</f>
        <v>1073</v>
      </c>
      <c r="N78">
        <f>VLOOKUP(F78,Sheet2!$B$1:$E$19,3,FALSE)</f>
        <v>1108951</v>
      </c>
      <c r="O78">
        <f>IF(G78="Not available","",VLOOKUP(F78,Sheet2!$B$1:$E$19,4,FALSE)+(G78-1))</f>
        <v>3778821</v>
      </c>
    </row>
    <row r="79" spans="1:15" s="1" customFormat="1" ht="15" customHeight="1" x14ac:dyDescent="0.25">
      <c r="A79" s="18" t="s">
        <v>27</v>
      </c>
      <c r="B79" s="18" t="s">
        <v>1051</v>
      </c>
      <c r="C79" s="5">
        <v>1887</v>
      </c>
      <c r="D79" s="1" t="s">
        <v>546</v>
      </c>
      <c r="E79" s="1" t="s">
        <v>2</v>
      </c>
      <c r="F79" s="18">
        <v>2165</v>
      </c>
      <c r="G79" s="18">
        <v>213</v>
      </c>
      <c r="H79" s="5">
        <v>2</v>
      </c>
      <c r="I79" s="1">
        <v>215</v>
      </c>
      <c r="J79" s="1">
        <v>191</v>
      </c>
      <c r="L79" t="str">
        <f t="shared" si="1"/>
        <v>http://www.badatelna.eu/reprodukce/?fondId=1073&amp;zaznamId=1108952&amp;reproId=3779074</v>
      </c>
      <c r="M79">
        <f>VLOOKUP(F79,Sheet2!$B$1:$E$19,2,FALSE)</f>
        <v>1073</v>
      </c>
      <c r="N79">
        <f>VLOOKUP(F79,Sheet2!$B$1:$E$19,3,FALSE)</f>
        <v>1108952</v>
      </c>
      <c r="O79">
        <f>IF(G79="Not available","",VLOOKUP(F79,Sheet2!$B$1:$E$19,4,FALSE)+(G79-1))</f>
        <v>3779074</v>
      </c>
    </row>
    <row r="80" spans="1:15" s="1" customFormat="1" ht="15" customHeight="1" x14ac:dyDescent="0.25">
      <c r="A80" s="21" t="s">
        <v>27</v>
      </c>
      <c r="B80" s="21" t="s">
        <v>59</v>
      </c>
      <c r="C80" s="7">
        <v>1792</v>
      </c>
      <c r="D80" s="2" t="s">
        <v>422</v>
      </c>
      <c r="E80" s="1" t="s">
        <v>2</v>
      </c>
      <c r="F80" s="18">
        <v>2173</v>
      </c>
      <c r="G80" s="21">
        <v>27</v>
      </c>
      <c r="H80" s="7">
        <v>48</v>
      </c>
      <c r="I80" s="2">
        <v>91</v>
      </c>
      <c r="J80" s="2">
        <v>189</v>
      </c>
      <c r="K80" s="2"/>
      <c r="L80" t="str">
        <f t="shared" si="1"/>
        <v>http://www.badatelna.eu/reprodukce/?fondId=1073&amp;zaznamId=1108959&amp;reproId=3780020</v>
      </c>
      <c r="M80">
        <f>VLOOKUP(F80,Sheet2!$B$1:$E$19,2,FALSE)</f>
        <v>1073</v>
      </c>
      <c r="N80">
        <f>VLOOKUP(F80,Sheet2!$B$1:$E$19,3,FALSE)</f>
        <v>1108959</v>
      </c>
      <c r="O80">
        <f>IF(G80="Not available","",VLOOKUP(F80,Sheet2!$B$1:$E$19,4,FALSE)+(G80-1))</f>
        <v>3780020</v>
      </c>
    </row>
    <row r="81" spans="1:15" s="1" customFormat="1" ht="15" customHeight="1" x14ac:dyDescent="0.25">
      <c r="A81" s="18" t="s">
        <v>27</v>
      </c>
      <c r="B81" s="18" t="s">
        <v>87</v>
      </c>
      <c r="C81" s="5">
        <v>1820</v>
      </c>
      <c r="D81" s="1" t="s">
        <v>162</v>
      </c>
      <c r="E81" s="1" t="s">
        <v>2</v>
      </c>
      <c r="F81" s="18">
        <v>2173</v>
      </c>
      <c r="G81" s="18">
        <v>70</v>
      </c>
      <c r="H81" s="5">
        <v>133</v>
      </c>
      <c r="I81" s="1">
        <v>93</v>
      </c>
      <c r="J81" s="1">
        <v>194</v>
      </c>
      <c r="L81" t="str">
        <f t="shared" si="1"/>
        <v>http://www.badatelna.eu/reprodukce/?fondId=1073&amp;zaznamId=1108959&amp;reproId=3780063</v>
      </c>
      <c r="M81">
        <f>VLOOKUP(F81,Sheet2!$B$1:$E$19,2,FALSE)</f>
        <v>1073</v>
      </c>
      <c r="N81">
        <f>VLOOKUP(F81,Sheet2!$B$1:$E$19,3,FALSE)</f>
        <v>1108959</v>
      </c>
      <c r="O81">
        <f>IF(G81="Not available","",VLOOKUP(F81,Sheet2!$B$1:$E$19,4,FALSE)+(G81-1))</f>
        <v>3780063</v>
      </c>
    </row>
    <row r="82" spans="1:15" s="1" customFormat="1" ht="15" customHeight="1" x14ac:dyDescent="0.25">
      <c r="A82" s="18" t="s">
        <v>27</v>
      </c>
      <c r="B82" s="18" t="s">
        <v>494</v>
      </c>
      <c r="C82" s="5">
        <v>1844</v>
      </c>
      <c r="D82" s="1" t="s">
        <v>630</v>
      </c>
      <c r="E82" s="1" t="s">
        <v>2</v>
      </c>
      <c r="F82" s="18">
        <v>2174</v>
      </c>
      <c r="G82" s="18">
        <v>148</v>
      </c>
      <c r="H82" s="6" t="s">
        <v>3214</v>
      </c>
      <c r="I82" s="1">
        <v>181</v>
      </c>
      <c r="J82" s="1">
        <v>205</v>
      </c>
      <c r="L82" t="str">
        <f t="shared" si="1"/>
        <v>http://www.badatelna.eu/reprodukce/?fondId=1073&amp;zaznamId=1108960&amp;reproId=3780372</v>
      </c>
      <c r="M82">
        <f>VLOOKUP(F82,Sheet2!$B$1:$E$19,2,FALSE)</f>
        <v>1073</v>
      </c>
      <c r="N82">
        <f>VLOOKUP(F82,Sheet2!$B$1:$E$19,3,FALSE)</f>
        <v>1108960</v>
      </c>
      <c r="O82">
        <f>IF(G82="Not available","",VLOOKUP(F82,Sheet2!$B$1:$E$19,4,FALSE)+(G82-1))</f>
        <v>3780372</v>
      </c>
    </row>
    <row r="83" spans="1:15" s="1" customFormat="1" ht="15" customHeight="1" x14ac:dyDescent="0.25">
      <c r="A83" s="18" t="s">
        <v>27</v>
      </c>
      <c r="B83" s="18" t="s">
        <v>1052</v>
      </c>
      <c r="C83" s="6" t="s">
        <v>1285</v>
      </c>
      <c r="D83" s="1" t="s">
        <v>546</v>
      </c>
      <c r="E83" s="1" t="s">
        <v>2</v>
      </c>
      <c r="F83" s="18">
        <v>2165</v>
      </c>
      <c r="G83" s="18">
        <v>180</v>
      </c>
      <c r="H83" s="5">
        <v>4</v>
      </c>
      <c r="I83" s="1">
        <v>182</v>
      </c>
      <c r="J83" s="1">
        <v>159</v>
      </c>
      <c r="L83" t="str">
        <f t="shared" si="1"/>
        <v>http://www.badatelna.eu/reprodukce/?fondId=1073&amp;zaznamId=1108952&amp;reproId=3779041</v>
      </c>
      <c r="M83">
        <f>VLOOKUP(F83,Sheet2!$B$1:$E$19,2,FALSE)</f>
        <v>1073</v>
      </c>
      <c r="N83">
        <f>VLOOKUP(F83,Sheet2!$B$1:$E$19,3,FALSE)</f>
        <v>1108952</v>
      </c>
      <c r="O83">
        <f>IF(G83="Not available","",VLOOKUP(F83,Sheet2!$B$1:$E$19,4,FALSE)+(G83-1))</f>
        <v>3779041</v>
      </c>
    </row>
    <row r="84" spans="1:15" s="1" customFormat="1" ht="15" customHeight="1" x14ac:dyDescent="0.25">
      <c r="A84" s="18" t="s">
        <v>27</v>
      </c>
      <c r="B84" s="18" t="s">
        <v>1052</v>
      </c>
      <c r="C84" s="6" t="s">
        <v>1285</v>
      </c>
      <c r="D84" s="4" t="s">
        <v>2034</v>
      </c>
      <c r="E84" s="4" t="s">
        <v>2</v>
      </c>
      <c r="F84" s="18">
        <v>2176</v>
      </c>
      <c r="G84" s="18" t="s">
        <v>3271</v>
      </c>
      <c r="H84" s="6" t="s">
        <v>2035</v>
      </c>
      <c r="I84" s="1">
        <v>5</v>
      </c>
      <c r="J84" s="1">
        <v>159</v>
      </c>
      <c r="K84" s="3"/>
      <c r="L84" t="str">
        <f t="shared" si="1"/>
        <v/>
      </c>
      <c r="M84">
        <f>VLOOKUP(F84,Sheet2!$B$1:$E$19,2,FALSE)</f>
        <v>1073</v>
      </c>
      <c r="N84">
        <f>VLOOKUP(F84,Sheet2!$B$1:$E$19,3,FALSE)</f>
        <v>1108963</v>
      </c>
      <c r="O84" t="str">
        <f>IF(G84="Not available","",VLOOKUP(F84,Sheet2!$B$1:$E$19,4,FALSE)+(G84-1))</f>
        <v/>
      </c>
    </row>
    <row r="85" spans="1:15" s="1" customFormat="1" ht="15" customHeight="1" x14ac:dyDescent="0.25">
      <c r="A85" s="18" t="s">
        <v>27</v>
      </c>
      <c r="B85" s="18" t="s">
        <v>8</v>
      </c>
      <c r="C85" s="5">
        <v>1814</v>
      </c>
      <c r="D85" s="1" t="s">
        <v>162</v>
      </c>
      <c r="E85" s="1" t="s">
        <v>2</v>
      </c>
      <c r="F85" s="18">
        <v>2173</v>
      </c>
      <c r="G85" s="18">
        <v>62</v>
      </c>
      <c r="H85" s="5">
        <v>118</v>
      </c>
      <c r="I85" s="1">
        <v>92</v>
      </c>
      <c r="J85" s="1">
        <v>190</v>
      </c>
      <c r="L85" t="str">
        <f t="shared" si="1"/>
        <v>http://www.badatelna.eu/reprodukce/?fondId=1073&amp;zaznamId=1108959&amp;reproId=3780055</v>
      </c>
      <c r="M85">
        <f>VLOOKUP(F85,Sheet2!$B$1:$E$19,2,FALSE)</f>
        <v>1073</v>
      </c>
      <c r="N85">
        <f>VLOOKUP(F85,Sheet2!$B$1:$E$19,3,FALSE)</f>
        <v>1108959</v>
      </c>
      <c r="O85">
        <f>IF(G85="Not available","",VLOOKUP(F85,Sheet2!$B$1:$E$19,4,FALSE)+(G85-1))</f>
        <v>3780055</v>
      </c>
    </row>
    <row r="86" spans="1:15" s="1" customFormat="1" ht="15" customHeight="1" x14ac:dyDescent="0.25">
      <c r="A86" s="18" t="s">
        <v>27</v>
      </c>
      <c r="B86" s="18" t="s">
        <v>12</v>
      </c>
      <c r="C86" s="5">
        <v>1810</v>
      </c>
      <c r="D86" s="1" t="s">
        <v>162</v>
      </c>
      <c r="E86" s="1" t="s">
        <v>2</v>
      </c>
      <c r="F86" s="18">
        <v>2173</v>
      </c>
      <c r="G86" s="18">
        <v>56</v>
      </c>
      <c r="H86" s="5">
        <v>106</v>
      </c>
      <c r="I86" s="1">
        <v>92</v>
      </c>
      <c r="J86" s="1">
        <v>190</v>
      </c>
      <c r="L86" t="str">
        <f t="shared" si="1"/>
        <v>http://www.badatelna.eu/reprodukce/?fondId=1073&amp;zaznamId=1108959&amp;reproId=3780049</v>
      </c>
      <c r="M86">
        <f>VLOOKUP(F86,Sheet2!$B$1:$E$19,2,FALSE)</f>
        <v>1073</v>
      </c>
      <c r="N86">
        <f>VLOOKUP(F86,Sheet2!$B$1:$E$19,3,FALSE)</f>
        <v>1108959</v>
      </c>
      <c r="O86">
        <f>IF(G86="Not available","",VLOOKUP(F86,Sheet2!$B$1:$E$19,4,FALSE)+(G86-1))</f>
        <v>3780049</v>
      </c>
    </row>
    <row r="87" spans="1:15" s="1" customFormat="1" ht="15" customHeight="1" x14ac:dyDescent="0.25">
      <c r="A87" s="18" t="s">
        <v>27</v>
      </c>
      <c r="B87" s="18" t="s">
        <v>602</v>
      </c>
      <c r="C87" s="5">
        <v>1849</v>
      </c>
      <c r="D87" s="1" t="s">
        <v>630</v>
      </c>
      <c r="E87" s="1" t="s">
        <v>2</v>
      </c>
      <c r="F87" s="18">
        <v>2164</v>
      </c>
      <c r="G87" s="18">
        <v>58</v>
      </c>
      <c r="H87" s="5">
        <v>56</v>
      </c>
      <c r="I87" s="1">
        <v>123</v>
      </c>
      <c r="J87" s="4" t="s">
        <v>3271</v>
      </c>
      <c r="L87" t="str">
        <f t="shared" si="1"/>
        <v>http://www.badatelna.eu/reprodukce/?fondId=1073&amp;zaznamId=1108951&amp;reproId=3778772</v>
      </c>
      <c r="M87">
        <f>VLOOKUP(F87,Sheet2!$B$1:$E$19,2,FALSE)</f>
        <v>1073</v>
      </c>
      <c r="N87">
        <f>VLOOKUP(F87,Sheet2!$B$1:$E$19,3,FALSE)</f>
        <v>1108951</v>
      </c>
      <c r="O87">
        <f>IF(G87="Not available","",VLOOKUP(F87,Sheet2!$B$1:$E$19,4,FALSE)+(G87-1))</f>
        <v>3778772</v>
      </c>
    </row>
    <row r="88" spans="1:15" s="1" customFormat="1" ht="15" customHeight="1" x14ac:dyDescent="0.25">
      <c r="A88" s="18" t="s">
        <v>27</v>
      </c>
      <c r="B88" s="18" t="s">
        <v>212</v>
      </c>
      <c r="C88" s="5">
        <v>1849</v>
      </c>
      <c r="D88" s="1" t="s">
        <v>28</v>
      </c>
      <c r="E88" s="1" t="s">
        <v>2</v>
      </c>
      <c r="F88" s="18">
        <v>2164</v>
      </c>
      <c r="G88" s="18">
        <v>47</v>
      </c>
      <c r="H88" s="5">
        <v>45</v>
      </c>
      <c r="I88" s="1">
        <v>123</v>
      </c>
      <c r="J88" s="4" t="s">
        <v>3271</v>
      </c>
      <c r="L88" t="str">
        <f t="shared" si="1"/>
        <v>http://www.badatelna.eu/reprodukce/?fondId=1073&amp;zaznamId=1108951&amp;reproId=3778761</v>
      </c>
      <c r="M88">
        <f>VLOOKUP(F88,Sheet2!$B$1:$E$19,2,FALSE)</f>
        <v>1073</v>
      </c>
      <c r="N88">
        <f>VLOOKUP(F88,Sheet2!$B$1:$E$19,3,FALSE)</f>
        <v>1108951</v>
      </c>
      <c r="O88">
        <f>IF(G88="Not available","",VLOOKUP(F88,Sheet2!$B$1:$E$19,4,FALSE)+(G88-1))</f>
        <v>3778761</v>
      </c>
    </row>
    <row r="89" spans="1:15" s="1" customFormat="1" ht="15" customHeight="1" x14ac:dyDescent="0.25">
      <c r="A89" s="18" t="s">
        <v>27</v>
      </c>
      <c r="B89" s="18" t="s">
        <v>549</v>
      </c>
      <c r="C89" s="5">
        <v>1845</v>
      </c>
      <c r="D89" s="1" t="s">
        <v>28</v>
      </c>
      <c r="E89" s="1" t="s">
        <v>2</v>
      </c>
      <c r="F89" s="18">
        <v>2174</v>
      </c>
      <c r="G89" s="18">
        <v>161</v>
      </c>
      <c r="H89" s="16" t="s">
        <v>3226</v>
      </c>
      <c r="I89" s="1">
        <v>181</v>
      </c>
      <c r="J89" s="1">
        <v>205</v>
      </c>
      <c r="L89" t="str">
        <f t="shared" si="1"/>
        <v>http://www.badatelna.eu/reprodukce/?fondId=1073&amp;zaznamId=1108960&amp;reproId=3780385</v>
      </c>
      <c r="M89">
        <f>VLOOKUP(F89,Sheet2!$B$1:$E$19,2,FALSE)</f>
        <v>1073</v>
      </c>
      <c r="N89">
        <f>VLOOKUP(F89,Sheet2!$B$1:$E$19,3,FALSE)</f>
        <v>1108960</v>
      </c>
      <c r="O89">
        <f>IF(G89="Not available","",VLOOKUP(F89,Sheet2!$B$1:$E$19,4,FALSE)+(G89-1))</f>
        <v>3780385</v>
      </c>
    </row>
    <row r="90" spans="1:15" s="1" customFormat="1" ht="15" customHeight="1" x14ac:dyDescent="0.25">
      <c r="A90" s="18" t="s">
        <v>27</v>
      </c>
      <c r="B90" s="18" t="s">
        <v>19</v>
      </c>
      <c r="C90" s="5">
        <v>1815</v>
      </c>
      <c r="D90" s="1" t="s">
        <v>162</v>
      </c>
      <c r="E90" s="1" t="s">
        <v>2</v>
      </c>
      <c r="F90" s="18">
        <v>2173</v>
      </c>
      <c r="G90" s="18">
        <v>65</v>
      </c>
      <c r="H90" s="5">
        <v>124</v>
      </c>
      <c r="I90" s="1">
        <v>92</v>
      </c>
      <c r="J90" s="1">
        <v>190</v>
      </c>
      <c r="L90" t="str">
        <f t="shared" si="1"/>
        <v>http://www.badatelna.eu/reprodukce/?fondId=1073&amp;zaznamId=1108959&amp;reproId=3780058</v>
      </c>
      <c r="M90">
        <f>VLOOKUP(F90,Sheet2!$B$1:$E$19,2,FALSE)</f>
        <v>1073</v>
      </c>
      <c r="N90">
        <f>VLOOKUP(F90,Sheet2!$B$1:$E$19,3,FALSE)</f>
        <v>1108959</v>
      </c>
      <c r="O90">
        <f>IF(G90="Not available","",VLOOKUP(F90,Sheet2!$B$1:$E$19,4,FALSE)+(G90-1))</f>
        <v>3780058</v>
      </c>
    </row>
    <row r="91" spans="1:15" s="1" customFormat="1" ht="15" customHeight="1" x14ac:dyDescent="0.25">
      <c r="A91" s="18" t="s">
        <v>27</v>
      </c>
      <c r="B91" s="18" t="s">
        <v>544</v>
      </c>
      <c r="C91" s="5">
        <v>1835</v>
      </c>
      <c r="D91" s="1" t="s">
        <v>614</v>
      </c>
      <c r="E91" s="1" t="s">
        <v>2</v>
      </c>
      <c r="F91" s="18">
        <v>2174</v>
      </c>
      <c r="G91" s="18">
        <v>83</v>
      </c>
      <c r="H91" s="6" t="s">
        <v>3147</v>
      </c>
      <c r="I91" s="1">
        <v>180</v>
      </c>
      <c r="J91" s="1">
        <v>204</v>
      </c>
      <c r="L91" t="str">
        <f t="shared" si="1"/>
        <v>http://www.badatelna.eu/reprodukce/?fondId=1073&amp;zaznamId=1108960&amp;reproId=3780307</v>
      </c>
      <c r="M91">
        <f>VLOOKUP(F91,Sheet2!$B$1:$E$19,2,FALSE)</f>
        <v>1073</v>
      </c>
      <c r="N91">
        <f>VLOOKUP(F91,Sheet2!$B$1:$E$19,3,FALSE)</f>
        <v>1108960</v>
      </c>
      <c r="O91">
        <f>IF(G91="Not available","",VLOOKUP(F91,Sheet2!$B$1:$E$19,4,FALSE)+(G91-1))</f>
        <v>3780307</v>
      </c>
    </row>
    <row r="92" spans="1:15" s="1" customFormat="1" ht="15" customHeight="1" x14ac:dyDescent="0.25">
      <c r="A92" s="18" t="s">
        <v>27</v>
      </c>
      <c r="B92" s="18" t="s">
        <v>143</v>
      </c>
      <c r="C92" s="5">
        <v>1818</v>
      </c>
      <c r="D92" s="1" t="s">
        <v>162</v>
      </c>
      <c r="E92" s="1" t="s">
        <v>2</v>
      </c>
      <c r="F92" s="18">
        <v>2173</v>
      </c>
      <c r="G92" s="23">
        <v>67</v>
      </c>
      <c r="H92" s="6" t="s">
        <v>2999</v>
      </c>
      <c r="I92" s="1">
        <v>93</v>
      </c>
      <c r="J92" s="1">
        <v>194</v>
      </c>
      <c r="L92" t="str">
        <f t="shared" si="1"/>
        <v>http://www.badatelna.eu/reprodukce/?fondId=1073&amp;zaznamId=1108959&amp;reproId=3780060</v>
      </c>
      <c r="M92">
        <f>VLOOKUP(F92,Sheet2!$B$1:$E$19,2,FALSE)</f>
        <v>1073</v>
      </c>
      <c r="N92">
        <f>VLOOKUP(F92,Sheet2!$B$1:$E$19,3,FALSE)</f>
        <v>1108959</v>
      </c>
      <c r="O92">
        <f>IF(G92="Not available","",VLOOKUP(F92,Sheet2!$B$1:$E$19,4,FALSE)+(G92-1))</f>
        <v>3780060</v>
      </c>
    </row>
    <row r="93" spans="1:15" s="1" customFormat="1" ht="15" customHeight="1" x14ac:dyDescent="0.25">
      <c r="A93" s="21" t="s">
        <v>27</v>
      </c>
      <c r="B93" s="21" t="s">
        <v>143</v>
      </c>
      <c r="C93" s="7">
        <v>1843</v>
      </c>
      <c r="D93" s="2" t="s">
        <v>28</v>
      </c>
      <c r="E93" s="1" t="s">
        <v>2</v>
      </c>
      <c r="F93" s="18">
        <v>2174</v>
      </c>
      <c r="G93" s="18">
        <v>136</v>
      </c>
      <c r="H93" s="6" t="s">
        <v>3202</v>
      </c>
      <c r="I93" s="2">
        <v>181</v>
      </c>
      <c r="J93" s="2">
        <v>205</v>
      </c>
      <c r="L93" t="str">
        <f t="shared" si="1"/>
        <v>http://www.badatelna.eu/reprodukce/?fondId=1073&amp;zaznamId=1108960&amp;reproId=3780360</v>
      </c>
      <c r="M93">
        <f>VLOOKUP(F93,Sheet2!$B$1:$E$19,2,FALSE)</f>
        <v>1073</v>
      </c>
      <c r="N93">
        <f>VLOOKUP(F93,Sheet2!$B$1:$E$19,3,FALSE)</f>
        <v>1108960</v>
      </c>
      <c r="O93">
        <f>IF(G93="Not available","",VLOOKUP(F93,Sheet2!$B$1:$E$19,4,FALSE)+(G93-1))</f>
        <v>3780360</v>
      </c>
    </row>
    <row r="94" spans="1:15" s="1" customFormat="1" ht="15" customHeight="1" x14ac:dyDescent="0.25">
      <c r="A94" s="18" t="s">
        <v>27</v>
      </c>
      <c r="B94" s="18" t="s">
        <v>543</v>
      </c>
      <c r="C94" s="5">
        <v>1834</v>
      </c>
      <c r="D94" s="1" t="s">
        <v>44</v>
      </c>
      <c r="E94" s="1" t="s">
        <v>2</v>
      </c>
      <c r="F94" s="18">
        <v>2174</v>
      </c>
      <c r="G94" s="18">
        <v>76</v>
      </c>
      <c r="H94" s="6" t="s">
        <v>3142</v>
      </c>
      <c r="I94" s="1">
        <v>180</v>
      </c>
      <c r="J94" s="1">
        <v>204</v>
      </c>
      <c r="L94" t="str">
        <f t="shared" si="1"/>
        <v>http://www.badatelna.eu/reprodukce/?fondId=1073&amp;zaznamId=1108960&amp;reproId=3780300</v>
      </c>
      <c r="M94">
        <f>VLOOKUP(F94,Sheet2!$B$1:$E$19,2,FALSE)</f>
        <v>1073</v>
      </c>
      <c r="N94">
        <f>VLOOKUP(F94,Sheet2!$B$1:$E$19,3,FALSE)</f>
        <v>1108960</v>
      </c>
      <c r="O94">
        <f>IF(G94="Not available","",VLOOKUP(F94,Sheet2!$B$1:$E$19,4,FALSE)+(G94-1))</f>
        <v>3780300</v>
      </c>
    </row>
    <row r="95" spans="1:15" s="1" customFormat="1" ht="15" customHeight="1" x14ac:dyDescent="0.25">
      <c r="A95" s="18" t="s">
        <v>27</v>
      </c>
      <c r="B95" s="18" t="s">
        <v>900</v>
      </c>
      <c r="C95" s="5">
        <v>1885</v>
      </c>
      <c r="D95" s="1" t="s">
        <v>546</v>
      </c>
      <c r="E95" s="1" t="s">
        <v>2</v>
      </c>
      <c r="F95" s="18">
        <v>2165</v>
      </c>
      <c r="G95" s="18">
        <v>199</v>
      </c>
      <c r="H95" s="5">
        <v>1</v>
      </c>
      <c r="I95" s="1">
        <v>204</v>
      </c>
      <c r="J95" s="1">
        <v>187</v>
      </c>
      <c r="L95" t="str">
        <f t="shared" si="1"/>
        <v>http://www.badatelna.eu/reprodukce/?fondId=1073&amp;zaznamId=1108952&amp;reproId=3779060</v>
      </c>
      <c r="M95">
        <f>VLOOKUP(F95,Sheet2!$B$1:$E$19,2,FALSE)</f>
        <v>1073</v>
      </c>
      <c r="N95">
        <f>VLOOKUP(F95,Sheet2!$B$1:$E$19,3,FALSE)</f>
        <v>1108952</v>
      </c>
      <c r="O95">
        <f>IF(G95="Not available","",VLOOKUP(F95,Sheet2!$B$1:$E$19,4,FALSE)+(G95-1))</f>
        <v>3779060</v>
      </c>
    </row>
    <row r="96" spans="1:15" s="1" customFormat="1" ht="15" customHeight="1" x14ac:dyDescent="0.25">
      <c r="A96" s="18" t="s">
        <v>27</v>
      </c>
      <c r="B96" s="18" t="s">
        <v>900</v>
      </c>
      <c r="C96" s="6" t="s">
        <v>2043</v>
      </c>
      <c r="D96" s="4" t="s">
        <v>2018</v>
      </c>
      <c r="E96" s="4" t="s">
        <v>2</v>
      </c>
      <c r="F96" s="18">
        <v>2176</v>
      </c>
      <c r="G96" s="18" t="s">
        <v>3271</v>
      </c>
      <c r="H96" s="6" t="s">
        <v>1954</v>
      </c>
      <c r="I96" s="1">
        <v>5</v>
      </c>
      <c r="J96" s="1" t="s">
        <v>3271</v>
      </c>
      <c r="K96" s="3"/>
      <c r="L96" t="str">
        <f t="shared" si="1"/>
        <v/>
      </c>
      <c r="M96">
        <f>VLOOKUP(F96,Sheet2!$B$1:$E$19,2,FALSE)</f>
        <v>1073</v>
      </c>
      <c r="N96">
        <f>VLOOKUP(F96,Sheet2!$B$1:$E$19,3,FALSE)</f>
        <v>1108963</v>
      </c>
      <c r="O96" t="str">
        <f>IF(G96="Not available","",VLOOKUP(F96,Sheet2!$B$1:$E$19,4,FALSE)+(G96-1))</f>
        <v/>
      </c>
    </row>
    <row r="97" spans="1:15" s="1" customFormat="1" ht="15" customHeight="1" x14ac:dyDescent="0.25">
      <c r="A97" s="18" t="s">
        <v>27</v>
      </c>
      <c r="B97" s="18" t="s">
        <v>44</v>
      </c>
      <c r="C97" s="5">
        <v>1799</v>
      </c>
      <c r="D97" s="1" t="s">
        <v>9</v>
      </c>
      <c r="E97" s="1" t="s">
        <v>2</v>
      </c>
      <c r="F97" s="18">
        <v>2173</v>
      </c>
      <c r="G97" s="18">
        <v>40</v>
      </c>
      <c r="H97" s="14" t="s">
        <v>3087</v>
      </c>
      <c r="I97" s="1">
        <v>92</v>
      </c>
      <c r="J97" s="1">
        <v>190</v>
      </c>
      <c r="L97" t="str">
        <f t="shared" si="1"/>
        <v>http://www.badatelna.eu/reprodukce/?fondId=1073&amp;zaznamId=1108959&amp;reproId=3780033</v>
      </c>
      <c r="M97">
        <f>VLOOKUP(F97,Sheet2!$B$1:$E$19,2,FALSE)</f>
        <v>1073</v>
      </c>
      <c r="N97">
        <f>VLOOKUP(F97,Sheet2!$B$1:$E$19,3,FALSE)</f>
        <v>1108959</v>
      </c>
      <c r="O97">
        <f>IF(G97="Not available","",VLOOKUP(F97,Sheet2!$B$1:$E$19,4,FALSE)+(G97-1))</f>
        <v>3780033</v>
      </c>
    </row>
    <row r="98" spans="1:15" s="1" customFormat="1" ht="15" customHeight="1" x14ac:dyDescent="0.25">
      <c r="A98" s="18" t="s">
        <v>27</v>
      </c>
      <c r="B98" s="18" t="s">
        <v>44</v>
      </c>
      <c r="C98" s="5">
        <v>1811</v>
      </c>
      <c r="D98" s="1" t="s">
        <v>162</v>
      </c>
      <c r="E98" s="1" t="s">
        <v>2</v>
      </c>
      <c r="F98" s="18">
        <v>2173</v>
      </c>
      <c r="G98" s="18">
        <v>58</v>
      </c>
      <c r="H98" s="5">
        <v>111</v>
      </c>
      <c r="I98" s="1">
        <v>92</v>
      </c>
      <c r="J98" s="1">
        <v>190</v>
      </c>
      <c r="L98" t="str">
        <f t="shared" si="1"/>
        <v>http://www.badatelna.eu/reprodukce/?fondId=1073&amp;zaznamId=1108959&amp;reproId=3780051</v>
      </c>
      <c r="M98">
        <f>VLOOKUP(F98,Sheet2!$B$1:$E$19,2,FALSE)</f>
        <v>1073</v>
      </c>
      <c r="N98">
        <f>VLOOKUP(F98,Sheet2!$B$1:$E$19,3,FALSE)</f>
        <v>1108959</v>
      </c>
      <c r="O98">
        <f>IF(G98="Not available","",VLOOKUP(F98,Sheet2!$B$1:$E$19,4,FALSE)+(G98-1))</f>
        <v>3780051</v>
      </c>
    </row>
    <row r="99" spans="1:15" s="1" customFormat="1" ht="15" customHeight="1" x14ac:dyDescent="0.25">
      <c r="A99" s="18" t="s">
        <v>27</v>
      </c>
      <c r="B99" s="18" t="s">
        <v>542</v>
      </c>
      <c r="C99" s="5">
        <v>1833</v>
      </c>
      <c r="D99" s="1" t="s">
        <v>478</v>
      </c>
      <c r="E99" s="1" t="s">
        <v>2</v>
      </c>
      <c r="F99" s="18">
        <v>2174</v>
      </c>
      <c r="G99" s="18">
        <v>94</v>
      </c>
      <c r="H99" s="16" t="s">
        <v>3136</v>
      </c>
      <c r="I99" s="1">
        <v>180</v>
      </c>
      <c r="J99" s="1">
        <v>204</v>
      </c>
      <c r="L99" t="str">
        <f t="shared" si="1"/>
        <v>http://www.badatelna.eu/reprodukce/?fondId=1073&amp;zaznamId=1108960&amp;reproId=3780318</v>
      </c>
      <c r="M99">
        <f>VLOOKUP(F99,Sheet2!$B$1:$E$19,2,FALSE)</f>
        <v>1073</v>
      </c>
      <c r="N99">
        <f>VLOOKUP(F99,Sheet2!$B$1:$E$19,3,FALSE)</f>
        <v>1108960</v>
      </c>
      <c r="O99">
        <f>IF(G99="Not available","",VLOOKUP(F99,Sheet2!$B$1:$E$19,4,FALSE)+(G99-1))</f>
        <v>3780318</v>
      </c>
    </row>
    <row r="100" spans="1:15" s="1" customFormat="1" ht="15" customHeight="1" x14ac:dyDescent="0.25">
      <c r="A100" s="18" t="s">
        <v>27</v>
      </c>
      <c r="B100" s="18" t="s">
        <v>545</v>
      </c>
      <c r="C100" s="5">
        <v>1836</v>
      </c>
      <c r="D100" s="1" t="s">
        <v>44</v>
      </c>
      <c r="E100" s="1" t="s">
        <v>2</v>
      </c>
      <c r="F100" s="18">
        <v>2174</v>
      </c>
      <c r="G100" s="18">
        <v>87</v>
      </c>
      <c r="H100" s="6" t="s">
        <v>3151</v>
      </c>
      <c r="I100" s="1">
        <v>180</v>
      </c>
      <c r="J100" s="1">
        <v>204</v>
      </c>
      <c r="L100" t="str">
        <f t="shared" si="1"/>
        <v>http://www.badatelna.eu/reprodukce/?fondId=1073&amp;zaznamId=1108960&amp;reproId=3780311</v>
      </c>
      <c r="M100">
        <f>VLOOKUP(F100,Sheet2!$B$1:$E$19,2,FALSE)</f>
        <v>1073</v>
      </c>
      <c r="N100">
        <f>VLOOKUP(F100,Sheet2!$B$1:$E$19,3,FALSE)</f>
        <v>1108960</v>
      </c>
      <c r="O100">
        <f>IF(G100="Not available","",VLOOKUP(F100,Sheet2!$B$1:$E$19,4,FALSE)+(G100-1))</f>
        <v>3780311</v>
      </c>
    </row>
    <row r="101" spans="1:15" s="1" customFormat="1" ht="15" customHeight="1" x14ac:dyDescent="0.25">
      <c r="A101" s="18" t="s">
        <v>27</v>
      </c>
      <c r="B101" s="18" t="s">
        <v>773</v>
      </c>
      <c r="C101" s="5">
        <v>1852</v>
      </c>
      <c r="D101" s="1" t="s">
        <v>630</v>
      </c>
      <c r="E101" s="1" t="s">
        <v>2</v>
      </c>
      <c r="F101" s="18">
        <v>2164</v>
      </c>
      <c r="G101" s="18">
        <v>84</v>
      </c>
      <c r="H101" s="5">
        <v>82</v>
      </c>
      <c r="I101" s="1">
        <v>123</v>
      </c>
      <c r="J101" s="1" t="s">
        <v>2821</v>
      </c>
      <c r="L101" t="str">
        <f t="shared" si="1"/>
        <v>http://www.badatelna.eu/reprodukce/?fondId=1073&amp;zaznamId=1108951&amp;reproId=3778798</v>
      </c>
      <c r="M101">
        <f>VLOOKUP(F101,Sheet2!$B$1:$E$19,2,FALSE)</f>
        <v>1073</v>
      </c>
      <c r="N101">
        <f>VLOOKUP(F101,Sheet2!$B$1:$E$19,3,FALSE)</f>
        <v>1108951</v>
      </c>
      <c r="O101">
        <f>IF(G101="Not available","",VLOOKUP(F101,Sheet2!$B$1:$E$19,4,FALSE)+(G101-1))</f>
        <v>3778798</v>
      </c>
    </row>
    <row r="102" spans="1:15" s="1" customFormat="1" ht="15" customHeight="1" x14ac:dyDescent="0.25">
      <c r="A102" s="18" t="s">
        <v>550</v>
      </c>
      <c r="B102" s="18" t="s">
        <v>88</v>
      </c>
      <c r="C102" s="5">
        <v>1796</v>
      </c>
      <c r="D102" s="1" t="s">
        <v>9</v>
      </c>
      <c r="E102" s="1" t="s">
        <v>2</v>
      </c>
      <c r="F102" s="18">
        <v>2173</v>
      </c>
      <c r="G102" s="18">
        <v>34</v>
      </c>
      <c r="H102" s="5">
        <v>64</v>
      </c>
      <c r="I102" s="1">
        <v>92</v>
      </c>
      <c r="J102" s="1">
        <v>190</v>
      </c>
      <c r="L102" t="str">
        <f t="shared" si="1"/>
        <v>http://www.badatelna.eu/reprodukce/?fondId=1073&amp;zaznamId=1108959&amp;reproId=3780027</v>
      </c>
      <c r="M102">
        <f>VLOOKUP(F102,Sheet2!$B$1:$E$19,2,FALSE)</f>
        <v>1073</v>
      </c>
      <c r="N102">
        <f>VLOOKUP(F102,Sheet2!$B$1:$E$19,3,FALSE)</f>
        <v>1108959</v>
      </c>
      <c r="O102">
        <f>IF(G102="Not available","",VLOOKUP(F102,Sheet2!$B$1:$E$19,4,FALSE)+(G102-1))</f>
        <v>3780027</v>
      </c>
    </row>
    <row r="103" spans="1:15" s="1" customFormat="1" ht="15" customHeight="1" x14ac:dyDescent="0.25">
      <c r="A103" s="18" t="s">
        <v>550</v>
      </c>
      <c r="B103" s="18" t="s">
        <v>76</v>
      </c>
      <c r="C103" s="5">
        <v>1794</v>
      </c>
      <c r="D103" s="1" t="s">
        <v>9</v>
      </c>
      <c r="E103" s="1" t="s">
        <v>2</v>
      </c>
      <c r="F103" s="18">
        <v>2173</v>
      </c>
      <c r="G103" s="18">
        <v>31</v>
      </c>
      <c r="H103" s="5">
        <v>57</v>
      </c>
      <c r="I103" s="1">
        <v>92</v>
      </c>
      <c r="J103" s="1">
        <v>190</v>
      </c>
      <c r="L103" t="str">
        <f t="shared" si="1"/>
        <v>http://www.badatelna.eu/reprodukce/?fondId=1073&amp;zaznamId=1108959&amp;reproId=3780024</v>
      </c>
      <c r="M103">
        <f>VLOOKUP(F103,Sheet2!$B$1:$E$19,2,FALSE)</f>
        <v>1073</v>
      </c>
      <c r="N103">
        <f>VLOOKUP(F103,Sheet2!$B$1:$E$19,3,FALSE)</f>
        <v>1108959</v>
      </c>
      <c r="O103">
        <f>IF(G103="Not available","",VLOOKUP(F103,Sheet2!$B$1:$E$19,4,FALSE)+(G103-1))</f>
        <v>3780024</v>
      </c>
    </row>
    <row r="104" spans="1:15" s="1" customFormat="1" ht="15" customHeight="1" x14ac:dyDescent="0.25">
      <c r="A104" s="18" t="s">
        <v>942</v>
      </c>
      <c r="B104" s="18" t="s">
        <v>304</v>
      </c>
      <c r="C104" s="5">
        <v>1863</v>
      </c>
      <c r="E104" s="1" t="s">
        <v>939</v>
      </c>
      <c r="F104" s="18">
        <v>999</v>
      </c>
      <c r="G104" s="18">
        <v>41</v>
      </c>
      <c r="H104" s="5">
        <v>39</v>
      </c>
      <c r="I104" s="1">
        <v>63</v>
      </c>
      <c r="J104" s="1">
        <v>96</v>
      </c>
      <c r="L104" t="str">
        <f t="shared" si="1"/>
        <v>http://www.badatelna.eu/reprodukce/?fondId=241&amp;zaznamId=1133739&amp;reproId=3885770</v>
      </c>
      <c r="M104">
        <f>VLOOKUP(F104,Sheet2!$B$1:$E$19,2,FALSE)</f>
        <v>241</v>
      </c>
      <c r="N104">
        <f>VLOOKUP(F104,Sheet2!$B$1:$E$19,3,FALSE)</f>
        <v>1133739</v>
      </c>
      <c r="O104">
        <f>IF(G104="Not available","",VLOOKUP(F104,Sheet2!$B$1:$E$19,4,FALSE)+(G104-1))</f>
        <v>3885770</v>
      </c>
    </row>
    <row r="105" spans="1:15" s="1" customFormat="1" ht="15" customHeight="1" x14ac:dyDescent="0.25">
      <c r="A105" s="18" t="s">
        <v>940</v>
      </c>
      <c r="B105" s="18" t="s">
        <v>477</v>
      </c>
      <c r="C105" s="5" t="s">
        <v>1324</v>
      </c>
      <c r="D105" s="1" t="s">
        <v>21</v>
      </c>
      <c r="E105" s="1" t="s">
        <v>2</v>
      </c>
      <c r="F105" s="18">
        <v>2165</v>
      </c>
      <c r="G105" s="18">
        <v>44</v>
      </c>
      <c r="H105" s="5">
        <v>41</v>
      </c>
      <c r="I105" s="1">
        <v>81</v>
      </c>
      <c r="J105" s="1" t="s">
        <v>3271</v>
      </c>
      <c r="L105" t="str">
        <f t="shared" si="1"/>
        <v>http://www.badatelna.eu/reprodukce/?fondId=1073&amp;zaznamId=1108952&amp;reproId=3778905</v>
      </c>
      <c r="M105">
        <f>VLOOKUP(F105,Sheet2!$B$1:$E$19,2,FALSE)</f>
        <v>1073</v>
      </c>
      <c r="N105">
        <f>VLOOKUP(F105,Sheet2!$B$1:$E$19,3,FALSE)</f>
        <v>1108952</v>
      </c>
      <c r="O105">
        <f>IF(G105="Not available","",VLOOKUP(F105,Sheet2!$B$1:$E$19,4,FALSE)+(G105-1))</f>
        <v>3778905</v>
      </c>
    </row>
    <row r="106" spans="1:15" s="1" customFormat="1" ht="15" customHeight="1" x14ac:dyDescent="0.25">
      <c r="A106" s="18" t="s">
        <v>940</v>
      </c>
      <c r="B106" s="18" t="s">
        <v>850</v>
      </c>
      <c r="C106" s="6" t="s">
        <v>2072</v>
      </c>
      <c r="D106" s="4" t="s">
        <v>2057</v>
      </c>
      <c r="E106" s="4" t="s">
        <v>2</v>
      </c>
      <c r="F106" s="18">
        <v>2176</v>
      </c>
      <c r="G106" s="18" t="s">
        <v>3271</v>
      </c>
      <c r="H106" s="6" t="s">
        <v>2016</v>
      </c>
      <c r="I106" s="1">
        <v>5</v>
      </c>
      <c r="J106" s="1" t="s">
        <v>3271</v>
      </c>
      <c r="K106" s="3"/>
      <c r="L106" t="str">
        <f t="shared" si="1"/>
        <v/>
      </c>
      <c r="M106">
        <f>VLOOKUP(F106,Sheet2!$B$1:$E$19,2,FALSE)</f>
        <v>1073</v>
      </c>
      <c r="N106">
        <f>VLOOKUP(F106,Sheet2!$B$1:$E$19,3,FALSE)</f>
        <v>1108963</v>
      </c>
      <c r="O106" t="str">
        <f>IF(G106="Not available","",VLOOKUP(F106,Sheet2!$B$1:$E$19,4,FALSE)+(G106-1))</f>
        <v/>
      </c>
    </row>
    <row r="107" spans="1:15" s="1" customFormat="1" ht="15" customHeight="1" x14ac:dyDescent="0.25">
      <c r="A107" s="18" t="s">
        <v>940</v>
      </c>
      <c r="B107" s="18" t="s">
        <v>850</v>
      </c>
      <c r="C107" s="5" t="s">
        <v>1744</v>
      </c>
      <c r="D107" s="1" t="s">
        <v>96</v>
      </c>
      <c r="E107" s="1" t="s">
        <v>2</v>
      </c>
      <c r="F107" s="18">
        <v>2165</v>
      </c>
      <c r="G107" s="18">
        <v>229</v>
      </c>
      <c r="H107" s="5">
        <v>2</v>
      </c>
      <c r="I107" s="1">
        <v>231</v>
      </c>
      <c r="J107" s="1">
        <v>207</v>
      </c>
      <c r="L107" t="str">
        <f t="shared" si="1"/>
        <v>http://www.badatelna.eu/reprodukce/?fondId=1073&amp;zaznamId=1108952&amp;reproId=3779090</v>
      </c>
      <c r="M107">
        <f>VLOOKUP(F107,Sheet2!$B$1:$E$19,2,FALSE)</f>
        <v>1073</v>
      </c>
      <c r="N107">
        <f>VLOOKUP(F107,Sheet2!$B$1:$E$19,3,FALSE)</f>
        <v>1108952</v>
      </c>
      <c r="O107">
        <f>IF(G107="Not available","",VLOOKUP(F107,Sheet2!$B$1:$E$19,4,FALSE)+(G107-1))</f>
        <v>3779090</v>
      </c>
    </row>
    <row r="108" spans="1:15" s="1" customFormat="1" ht="15" customHeight="1" x14ac:dyDescent="0.25">
      <c r="A108" s="18" t="s">
        <v>940</v>
      </c>
      <c r="B108" s="18" t="s">
        <v>850</v>
      </c>
      <c r="C108" s="6" t="s">
        <v>2093</v>
      </c>
      <c r="D108" s="4" t="s">
        <v>2057</v>
      </c>
      <c r="E108" s="4" t="s">
        <v>2</v>
      </c>
      <c r="F108" s="18">
        <v>2176</v>
      </c>
      <c r="G108" s="18" t="s">
        <v>3271</v>
      </c>
      <c r="H108" s="6" t="s">
        <v>2083</v>
      </c>
      <c r="I108" s="1">
        <v>5</v>
      </c>
      <c r="J108" s="1" t="s">
        <v>3271</v>
      </c>
      <c r="K108" s="3"/>
      <c r="L108" t="str">
        <f t="shared" si="1"/>
        <v/>
      </c>
      <c r="M108">
        <f>VLOOKUP(F108,Sheet2!$B$1:$E$19,2,FALSE)</f>
        <v>1073</v>
      </c>
      <c r="N108">
        <f>VLOOKUP(F108,Sheet2!$B$1:$E$19,3,FALSE)</f>
        <v>1108963</v>
      </c>
      <c r="O108" t="str">
        <f>IF(G108="Not available","",VLOOKUP(F108,Sheet2!$B$1:$E$19,4,FALSE)+(G108-1))</f>
        <v/>
      </c>
    </row>
    <row r="109" spans="1:15" s="1" customFormat="1" ht="15" customHeight="1" x14ac:dyDescent="0.25">
      <c r="A109" s="18" t="s">
        <v>940</v>
      </c>
      <c r="B109" s="18" t="s">
        <v>850</v>
      </c>
      <c r="C109" s="5" t="s">
        <v>1904</v>
      </c>
      <c r="D109" s="1" t="s">
        <v>96</v>
      </c>
      <c r="E109" s="1" t="s">
        <v>2</v>
      </c>
      <c r="F109" s="18">
        <v>2165</v>
      </c>
      <c r="G109" s="18">
        <v>275</v>
      </c>
      <c r="H109" s="5">
        <v>1</v>
      </c>
      <c r="I109" s="1">
        <v>278</v>
      </c>
      <c r="J109" s="1">
        <v>252</v>
      </c>
      <c r="L109" t="str">
        <f t="shared" si="1"/>
        <v>http://www.badatelna.eu/reprodukce/?fondId=1073&amp;zaznamId=1108952&amp;reproId=3779136</v>
      </c>
      <c r="M109">
        <f>VLOOKUP(F109,Sheet2!$B$1:$E$19,2,FALSE)</f>
        <v>1073</v>
      </c>
      <c r="N109">
        <f>VLOOKUP(F109,Sheet2!$B$1:$E$19,3,FALSE)</f>
        <v>1108952</v>
      </c>
      <c r="O109">
        <f>IF(G109="Not available","",VLOOKUP(F109,Sheet2!$B$1:$E$19,4,FALSE)+(G109-1))</f>
        <v>3779136</v>
      </c>
    </row>
    <row r="110" spans="1:15" s="1" customFormat="1" ht="15" customHeight="1" x14ac:dyDescent="0.25">
      <c r="A110" s="18" t="s">
        <v>940</v>
      </c>
      <c r="B110" s="18" t="s">
        <v>92</v>
      </c>
      <c r="C110" s="5">
        <v>1886</v>
      </c>
      <c r="D110" s="1" t="s">
        <v>769</v>
      </c>
      <c r="E110" s="1" t="s">
        <v>2</v>
      </c>
      <c r="F110" s="18">
        <v>2165</v>
      </c>
      <c r="G110" s="18">
        <v>208</v>
      </c>
      <c r="H110" s="5">
        <v>2</v>
      </c>
      <c r="I110" s="1">
        <v>210</v>
      </c>
      <c r="J110" s="1">
        <v>186</v>
      </c>
      <c r="L110" t="str">
        <f t="shared" si="1"/>
        <v>http://www.badatelna.eu/reprodukce/?fondId=1073&amp;zaznamId=1108952&amp;reproId=3779069</v>
      </c>
      <c r="M110">
        <f>VLOOKUP(F110,Sheet2!$B$1:$E$19,2,FALSE)</f>
        <v>1073</v>
      </c>
      <c r="N110">
        <f>VLOOKUP(F110,Sheet2!$B$1:$E$19,3,FALSE)</f>
        <v>1108952</v>
      </c>
      <c r="O110">
        <f>IF(G110="Not available","",VLOOKUP(F110,Sheet2!$B$1:$E$19,4,FALSE)+(G110-1))</f>
        <v>3779069</v>
      </c>
    </row>
    <row r="111" spans="1:15" s="1" customFormat="1" ht="15" customHeight="1" x14ac:dyDescent="0.25">
      <c r="A111" s="18" t="s">
        <v>940</v>
      </c>
      <c r="B111" s="18" t="s">
        <v>92</v>
      </c>
      <c r="C111" s="6" t="s">
        <v>2052</v>
      </c>
      <c r="D111" s="4" t="s">
        <v>2042</v>
      </c>
      <c r="E111" s="4" t="s">
        <v>2</v>
      </c>
      <c r="F111" s="18">
        <v>2176</v>
      </c>
      <c r="G111" s="18" t="s">
        <v>3271</v>
      </c>
      <c r="H111" s="6" t="s">
        <v>2053</v>
      </c>
      <c r="I111" s="1">
        <v>5</v>
      </c>
      <c r="J111" s="1" t="s">
        <v>3271</v>
      </c>
      <c r="K111" s="3"/>
      <c r="L111" t="str">
        <f t="shared" si="1"/>
        <v/>
      </c>
      <c r="M111">
        <f>VLOOKUP(F111,Sheet2!$B$1:$E$19,2,FALSE)</f>
        <v>1073</v>
      </c>
      <c r="N111">
        <f>VLOOKUP(F111,Sheet2!$B$1:$E$19,3,FALSE)</f>
        <v>1108963</v>
      </c>
      <c r="O111" t="str">
        <f>IF(G111="Not available","",VLOOKUP(F111,Sheet2!$B$1:$E$19,4,FALSE)+(G111-1))</f>
        <v/>
      </c>
    </row>
    <row r="112" spans="1:15" s="1" customFormat="1" ht="15" customHeight="1" x14ac:dyDescent="0.25">
      <c r="A112" s="18" t="s">
        <v>940</v>
      </c>
      <c r="B112" s="18" t="s">
        <v>92</v>
      </c>
      <c r="C112" s="5" t="s">
        <v>1339</v>
      </c>
      <c r="D112" s="1" t="s">
        <v>9</v>
      </c>
      <c r="E112" s="1" t="s">
        <v>2</v>
      </c>
      <c r="F112" s="18">
        <v>2165</v>
      </c>
      <c r="G112" s="18">
        <v>69</v>
      </c>
      <c r="H112" s="5">
        <v>66</v>
      </c>
      <c r="I112" s="1">
        <v>81</v>
      </c>
      <c r="J112" s="1" t="s">
        <v>3271</v>
      </c>
      <c r="L112" t="str">
        <f t="shared" si="1"/>
        <v>http://www.badatelna.eu/reprodukce/?fondId=1073&amp;zaznamId=1108952&amp;reproId=3778930</v>
      </c>
      <c r="M112">
        <f>VLOOKUP(F112,Sheet2!$B$1:$E$19,2,FALSE)</f>
        <v>1073</v>
      </c>
      <c r="N112">
        <f>VLOOKUP(F112,Sheet2!$B$1:$E$19,3,FALSE)</f>
        <v>1108952</v>
      </c>
      <c r="O112">
        <f>IF(G112="Not available","",VLOOKUP(F112,Sheet2!$B$1:$E$19,4,FALSE)+(G112-1))</f>
        <v>3778930</v>
      </c>
    </row>
    <row r="113" spans="1:15" s="1" customFormat="1" ht="15" customHeight="1" x14ac:dyDescent="0.25">
      <c r="A113" s="18" t="s">
        <v>940</v>
      </c>
      <c r="B113" s="18" t="s">
        <v>674</v>
      </c>
      <c r="C113" s="5">
        <v>1863</v>
      </c>
      <c r="E113" s="1" t="s">
        <v>939</v>
      </c>
      <c r="F113" s="18">
        <v>999</v>
      </c>
      <c r="G113" s="18">
        <v>43</v>
      </c>
      <c r="H113" s="5">
        <v>41</v>
      </c>
      <c r="I113" s="1">
        <v>63</v>
      </c>
      <c r="J113" s="1">
        <v>96</v>
      </c>
      <c r="L113" t="str">
        <f t="shared" si="1"/>
        <v>http://www.badatelna.eu/reprodukce/?fondId=241&amp;zaznamId=1133739&amp;reproId=3885772</v>
      </c>
      <c r="M113">
        <f>VLOOKUP(F113,Sheet2!$B$1:$E$19,2,FALSE)</f>
        <v>241</v>
      </c>
      <c r="N113">
        <f>VLOOKUP(F113,Sheet2!$B$1:$E$19,3,FALSE)</f>
        <v>1133739</v>
      </c>
      <c r="O113">
        <f>IF(G113="Not available","",VLOOKUP(F113,Sheet2!$B$1:$E$19,4,FALSE)+(G113-1))</f>
        <v>3885772</v>
      </c>
    </row>
    <row r="114" spans="1:15" s="1" customFormat="1" ht="15" customHeight="1" x14ac:dyDescent="0.25">
      <c r="A114" s="18" t="s">
        <v>940</v>
      </c>
      <c r="B114" s="18" t="s">
        <v>482</v>
      </c>
      <c r="C114" s="5">
        <v>1884</v>
      </c>
      <c r="D114" s="1" t="s">
        <v>769</v>
      </c>
      <c r="E114" s="1" t="s">
        <v>2</v>
      </c>
      <c r="F114" s="18">
        <v>2165</v>
      </c>
      <c r="G114" s="18">
        <v>193</v>
      </c>
      <c r="H114" s="5">
        <v>1</v>
      </c>
      <c r="I114" s="1">
        <v>196</v>
      </c>
      <c r="J114" s="1">
        <v>173</v>
      </c>
      <c r="L114" t="str">
        <f t="shared" si="1"/>
        <v>http://www.badatelna.eu/reprodukce/?fondId=1073&amp;zaznamId=1108952&amp;reproId=3779054</v>
      </c>
      <c r="M114">
        <f>VLOOKUP(F114,Sheet2!$B$1:$E$19,2,FALSE)</f>
        <v>1073</v>
      </c>
      <c r="N114">
        <f>VLOOKUP(F114,Sheet2!$B$1:$E$19,3,FALSE)</f>
        <v>1108952</v>
      </c>
      <c r="O114">
        <f>IF(G114="Not available","",VLOOKUP(F114,Sheet2!$B$1:$E$19,4,FALSE)+(G114-1))</f>
        <v>3779054</v>
      </c>
    </row>
    <row r="115" spans="1:15" s="1" customFormat="1" ht="15" customHeight="1" x14ac:dyDescent="0.25">
      <c r="A115" s="18" t="s">
        <v>940</v>
      </c>
      <c r="B115" s="18" t="s">
        <v>1017</v>
      </c>
      <c r="C115" s="5" t="s">
        <v>1767</v>
      </c>
      <c r="D115" s="1" t="s">
        <v>96</v>
      </c>
      <c r="E115" s="1" t="s">
        <v>2</v>
      </c>
      <c r="F115" s="18">
        <v>2165</v>
      </c>
      <c r="G115" s="18">
        <v>236</v>
      </c>
      <c r="H115" s="5">
        <v>3</v>
      </c>
      <c r="I115" s="1">
        <v>237</v>
      </c>
      <c r="J115" s="1">
        <v>213</v>
      </c>
      <c r="L115" t="str">
        <f t="shared" si="1"/>
        <v>http://www.badatelna.eu/reprodukce/?fondId=1073&amp;zaznamId=1108952&amp;reproId=3779097</v>
      </c>
      <c r="M115">
        <f>VLOOKUP(F115,Sheet2!$B$1:$E$19,2,FALSE)</f>
        <v>1073</v>
      </c>
      <c r="N115">
        <f>VLOOKUP(F115,Sheet2!$B$1:$E$19,3,FALSE)</f>
        <v>1108952</v>
      </c>
      <c r="O115">
        <f>IF(G115="Not available","",VLOOKUP(F115,Sheet2!$B$1:$E$19,4,FALSE)+(G115-1))</f>
        <v>3779097</v>
      </c>
    </row>
    <row r="116" spans="1:15" s="1" customFormat="1" ht="15" customHeight="1" x14ac:dyDescent="0.25">
      <c r="A116" s="18" t="s">
        <v>940</v>
      </c>
      <c r="B116" s="18" t="s">
        <v>9</v>
      </c>
      <c r="C116" s="5">
        <v>1859</v>
      </c>
      <c r="E116" s="1" t="s">
        <v>939</v>
      </c>
      <c r="F116" s="18">
        <v>999</v>
      </c>
      <c r="G116" s="18">
        <v>16</v>
      </c>
      <c r="H116" s="5">
        <v>14</v>
      </c>
      <c r="I116" s="1">
        <v>63</v>
      </c>
      <c r="J116" s="1">
        <v>96</v>
      </c>
      <c r="L116" t="str">
        <f t="shared" si="1"/>
        <v>http://www.badatelna.eu/reprodukce/?fondId=241&amp;zaznamId=1133739&amp;reproId=3885745</v>
      </c>
      <c r="M116">
        <f>VLOOKUP(F116,Sheet2!$B$1:$E$19,2,FALSE)</f>
        <v>241</v>
      </c>
      <c r="N116">
        <f>VLOOKUP(F116,Sheet2!$B$1:$E$19,3,FALSE)</f>
        <v>1133739</v>
      </c>
      <c r="O116">
        <f>IF(G116="Not available","",VLOOKUP(F116,Sheet2!$B$1:$E$19,4,FALSE)+(G116-1))</f>
        <v>3885745</v>
      </c>
    </row>
    <row r="117" spans="1:15" s="1" customFormat="1" ht="15" customHeight="1" x14ac:dyDescent="0.25">
      <c r="A117" s="18" t="s">
        <v>940</v>
      </c>
      <c r="B117" s="18" t="s">
        <v>490</v>
      </c>
      <c r="C117" s="6" t="s">
        <v>1987</v>
      </c>
      <c r="D117" s="4" t="s">
        <v>1993</v>
      </c>
      <c r="E117" s="4" t="s">
        <v>2</v>
      </c>
      <c r="F117" s="18">
        <v>2176</v>
      </c>
      <c r="G117" s="18" t="s">
        <v>3271</v>
      </c>
      <c r="H117" s="6" t="s">
        <v>1994</v>
      </c>
      <c r="I117" s="1">
        <v>4</v>
      </c>
      <c r="J117" s="1" t="s">
        <v>3271</v>
      </c>
      <c r="L117" t="str">
        <f t="shared" si="1"/>
        <v/>
      </c>
      <c r="M117">
        <f>VLOOKUP(F117,Sheet2!$B$1:$E$19,2,FALSE)</f>
        <v>1073</v>
      </c>
      <c r="N117">
        <f>VLOOKUP(F117,Sheet2!$B$1:$E$19,3,FALSE)</f>
        <v>1108963</v>
      </c>
      <c r="O117" t="str">
        <f>IF(G117="Not available","",VLOOKUP(F117,Sheet2!$B$1:$E$19,4,FALSE)+(G117-1))</f>
        <v/>
      </c>
    </row>
    <row r="118" spans="1:15" s="1" customFormat="1" ht="15" customHeight="1" x14ac:dyDescent="0.25">
      <c r="A118" s="18" t="s">
        <v>940</v>
      </c>
      <c r="B118" s="18" t="s">
        <v>774</v>
      </c>
      <c r="C118" s="5" t="s">
        <v>1304</v>
      </c>
      <c r="D118" s="1" t="s">
        <v>21</v>
      </c>
      <c r="E118" s="1" t="s">
        <v>2</v>
      </c>
      <c r="F118" s="18">
        <v>2165</v>
      </c>
      <c r="G118" s="18">
        <v>21</v>
      </c>
      <c r="H118" s="5">
        <v>18</v>
      </c>
      <c r="I118" s="1">
        <v>80</v>
      </c>
      <c r="J118" s="1" t="s">
        <v>3271</v>
      </c>
      <c r="L118" t="str">
        <f t="shared" si="1"/>
        <v>http://www.badatelna.eu/reprodukce/?fondId=1073&amp;zaznamId=1108952&amp;reproId=3778882</v>
      </c>
      <c r="M118">
        <f>VLOOKUP(F118,Sheet2!$B$1:$E$19,2,FALSE)</f>
        <v>1073</v>
      </c>
      <c r="N118">
        <f>VLOOKUP(F118,Sheet2!$B$1:$E$19,3,FALSE)</f>
        <v>1108952</v>
      </c>
      <c r="O118">
        <f>IF(G118="Not available","",VLOOKUP(F118,Sheet2!$B$1:$E$19,4,FALSE)+(G118-1))</f>
        <v>3778882</v>
      </c>
    </row>
    <row r="119" spans="1:15" s="1" customFormat="1" ht="15" customHeight="1" x14ac:dyDescent="0.25">
      <c r="A119" s="18" t="s">
        <v>940</v>
      </c>
      <c r="B119" s="18" t="s">
        <v>88</v>
      </c>
      <c r="C119" s="6" t="s">
        <v>2121</v>
      </c>
      <c r="D119" s="4" t="s">
        <v>2120</v>
      </c>
      <c r="E119" s="4" t="s">
        <v>2</v>
      </c>
      <c r="F119" s="18">
        <v>2176</v>
      </c>
      <c r="G119" s="18" t="s">
        <v>3271</v>
      </c>
      <c r="H119" s="6" t="s">
        <v>1954</v>
      </c>
      <c r="I119" s="1">
        <v>6</v>
      </c>
      <c r="J119" s="1" t="s">
        <v>3271</v>
      </c>
      <c r="K119" s="3"/>
      <c r="L119" t="str">
        <f t="shared" si="1"/>
        <v/>
      </c>
      <c r="M119">
        <f>VLOOKUP(F119,Sheet2!$B$1:$E$19,2,FALSE)</f>
        <v>1073</v>
      </c>
      <c r="N119">
        <f>VLOOKUP(F119,Sheet2!$B$1:$E$19,3,FALSE)</f>
        <v>1108963</v>
      </c>
      <c r="O119" t="str">
        <f>IF(G119="Not available","",VLOOKUP(F119,Sheet2!$B$1:$E$19,4,FALSE)+(G119-1))</f>
        <v/>
      </c>
    </row>
    <row r="120" spans="1:15" s="1" customFormat="1" ht="15" customHeight="1" x14ac:dyDescent="0.25">
      <c r="A120" s="18" t="s">
        <v>940</v>
      </c>
      <c r="B120" s="18" t="s">
        <v>2119</v>
      </c>
      <c r="C120" s="6" t="s">
        <v>1963</v>
      </c>
      <c r="D120" s="4" t="s">
        <v>2120</v>
      </c>
      <c r="E120" s="4" t="s">
        <v>2</v>
      </c>
      <c r="F120" s="18">
        <v>2176</v>
      </c>
      <c r="G120" s="18" t="s">
        <v>3271</v>
      </c>
      <c r="H120" s="6" t="s">
        <v>1955</v>
      </c>
      <c r="I120" s="1">
        <v>6</v>
      </c>
      <c r="J120" s="1" t="s">
        <v>3271</v>
      </c>
      <c r="K120" s="3"/>
      <c r="L120" t="str">
        <f t="shared" si="1"/>
        <v/>
      </c>
      <c r="M120">
        <f>VLOOKUP(F120,Sheet2!$B$1:$E$19,2,FALSE)</f>
        <v>1073</v>
      </c>
      <c r="N120">
        <f>VLOOKUP(F120,Sheet2!$B$1:$E$19,3,FALSE)</f>
        <v>1108963</v>
      </c>
      <c r="O120" t="str">
        <f>IF(G120="Not available","",VLOOKUP(F120,Sheet2!$B$1:$E$19,4,FALSE)+(G120-1))</f>
        <v/>
      </c>
    </row>
    <row r="121" spans="1:15" s="1" customFormat="1" ht="15" customHeight="1" x14ac:dyDescent="0.25">
      <c r="A121" s="18" t="s">
        <v>940</v>
      </c>
      <c r="B121" s="18" t="s">
        <v>548</v>
      </c>
      <c r="C121" s="5" t="s">
        <v>1293</v>
      </c>
      <c r="D121" s="1" t="s">
        <v>21</v>
      </c>
      <c r="E121" s="1" t="s">
        <v>2</v>
      </c>
      <c r="F121" s="18">
        <v>2165</v>
      </c>
      <c r="G121" s="18">
        <v>8</v>
      </c>
      <c r="H121" s="5">
        <v>5</v>
      </c>
      <c r="I121" s="1">
        <v>80</v>
      </c>
      <c r="J121" s="1" t="s">
        <v>3271</v>
      </c>
      <c r="L121" t="str">
        <f t="shared" si="1"/>
        <v>http://www.badatelna.eu/reprodukce/?fondId=1073&amp;zaznamId=1108952&amp;reproId=3778869</v>
      </c>
      <c r="M121">
        <f>VLOOKUP(F121,Sheet2!$B$1:$E$19,2,FALSE)</f>
        <v>1073</v>
      </c>
      <c r="N121">
        <f>VLOOKUP(F121,Sheet2!$B$1:$E$19,3,FALSE)</f>
        <v>1108952</v>
      </c>
      <c r="O121">
        <f>IF(G121="Not available","",VLOOKUP(F121,Sheet2!$B$1:$E$19,4,FALSE)+(G121-1))</f>
        <v>3778869</v>
      </c>
    </row>
    <row r="122" spans="1:15" s="1" customFormat="1" ht="15" customHeight="1" x14ac:dyDescent="0.25">
      <c r="A122" s="18" t="s">
        <v>940</v>
      </c>
      <c r="B122" s="18" t="s">
        <v>944</v>
      </c>
      <c r="C122" s="5">
        <v>1865</v>
      </c>
      <c r="E122" s="1" t="s">
        <v>939</v>
      </c>
      <c r="F122" s="18">
        <v>999</v>
      </c>
      <c r="G122" s="18">
        <v>55</v>
      </c>
      <c r="H122" s="5">
        <v>53</v>
      </c>
      <c r="I122" s="1">
        <v>63</v>
      </c>
      <c r="J122" s="1">
        <v>96</v>
      </c>
      <c r="L122" t="str">
        <f t="shared" si="1"/>
        <v>http://www.badatelna.eu/reprodukce/?fondId=241&amp;zaznamId=1133739&amp;reproId=3885784</v>
      </c>
      <c r="M122">
        <f>VLOOKUP(F122,Sheet2!$B$1:$E$19,2,FALSE)</f>
        <v>241</v>
      </c>
      <c r="N122">
        <f>VLOOKUP(F122,Sheet2!$B$1:$E$19,3,FALSE)</f>
        <v>1133739</v>
      </c>
      <c r="O122">
        <f>IF(G122="Not available","",VLOOKUP(F122,Sheet2!$B$1:$E$19,4,FALSE)+(G122-1))</f>
        <v>3885784</v>
      </c>
    </row>
    <row r="123" spans="1:15" s="1" customFormat="1" ht="15" customHeight="1" x14ac:dyDescent="0.25">
      <c r="A123" s="18" t="s">
        <v>940</v>
      </c>
      <c r="B123" s="18" t="s">
        <v>370</v>
      </c>
      <c r="C123" s="6" t="s">
        <v>2860</v>
      </c>
      <c r="E123" s="1" t="s">
        <v>939</v>
      </c>
      <c r="F123" s="18">
        <v>999</v>
      </c>
      <c r="G123" s="18">
        <v>30</v>
      </c>
      <c r="H123" s="5">
        <v>28</v>
      </c>
      <c r="I123" s="1">
        <v>63</v>
      </c>
      <c r="J123" s="1">
        <v>96</v>
      </c>
      <c r="L123" t="str">
        <f t="shared" si="1"/>
        <v>http://www.badatelna.eu/reprodukce/?fondId=241&amp;zaznamId=1133739&amp;reproId=3885759</v>
      </c>
      <c r="M123">
        <f>VLOOKUP(F123,Sheet2!$B$1:$E$19,2,FALSE)</f>
        <v>241</v>
      </c>
      <c r="N123">
        <f>VLOOKUP(F123,Sheet2!$B$1:$E$19,3,FALSE)</f>
        <v>1133739</v>
      </c>
      <c r="O123">
        <f>IF(G123="Not available","",VLOOKUP(F123,Sheet2!$B$1:$E$19,4,FALSE)+(G123-1))</f>
        <v>3885759</v>
      </c>
    </row>
    <row r="124" spans="1:15" s="1" customFormat="1" ht="15" customHeight="1" x14ac:dyDescent="0.25">
      <c r="A124" s="18" t="s">
        <v>940</v>
      </c>
      <c r="B124" s="18" t="s">
        <v>2089</v>
      </c>
      <c r="C124" s="6" t="s">
        <v>2087</v>
      </c>
      <c r="D124" s="4" t="s">
        <v>2057</v>
      </c>
      <c r="E124" s="4" t="s">
        <v>2</v>
      </c>
      <c r="F124" s="18">
        <v>2176</v>
      </c>
      <c r="G124" s="18" t="s">
        <v>3271</v>
      </c>
      <c r="H124" s="6" t="s">
        <v>2075</v>
      </c>
      <c r="I124" s="1">
        <v>5</v>
      </c>
      <c r="J124" s="1" t="s">
        <v>3271</v>
      </c>
      <c r="K124" s="3"/>
      <c r="L124" t="str">
        <f t="shared" si="1"/>
        <v/>
      </c>
      <c r="M124">
        <f>VLOOKUP(F124,Sheet2!$B$1:$E$19,2,FALSE)</f>
        <v>1073</v>
      </c>
      <c r="N124">
        <f>VLOOKUP(F124,Sheet2!$B$1:$E$19,3,FALSE)</f>
        <v>1108963</v>
      </c>
      <c r="O124" t="str">
        <f>IF(G124="Not available","",VLOOKUP(F124,Sheet2!$B$1:$E$19,4,FALSE)+(G124-1))</f>
        <v/>
      </c>
    </row>
    <row r="125" spans="1:15" s="1" customFormat="1" ht="15" customHeight="1" x14ac:dyDescent="0.25">
      <c r="A125" s="18" t="s">
        <v>940</v>
      </c>
      <c r="B125" s="18" t="s">
        <v>431</v>
      </c>
      <c r="C125" s="5" t="s">
        <v>1860</v>
      </c>
      <c r="D125" s="1" t="s">
        <v>96</v>
      </c>
      <c r="E125" s="1" t="s">
        <v>2</v>
      </c>
      <c r="F125" s="18">
        <v>2165</v>
      </c>
      <c r="G125" s="18">
        <v>260</v>
      </c>
      <c r="H125" s="5">
        <v>1</v>
      </c>
      <c r="I125" s="1">
        <v>265</v>
      </c>
      <c r="J125" s="1">
        <v>239</v>
      </c>
      <c r="L125" t="str">
        <f t="shared" si="1"/>
        <v>http://www.badatelna.eu/reprodukce/?fondId=1073&amp;zaznamId=1108952&amp;reproId=3779121</v>
      </c>
      <c r="M125">
        <f>VLOOKUP(F125,Sheet2!$B$1:$E$19,2,FALSE)</f>
        <v>1073</v>
      </c>
      <c r="N125">
        <f>VLOOKUP(F125,Sheet2!$B$1:$E$19,3,FALSE)</f>
        <v>1108952</v>
      </c>
      <c r="O125">
        <f>IF(G125="Not available","",VLOOKUP(F125,Sheet2!$B$1:$E$19,4,FALSE)+(G125-1))</f>
        <v>3779121</v>
      </c>
    </row>
    <row r="126" spans="1:15" s="1" customFormat="1" ht="15" customHeight="1" x14ac:dyDescent="0.25">
      <c r="A126" s="18" t="s">
        <v>940</v>
      </c>
      <c r="B126" s="18" t="s">
        <v>602</v>
      </c>
      <c r="C126" s="6" t="s">
        <v>2079</v>
      </c>
      <c r="D126" s="4" t="s">
        <v>2057</v>
      </c>
      <c r="E126" s="4" t="s">
        <v>2</v>
      </c>
      <c r="F126" s="18">
        <v>2176</v>
      </c>
      <c r="G126" s="18" t="s">
        <v>3271</v>
      </c>
      <c r="H126" s="6" t="s">
        <v>1955</v>
      </c>
      <c r="I126" s="1">
        <v>5</v>
      </c>
      <c r="J126" s="1" t="s">
        <v>3271</v>
      </c>
      <c r="K126" s="3"/>
      <c r="L126" t="str">
        <f t="shared" si="1"/>
        <v/>
      </c>
      <c r="M126">
        <f>VLOOKUP(F126,Sheet2!$B$1:$E$19,2,FALSE)</f>
        <v>1073</v>
      </c>
      <c r="N126">
        <f>VLOOKUP(F126,Sheet2!$B$1:$E$19,3,FALSE)</f>
        <v>1108963</v>
      </c>
      <c r="O126" t="str">
        <f>IF(G126="Not available","",VLOOKUP(F126,Sheet2!$B$1:$E$19,4,FALSE)+(G126-1))</f>
        <v/>
      </c>
    </row>
    <row r="127" spans="1:15" s="1" customFormat="1" ht="15" customHeight="1" x14ac:dyDescent="0.25">
      <c r="A127" s="18" t="s">
        <v>940</v>
      </c>
      <c r="B127" s="18" t="s">
        <v>602</v>
      </c>
      <c r="C127" s="5" t="s">
        <v>1337</v>
      </c>
      <c r="D127" s="1" t="s">
        <v>700</v>
      </c>
      <c r="E127" s="1" t="s">
        <v>2</v>
      </c>
      <c r="F127" s="18">
        <v>2165</v>
      </c>
      <c r="G127" s="18">
        <v>66</v>
      </c>
      <c r="H127" s="5">
        <v>63</v>
      </c>
      <c r="I127" s="1">
        <v>81</v>
      </c>
      <c r="J127" s="1" t="s">
        <v>3271</v>
      </c>
      <c r="L127" t="str">
        <f t="shared" si="1"/>
        <v>http://www.badatelna.eu/reprodukce/?fondId=1073&amp;zaznamId=1108952&amp;reproId=3778927</v>
      </c>
      <c r="M127">
        <f>VLOOKUP(F127,Sheet2!$B$1:$E$19,2,FALSE)</f>
        <v>1073</v>
      </c>
      <c r="N127">
        <f>VLOOKUP(F127,Sheet2!$B$1:$E$19,3,FALSE)</f>
        <v>1108952</v>
      </c>
      <c r="O127">
        <f>IF(G127="Not available","",VLOOKUP(F127,Sheet2!$B$1:$E$19,4,FALSE)+(G127-1))</f>
        <v>3778927</v>
      </c>
    </row>
    <row r="128" spans="1:15" s="1" customFormat="1" ht="15" customHeight="1" x14ac:dyDescent="0.25">
      <c r="A128" s="18" t="s">
        <v>940</v>
      </c>
      <c r="B128" s="18" t="s">
        <v>602</v>
      </c>
      <c r="C128" s="5" t="s">
        <v>1793</v>
      </c>
      <c r="D128" s="1" t="s">
        <v>96</v>
      </c>
      <c r="E128" s="1" t="s">
        <v>2</v>
      </c>
      <c r="F128" s="18">
        <v>2165</v>
      </c>
      <c r="G128" s="18">
        <v>241</v>
      </c>
      <c r="H128" s="5">
        <v>1</v>
      </c>
      <c r="I128" s="1">
        <v>244</v>
      </c>
      <c r="J128" s="1">
        <v>220</v>
      </c>
      <c r="L128" t="str">
        <f t="shared" si="1"/>
        <v>http://www.badatelna.eu/reprodukce/?fondId=1073&amp;zaznamId=1108952&amp;reproId=3779102</v>
      </c>
      <c r="M128">
        <f>VLOOKUP(F128,Sheet2!$B$1:$E$19,2,FALSE)</f>
        <v>1073</v>
      </c>
      <c r="N128">
        <f>VLOOKUP(F128,Sheet2!$B$1:$E$19,3,FALSE)</f>
        <v>1108952</v>
      </c>
      <c r="O128">
        <f>IF(G128="Not available","",VLOOKUP(F128,Sheet2!$B$1:$E$19,4,FALSE)+(G128-1))</f>
        <v>3779102</v>
      </c>
    </row>
    <row r="129" spans="1:15" s="1" customFormat="1" ht="15" customHeight="1" x14ac:dyDescent="0.25">
      <c r="A129" s="18" t="s">
        <v>940</v>
      </c>
      <c r="B129" s="18" t="s">
        <v>172</v>
      </c>
      <c r="C129" s="6" t="s">
        <v>1969</v>
      </c>
      <c r="D129" s="4" t="s">
        <v>1975</v>
      </c>
      <c r="E129" s="4" t="s">
        <v>2</v>
      </c>
      <c r="F129" s="18">
        <v>2176</v>
      </c>
      <c r="G129" s="18" t="s">
        <v>3271</v>
      </c>
      <c r="H129" s="6" t="s">
        <v>1976</v>
      </c>
      <c r="I129" s="1">
        <v>4</v>
      </c>
      <c r="J129" s="1" t="s">
        <v>3271</v>
      </c>
      <c r="L129" t="str">
        <f t="shared" si="1"/>
        <v/>
      </c>
      <c r="M129">
        <f>VLOOKUP(F129,Sheet2!$B$1:$E$19,2,FALSE)</f>
        <v>1073</v>
      </c>
      <c r="N129">
        <f>VLOOKUP(F129,Sheet2!$B$1:$E$19,3,FALSE)</f>
        <v>1108963</v>
      </c>
      <c r="O129" t="str">
        <f>IF(G129="Not available","",VLOOKUP(F129,Sheet2!$B$1:$E$19,4,FALSE)+(G129-1))</f>
        <v/>
      </c>
    </row>
    <row r="130" spans="1:15" s="1" customFormat="1" ht="15" customHeight="1" x14ac:dyDescent="0.25">
      <c r="A130" s="18" t="s">
        <v>940</v>
      </c>
      <c r="B130" s="18" t="s">
        <v>172</v>
      </c>
      <c r="C130" s="6" t="s">
        <v>2041</v>
      </c>
      <c r="D130" s="4" t="s">
        <v>2042</v>
      </c>
      <c r="E130" s="4" t="s">
        <v>2</v>
      </c>
      <c r="F130" s="18">
        <v>2176</v>
      </c>
      <c r="G130" s="18" t="s">
        <v>3271</v>
      </c>
      <c r="H130" s="6" t="s">
        <v>2044</v>
      </c>
      <c r="I130" s="1">
        <v>5</v>
      </c>
      <c r="J130" s="1" t="s">
        <v>3271</v>
      </c>
      <c r="K130" s="3"/>
      <c r="L130" t="str">
        <f t="shared" si="1"/>
        <v/>
      </c>
      <c r="M130">
        <f>VLOOKUP(F130,Sheet2!$B$1:$E$19,2,FALSE)</f>
        <v>1073</v>
      </c>
      <c r="N130">
        <f>VLOOKUP(F130,Sheet2!$B$1:$E$19,3,FALSE)</f>
        <v>1108963</v>
      </c>
      <c r="O130" t="str">
        <f>IF(G130="Not available","",VLOOKUP(F130,Sheet2!$B$1:$E$19,4,FALSE)+(G130-1))</f>
        <v/>
      </c>
    </row>
    <row r="131" spans="1:15" s="1" customFormat="1" ht="15" customHeight="1" x14ac:dyDescent="0.25">
      <c r="A131" s="18" t="s">
        <v>940</v>
      </c>
      <c r="B131" s="18" t="s">
        <v>2113</v>
      </c>
      <c r="C131" s="6" t="s">
        <v>2111</v>
      </c>
      <c r="D131" s="4" t="s">
        <v>2114</v>
      </c>
      <c r="E131" s="4" t="s">
        <v>2</v>
      </c>
      <c r="F131" s="18">
        <v>2176</v>
      </c>
      <c r="G131" s="18" t="s">
        <v>3271</v>
      </c>
      <c r="H131" s="6" t="s">
        <v>2105</v>
      </c>
      <c r="I131" s="1">
        <v>6</v>
      </c>
      <c r="J131" s="1" t="s">
        <v>3271</v>
      </c>
      <c r="K131" s="3"/>
      <c r="L131" t="str">
        <f t="shared" ref="L131:L194" si="2">IF(G131="Not available","","http://www.badatelna.eu/reprodukce/?fondId="&amp;M131&amp;"&amp;zaznamId="&amp;N131&amp;"&amp;reproId="&amp;O131)</f>
        <v/>
      </c>
      <c r="M131">
        <f>VLOOKUP(F131,Sheet2!$B$1:$E$19,2,FALSE)</f>
        <v>1073</v>
      </c>
      <c r="N131">
        <f>VLOOKUP(F131,Sheet2!$B$1:$E$19,3,FALSE)</f>
        <v>1108963</v>
      </c>
      <c r="O131" t="str">
        <f>IF(G131="Not available","",VLOOKUP(F131,Sheet2!$B$1:$E$19,4,FALSE)+(G131-1))</f>
        <v/>
      </c>
    </row>
    <row r="132" spans="1:15" s="1" customFormat="1" ht="15" customHeight="1" x14ac:dyDescent="0.25">
      <c r="A132" s="18" t="s">
        <v>940</v>
      </c>
      <c r="B132" s="18" t="s">
        <v>463</v>
      </c>
      <c r="C132" s="6" t="s">
        <v>2074</v>
      </c>
      <c r="D132" s="4" t="s">
        <v>2076</v>
      </c>
      <c r="E132" s="4" t="s">
        <v>2</v>
      </c>
      <c r="F132" s="18">
        <v>2176</v>
      </c>
      <c r="G132" s="18" t="s">
        <v>3271</v>
      </c>
      <c r="H132" s="6" t="s">
        <v>2046</v>
      </c>
      <c r="I132" s="1">
        <v>5</v>
      </c>
      <c r="J132" s="1" t="s">
        <v>3271</v>
      </c>
      <c r="K132" s="3"/>
      <c r="L132" t="str">
        <f t="shared" si="2"/>
        <v/>
      </c>
      <c r="M132">
        <f>VLOOKUP(F132,Sheet2!$B$1:$E$19,2,FALSE)</f>
        <v>1073</v>
      </c>
      <c r="N132">
        <f>VLOOKUP(F132,Sheet2!$B$1:$E$19,3,FALSE)</f>
        <v>1108963</v>
      </c>
      <c r="O132" t="str">
        <f>IF(G132="Not available","",VLOOKUP(F132,Sheet2!$B$1:$E$19,4,FALSE)+(G132-1))</f>
        <v/>
      </c>
    </row>
    <row r="133" spans="1:15" s="1" customFormat="1" ht="15" customHeight="1" x14ac:dyDescent="0.25">
      <c r="A133" s="18" t="s">
        <v>940</v>
      </c>
      <c r="B133" s="18" t="s">
        <v>2084</v>
      </c>
      <c r="C133" s="6" t="s">
        <v>1952</v>
      </c>
      <c r="D133" s="4" t="s">
        <v>2057</v>
      </c>
      <c r="E133" s="4" t="s">
        <v>2</v>
      </c>
      <c r="F133" s="18">
        <v>2176</v>
      </c>
      <c r="G133" s="18" t="s">
        <v>3271</v>
      </c>
      <c r="H133" s="6" t="s">
        <v>2075</v>
      </c>
      <c r="I133" s="1">
        <v>5</v>
      </c>
      <c r="J133" s="1" t="s">
        <v>3271</v>
      </c>
      <c r="K133" s="3"/>
      <c r="L133" t="str">
        <f t="shared" si="2"/>
        <v/>
      </c>
      <c r="M133">
        <f>VLOOKUP(F133,Sheet2!$B$1:$E$19,2,FALSE)</f>
        <v>1073</v>
      </c>
      <c r="N133">
        <f>VLOOKUP(F133,Sheet2!$B$1:$E$19,3,FALSE)</f>
        <v>1108963</v>
      </c>
      <c r="O133" t="str">
        <f>IF(G133="Not available","",VLOOKUP(F133,Sheet2!$B$1:$E$19,4,FALSE)+(G133-1))</f>
        <v/>
      </c>
    </row>
    <row r="134" spans="1:15" s="1" customFormat="1" ht="15" customHeight="1" x14ac:dyDescent="0.25">
      <c r="A134" s="18" t="s">
        <v>940</v>
      </c>
      <c r="B134" s="18" t="s">
        <v>845</v>
      </c>
      <c r="C134" s="5" t="s">
        <v>1836</v>
      </c>
      <c r="D134" s="1" t="s">
        <v>96</v>
      </c>
      <c r="E134" s="1" t="s">
        <v>2</v>
      </c>
      <c r="F134" s="18">
        <v>2165</v>
      </c>
      <c r="G134" s="18">
        <v>254</v>
      </c>
      <c r="H134" s="5">
        <v>1</v>
      </c>
      <c r="I134" s="1">
        <v>252</v>
      </c>
      <c r="J134" s="1">
        <v>228</v>
      </c>
      <c r="L134" t="str">
        <f t="shared" si="2"/>
        <v>http://www.badatelna.eu/reprodukce/?fondId=1073&amp;zaznamId=1108952&amp;reproId=3779115</v>
      </c>
      <c r="M134">
        <f>VLOOKUP(F134,Sheet2!$B$1:$E$19,2,FALSE)</f>
        <v>1073</v>
      </c>
      <c r="N134">
        <f>VLOOKUP(F134,Sheet2!$B$1:$E$19,3,FALSE)</f>
        <v>1108952</v>
      </c>
      <c r="O134">
        <f>IF(G134="Not available","",VLOOKUP(F134,Sheet2!$B$1:$E$19,4,FALSE)+(G134-1))</f>
        <v>3779115</v>
      </c>
    </row>
    <row r="135" spans="1:15" s="1" customFormat="1" ht="15" customHeight="1" x14ac:dyDescent="0.25">
      <c r="A135" s="18" t="s">
        <v>940</v>
      </c>
      <c r="B135" s="18" t="s">
        <v>1207</v>
      </c>
      <c r="C135" s="6" t="s">
        <v>1768</v>
      </c>
      <c r="D135" s="1" t="s">
        <v>769</v>
      </c>
      <c r="E135" s="1" t="s">
        <v>2</v>
      </c>
      <c r="F135" s="18">
        <v>2165</v>
      </c>
      <c r="G135" s="18">
        <v>255</v>
      </c>
      <c r="H135" s="5">
        <v>3</v>
      </c>
      <c r="I135" s="1">
        <v>237</v>
      </c>
      <c r="J135" s="1">
        <v>213</v>
      </c>
      <c r="L135" t="str">
        <f t="shared" si="2"/>
        <v>http://www.badatelna.eu/reprodukce/?fondId=1073&amp;zaznamId=1108952&amp;reproId=3779116</v>
      </c>
      <c r="M135">
        <f>VLOOKUP(F135,Sheet2!$B$1:$E$19,2,FALSE)</f>
        <v>1073</v>
      </c>
      <c r="N135">
        <f>VLOOKUP(F135,Sheet2!$B$1:$E$19,3,FALSE)</f>
        <v>1108952</v>
      </c>
      <c r="O135">
        <f>IF(G135="Not available","",VLOOKUP(F135,Sheet2!$B$1:$E$19,4,FALSE)+(G135-1))</f>
        <v>3779116</v>
      </c>
    </row>
    <row r="136" spans="1:15" s="1" customFormat="1" ht="15" customHeight="1" x14ac:dyDescent="0.25">
      <c r="A136" s="18" t="s">
        <v>940</v>
      </c>
      <c r="B136" s="18" t="s">
        <v>2077</v>
      </c>
      <c r="C136" s="6" t="s">
        <v>2074</v>
      </c>
      <c r="D136" s="4" t="s">
        <v>2042</v>
      </c>
      <c r="E136" s="4" t="s">
        <v>2</v>
      </c>
      <c r="F136" s="18">
        <v>2176</v>
      </c>
      <c r="G136" s="18" t="s">
        <v>3271</v>
      </c>
      <c r="H136" s="6" t="s">
        <v>2078</v>
      </c>
      <c r="I136" s="1">
        <v>5</v>
      </c>
      <c r="J136" s="1" t="s">
        <v>3271</v>
      </c>
      <c r="K136" s="3"/>
      <c r="L136" t="str">
        <f t="shared" si="2"/>
        <v/>
      </c>
      <c r="M136">
        <f>VLOOKUP(F136,Sheet2!$B$1:$E$19,2,FALSE)</f>
        <v>1073</v>
      </c>
      <c r="N136">
        <f>VLOOKUP(F136,Sheet2!$B$1:$E$19,3,FALSE)</f>
        <v>1108963</v>
      </c>
      <c r="O136" t="str">
        <f>IF(G136="Not available","",VLOOKUP(F136,Sheet2!$B$1:$E$19,4,FALSE)+(G136-1))</f>
        <v/>
      </c>
    </row>
    <row r="137" spans="1:15" s="1" customFormat="1" ht="15" customHeight="1" x14ac:dyDescent="0.25">
      <c r="A137" s="18" t="s">
        <v>940</v>
      </c>
      <c r="B137" s="18" t="s">
        <v>422</v>
      </c>
      <c r="C137" s="5">
        <v>1864</v>
      </c>
      <c r="E137" s="1" t="s">
        <v>939</v>
      </c>
      <c r="F137" s="18">
        <v>999</v>
      </c>
      <c r="G137" s="18">
        <v>46</v>
      </c>
      <c r="H137" s="5">
        <v>44</v>
      </c>
      <c r="I137" s="1">
        <v>63</v>
      </c>
      <c r="J137" s="1">
        <v>96</v>
      </c>
      <c r="L137" t="str">
        <f t="shared" si="2"/>
        <v>http://www.badatelna.eu/reprodukce/?fondId=241&amp;zaznamId=1133739&amp;reproId=3885775</v>
      </c>
      <c r="M137">
        <f>VLOOKUP(F137,Sheet2!$B$1:$E$19,2,FALSE)</f>
        <v>241</v>
      </c>
      <c r="N137">
        <f>VLOOKUP(F137,Sheet2!$B$1:$E$19,3,FALSE)</f>
        <v>1133739</v>
      </c>
      <c r="O137">
        <f>IF(G137="Not available","",VLOOKUP(F137,Sheet2!$B$1:$E$19,4,FALSE)+(G137-1))</f>
        <v>3885775</v>
      </c>
    </row>
    <row r="138" spans="1:15" s="1" customFormat="1" ht="15" customHeight="1" x14ac:dyDescent="0.25">
      <c r="A138" s="18" t="s">
        <v>940</v>
      </c>
      <c r="B138" s="18" t="s">
        <v>1113</v>
      </c>
      <c r="C138" s="6" t="s">
        <v>2026</v>
      </c>
      <c r="D138" s="4" t="s">
        <v>2032</v>
      </c>
      <c r="E138" s="4" t="s">
        <v>2</v>
      </c>
      <c r="F138" s="18">
        <v>2176</v>
      </c>
      <c r="G138" s="18" t="s">
        <v>3271</v>
      </c>
      <c r="H138" s="6" t="s">
        <v>2033</v>
      </c>
      <c r="I138" s="1">
        <v>5</v>
      </c>
      <c r="J138" s="1" t="s">
        <v>3271</v>
      </c>
      <c r="K138" s="3"/>
      <c r="L138" t="str">
        <f t="shared" si="2"/>
        <v/>
      </c>
      <c r="M138">
        <f>VLOOKUP(F138,Sheet2!$B$1:$E$19,2,FALSE)</f>
        <v>1073</v>
      </c>
      <c r="N138">
        <f>VLOOKUP(F138,Sheet2!$B$1:$E$19,3,FALSE)</f>
        <v>1108963</v>
      </c>
      <c r="O138" t="str">
        <f>IF(G138="Not available","",VLOOKUP(F138,Sheet2!$B$1:$E$19,4,FALSE)+(G138-1))</f>
        <v/>
      </c>
    </row>
    <row r="139" spans="1:15" s="1" customFormat="1" ht="15" customHeight="1" x14ac:dyDescent="0.25">
      <c r="A139" s="18" t="s">
        <v>940</v>
      </c>
      <c r="B139" s="18" t="s">
        <v>1113</v>
      </c>
      <c r="C139" s="5" t="s">
        <v>1713</v>
      </c>
      <c r="D139" s="1" t="s">
        <v>769</v>
      </c>
      <c r="E139" s="1" t="s">
        <v>2</v>
      </c>
      <c r="F139" s="18">
        <v>2165</v>
      </c>
      <c r="G139" s="18">
        <v>221</v>
      </c>
      <c r="H139" s="5">
        <v>5</v>
      </c>
      <c r="I139" s="1">
        <v>170</v>
      </c>
      <c r="J139" s="1">
        <v>148</v>
      </c>
      <c r="L139" t="str">
        <f t="shared" si="2"/>
        <v>http://www.badatelna.eu/reprodukce/?fondId=1073&amp;zaznamId=1108952&amp;reproId=3779082</v>
      </c>
      <c r="M139">
        <f>VLOOKUP(F139,Sheet2!$B$1:$E$19,2,FALSE)</f>
        <v>1073</v>
      </c>
      <c r="N139">
        <f>VLOOKUP(F139,Sheet2!$B$1:$E$19,3,FALSE)</f>
        <v>1108952</v>
      </c>
      <c r="O139">
        <f>IF(G139="Not available","",VLOOKUP(F139,Sheet2!$B$1:$E$19,4,FALSE)+(G139-1))</f>
        <v>3779082</v>
      </c>
    </row>
    <row r="140" spans="1:15" s="1" customFormat="1" ht="15" customHeight="1" x14ac:dyDescent="0.25">
      <c r="A140" s="18" t="s">
        <v>940</v>
      </c>
      <c r="B140" s="18" t="s">
        <v>1113</v>
      </c>
      <c r="C140" s="6" t="s">
        <v>1949</v>
      </c>
      <c r="D140" s="4" t="s">
        <v>2057</v>
      </c>
      <c r="E140" s="4" t="s">
        <v>2</v>
      </c>
      <c r="F140" s="18">
        <v>2176</v>
      </c>
      <c r="G140" s="18" t="s">
        <v>3271</v>
      </c>
      <c r="H140" s="6" t="s">
        <v>2065</v>
      </c>
      <c r="I140" s="1">
        <v>5</v>
      </c>
      <c r="J140" s="1" t="s">
        <v>3271</v>
      </c>
      <c r="K140" s="3"/>
      <c r="L140" t="str">
        <f t="shared" si="2"/>
        <v/>
      </c>
      <c r="M140">
        <f>VLOOKUP(F140,Sheet2!$B$1:$E$19,2,FALSE)</f>
        <v>1073</v>
      </c>
      <c r="N140">
        <f>VLOOKUP(F140,Sheet2!$B$1:$E$19,3,FALSE)</f>
        <v>1108963</v>
      </c>
      <c r="O140" t="str">
        <f>IF(G140="Not available","",VLOOKUP(F140,Sheet2!$B$1:$E$19,4,FALSE)+(G140-1))</f>
        <v/>
      </c>
    </row>
    <row r="141" spans="1:15" s="1" customFormat="1" ht="15" customHeight="1" x14ac:dyDescent="0.25">
      <c r="A141" s="18" t="s">
        <v>940</v>
      </c>
      <c r="B141" s="18" t="s">
        <v>2056</v>
      </c>
      <c r="C141" s="6" t="s">
        <v>2055</v>
      </c>
      <c r="D141" s="4" t="s">
        <v>2057</v>
      </c>
      <c r="E141" s="4" t="s">
        <v>2</v>
      </c>
      <c r="F141" s="18">
        <v>2176</v>
      </c>
      <c r="G141" s="18" t="s">
        <v>3271</v>
      </c>
      <c r="H141" s="6" t="s">
        <v>2058</v>
      </c>
      <c r="I141" s="1">
        <v>5</v>
      </c>
      <c r="J141" s="1" t="s">
        <v>3271</v>
      </c>
      <c r="K141"/>
      <c r="L141" t="str">
        <f t="shared" si="2"/>
        <v/>
      </c>
      <c r="M141">
        <f>VLOOKUP(F141,Sheet2!$B$1:$E$19,2,FALSE)</f>
        <v>1073</v>
      </c>
      <c r="N141">
        <f>VLOOKUP(F141,Sheet2!$B$1:$E$19,3,FALSE)</f>
        <v>1108963</v>
      </c>
      <c r="O141" t="str">
        <f>IF(G141="Not available","",VLOOKUP(F141,Sheet2!$B$1:$E$19,4,FALSE)+(G141-1))</f>
        <v/>
      </c>
    </row>
    <row r="142" spans="1:15" s="1" customFormat="1" ht="15" customHeight="1" x14ac:dyDescent="0.25">
      <c r="A142" s="18" t="s">
        <v>940</v>
      </c>
      <c r="B142" s="18" t="s">
        <v>1181</v>
      </c>
      <c r="C142" s="5">
        <v>1887</v>
      </c>
      <c r="D142" s="1" t="s">
        <v>948</v>
      </c>
      <c r="E142" s="1" t="s">
        <v>2</v>
      </c>
      <c r="F142" s="18">
        <v>2165</v>
      </c>
      <c r="G142" s="18">
        <v>213</v>
      </c>
      <c r="H142" s="5">
        <v>2</v>
      </c>
      <c r="I142" s="1">
        <v>215</v>
      </c>
      <c r="J142" s="1">
        <v>191</v>
      </c>
      <c r="L142" t="str">
        <f t="shared" si="2"/>
        <v>http://www.badatelna.eu/reprodukce/?fondId=1073&amp;zaznamId=1108952&amp;reproId=3779074</v>
      </c>
      <c r="M142">
        <f>VLOOKUP(F142,Sheet2!$B$1:$E$19,2,FALSE)</f>
        <v>1073</v>
      </c>
      <c r="N142">
        <f>VLOOKUP(F142,Sheet2!$B$1:$E$19,3,FALSE)</f>
        <v>1108952</v>
      </c>
      <c r="O142">
        <f>IF(G142="Not available","",VLOOKUP(F142,Sheet2!$B$1:$E$19,4,FALSE)+(G142-1))</f>
        <v>3779074</v>
      </c>
    </row>
    <row r="143" spans="1:15" s="1" customFormat="1" ht="15" customHeight="1" x14ac:dyDescent="0.25">
      <c r="A143" s="18" t="s">
        <v>940</v>
      </c>
      <c r="B143" s="18" t="s">
        <v>1972</v>
      </c>
      <c r="C143" s="6" t="s">
        <v>1969</v>
      </c>
      <c r="D143" s="4" t="s">
        <v>1973</v>
      </c>
      <c r="E143" s="4" t="s">
        <v>2</v>
      </c>
      <c r="F143" s="18">
        <v>2176</v>
      </c>
      <c r="G143" s="18" t="s">
        <v>3271</v>
      </c>
      <c r="H143" s="6" t="s">
        <v>1974</v>
      </c>
      <c r="I143" s="1">
        <v>4</v>
      </c>
      <c r="J143" s="1" t="s">
        <v>3271</v>
      </c>
      <c r="L143" t="str">
        <f t="shared" si="2"/>
        <v/>
      </c>
      <c r="M143">
        <f>VLOOKUP(F143,Sheet2!$B$1:$E$19,2,FALSE)</f>
        <v>1073</v>
      </c>
      <c r="N143">
        <f>VLOOKUP(F143,Sheet2!$B$1:$E$19,3,FALSE)</f>
        <v>1108963</v>
      </c>
      <c r="O143" t="str">
        <f>IF(G143="Not available","",VLOOKUP(F143,Sheet2!$B$1:$E$19,4,FALSE)+(G143-1))</f>
        <v/>
      </c>
    </row>
    <row r="144" spans="1:15" s="1" customFormat="1" ht="15" customHeight="1" x14ac:dyDescent="0.25">
      <c r="A144" s="18" t="s">
        <v>111</v>
      </c>
      <c r="B144" s="18" t="s">
        <v>50</v>
      </c>
      <c r="C144" s="5">
        <v>1807</v>
      </c>
      <c r="D144" s="1" t="s">
        <v>119</v>
      </c>
      <c r="E144" s="1" t="s">
        <v>2</v>
      </c>
      <c r="F144" s="18">
        <v>2173</v>
      </c>
      <c r="G144" s="18">
        <v>51</v>
      </c>
      <c r="H144" s="5">
        <v>97</v>
      </c>
      <c r="I144" s="1">
        <v>92</v>
      </c>
      <c r="J144" s="1">
        <v>190</v>
      </c>
      <c r="L144" t="str">
        <f t="shared" si="2"/>
        <v>http://www.badatelna.eu/reprodukce/?fondId=1073&amp;zaznamId=1108959&amp;reproId=3780044</v>
      </c>
      <c r="M144">
        <f>VLOOKUP(F144,Sheet2!$B$1:$E$19,2,FALSE)</f>
        <v>1073</v>
      </c>
      <c r="N144">
        <f>VLOOKUP(F144,Sheet2!$B$1:$E$19,3,FALSE)</f>
        <v>1108959</v>
      </c>
      <c r="O144">
        <f>IF(G144="Not available","",VLOOKUP(F144,Sheet2!$B$1:$E$19,4,FALSE)+(G144-1))</f>
        <v>3780044</v>
      </c>
    </row>
    <row r="145" spans="1:15" s="1" customFormat="1" ht="15" customHeight="1" x14ac:dyDescent="0.25">
      <c r="A145" s="18" t="s">
        <v>636</v>
      </c>
      <c r="B145" s="18" t="s">
        <v>814</v>
      </c>
      <c r="C145" s="5">
        <v>1850</v>
      </c>
      <c r="D145" s="1" t="s">
        <v>12</v>
      </c>
      <c r="E145" s="1" t="s">
        <v>2</v>
      </c>
      <c r="F145" s="18">
        <v>2164</v>
      </c>
      <c r="G145" s="18">
        <v>72</v>
      </c>
      <c r="H145" s="5">
        <v>70</v>
      </c>
      <c r="I145" s="1">
        <v>123</v>
      </c>
      <c r="J145" s="4" t="s">
        <v>3271</v>
      </c>
      <c r="L145" t="str">
        <f t="shared" si="2"/>
        <v>http://www.badatelna.eu/reprodukce/?fondId=1073&amp;zaznamId=1108951&amp;reproId=3778786</v>
      </c>
      <c r="M145">
        <f>VLOOKUP(F145,Sheet2!$B$1:$E$19,2,FALSE)</f>
        <v>1073</v>
      </c>
      <c r="N145">
        <f>VLOOKUP(F145,Sheet2!$B$1:$E$19,3,FALSE)</f>
        <v>1108951</v>
      </c>
      <c r="O145">
        <f>IF(G145="Not available","",VLOOKUP(F145,Sheet2!$B$1:$E$19,4,FALSE)+(G145-1))</f>
        <v>3778786</v>
      </c>
    </row>
    <row r="146" spans="1:15" s="1" customFormat="1" ht="15" customHeight="1" x14ac:dyDescent="0.25">
      <c r="A146" s="18" t="s">
        <v>636</v>
      </c>
      <c r="B146" s="18" t="s">
        <v>547</v>
      </c>
      <c r="C146" s="5">
        <v>1851</v>
      </c>
      <c r="D146" s="12" t="s">
        <v>50</v>
      </c>
      <c r="E146" s="1" t="s">
        <v>2</v>
      </c>
      <c r="F146" s="18">
        <v>2164</v>
      </c>
      <c r="G146" s="18">
        <v>77</v>
      </c>
      <c r="H146" s="5">
        <v>75</v>
      </c>
      <c r="I146" s="1">
        <v>123</v>
      </c>
      <c r="J146" s="4" t="s">
        <v>3271</v>
      </c>
      <c r="L146" t="str">
        <f t="shared" si="2"/>
        <v>http://www.badatelna.eu/reprodukce/?fondId=1073&amp;zaznamId=1108951&amp;reproId=3778791</v>
      </c>
      <c r="M146">
        <f>VLOOKUP(F146,Sheet2!$B$1:$E$19,2,FALSE)</f>
        <v>1073</v>
      </c>
      <c r="N146">
        <f>VLOOKUP(F146,Sheet2!$B$1:$E$19,3,FALSE)</f>
        <v>1108951</v>
      </c>
      <c r="O146">
        <f>IF(G146="Not available","",VLOOKUP(F146,Sheet2!$B$1:$E$19,4,FALSE)+(G146-1))</f>
        <v>3778791</v>
      </c>
    </row>
    <row r="147" spans="1:15" s="1" customFormat="1" ht="15" customHeight="1" x14ac:dyDescent="0.25">
      <c r="A147" s="18" t="s">
        <v>636</v>
      </c>
      <c r="B147" s="18" t="s">
        <v>547</v>
      </c>
      <c r="C147" s="5">
        <v>1852</v>
      </c>
      <c r="D147" s="1" t="s">
        <v>12</v>
      </c>
      <c r="E147" s="1" t="s">
        <v>2</v>
      </c>
      <c r="F147" s="18">
        <v>2164</v>
      </c>
      <c r="G147" s="18">
        <v>80</v>
      </c>
      <c r="H147" s="5">
        <v>78</v>
      </c>
      <c r="I147" s="1">
        <v>123</v>
      </c>
      <c r="J147" s="4" t="s">
        <v>3271</v>
      </c>
      <c r="L147" t="str">
        <f t="shared" si="2"/>
        <v>http://www.badatelna.eu/reprodukce/?fondId=1073&amp;zaznamId=1108951&amp;reproId=3778794</v>
      </c>
      <c r="M147">
        <f>VLOOKUP(F147,Sheet2!$B$1:$E$19,2,FALSE)</f>
        <v>1073</v>
      </c>
      <c r="N147">
        <f>VLOOKUP(F147,Sheet2!$B$1:$E$19,3,FALSE)</f>
        <v>1108951</v>
      </c>
      <c r="O147">
        <f>IF(G147="Not available","",VLOOKUP(F147,Sheet2!$B$1:$E$19,4,FALSE)+(G147-1))</f>
        <v>3778794</v>
      </c>
    </row>
    <row r="148" spans="1:15" s="1" customFormat="1" ht="15" customHeight="1" x14ac:dyDescent="0.25">
      <c r="A148" s="18" t="s">
        <v>636</v>
      </c>
      <c r="B148" s="18" t="s">
        <v>546</v>
      </c>
      <c r="C148" s="5">
        <v>1853</v>
      </c>
      <c r="D148" s="1" t="s">
        <v>12</v>
      </c>
      <c r="E148" s="1" t="s">
        <v>2</v>
      </c>
      <c r="F148" s="18">
        <v>2164</v>
      </c>
      <c r="G148" s="18">
        <v>93</v>
      </c>
      <c r="H148" s="5">
        <v>91</v>
      </c>
      <c r="I148" s="1">
        <v>123</v>
      </c>
      <c r="J148" s="4" t="s">
        <v>3271</v>
      </c>
      <c r="L148" t="str">
        <f t="shared" si="2"/>
        <v>http://www.badatelna.eu/reprodukce/?fondId=1073&amp;zaznamId=1108951&amp;reproId=3778807</v>
      </c>
      <c r="M148">
        <f>VLOOKUP(F148,Sheet2!$B$1:$E$19,2,FALSE)</f>
        <v>1073</v>
      </c>
      <c r="N148">
        <f>VLOOKUP(F148,Sheet2!$B$1:$E$19,3,FALSE)</f>
        <v>1108951</v>
      </c>
      <c r="O148">
        <f>IF(G148="Not available","",VLOOKUP(F148,Sheet2!$B$1:$E$19,4,FALSE)+(G148-1))</f>
        <v>3778807</v>
      </c>
    </row>
    <row r="149" spans="1:15" s="1" customFormat="1" ht="15" customHeight="1" x14ac:dyDescent="0.25">
      <c r="A149" s="18" t="s">
        <v>636</v>
      </c>
      <c r="B149" s="18" t="s">
        <v>735</v>
      </c>
      <c r="C149" s="5">
        <v>1857</v>
      </c>
      <c r="D149" s="1" t="s">
        <v>50</v>
      </c>
      <c r="E149" s="1" t="s">
        <v>2</v>
      </c>
      <c r="F149" s="18">
        <v>2164</v>
      </c>
      <c r="G149" s="18">
        <v>115</v>
      </c>
      <c r="H149" s="5">
        <v>113</v>
      </c>
      <c r="I149" s="1">
        <v>124</v>
      </c>
      <c r="J149" s="4" t="s">
        <v>3271</v>
      </c>
      <c r="L149" t="str">
        <f t="shared" si="2"/>
        <v>http://www.badatelna.eu/reprodukce/?fondId=1073&amp;zaznamId=1108951&amp;reproId=3778829</v>
      </c>
      <c r="M149">
        <f>VLOOKUP(F149,Sheet2!$B$1:$E$19,2,FALSE)</f>
        <v>1073</v>
      </c>
      <c r="N149">
        <f>VLOOKUP(F149,Sheet2!$B$1:$E$19,3,FALSE)</f>
        <v>1108951</v>
      </c>
      <c r="O149">
        <f>IF(G149="Not available","",VLOOKUP(F149,Sheet2!$B$1:$E$19,4,FALSE)+(G149-1))</f>
        <v>3778829</v>
      </c>
    </row>
    <row r="150" spans="1:15" s="1" customFormat="1" ht="15" customHeight="1" x14ac:dyDescent="0.25">
      <c r="A150" s="18" t="s">
        <v>636</v>
      </c>
      <c r="B150" s="18" t="s">
        <v>370</v>
      </c>
      <c r="C150" s="5">
        <v>1846</v>
      </c>
      <c r="D150" s="1" t="s">
        <v>12</v>
      </c>
      <c r="E150" s="1" t="s">
        <v>2</v>
      </c>
      <c r="F150" s="18">
        <v>2174</v>
      </c>
      <c r="G150" s="18">
        <v>169</v>
      </c>
      <c r="H150" s="6" t="s">
        <v>3229</v>
      </c>
      <c r="I150" s="1">
        <v>181</v>
      </c>
      <c r="J150" s="1">
        <v>206</v>
      </c>
      <c r="L150" t="str">
        <f t="shared" si="2"/>
        <v>http://www.badatelna.eu/reprodukce/?fondId=1073&amp;zaznamId=1108960&amp;reproId=3780393</v>
      </c>
      <c r="M150">
        <f>VLOOKUP(F150,Sheet2!$B$1:$E$19,2,FALSE)</f>
        <v>1073</v>
      </c>
      <c r="N150">
        <f>VLOOKUP(F150,Sheet2!$B$1:$E$19,3,FALSE)</f>
        <v>1108960</v>
      </c>
      <c r="O150">
        <f>IF(G150="Not available","",VLOOKUP(F150,Sheet2!$B$1:$E$19,4,FALSE)+(G150-1))</f>
        <v>3780393</v>
      </c>
    </row>
    <row r="151" spans="1:15" s="1" customFormat="1" ht="15" customHeight="1" x14ac:dyDescent="0.25">
      <c r="A151" s="18" t="s">
        <v>636</v>
      </c>
      <c r="B151" s="18" t="s">
        <v>51</v>
      </c>
      <c r="C151" s="5">
        <v>1854</v>
      </c>
      <c r="D151" s="1" t="s">
        <v>486</v>
      </c>
      <c r="E151" s="1" t="s">
        <v>2</v>
      </c>
      <c r="F151" s="18">
        <v>2164</v>
      </c>
      <c r="G151" s="18">
        <v>96</v>
      </c>
      <c r="H151" s="5">
        <v>94</v>
      </c>
      <c r="I151" s="1">
        <v>123</v>
      </c>
      <c r="J151" s="4" t="s">
        <v>3271</v>
      </c>
      <c r="L151" t="str">
        <f t="shared" si="2"/>
        <v>http://www.badatelna.eu/reprodukce/?fondId=1073&amp;zaznamId=1108951&amp;reproId=3778810</v>
      </c>
      <c r="M151">
        <f>VLOOKUP(F151,Sheet2!$B$1:$E$19,2,FALSE)</f>
        <v>1073</v>
      </c>
      <c r="N151">
        <f>VLOOKUP(F151,Sheet2!$B$1:$E$19,3,FALSE)</f>
        <v>1108951</v>
      </c>
      <c r="O151">
        <f>IF(G151="Not available","",VLOOKUP(F151,Sheet2!$B$1:$E$19,4,FALSE)+(G151-1))</f>
        <v>3778810</v>
      </c>
    </row>
    <row r="152" spans="1:15" s="1" customFormat="1" ht="15" customHeight="1" x14ac:dyDescent="0.25">
      <c r="A152" s="18" t="s">
        <v>636</v>
      </c>
      <c r="B152" s="18" t="s">
        <v>602</v>
      </c>
      <c r="C152" s="5">
        <v>1845</v>
      </c>
      <c r="D152" s="1" t="s">
        <v>12</v>
      </c>
      <c r="E152" s="1" t="s">
        <v>2</v>
      </c>
      <c r="F152" s="18">
        <v>2174</v>
      </c>
      <c r="G152" s="18">
        <v>159</v>
      </c>
      <c r="H152" s="6" t="s">
        <v>3225</v>
      </c>
      <c r="I152" s="1">
        <v>181</v>
      </c>
      <c r="J152" s="1">
        <v>206</v>
      </c>
      <c r="L152" t="str">
        <f t="shared" si="2"/>
        <v>http://www.badatelna.eu/reprodukce/?fondId=1073&amp;zaznamId=1108960&amp;reproId=3780383</v>
      </c>
      <c r="M152">
        <f>VLOOKUP(F152,Sheet2!$B$1:$E$19,2,FALSE)</f>
        <v>1073</v>
      </c>
      <c r="N152">
        <f>VLOOKUP(F152,Sheet2!$B$1:$E$19,3,FALSE)</f>
        <v>1108960</v>
      </c>
      <c r="O152">
        <f>IF(G152="Not available","",VLOOKUP(F152,Sheet2!$B$1:$E$19,4,FALSE)+(G152-1))</f>
        <v>3780383</v>
      </c>
    </row>
    <row r="153" spans="1:15" s="1" customFormat="1" ht="15" customHeight="1" x14ac:dyDescent="0.25">
      <c r="A153" s="18" t="s">
        <v>636</v>
      </c>
      <c r="B153" s="18" t="s">
        <v>56</v>
      </c>
      <c r="C153" s="5">
        <v>1855</v>
      </c>
      <c r="D153" s="1" t="s">
        <v>12</v>
      </c>
      <c r="E153" s="1" t="s">
        <v>2</v>
      </c>
      <c r="F153" s="18">
        <v>2164</v>
      </c>
      <c r="G153" s="18">
        <v>102</v>
      </c>
      <c r="H153" s="5">
        <v>100</v>
      </c>
      <c r="I153" s="1">
        <v>123</v>
      </c>
      <c r="J153" s="4" t="s">
        <v>3271</v>
      </c>
      <c r="L153" t="str">
        <f t="shared" si="2"/>
        <v>http://www.badatelna.eu/reprodukce/?fondId=1073&amp;zaznamId=1108951&amp;reproId=3778816</v>
      </c>
      <c r="M153">
        <f>VLOOKUP(F153,Sheet2!$B$1:$E$19,2,FALSE)</f>
        <v>1073</v>
      </c>
      <c r="N153">
        <f>VLOOKUP(F153,Sheet2!$B$1:$E$19,3,FALSE)</f>
        <v>1108951</v>
      </c>
      <c r="O153">
        <f>IF(G153="Not available","",VLOOKUP(F153,Sheet2!$B$1:$E$19,4,FALSE)+(G153-1))</f>
        <v>3778816</v>
      </c>
    </row>
    <row r="154" spans="1:15" s="1" customFormat="1" ht="15" customHeight="1" x14ac:dyDescent="0.25">
      <c r="A154" s="18" t="s">
        <v>636</v>
      </c>
      <c r="B154" s="18" t="s">
        <v>434</v>
      </c>
      <c r="C154" s="5">
        <v>1849</v>
      </c>
      <c r="D154" s="1" t="s">
        <v>806</v>
      </c>
      <c r="E154" s="1" t="s">
        <v>2</v>
      </c>
      <c r="F154" s="18">
        <v>2164</v>
      </c>
      <c r="G154" s="18">
        <v>56</v>
      </c>
      <c r="H154" s="5">
        <v>54</v>
      </c>
      <c r="I154" s="1">
        <v>123</v>
      </c>
      <c r="J154" s="4" t="s">
        <v>3271</v>
      </c>
      <c r="L154" t="str">
        <f t="shared" si="2"/>
        <v>http://www.badatelna.eu/reprodukce/?fondId=1073&amp;zaznamId=1108951&amp;reproId=3778770</v>
      </c>
      <c r="M154">
        <f>VLOOKUP(F154,Sheet2!$B$1:$E$19,2,FALSE)</f>
        <v>1073</v>
      </c>
      <c r="N154">
        <f>VLOOKUP(F154,Sheet2!$B$1:$E$19,3,FALSE)</f>
        <v>1108951</v>
      </c>
      <c r="O154">
        <f>IF(G154="Not available","",VLOOKUP(F154,Sheet2!$B$1:$E$19,4,FALSE)+(G154-1))</f>
        <v>3778770</v>
      </c>
    </row>
    <row r="155" spans="1:15" s="1" customFormat="1" ht="15" customHeight="1" x14ac:dyDescent="0.25">
      <c r="A155" s="18" t="s">
        <v>636</v>
      </c>
      <c r="B155" s="18" t="s">
        <v>1055</v>
      </c>
      <c r="C155" s="6" t="s">
        <v>1987</v>
      </c>
      <c r="D155" s="4" t="s">
        <v>2003</v>
      </c>
      <c r="E155" s="4" t="s">
        <v>2</v>
      </c>
      <c r="F155" s="18">
        <v>2176</v>
      </c>
      <c r="G155" s="18" t="s">
        <v>3271</v>
      </c>
      <c r="H155" s="6" t="s">
        <v>2004</v>
      </c>
      <c r="I155" s="1">
        <v>4</v>
      </c>
      <c r="J155" s="1" t="s">
        <v>3271</v>
      </c>
      <c r="L155" t="str">
        <f t="shared" si="2"/>
        <v/>
      </c>
      <c r="M155">
        <f>VLOOKUP(F155,Sheet2!$B$1:$E$19,2,FALSE)</f>
        <v>1073</v>
      </c>
      <c r="N155">
        <f>VLOOKUP(F155,Sheet2!$B$1:$E$19,3,FALSE)</f>
        <v>1108963</v>
      </c>
      <c r="O155" t="str">
        <f>IF(G155="Not available","",VLOOKUP(F155,Sheet2!$B$1:$E$19,4,FALSE)+(G155-1))</f>
        <v/>
      </c>
    </row>
    <row r="156" spans="1:15" s="1" customFormat="1" ht="15" customHeight="1" x14ac:dyDescent="0.25">
      <c r="A156" s="18" t="s">
        <v>636</v>
      </c>
      <c r="B156" s="18" t="s">
        <v>58</v>
      </c>
      <c r="C156" s="5">
        <v>1848</v>
      </c>
      <c r="D156" s="1" t="s">
        <v>12</v>
      </c>
      <c r="E156" s="1" t="s">
        <v>2</v>
      </c>
      <c r="F156" s="18">
        <v>2164</v>
      </c>
      <c r="G156" s="18">
        <v>27</v>
      </c>
      <c r="H156" s="5">
        <v>25</v>
      </c>
      <c r="I156" s="1">
        <v>123</v>
      </c>
      <c r="J156" s="4" t="s">
        <v>3271</v>
      </c>
      <c r="L156" t="str">
        <f t="shared" si="2"/>
        <v>http://www.badatelna.eu/reprodukce/?fondId=1073&amp;zaznamId=1108951&amp;reproId=3778741</v>
      </c>
      <c r="M156">
        <f>VLOOKUP(F156,Sheet2!$B$1:$E$19,2,FALSE)</f>
        <v>1073</v>
      </c>
      <c r="N156">
        <f>VLOOKUP(F156,Sheet2!$B$1:$E$19,3,FALSE)</f>
        <v>1108951</v>
      </c>
      <c r="O156">
        <f>IF(G156="Not available","",VLOOKUP(F156,Sheet2!$B$1:$E$19,4,FALSE)+(G156-1))</f>
        <v>3778741</v>
      </c>
    </row>
    <row r="157" spans="1:15" s="1" customFormat="1" ht="15" customHeight="1" x14ac:dyDescent="0.25">
      <c r="A157" s="18" t="s">
        <v>636</v>
      </c>
      <c r="B157" s="18" t="s">
        <v>465</v>
      </c>
      <c r="C157" s="5">
        <v>1846</v>
      </c>
      <c r="D157" s="1" t="s">
        <v>50</v>
      </c>
      <c r="E157" s="1" t="s">
        <v>2</v>
      </c>
      <c r="F157" s="18">
        <v>2174</v>
      </c>
      <c r="G157" s="18">
        <v>168</v>
      </c>
      <c r="H157" s="6" t="s">
        <v>3230</v>
      </c>
      <c r="I157" s="1">
        <v>181</v>
      </c>
      <c r="J157" s="1">
        <v>206</v>
      </c>
      <c r="L157" t="str">
        <f t="shared" si="2"/>
        <v>http://www.badatelna.eu/reprodukce/?fondId=1073&amp;zaznamId=1108960&amp;reproId=3780392</v>
      </c>
      <c r="M157">
        <f>VLOOKUP(F157,Sheet2!$B$1:$E$19,2,FALSE)</f>
        <v>1073</v>
      </c>
      <c r="N157">
        <f>VLOOKUP(F157,Sheet2!$B$1:$E$19,3,FALSE)</f>
        <v>1108960</v>
      </c>
      <c r="O157">
        <f>IF(G157="Not available","",VLOOKUP(F157,Sheet2!$B$1:$E$19,4,FALSE)+(G157-1))</f>
        <v>3780392</v>
      </c>
    </row>
    <row r="158" spans="1:15" s="1" customFormat="1" ht="15" customHeight="1" x14ac:dyDescent="0.25">
      <c r="A158" s="18" t="s">
        <v>54</v>
      </c>
      <c r="B158" s="18" t="s">
        <v>50</v>
      </c>
      <c r="C158" s="5">
        <v>1831</v>
      </c>
      <c r="D158" s="1" t="s">
        <v>23</v>
      </c>
      <c r="E158" s="1" t="s">
        <v>2</v>
      </c>
      <c r="F158" s="18">
        <v>2174</v>
      </c>
      <c r="G158" s="18">
        <v>65</v>
      </c>
      <c r="H158" s="6" t="s">
        <v>3109</v>
      </c>
      <c r="I158" s="1">
        <v>180</v>
      </c>
      <c r="J158" s="1">
        <v>204</v>
      </c>
      <c r="L158" t="str">
        <f t="shared" si="2"/>
        <v>http://www.badatelna.eu/reprodukce/?fondId=1073&amp;zaznamId=1108960&amp;reproId=3780289</v>
      </c>
      <c r="M158">
        <f>VLOOKUP(F158,Sheet2!$B$1:$E$19,2,FALSE)</f>
        <v>1073</v>
      </c>
      <c r="N158">
        <f>VLOOKUP(F158,Sheet2!$B$1:$E$19,3,FALSE)</f>
        <v>1108960</v>
      </c>
      <c r="O158">
        <f>IF(G158="Not available","",VLOOKUP(F158,Sheet2!$B$1:$E$19,4,FALSE)+(G158-1))</f>
        <v>3780289</v>
      </c>
    </row>
    <row r="159" spans="1:15" s="1" customFormat="1" ht="15" customHeight="1" x14ac:dyDescent="0.25">
      <c r="A159" s="18" t="s">
        <v>32</v>
      </c>
      <c r="B159" s="19" t="s">
        <v>50</v>
      </c>
      <c r="C159" s="5">
        <v>1796</v>
      </c>
      <c r="D159" s="4" t="s">
        <v>13</v>
      </c>
      <c r="E159" s="1" t="s">
        <v>2</v>
      </c>
      <c r="F159" s="18">
        <v>2173</v>
      </c>
      <c r="G159" s="18">
        <v>34</v>
      </c>
      <c r="H159" s="5">
        <v>64</v>
      </c>
      <c r="I159" s="1">
        <v>92</v>
      </c>
      <c r="J159" s="1">
        <v>190</v>
      </c>
      <c r="L159" t="str">
        <f t="shared" si="2"/>
        <v>http://www.badatelna.eu/reprodukce/?fondId=1073&amp;zaznamId=1108959&amp;reproId=3780027</v>
      </c>
      <c r="M159">
        <f>VLOOKUP(F159,Sheet2!$B$1:$E$19,2,FALSE)</f>
        <v>1073</v>
      </c>
      <c r="N159">
        <f>VLOOKUP(F159,Sheet2!$B$1:$E$19,3,FALSE)</f>
        <v>1108959</v>
      </c>
      <c r="O159">
        <f>IF(G159="Not available","",VLOOKUP(F159,Sheet2!$B$1:$E$19,4,FALSE)+(G159-1))</f>
        <v>3780027</v>
      </c>
    </row>
    <row r="160" spans="1:15" s="1" customFormat="1" ht="15" customHeight="1" x14ac:dyDescent="0.25">
      <c r="A160" s="18" t="s">
        <v>32</v>
      </c>
      <c r="B160" s="18" t="s">
        <v>50</v>
      </c>
      <c r="C160" s="5">
        <v>1829</v>
      </c>
      <c r="E160" s="1" t="s">
        <v>2</v>
      </c>
      <c r="F160" s="18">
        <v>2173</v>
      </c>
      <c r="G160" s="18">
        <v>82</v>
      </c>
      <c r="H160" s="5">
        <v>156</v>
      </c>
      <c r="I160" s="1">
        <v>93</v>
      </c>
      <c r="J160" s="1">
        <v>194</v>
      </c>
      <c r="L160" t="str">
        <f t="shared" si="2"/>
        <v>http://www.badatelna.eu/reprodukce/?fondId=1073&amp;zaznamId=1108959&amp;reproId=3780075</v>
      </c>
      <c r="M160">
        <f>VLOOKUP(F160,Sheet2!$B$1:$E$19,2,FALSE)</f>
        <v>1073</v>
      </c>
      <c r="N160">
        <f>VLOOKUP(F160,Sheet2!$B$1:$E$19,3,FALSE)</f>
        <v>1108959</v>
      </c>
      <c r="O160">
        <f>IF(G160="Not available","",VLOOKUP(F160,Sheet2!$B$1:$E$19,4,FALSE)+(G160-1))</f>
        <v>3780075</v>
      </c>
    </row>
    <row r="161" spans="1:15" s="1" customFormat="1" ht="15" customHeight="1" x14ac:dyDescent="0.25">
      <c r="A161" s="21" t="s">
        <v>32</v>
      </c>
      <c r="B161" s="21" t="s">
        <v>53</v>
      </c>
      <c r="C161" s="7">
        <v>1788</v>
      </c>
      <c r="D161" s="15" t="s">
        <v>2919</v>
      </c>
      <c r="E161" s="1" t="s">
        <v>2</v>
      </c>
      <c r="F161" s="18">
        <v>2173</v>
      </c>
      <c r="G161" s="21">
        <v>19</v>
      </c>
      <c r="H161" s="7">
        <v>32</v>
      </c>
      <c r="I161" s="2">
        <v>91</v>
      </c>
      <c r="J161" s="2">
        <v>189</v>
      </c>
      <c r="K161" s="2"/>
      <c r="L161" t="str">
        <f t="shared" si="2"/>
        <v>http://www.badatelna.eu/reprodukce/?fondId=1073&amp;zaznamId=1108959&amp;reproId=3780012</v>
      </c>
      <c r="M161">
        <f>VLOOKUP(F161,Sheet2!$B$1:$E$19,2,FALSE)</f>
        <v>1073</v>
      </c>
      <c r="N161">
        <f>VLOOKUP(F161,Sheet2!$B$1:$E$19,3,FALSE)</f>
        <v>1108959</v>
      </c>
      <c r="O161">
        <f>IF(G161="Not available","",VLOOKUP(F161,Sheet2!$B$1:$E$19,4,FALSE)+(G161-1))</f>
        <v>3780012</v>
      </c>
    </row>
    <row r="162" spans="1:15" s="1" customFormat="1" ht="15" customHeight="1" x14ac:dyDescent="0.25">
      <c r="A162" s="18" t="s">
        <v>32</v>
      </c>
      <c r="B162" s="18" t="s">
        <v>122</v>
      </c>
      <c r="C162" s="5">
        <v>1809</v>
      </c>
      <c r="E162" s="1" t="s">
        <v>2</v>
      </c>
      <c r="F162" s="18">
        <v>2173</v>
      </c>
      <c r="G162" s="18">
        <v>55</v>
      </c>
      <c r="H162" s="5">
        <v>105</v>
      </c>
      <c r="I162" s="1">
        <v>92</v>
      </c>
      <c r="J162" s="1">
        <v>190</v>
      </c>
      <c r="L162" t="str">
        <f t="shared" si="2"/>
        <v>http://www.badatelna.eu/reprodukce/?fondId=1073&amp;zaznamId=1108959&amp;reproId=3780048</v>
      </c>
      <c r="M162">
        <f>VLOOKUP(F162,Sheet2!$B$1:$E$19,2,FALSE)</f>
        <v>1073</v>
      </c>
      <c r="N162">
        <f>VLOOKUP(F162,Sheet2!$B$1:$E$19,3,FALSE)</f>
        <v>1108959</v>
      </c>
      <c r="O162">
        <f>IF(G162="Not available","",VLOOKUP(F162,Sheet2!$B$1:$E$19,4,FALSE)+(G162-1))</f>
        <v>3780048</v>
      </c>
    </row>
    <row r="163" spans="1:15" s="1" customFormat="1" ht="15" customHeight="1" x14ac:dyDescent="0.25">
      <c r="A163" s="18" t="s">
        <v>32</v>
      </c>
      <c r="B163" s="18" t="s">
        <v>117</v>
      </c>
      <c r="C163" s="5">
        <v>1808</v>
      </c>
      <c r="D163" s="1" t="s">
        <v>118</v>
      </c>
      <c r="E163" s="1" t="s">
        <v>2</v>
      </c>
      <c r="F163" s="18">
        <v>2173</v>
      </c>
      <c r="G163" s="18">
        <v>54</v>
      </c>
      <c r="H163" s="5">
        <v>102</v>
      </c>
      <c r="I163" s="1">
        <v>92</v>
      </c>
      <c r="J163" s="1">
        <v>190</v>
      </c>
      <c r="L163" t="str">
        <f t="shared" si="2"/>
        <v>http://www.badatelna.eu/reprodukce/?fondId=1073&amp;zaznamId=1108959&amp;reproId=3780047</v>
      </c>
      <c r="M163">
        <f>VLOOKUP(F163,Sheet2!$B$1:$E$19,2,FALSE)</f>
        <v>1073</v>
      </c>
      <c r="N163">
        <f>VLOOKUP(F163,Sheet2!$B$1:$E$19,3,FALSE)</f>
        <v>1108959</v>
      </c>
      <c r="O163">
        <f>IF(G163="Not available","",VLOOKUP(F163,Sheet2!$B$1:$E$19,4,FALSE)+(G163-1))</f>
        <v>3780047</v>
      </c>
    </row>
    <row r="164" spans="1:15" s="1" customFormat="1" ht="15" customHeight="1" x14ac:dyDescent="0.25">
      <c r="A164" s="18" t="s">
        <v>32</v>
      </c>
      <c r="B164" s="18" t="s">
        <v>9</v>
      </c>
      <c r="C164" s="5">
        <v>1844</v>
      </c>
      <c r="D164" s="1" t="s">
        <v>428</v>
      </c>
      <c r="E164" s="1" t="s">
        <v>2</v>
      </c>
      <c r="F164" s="18">
        <v>2174</v>
      </c>
      <c r="G164" s="18">
        <v>146</v>
      </c>
      <c r="H164" s="6" t="s">
        <v>3215</v>
      </c>
      <c r="I164" s="1">
        <v>181</v>
      </c>
      <c r="J164" s="1">
        <v>206</v>
      </c>
      <c r="L164" t="str">
        <f t="shared" si="2"/>
        <v>http://www.badatelna.eu/reprodukce/?fondId=1073&amp;zaznamId=1108960&amp;reproId=3780370</v>
      </c>
      <c r="M164">
        <f>VLOOKUP(F164,Sheet2!$B$1:$E$19,2,FALSE)</f>
        <v>1073</v>
      </c>
      <c r="N164">
        <f>VLOOKUP(F164,Sheet2!$B$1:$E$19,3,FALSE)</f>
        <v>1108960</v>
      </c>
      <c r="O164">
        <f>IF(G164="Not available","",VLOOKUP(F164,Sheet2!$B$1:$E$19,4,FALSE)+(G164-1))</f>
        <v>3780370</v>
      </c>
    </row>
    <row r="165" spans="1:15" s="1" customFormat="1" ht="15" customHeight="1" x14ac:dyDescent="0.25">
      <c r="A165" s="18" t="s">
        <v>32</v>
      </c>
      <c r="B165" s="18" t="s">
        <v>59</v>
      </c>
      <c r="C165" s="5">
        <v>1814</v>
      </c>
      <c r="E165" s="1" t="s">
        <v>2</v>
      </c>
      <c r="F165" s="18">
        <v>2173</v>
      </c>
      <c r="G165" s="18">
        <v>62</v>
      </c>
      <c r="H165" s="5">
        <v>119</v>
      </c>
      <c r="I165" s="1">
        <v>92</v>
      </c>
      <c r="J165" s="1">
        <v>190</v>
      </c>
      <c r="L165" t="str">
        <f t="shared" si="2"/>
        <v>http://www.badatelna.eu/reprodukce/?fondId=1073&amp;zaznamId=1108959&amp;reproId=3780055</v>
      </c>
      <c r="M165">
        <f>VLOOKUP(F165,Sheet2!$B$1:$E$19,2,FALSE)</f>
        <v>1073</v>
      </c>
      <c r="N165">
        <f>VLOOKUP(F165,Sheet2!$B$1:$E$19,3,FALSE)</f>
        <v>1108959</v>
      </c>
      <c r="O165">
        <f>IF(G165="Not available","",VLOOKUP(F165,Sheet2!$B$1:$E$19,4,FALSE)+(G165-1))</f>
        <v>3780055</v>
      </c>
    </row>
    <row r="166" spans="1:15" s="1" customFormat="1" ht="15" customHeight="1" x14ac:dyDescent="0.25">
      <c r="A166" s="18" t="s">
        <v>32</v>
      </c>
      <c r="B166" s="18" t="s">
        <v>34</v>
      </c>
      <c r="C166" s="5">
        <v>1823</v>
      </c>
      <c r="E166" s="1" t="s">
        <v>2</v>
      </c>
      <c r="F166" s="18">
        <v>2173</v>
      </c>
      <c r="G166" s="18">
        <v>74</v>
      </c>
      <c r="H166" s="5">
        <v>141</v>
      </c>
      <c r="I166" s="1">
        <v>93</v>
      </c>
      <c r="J166" s="1">
        <v>194</v>
      </c>
      <c r="L166" t="str">
        <f t="shared" si="2"/>
        <v>http://www.badatelna.eu/reprodukce/?fondId=1073&amp;zaznamId=1108959&amp;reproId=3780067</v>
      </c>
      <c r="M166">
        <f>VLOOKUP(F166,Sheet2!$B$1:$E$19,2,FALSE)</f>
        <v>1073</v>
      </c>
      <c r="N166">
        <f>VLOOKUP(F166,Sheet2!$B$1:$E$19,3,FALSE)</f>
        <v>1108959</v>
      </c>
      <c r="O166">
        <f>IF(G166="Not available","",VLOOKUP(F166,Sheet2!$B$1:$E$19,4,FALSE)+(G166-1))</f>
        <v>3780067</v>
      </c>
    </row>
    <row r="167" spans="1:15" s="1" customFormat="1" ht="15" customHeight="1" x14ac:dyDescent="0.25">
      <c r="A167" s="21" t="s">
        <v>32</v>
      </c>
      <c r="B167" s="21" t="s">
        <v>65</v>
      </c>
      <c r="C167" s="7">
        <v>1793</v>
      </c>
      <c r="D167" s="2" t="s">
        <v>50</v>
      </c>
      <c r="E167" s="1" t="s">
        <v>2</v>
      </c>
      <c r="F167" s="18">
        <v>2173</v>
      </c>
      <c r="G167" s="21">
        <v>29</v>
      </c>
      <c r="H167" s="7">
        <v>52</v>
      </c>
      <c r="I167" s="2">
        <v>91</v>
      </c>
      <c r="J167" s="2">
        <v>189</v>
      </c>
      <c r="K167" s="2"/>
      <c r="L167" t="str">
        <f t="shared" si="2"/>
        <v>http://www.badatelna.eu/reprodukce/?fondId=1073&amp;zaznamId=1108959&amp;reproId=3780022</v>
      </c>
      <c r="M167">
        <f>VLOOKUP(F167,Sheet2!$B$1:$E$19,2,FALSE)</f>
        <v>1073</v>
      </c>
      <c r="N167">
        <f>VLOOKUP(F167,Sheet2!$B$1:$E$19,3,FALSE)</f>
        <v>1108959</v>
      </c>
      <c r="O167">
        <f>IF(G167="Not available","",VLOOKUP(F167,Sheet2!$B$1:$E$19,4,FALSE)+(G167-1))</f>
        <v>3780022</v>
      </c>
    </row>
    <row r="168" spans="1:15" s="1" customFormat="1" ht="15" customHeight="1" x14ac:dyDescent="0.25">
      <c r="A168" s="18" t="s">
        <v>32</v>
      </c>
      <c r="B168" s="18" t="s">
        <v>12</v>
      </c>
      <c r="C168" s="5">
        <v>1812</v>
      </c>
      <c r="E168" s="1" t="s">
        <v>2</v>
      </c>
      <c r="F168" s="18">
        <v>2173</v>
      </c>
      <c r="G168" s="18">
        <v>59</v>
      </c>
      <c r="H168" s="5">
        <v>112</v>
      </c>
      <c r="I168" s="1">
        <v>92</v>
      </c>
      <c r="J168" s="1">
        <v>190</v>
      </c>
      <c r="L168" t="str">
        <f t="shared" si="2"/>
        <v>http://www.badatelna.eu/reprodukce/?fondId=1073&amp;zaznamId=1108959&amp;reproId=3780052</v>
      </c>
      <c r="M168">
        <f>VLOOKUP(F168,Sheet2!$B$1:$E$19,2,FALSE)</f>
        <v>1073</v>
      </c>
      <c r="N168">
        <f>VLOOKUP(F168,Sheet2!$B$1:$E$19,3,FALSE)</f>
        <v>1108959</v>
      </c>
      <c r="O168">
        <f>IF(G168="Not available","",VLOOKUP(F168,Sheet2!$B$1:$E$19,4,FALSE)+(G168-1))</f>
        <v>3780052</v>
      </c>
    </row>
    <row r="169" spans="1:15" s="1" customFormat="1" ht="15" customHeight="1" x14ac:dyDescent="0.25">
      <c r="A169" s="18" t="s">
        <v>32</v>
      </c>
      <c r="B169" s="19" t="s">
        <v>120</v>
      </c>
      <c r="C169" s="5">
        <v>1815</v>
      </c>
      <c r="E169" s="1" t="s">
        <v>2</v>
      </c>
      <c r="F169" s="18">
        <v>2173</v>
      </c>
      <c r="G169" s="18">
        <v>63</v>
      </c>
      <c r="H169" s="5">
        <v>121</v>
      </c>
      <c r="I169" s="1">
        <v>92</v>
      </c>
      <c r="J169" s="1">
        <v>190</v>
      </c>
      <c r="L169" t="str">
        <f t="shared" si="2"/>
        <v>http://www.badatelna.eu/reprodukce/?fondId=1073&amp;zaznamId=1108959&amp;reproId=3780056</v>
      </c>
      <c r="M169">
        <f>VLOOKUP(F169,Sheet2!$B$1:$E$19,2,FALSE)</f>
        <v>1073</v>
      </c>
      <c r="N169">
        <f>VLOOKUP(F169,Sheet2!$B$1:$E$19,3,FALSE)</f>
        <v>1108959</v>
      </c>
      <c r="O169">
        <f>IF(G169="Not available","",VLOOKUP(F169,Sheet2!$B$1:$E$19,4,FALSE)+(G169-1))</f>
        <v>3780056</v>
      </c>
    </row>
    <row r="170" spans="1:15" s="1" customFormat="1" ht="15" customHeight="1" x14ac:dyDescent="0.25">
      <c r="A170" s="18" t="s">
        <v>32</v>
      </c>
      <c r="B170" s="18" t="s">
        <v>120</v>
      </c>
      <c r="C170" s="5">
        <v>1819</v>
      </c>
      <c r="E170" s="1" t="s">
        <v>2</v>
      </c>
      <c r="F170" s="18">
        <v>2173</v>
      </c>
      <c r="G170" s="18">
        <v>69</v>
      </c>
      <c r="H170" s="5">
        <v>131</v>
      </c>
      <c r="I170" s="1">
        <v>92</v>
      </c>
      <c r="J170" s="1">
        <v>190</v>
      </c>
      <c r="L170" t="str">
        <f t="shared" si="2"/>
        <v>http://www.badatelna.eu/reprodukce/?fondId=1073&amp;zaznamId=1108959&amp;reproId=3780062</v>
      </c>
      <c r="M170">
        <f>VLOOKUP(F170,Sheet2!$B$1:$E$19,2,FALSE)</f>
        <v>1073</v>
      </c>
      <c r="N170">
        <f>VLOOKUP(F170,Sheet2!$B$1:$E$19,3,FALSE)</f>
        <v>1108959</v>
      </c>
      <c r="O170">
        <f>IF(G170="Not available","",VLOOKUP(F170,Sheet2!$B$1:$E$19,4,FALSE)+(G170-1))</f>
        <v>3780062</v>
      </c>
    </row>
    <row r="171" spans="1:15" s="1" customFormat="1" ht="15" customHeight="1" x14ac:dyDescent="0.25">
      <c r="A171" s="18" t="s">
        <v>32</v>
      </c>
      <c r="B171" s="18" t="s">
        <v>137</v>
      </c>
      <c r="C171" s="5">
        <v>1816</v>
      </c>
      <c r="E171" s="1" t="s">
        <v>2</v>
      </c>
      <c r="F171" s="18">
        <v>2173</v>
      </c>
      <c r="G171" s="18">
        <v>66</v>
      </c>
      <c r="H171" s="5">
        <v>125</v>
      </c>
      <c r="I171" s="1">
        <v>92</v>
      </c>
      <c r="J171" s="1">
        <v>190</v>
      </c>
      <c r="L171" t="str">
        <f t="shared" si="2"/>
        <v>http://www.badatelna.eu/reprodukce/?fondId=1073&amp;zaznamId=1108959&amp;reproId=3780059</v>
      </c>
      <c r="M171">
        <f>VLOOKUP(F171,Sheet2!$B$1:$E$19,2,FALSE)</f>
        <v>1073</v>
      </c>
      <c r="N171">
        <f>VLOOKUP(F171,Sheet2!$B$1:$E$19,3,FALSE)</f>
        <v>1108959</v>
      </c>
      <c r="O171">
        <f>IF(G171="Not available","",VLOOKUP(F171,Sheet2!$B$1:$E$19,4,FALSE)+(G171-1))</f>
        <v>3780059</v>
      </c>
    </row>
    <row r="172" spans="1:15" s="1" customFormat="1" ht="15" customHeight="1" x14ac:dyDescent="0.25">
      <c r="A172" s="18" t="s">
        <v>32</v>
      </c>
      <c r="B172" s="18" t="s">
        <v>49</v>
      </c>
      <c r="C172" s="5">
        <v>1826</v>
      </c>
      <c r="E172" s="1" t="s">
        <v>2</v>
      </c>
      <c r="F172" s="18">
        <v>2173</v>
      </c>
      <c r="G172" s="18">
        <v>79</v>
      </c>
      <c r="H172" s="5">
        <v>151</v>
      </c>
      <c r="I172" s="1">
        <v>93</v>
      </c>
      <c r="J172" s="1">
        <v>194</v>
      </c>
      <c r="L172" t="str">
        <f t="shared" si="2"/>
        <v>http://www.badatelna.eu/reprodukce/?fondId=1073&amp;zaznamId=1108959&amp;reproId=3780072</v>
      </c>
      <c r="M172">
        <f>VLOOKUP(F172,Sheet2!$B$1:$E$19,2,FALSE)</f>
        <v>1073</v>
      </c>
      <c r="N172">
        <f>VLOOKUP(F172,Sheet2!$B$1:$E$19,3,FALSE)</f>
        <v>1108959</v>
      </c>
      <c r="O172">
        <f>IF(G172="Not available","",VLOOKUP(F172,Sheet2!$B$1:$E$19,4,FALSE)+(G172-1))</f>
        <v>3780072</v>
      </c>
    </row>
    <row r="173" spans="1:15" s="1" customFormat="1" ht="15" customHeight="1" x14ac:dyDescent="0.25">
      <c r="A173" s="18" t="s">
        <v>32</v>
      </c>
      <c r="B173" s="18" t="s">
        <v>19</v>
      </c>
      <c r="C173" s="5">
        <v>1819</v>
      </c>
      <c r="E173" s="1" t="s">
        <v>2</v>
      </c>
      <c r="F173" s="18">
        <v>2173</v>
      </c>
      <c r="G173" s="18">
        <v>69</v>
      </c>
      <c r="H173" s="5">
        <v>131</v>
      </c>
      <c r="I173" s="1">
        <v>93</v>
      </c>
      <c r="J173" s="1">
        <v>194</v>
      </c>
      <c r="L173" t="str">
        <f t="shared" si="2"/>
        <v>http://www.badatelna.eu/reprodukce/?fondId=1073&amp;zaznamId=1108959&amp;reproId=3780062</v>
      </c>
      <c r="M173">
        <f>VLOOKUP(F173,Sheet2!$B$1:$E$19,2,FALSE)</f>
        <v>1073</v>
      </c>
      <c r="N173">
        <f>VLOOKUP(F173,Sheet2!$B$1:$E$19,3,FALSE)</f>
        <v>1108959</v>
      </c>
      <c r="O173">
        <f>IF(G173="Not available","",VLOOKUP(F173,Sheet2!$B$1:$E$19,4,FALSE)+(G173-1))</f>
        <v>3780062</v>
      </c>
    </row>
    <row r="174" spans="1:15" s="1" customFormat="1" ht="15" customHeight="1" x14ac:dyDescent="0.25">
      <c r="A174" s="18" t="s">
        <v>32</v>
      </c>
      <c r="B174" s="18" t="s">
        <v>21</v>
      </c>
      <c r="C174" s="5">
        <v>1822</v>
      </c>
      <c r="E174" s="1" t="s">
        <v>2</v>
      </c>
      <c r="F174" s="18">
        <v>2173</v>
      </c>
      <c r="G174" s="18">
        <v>71</v>
      </c>
      <c r="H174" s="5">
        <v>134</v>
      </c>
      <c r="I174" s="1">
        <v>93</v>
      </c>
      <c r="J174" s="1">
        <v>194</v>
      </c>
      <c r="L174" t="str">
        <f t="shared" si="2"/>
        <v>http://www.badatelna.eu/reprodukce/?fondId=1073&amp;zaznamId=1108959&amp;reproId=3780064</v>
      </c>
      <c r="M174">
        <f>VLOOKUP(F174,Sheet2!$B$1:$E$19,2,FALSE)</f>
        <v>1073</v>
      </c>
      <c r="N174">
        <f>VLOOKUP(F174,Sheet2!$B$1:$E$19,3,FALSE)</f>
        <v>1108959</v>
      </c>
      <c r="O174">
        <f>IF(G174="Not available","",VLOOKUP(F174,Sheet2!$B$1:$E$19,4,FALSE)+(G174-1))</f>
        <v>3780064</v>
      </c>
    </row>
    <row r="175" spans="1:15" s="1" customFormat="1" ht="15" customHeight="1" x14ac:dyDescent="0.25">
      <c r="A175" s="21" t="s">
        <v>32</v>
      </c>
      <c r="B175" s="21" t="s">
        <v>13</v>
      </c>
      <c r="C175" s="7">
        <v>1791</v>
      </c>
      <c r="D175" s="2" t="s">
        <v>50</v>
      </c>
      <c r="E175" s="1" t="s">
        <v>2</v>
      </c>
      <c r="F175" s="18">
        <v>2173</v>
      </c>
      <c r="G175" s="21">
        <v>24</v>
      </c>
      <c r="H175" s="7">
        <v>42</v>
      </c>
      <c r="I175" s="2">
        <v>91</v>
      </c>
      <c r="J175" s="2">
        <v>189</v>
      </c>
      <c r="K175" s="2"/>
      <c r="L175" t="str">
        <f t="shared" si="2"/>
        <v>http://www.badatelna.eu/reprodukce/?fondId=1073&amp;zaznamId=1108959&amp;reproId=3780017</v>
      </c>
      <c r="M175">
        <f>VLOOKUP(F175,Sheet2!$B$1:$E$19,2,FALSE)</f>
        <v>1073</v>
      </c>
      <c r="N175">
        <f>VLOOKUP(F175,Sheet2!$B$1:$E$19,3,FALSE)</f>
        <v>1108959</v>
      </c>
      <c r="O175">
        <f>IF(G175="Not available","",VLOOKUP(F175,Sheet2!$B$1:$E$19,4,FALSE)+(G175-1))</f>
        <v>3780017</v>
      </c>
    </row>
    <row r="176" spans="1:15" s="1" customFormat="1" ht="15" customHeight="1" x14ac:dyDescent="0.25">
      <c r="A176" s="21" t="s">
        <v>32</v>
      </c>
      <c r="B176" s="21" t="s">
        <v>23</v>
      </c>
      <c r="C176" s="7">
        <v>1787</v>
      </c>
      <c r="D176" s="2" t="s">
        <v>50</v>
      </c>
      <c r="E176" s="1" t="s">
        <v>2</v>
      </c>
      <c r="F176" s="18">
        <v>2173</v>
      </c>
      <c r="G176" s="21">
        <v>16</v>
      </c>
      <c r="H176" s="7">
        <v>26</v>
      </c>
      <c r="I176" s="2">
        <v>91</v>
      </c>
      <c r="J176" s="2">
        <v>189</v>
      </c>
      <c r="K176" s="2"/>
      <c r="L176" t="str">
        <f t="shared" si="2"/>
        <v>http://www.badatelna.eu/reprodukce/?fondId=1073&amp;zaznamId=1108959&amp;reproId=3780009</v>
      </c>
      <c r="M176">
        <f>VLOOKUP(F176,Sheet2!$B$1:$E$19,2,FALSE)</f>
        <v>1073</v>
      </c>
      <c r="N176">
        <f>VLOOKUP(F176,Sheet2!$B$1:$E$19,3,FALSE)</f>
        <v>1108959</v>
      </c>
      <c r="O176">
        <f>IF(G176="Not available","",VLOOKUP(F176,Sheet2!$B$1:$E$19,4,FALSE)+(G176-1))</f>
        <v>3780009</v>
      </c>
    </row>
    <row r="177" spans="1:15" s="1" customFormat="1" ht="15" customHeight="1" x14ac:dyDescent="0.25">
      <c r="A177" s="21" t="s">
        <v>32</v>
      </c>
      <c r="B177" s="21" t="s">
        <v>130</v>
      </c>
      <c r="C177" s="16" t="s">
        <v>3343</v>
      </c>
      <c r="D177" s="8" t="s">
        <v>13</v>
      </c>
      <c r="E177" s="4" t="s">
        <v>2</v>
      </c>
      <c r="F177" s="18">
        <v>2173</v>
      </c>
      <c r="G177" s="21">
        <v>67</v>
      </c>
      <c r="H177" s="16" t="s">
        <v>338</v>
      </c>
      <c r="I177" s="2">
        <v>93</v>
      </c>
      <c r="J177" s="2"/>
      <c r="K177" s="2"/>
      <c r="L177" t="str">
        <f t="shared" si="2"/>
        <v>http://www.badatelna.eu/reprodukce/?fondId=1073&amp;zaznamId=1108959&amp;reproId=3780060</v>
      </c>
      <c r="M177">
        <f>VLOOKUP(F177,Sheet2!$B$1:$E$19,2,FALSE)</f>
        <v>1073</v>
      </c>
      <c r="N177">
        <f>VLOOKUP(F177,Sheet2!$B$1:$E$19,3,FALSE)</f>
        <v>1108959</v>
      </c>
      <c r="O177">
        <f>IF(G177="Not available","",VLOOKUP(F177,Sheet2!$B$1:$E$19,4,FALSE)+(G177-1))</f>
        <v>3780060</v>
      </c>
    </row>
    <row r="178" spans="1:15" s="1" customFormat="1" ht="15" customHeight="1" x14ac:dyDescent="0.25">
      <c r="A178" s="21" t="s">
        <v>32</v>
      </c>
      <c r="B178" s="20" t="s">
        <v>3065</v>
      </c>
      <c r="C178" s="7">
        <v>1785</v>
      </c>
      <c r="D178" s="2" t="s">
        <v>34</v>
      </c>
      <c r="E178" s="1" t="s">
        <v>2</v>
      </c>
      <c r="F178" s="18">
        <v>2173</v>
      </c>
      <c r="G178" s="21">
        <v>8</v>
      </c>
      <c r="H178" s="7">
        <v>10</v>
      </c>
      <c r="I178" s="2">
        <v>91</v>
      </c>
      <c r="J178" s="2">
        <v>189</v>
      </c>
      <c r="K178" s="2"/>
      <c r="L178" t="str">
        <f t="shared" si="2"/>
        <v>http://www.badatelna.eu/reprodukce/?fondId=1073&amp;zaznamId=1108959&amp;reproId=3780001</v>
      </c>
      <c r="M178">
        <f>VLOOKUP(F178,Sheet2!$B$1:$E$19,2,FALSE)</f>
        <v>1073</v>
      </c>
      <c r="N178">
        <f>VLOOKUP(F178,Sheet2!$B$1:$E$19,3,FALSE)</f>
        <v>1108959</v>
      </c>
      <c r="O178">
        <f>IF(G178="Not available","",VLOOKUP(F178,Sheet2!$B$1:$E$19,4,FALSE)+(G178-1))</f>
        <v>3780001</v>
      </c>
    </row>
    <row r="179" spans="1:15" s="1" customFormat="1" ht="15" customHeight="1" x14ac:dyDescent="0.25">
      <c r="A179" s="18" t="s">
        <v>608</v>
      </c>
      <c r="B179" s="18" t="s">
        <v>50</v>
      </c>
      <c r="C179" s="5">
        <v>1832</v>
      </c>
      <c r="D179" s="1" t="s">
        <v>23</v>
      </c>
      <c r="E179" s="1" t="s">
        <v>2</v>
      </c>
      <c r="F179" s="18">
        <v>2174</v>
      </c>
      <c r="G179" s="18">
        <v>65</v>
      </c>
      <c r="H179" s="6" t="s">
        <v>3109</v>
      </c>
      <c r="I179" s="1">
        <v>180</v>
      </c>
      <c r="J179" s="1">
        <v>204</v>
      </c>
      <c r="L179" t="str">
        <f t="shared" si="2"/>
        <v>http://www.badatelna.eu/reprodukce/?fondId=1073&amp;zaznamId=1108960&amp;reproId=3780289</v>
      </c>
      <c r="M179">
        <f>VLOOKUP(F179,Sheet2!$B$1:$E$19,2,FALSE)</f>
        <v>1073</v>
      </c>
      <c r="N179">
        <f>VLOOKUP(F179,Sheet2!$B$1:$E$19,3,FALSE)</f>
        <v>1108960</v>
      </c>
      <c r="O179">
        <f>IF(G179="Not available","",VLOOKUP(F179,Sheet2!$B$1:$E$19,4,FALSE)+(G179-1))</f>
        <v>3780289</v>
      </c>
    </row>
    <row r="180" spans="1:15" s="1" customFormat="1" ht="15" customHeight="1" x14ac:dyDescent="0.25">
      <c r="A180" s="18" t="s">
        <v>608</v>
      </c>
      <c r="B180" s="18" t="s">
        <v>850</v>
      </c>
      <c r="C180" s="6" t="s">
        <v>1987</v>
      </c>
      <c r="D180" s="4" t="s">
        <v>1995</v>
      </c>
      <c r="E180" s="4" t="s">
        <v>2</v>
      </c>
      <c r="F180" s="18">
        <v>2176</v>
      </c>
      <c r="G180" s="18" t="s">
        <v>3271</v>
      </c>
      <c r="H180" s="6" t="s">
        <v>1996</v>
      </c>
      <c r="I180" s="1">
        <v>4</v>
      </c>
      <c r="J180" s="1" t="s">
        <v>3271</v>
      </c>
      <c r="L180" t="str">
        <f t="shared" si="2"/>
        <v/>
      </c>
      <c r="M180">
        <f>VLOOKUP(F180,Sheet2!$B$1:$E$19,2,FALSE)</f>
        <v>1073</v>
      </c>
      <c r="N180">
        <f>VLOOKUP(F180,Sheet2!$B$1:$E$19,3,FALSE)</f>
        <v>1108963</v>
      </c>
      <c r="O180" t="str">
        <f>IF(G180="Not available","",VLOOKUP(F180,Sheet2!$B$1:$E$19,4,FALSE)+(G180-1))</f>
        <v/>
      </c>
    </row>
    <row r="181" spans="1:15" s="1" customFormat="1" ht="15" customHeight="1" x14ac:dyDescent="0.25">
      <c r="A181" s="18" t="s">
        <v>608</v>
      </c>
      <c r="B181" s="18" t="s">
        <v>610</v>
      </c>
      <c r="C181" s="5">
        <v>1833</v>
      </c>
      <c r="D181" s="1" t="s">
        <v>475</v>
      </c>
      <c r="E181" s="1" t="s">
        <v>2</v>
      </c>
      <c r="F181" s="18">
        <v>2174</v>
      </c>
      <c r="G181" s="18">
        <v>72</v>
      </c>
      <c r="H181" s="6" t="s">
        <v>3137</v>
      </c>
      <c r="I181" s="1">
        <v>180</v>
      </c>
      <c r="J181" s="1">
        <v>204</v>
      </c>
      <c r="L181" t="str">
        <f t="shared" si="2"/>
        <v>http://www.badatelna.eu/reprodukce/?fondId=1073&amp;zaznamId=1108960&amp;reproId=3780296</v>
      </c>
      <c r="M181">
        <f>VLOOKUP(F181,Sheet2!$B$1:$E$19,2,FALSE)</f>
        <v>1073</v>
      </c>
      <c r="N181">
        <f>VLOOKUP(F181,Sheet2!$B$1:$E$19,3,FALSE)</f>
        <v>1108960</v>
      </c>
      <c r="O181">
        <f>IF(G181="Not available","",VLOOKUP(F181,Sheet2!$B$1:$E$19,4,FALSE)+(G181-1))</f>
        <v>3780296</v>
      </c>
    </row>
    <row r="182" spans="1:15" s="1" customFormat="1" ht="15" customHeight="1" x14ac:dyDescent="0.25">
      <c r="A182" s="19" t="s">
        <v>608</v>
      </c>
      <c r="B182" s="18" t="s">
        <v>1004</v>
      </c>
      <c r="C182" s="5" t="s">
        <v>1325</v>
      </c>
      <c r="D182" s="4" t="s">
        <v>2894</v>
      </c>
      <c r="E182" s="1" t="s">
        <v>2</v>
      </c>
      <c r="F182" s="18">
        <v>2165</v>
      </c>
      <c r="G182" s="18">
        <v>45</v>
      </c>
      <c r="H182" s="5">
        <v>42</v>
      </c>
      <c r="I182" s="1">
        <v>81</v>
      </c>
      <c r="J182" s="1" t="s">
        <v>3271</v>
      </c>
      <c r="L182" t="str">
        <f t="shared" si="2"/>
        <v>http://www.badatelna.eu/reprodukce/?fondId=1073&amp;zaznamId=1108952&amp;reproId=3778906</v>
      </c>
      <c r="M182">
        <f>VLOOKUP(F182,Sheet2!$B$1:$E$19,2,FALSE)</f>
        <v>1073</v>
      </c>
      <c r="N182">
        <f>VLOOKUP(F182,Sheet2!$B$1:$E$19,3,FALSE)</f>
        <v>1108952</v>
      </c>
      <c r="O182">
        <f>IF(G182="Not available","",VLOOKUP(F182,Sheet2!$B$1:$E$19,4,FALSE)+(G182-1))</f>
        <v>3778906</v>
      </c>
    </row>
    <row r="183" spans="1:15" s="1" customFormat="1" ht="15" customHeight="1" x14ac:dyDescent="0.25">
      <c r="A183" s="18" t="s">
        <v>608</v>
      </c>
      <c r="B183" s="18" t="s">
        <v>992</v>
      </c>
      <c r="C183" s="6" t="s">
        <v>1946</v>
      </c>
      <c r="D183" s="4" t="s">
        <v>1995</v>
      </c>
      <c r="E183" s="4" t="s">
        <v>2</v>
      </c>
      <c r="F183" s="18">
        <v>2176</v>
      </c>
      <c r="G183" s="18" t="s">
        <v>3271</v>
      </c>
      <c r="H183" s="6" t="s">
        <v>2019</v>
      </c>
      <c r="I183" s="1">
        <v>4</v>
      </c>
      <c r="J183" s="1" t="s">
        <v>3271</v>
      </c>
      <c r="L183" t="str">
        <f t="shared" si="2"/>
        <v/>
      </c>
      <c r="M183">
        <f>VLOOKUP(F183,Sheet2!$B$1:$E$19,2,FALSE)</f>
        <v>1073</v>
      </c>
      <c r="N183">
        <f>VLOOKUP(F183,Sheet2!$B$1:$E$19,3,FALSE)</f>
        <v>1108963</v>
      </c>
      <c r="O183" t="str">
        <f>IF(G183="Not available","",VLOOKUP(F183,Sheet2!$B$1:$E$19,4,FALSE)+(G183-1))</f>
        <v/>
      </c>
    </row>
    <row r="184" spans="1:15" s="1" customFormat="1" ht="15" customHeight="1" x14ac:dyDescent="0.25">
      <c r="A184" s="18" t="s">
        <v>608</v>
      </c>
      <c r="B184" s="18" t="s">
        <v>992</v>
      </c>
      <c r="C184" s="5" t="s">
        <v>1712</v>
      </c>
      <c r="D184" s="1" t="s">
        <v>999</v>
      </c>
      <c r="E184" s="1" t="s">
        <v>2</v>
      </c>
      <c r="F184" s="18">
        <v>2165</v>
      </c>
      <c r="G184" s="18">
        <v>168</v>
      </c>
      <c r="H184" s="5">
        <v>4</v>
      </c>
      <c r="I184" s="1">
        <v>170</v>
      </c>
      <c r="J184" s="1">
        <v>148</v>
      </c>
      <c r="L184" t="str">
        <f t="shared" si="2"/>
        <v>http://www.badatelna.eu/reprodukce/?fondId=1073&amp;zaznamId=1108952&amp;reproId=3779029</v>
      </c>
      <c r="M184">
        <f>VLOOKUP(F184,Sheet2!$B$1:$E$19,2,FALSE)</f>
        <v>1073</v>
      </c>
      <c r="N184">
        <f>VLOOKUP(F184,Sheet2!$B$1:$E$19,3,FALSE)</f>
        <v>1108952</v>
      </c>
      <c r="O184">
        <f>IF(G184="Not available","",VLOOKUP(F184,Sheet2!$B$1:$E$19,4,FALSE)+(G184-1))</f>
        <v>3779029</v>
      </c>
    </row>
    <row r="185" spans="1:15" s="1" customFormat="1" ht="15" customHeight="1" x14ac:dyDescent="0.25">
      <c r="A185" s="19" t="s">
        <v>608</v>
      </c>
      <c r="B185" s="18" t="s">
        <v>809</v>
      </c>
      <c r="C185" s="5" t="s">
        <v>1313</v>
      </c>
      <c r="D185" s="1" t="s">
        <v>999</v>
      </c>
      <c r="E185" s="1" t="s">
        <v>2</v>
      </c>
      <c r="F185" s="18">
        <v>2165</v>
      </c>
      <c r="G185" s="18">
        <v>33</v>
      </c>
      <c r="H185" s="5">
        <v>30</v>
      </c>
      <c r="I185" s="1">
        <v>81</v>
      </c>
      <c r="J185" s="1" t="s">
        <v>3271</v>
      </c>
      <c r="L185" t="str">
        <f t="shared" si="2"/>
        <v>http://www.badatelna.eu/reprodukce/?fondId=1073&amp;zaznamId=1108952&amp;reproId=3778894</v>
      </c>
      <c r="M185">
        <f>VLOOKUP(F185,Sheet2!$B$1:$E$19,2,FALSE)</f>
        <v>1073</v>
      </c>
      <c r="N185">
        <f>VLOOKUP(F185,Sheet2!$B$1:$E$19,3,FALSE)</f>
        <v>1108952</v>
      </c>
      <c r="O185">
        <f>IF(G185="Not available","",VLOOKUP(F185,Sheet2!$B$1:$E$19,4,FALSE)+(G185-1))</f>
        <v>3778894</v>
      </c>
    </row>
    <row r="186" spans="1:15" s="1" customFormat="1" ht="15" customHeight="1" x14ac:dyDescent="0.25">
      <c r="A186" s="18" t="s">
        <v>2117</v>
      </c>
      <c r="B186" s="18" t="s">
        <v>74</v>
      </c>
      <c r="C186" s="6" t="s">
        <v>2116</v>
      </c>
      <c r="D186" s="4" t="s">
        <v>2118</v>
      </c>
      <c r="E186" s="4" t="s">
        <v>2</v>
      </c>
      <c r="F186" s="18">
        <v>2176</v>
      </c>
      <c r="G186" s="18" t="s">
        <v>3271</v>
      </c>
      <c r="H186" s="6" t="s">
        <v>2037</v>
      </c>
      <c r="I186" s="1">
        <v>6</v>
      </c>
      <c r="J186" s="1" t="s">
        <v>3271</v>
      </c>
      <c r="K186" s="3"/>
      <c r="L186" t="str">
        <f t="shared" si="2"/>
        <v/>
      </c>
      <c r="M186">
        <f>VLOOKUP(F186,Sheet2!$B$1:$E$19,2,FALSE)</f>
        <v>1073</v>
      </c>
      <c r="N186">
        <f>VLOOKUP(F186,Sheet2!$B$1:$E$19,3,FALSE)</f>
        <v>1108963</v>
      </c>
      <c r="O186" t="str">
        <f>IF(G186="Not available","",VLOOKUP(F186,Sheet2!$B$1:$E$19,4,FALSE)+(G186-1))</f>
        <v/>
      </c>
    </row>
    <row r="187" spans="1:15" s="1" customFormat="1" ht="15" customHeight="1" x14ac:dyDescent="0.25">
      <c r="A187" s="18" t="s">
        <v>73</v>
      </c>
      <c r="B187" s="18" t="s">
        <v>50</v>
      </c>
      <c r="C187" s="5">
        <v>1816</v>
      </c>
      <c r="E187" s="1" t="s">
        <v>2</v>
      </c>
      <c r="F187" s="18">
        <v>2173</v>
      </c>
      <c r="G187" s="18">
        <v>66</v>
      </c>
      <c r="H187" s="5">
        <v>126</v>
      </c>
      <c r="I187" s="1">
        <v>92</v>
      </c>
      <c r="J187" s="1">
        <v>190</v>
      </c>
      <c r="L187" t="str">
        <f t="shared" si="2"/>
        <v>http://www.badatelna.eu/reprodukce/?fondId=1073&amp;zaznamId=1108959&amp;reproId=3780059</v>
      </c>
      <c r="M187">
        <f>VLOOKUP(F187,Sheet2!$B$1:$E$19,2,FALSE)</f>
        <v>1073</v>
      </c>
      <c r="N187">
        <f>VLOOKUP(F187,Sheet2!$B$1:$E$19,3,FALSE)</f>
        <v>1108959</v>
      </c>
      <c r="O187">
        <f>IF(G187="Not available","",VLOOKUP(F187,Sheet2!$B$1:$E$19,4,FALSE)+(G187-1))</f>
        <v>3780059</v>
      </c>
    </row>
    <row r="188" spans="1:15" s="1" customFormat="1" ht="15" customHeight="1" x14ac:dyDescent="0.25">
      <c r="A188" s="18" t="s">
        <v>73</v>
      </c>
      <c r="B188" s="18" t="s">
        <v>477</v>
      </c>
      <c r="C188" s="5">
        <v>1844</v>
      </c>
      <c r="D188" s="1" t="s">
        <v>495</v>
      </c>
      <c r="E188" s="1" t="s">
        <v>2</v>
      </c>
      <c r="F188" s="18">
        <v>2174</v>
      </c>
      <c r="G188" s="18">
        <v>147</v>
      </c>
      <c r="H188" s="6" t="s">
        <v>3213</v>
      </c>
      <c r="I188" s="1">
        <v>181</v>
      </c>
      <c r="J188" s="1">
        <v>206</v>
      </c>
      <c r="L188" t="str">
        <f t="shared" si="2"/>
        <v>http://www.badatelna.eu/reprodukce/?fondId=1073&amp;zaznamId=1108960&amp;reproId=3780371</v>
      </c>
      <c r="M188">
        <f>VLOOKUP(F188,Sheet2!$B$1:$E$19,2,FALSE)</f>
        <v>1073</v>
      </c>
      <c r="N188">
        <f>VLOOKUP(F188,Sheet2!$B$1:$E$19,3,FALSE)</f>
        <v>1108960</v>
      </c>
      <c r="O188">
        <f>IF(G188="Not available","",VLOOKUP(F188,Sheet2!$B$1:$E$19,4,FALSE)+(G188-1))</f>
        <v>3780371</v>
      </c>
    </row>
    <row r="189" spans="1:15" s="1" customFormat="1" ht="15" customHeight="1" x14ac:dyDescent="0.25">
      <c r="A189" s="18" t="s">
        <v>73</v>
      </c>
      <c r="B189" s="18" t="s">
        <v>632</v>
      </c>
      <c r="C189" s="5">
        <v>1845</v>
      </c>
      <c r="D189" s="1" t="s">
        <v>633</v>
      </c>
      <c r="E189" s="1" t="s">
        <v>2</v>
      </c>
      <c r="F189" s="18">
        <v>2174</v>
      </c>
      <c r="G189" s="18">
        <v>159</v>
      </c>
      <c r="H189" s="6" t="s">
        <v>3225</v>
      </c>
      <c r="I189" s="1">
        <v>181</v>
      </c>
      <c r="J189" s="1">
        <v>206</v>
      </c>
      <c r="L189" t="str">
        <f t="shared" si="2"/>
        <v>http://www.badatelna.eu/reprodukce/?fondId=1073&amp;zaznamId=1108960&amp;reproId=3780383</v>
      </c>
      <c r="M189">
        <f>VLOOKUP(F189,Sheet2!$B$1:$E$19,2,FALSE)</f>
        <v>1073</v>
      </c>
      <c r="N189">
        <f>VLOOKUP(F189,Sheet2!$B$1:$E$19,3,FALSE)</f>
        <v>1108960</v>
      </c>
      <c r="O189">
        <f>IF(G189="Not available","",VLOOKUP(F189,Sheet2!$B$1:$E$19,4,FALSE)+(G189-1))</f>
        <v>3780383</v>
      </c>
    </row>
    <row r="190" spans="1:15" s="1" customFormat="1" ht="15" customHeight="1" x14ac:dyDescent="0.25">
      <c r="A190" s="18" t="s">
        <v>73</v>
      </c>
      <c r="B190" s="18" t="s">
        <v>632</v>
      </c>
      <c r="C190" s="5">
        <v>1850</v>
      </c>
      <c r="D190" s="1" t="s">
        <v>484</v>
      </c>
      <c r="E190" s="1" t="s">
        <v>2</v>
      </c>
      <c r="F190" s="18">
        <v>2164</v>
      </c>
      <c r="G190" s="18">
        <v>69</v>
      </c>
      <c r="H190" s="5">
        <v>67</v>
      </c>
      <c r="I190" s="1">
        <v>123</v>
      </c>
      <c r="J190" s="4" t="s">
        <v>3271</v>
      </c>
      <c r="L190" t="str">
        <f t="shared" si="2"/>
        <v>http://www.badatelna.eu/reprodukce/?fondId=1073&amp;zaznamId=1108951&amp;reproId=3778783</v>
      </c>
      <c r="M190">
        <f>VLOOKUP(F190,Sheet2!$B$1:$E$19,2,FALSE)</f>
        <v>1073</v>
      </c>
      <c r="N190">
        <f>VLOOKUP(F190,Sheet2!$B$1:$E$19,3,FALSE)</f>
        <v>1108951</v>
      </c>
      <c r="O190">
        <f>IF(G190="Not available","",VLOOKUP(F190,Sheet2!$B$1:$E$19,4,FALSE)+(G190-1))</f>
        <v>3778783</v>
      </c>
    </row>
    <row r="191" spans="1:15" s="1" customFormat="1" ht="15" customHeight="1" x14ac:dyDescent="0.25">
      <c r="A191" s="18" t="s">
        <v>73</v>
      </c>
      <c r="B191" s="18" t="s">
        <v>136</v>
      </c>
      <c r="C191" s="5">
        <v>1814</v>
      </c>
      <c r="E191" s="1" t="s">
        <v>2</v>
      </c>
      <c r="F191" s="18">
        <v>2173</v>
      </c>
      <c r="G191" s="18">
        <v>63</v>
      </c>
      <c r="H191" s="5">
        <v>120</v>
      </c>
      <c r="I191" s="1">
        <v>92</v>
      </c>
      <c r="J191" s="1">
        <v>190</v>
      </c>
      <c r="L191" t="str">
        <f t="shared" si="2"/>
        <v>http://www.badatelna.eu/reprodukce/?fondId=1073&amp;zaznamId=1108959&amp;reproId=3780056</v>
      </c>
      <c r="M191">
        <f>VLOOKUP(F191,Sheet2!$B$1:$E$19,2,FALSE)</f>
        <v>1073</v>
      </c>
      <c r="N191">
        <f>VLOOKUP(F191,Sheet2!$B$1:$E$19,3,FALSE)</f>
        <v>1108959</v>
      </c>
      <c r="O191">
        <f>IF(G191="Not available","",VLOOKUP(F191,Sheet2!$B$1:$E$19,4,FALSE)+(G191-1))</f>
        <v>3780056</v>
      </c>
    </row>
    <row r="192" spans="1:15" s="1" customFormat="1" ht="15" customHeight="1" x14ac:dyDescent="0.25">
      <c r="A192" s="18" t="s">
        <v>73</v>
      </c>
      <c r="B192" s="18" t="s">
        <v>14</v>
      </c>
      <c r="C192" s="5">
        <v>1805</v>
      </c>
      <c r="E192" s="1" t="s">
        <v>2</v>
      </c>
      <c r="F192" s="18">
        <v>2173</v>
      </c>
      <c r="G192" s="18">
        <v>51</v>
      </c>
      <c r="H192" s="5">
        <v>95</v>
      </c>
      <c r="I192" s="1">
        <v>92</v>
      </c>
      <c r="J192" s="1">
        <v>190</v>
      </c>
      <c r="L192" t="str">
        <f t="shared" si="2"/>
        <v>http://www.badatelna.eu/reprodukce/?fondId=1073&amp;zaznamId=1108959&amp;reproId=3780044</v>
      </c>
      <c r="M192">
        <f>VLOOKUP(F192,Sheet2!$B$1:$E$19,2,FALSE)</f>
        <v>1073</v>
      </c>
      <c r="N192">
        <f>VLOOKUP(F192,Sheet2!$B$1:$E$19,3,FALSE)</f>
        <v>1108959</v>
      </c>
      <c r="O192">
        <f>IF(G192="Not available","",VLOOKUP(F192,Sheet2!$B$1:$E$19,4,FALSE)+(G192-1))</f>
        <v>3780044</v>
      </c>
    </row>
    <row r="193" spans="1:15" s="1" customFormat="1" ht="15" customHeight="1" x14ac:dyDescent="0.25">
      <c r="A193" s="18" t="s">
        <v>73</v>
      </c>
      <c r="B193" s="18" t="s">
        <v>547</v>
      </c>
      <c r="C193" s="5">
        <v>1843</v>
      </c>
      <c r="D193" s="1" t="s">
        <v>495</v>
      </c>
      <c r="E193" s="1" t="s">
        <v>2</v>
      </c>
      <c r="F193" s="18">
        <v>2174</v>
      </c>
      <c r="G193" s="18">
        <v>132</v>
      </c>
      <c r="H193" s="6" t="s">
        <v>3200</v>
      </c>
      <c r="I193" s="1">
        <v>181</v>
      </c>
      <c r="J193" s="1">
        <v>205</v>
      </c>
      <c r="L193" t="str">
        <f t="shared" si="2"/>
        <v>http://www.badatelna.eu/reprodukce/?fondId=1073&amp;zaznamId=1108960&amp;reproId=3780356</v>
      </c>
      <c r="M193">
        <f>VLOOKUP(F193,Sheet2!$B$1:$E$19,2,FALSE)</f>
        <v>1073</v>
      </c>
      <c r="N193">
        <f>VLOOKUP(F193,Sheet2!$B$1:$E$19,3,FALSE)</f>
        <v>1108960</v>
      </c>
      <c r="O193">
        <f>IF(G193="Not available","",VLOOKUP(F193,Sheet2!$B$1:$E$19,4,FALSE)+(G193-1))</f>
        <v>3780356</v>
      </c>
    </row>
    <row r="194" spans="1:15" s="1" customFormat="1" ht="15" customHeight="1" x14ac:dyDescent="0.25">
      <c r="A194" s="18" t="s">
        <v>73</v>
      </c>
      <c r="B194" s="18" t="s">
        <v>547</v>
      </c>
      <c r="C194" s="5">
        <v>1845</v>
      </c>
      <c r="D194" s="1" t="s">
        <v>484</v>
      </c>
      <c r="E194" s="1" t="s">
        <v>2</v>
      </c>
      <c r="F194" s="18">
        <v>2174</v>
      </c>
      <c r="G194" s="18">
        <v>157</v>
      </c>
      <c r="H194" s="6" t="s">
        <v>3222</v>
      </c>
      <c r="I194" s="1">
        <v>181</v>
      </c>
      <c r="J194" s="1">
        <v>206</v>
      </c>
      <c r="L194" t="str">
        <f t="shared" si="2"/>
        <v>http://www.badatelna.eu/reprodukce/?fondId=1073&amp;zaznamId=1108960&amp;reproId=3780381</v>
      </c>
      <c r="M194">
        <f>VLOOKUP(F194,Sheet2!$B$1:$E$19,2,FALSE)</f>
        <v>1073</v>
      </c>
      <c r="N194">
        <f>VLOOKUP(F194,Sheet2!$B$1:$E$19,3,FALSE)</f>
        <v>1108960</v>
      </c>
      <c r="O194">
        <f>IF(G194="Not available","",VLOOKUP(F194,Sheet2!$B$1:$E$19,4,FALSE)+(G194-1))</f>
        <v>3780381</v>
      </c>
    </row>
    <row r="195" spans="1:15" s="1" customFormat="1" ht="15" customHeight="1" x14ac:dyDescent="0.25">
      <c r="A195" s="18" t="s">
        <v>73</v>
      </c>
      <c r="B195" s="18" t="s">
        <v>482</v>
      </c>
      <c r="C195" s="5">
        <v>1853</v>
      </c>
      <c r="D195" s="1" t="s">
        <v>813</v>
      </c>
      <c r="E195" s="1" t="s">
        <v>2</v>
      </c>
      <c r="F195" s="18">
        <v>2164</v>
      </c>
      <c r="G195" s="18">
        <v>93</v>
      </c>
      <c r="H195" s="5">
        <v>91</v>
      </c>
      <c r="I195" s="1">
        <v>123</v>
      </c>
      <c r="J195" s="4" t="s">
        <v>3271</v>
      </c>
      <c r="L195" t="str">
        <f t="shared" ref="L195:L258" si="3">IF(G195="Not available","","http://www.badatelna.eu/reprodukce/?fondId="&amp;M195&amp;"&amp;zaznamId="&amp;N195&amp;"&amp;reproId="&amp;O195)</f>
        <v>http://www.badatelna.eu/reprodukce/?fondId=1073&amp;zaznamId=1108951&amp;reproId=3778807</v>
      </c>
      <c r="M195">
        <f>VLOOKUP(F195,Sheet2!$B$1:$E$19,2,FALSE)</f>
        <v>1073</v>
      </c>
      <c r="N195">
        <f>VLOOKUP(F195,Sheet2!$B$1:$E$19,3,FALSE)</f>
        <v>1108951</v>
      </c>
      <c r="O195">
        <f>IF(G195="Not available","",VLOOKUP(F195,Sheet2!$B$1:$E$19,4,FALSE)+(G195-1))</f>
        <v>3778807</v>
      </c>
    </row>
    <row r="196" spans="1:15" s="1" customFormat="1" ht="15" customHeight="1" x14ac:dyDescent="0.25">
      <c r="A196" s="18" t="s">
        <v>73</v>
      </c>
      <c r="B196" s="18" t="s">
        <v>6</v>
      </c>
      <c r="C196" s="5">
        <v>1844</v>
      </c>
      <c r="D196" s="4" t="s">
        <v>635</v>
      </c>
      <c r="E196" s="1" t="s">
        <v>2</v>
      </c>
      <c r="F196" s="18">
        <v>2174</v>
      </c>
      <c r="G196" s="18">
        <v>149</v>
      </c>
      <c r="H196" s="6" t="s">
        <v>3216</v>
      </c>
      <c r="I196" s="1">
        <v>181</v>
      </c>
      <c r="J196" s="1">
        <v>206</v>
      </c>
      <c r="L196" t="str">
        <f t="shared" si="3"/>
        <v>http://www.badatelna.eu/reprodukce/?fondId=1073&amp;zaznamId=1108960&amp;reproId=3780373</v>
      </c>
      <c r="M196">
        <f>VLOOKUP(F196,Sheet2!$B$1:$E$19,2,FALSE)</f>
        <v>1073</v>
      </c>
      <c r="N196">
        <f>VLOOKUP(F196,Sheet2!$B$1:$E$19,3,FALSE)</f>
        <v>1108960</v>
      </c>
      <c r="O196">
        <f>IF(G196="Not available","",VLOOKUP(F196,Sheet2!$B$1:$E$19,4,FALSE)+(G196-1))</f>
        <v>3780373</v>
      </c>
    </row>
    <row r="197" spans="1:15" s="1" customFormat="1" ht="15" customHeight="1" x14ac:dyDescent="0.25">
      <c r="A197" s="18" t="s">
        <v>73</v>
      </c>
      <c r="B197" s="18" t="s">
        <v>127</v>
      </c>
      <c r="C197" s="5">
        <v>1811</v>
      </c>
      <c r="E197" s="1" t="s">
        <v>2</v>
      </c>
      <c r="F197" s="18">
        <v>2173</v>
      </c>
      <c r="G197" s="18">
        <v>57</v>
      </c>
      <c r="H197" s="5">
        <v>109</v>
      </c>
      <c r="I197" s="1">
        <v>92</v>
      </c>
      <c r="J197" s="1">
        <v>190</v>
      </c>
      <c r="L197" t="str">
        <f t="shared" si="3"/>
        <v>http://www.badatelna.eu/reprodukce/?fondId=1073&amp;zaznamId=1108959&amp;reproId=3780050</v>
      </c>
      <c r="M197">
        <f>VLOOKUP(F197,Sheet2!$B$1:$E$19,2,FALSE)</f>
        <v>1073</v>
      </c>
      <c r="N197">
        <f>VLOOKUP(F197,Sheet2!$B$1:$E$19,3,FALSE)</f>
        <v>1108959</v>
      </c>
      <c r="O197">
        <f>IF(G197="Not available","",VLOOKUP(F197,Sheet2!$B$1:$E$19,4,FALSE)+(G197-1))</f>
        <v>3780050</v>
      </c>
    </row>
    <row r="198" spans="1:15" s="1" customFormat="1" ht="15" customHeight="1" x14ac:dyDescent="0.25">
      <c r="A198" s="18" t="s">
        <v>73</v>
      </c>
      <c r="B198" s="18" t="s">
        <v>735</v>
      </c>
      <c r="C198" s="5">
        <v>1855</v>
      </c>
      <c r="D198" s="1" t="s">
        <v>635</v>
      </c>
      <c r="E198" s="1" t="s">
        <v>2</v>
      </c>
      <c r="F198" s="18">
        <v>2164</v>
      </c>
      <c r="G198" s="18">
        <v>106</v>
      </c>
      <c r="H198" s="5">
        <v>104</v>
      </c>
      <c r="I198" s="1">
        <v>123</v>
      </c>
      <c r="J198" s="4" t="s">
        <v>3271</v>
      </c>
      <c r="L198" t="str">
        <f t="shared" si="3"/>
        <v>http://www.badatelna.eu/reprodukce/?fondId=1073&amp;zaznamId=1108951&amp;reproId=3778820</v>
      </c>
      <c r="M198">
        <f>VLOOKUP(F198,Sheet2!$B$1:$E$19,2,FALSE)</f>
        <v>1073</v>
      </c>
      <c r="N198">
        <f>VLOOKUP(F198,Sheet2!$B$1:$E$19,3,FALSE)</f>
        <v>1108951</v>
      </c>
      <c r="O198">
        <f>IF(G198="Not available","",VLOOKUP(F198,Sheet2!$B$1:$E$19,4,FALSE)+(G198-1))</f>
        <v>3778820</v>
      </c>
    </row>
    <row r="199" spans="1:15" s="1" customFormat="1" ht="15" customHeight="1" x14ac:dyDescent="0.25">
      <c r="A199" s="18" t="s">
        <v>73</v>
      </c>
      <c r="B199" s="18" t="s">
        <v>484</v>
      </c>
      <c r="C199" s="5">
        <v>1847</v>
      </c>
      <c r="D199" s="1" t="s">
        <v>637</v>
      </c>
      <c r="E199" s="1" t="s">
        <v>2</v>
      </c>
      <c r="F199" s="18">
        <v>2174</v>
      </c>
      <c r="G199" s="18">
        <v>172</v>
      </c>
      <c r="H199" s="6" t="s">
        <v>3235</v>
      </c>
      <c r="I199" s="1">
        <v>181</v>
      </c>
      <c r="J199" s="1">
        <v>206</v>
      </c>
      <c r="L199" t="str">
        <f t="shared" si="3"/>
        <v>http://www.badatelna.eu/reprodukce/?fondId=1073&amp;zaznamId=1108960&amp;reproId=3780396</v>
      </c>
      <c r="M199">
        <f>VLOOKUP(F199,Sheet2!$B$1:$E$19,2,FALSE)</f>
        <v>1073</v>
      </c>
      <c r="N199">
        <f>VLOOKUP(F199,Sheet2!$B$1:$E$19,3,FALSE)</f>
        <v>1108960</v>
      </c>
      <c r="O199">
        <f>IF(G199="Not available","",VLOOKUP(F199,Sheet2!$B$1:$E$19,4,FALSE)+(G199-1))</f>
        <v>3780396</v>
      </c>
    </row>
    <row r="200" spans="1:15" s="1" customFormat="1" ht="15" customHeight="1" x14ac:dyDescent="0.25">
      <c r="A200" s="18" t="s">
        <v>73</v>
      </c>
      <c r="B200" s="18" t="s">
        <v>75</v>
      </c>
      <c r="C200" s="5">
        <v>1816</v>
      </c>
      <c r="E200" s="1" t="s">
        <v>2</v>
      </c>
      <c r="F200" s="18">
        <v>2173</v>
      </c>
      <c r="G200" s="18">
        <v>66</v>
      </c>
      <c r="H200" s="5">
        <v>126</v>
      </c>
      <c r="I200" s="1">
        <v>92</v>
      </c>
      <c r="J200" s="1">
        <v>190</v>
      </c>
      <c r="L200" t="str">
        <f t="shared" si="3"/>
        <v>http://www.badatelna.eu/reprodukce/?fondId=1073&amp;zaznamId=1108959&amp;reproId=3780059</v>
      </c>
      <c r="M200">
        <f>VLOOKUP(F200,Sheet2!$B$1:$E$19,2,FALSE)</f>
        <v>1073</v>
      </c>
      <c r="N200">
        <f>VLOOKUP(F200,Sheet2!$B$1:$E$19,3,FALSE)</f>
        <v>1108959</v>
      </c>
      <c r="O200">
        <f>IF(G200="Not available","",VLOOKUP(F200,Sheet2!$B$1:$E$19,4,FALSE)+(G200-1))</f>
        <v>3780059</v>
      </c>
    </row>
    <row r="201" spans="1:15" s="1" customFormat="1" ht="15" customHeight="1" x14ac:dyDescent="0.25">
      <c r="A201" s="18" t="s">
        <v>73</v>
      </c>
      <c r="B201" s="18" t="s">
        <v>1052</v>
      </c>
      <c r="C201" s="6" t="s">
        <v>1952</v>
      </c>
      <c r="D201" s="4" t="s">
        <v>2085</v>
      </c>
      <c r="E201" s="4" t="s">
        <v>2</v>
      </c>
      <c r="F201" s="18">
        <v>2176</v>
      </c>
      <c r="G201" s="18" t="s">
        <v>3271</v>
      </c>
      <c r="H201" s="6" t="s">
        <v>2086</v>
      </c>
      <c r="I201" s="1">
        <v>5</v>
      </c>
      <c r="J201" s="1" t="s">
        <v>3271</v>
      </c>
      <c r="K201" s="3"/>
      <c r="L201" t="str">
        <f t="shared" si="3"/>
        <v/>
      </c>
      <c r="M201">
        <f>VLOOKUP(F201,Sheet2!$B$1:$E$19,2,FALSE)</f>
        <v>1073</v>
      </c>
      <c r="N201">
        <f>VLOOKUP(F201,Sheet2!$B$1:$E$19,3,FALSE)</f>
        <v>1108963</v>
      </c>
      <c r="O201" t="str">
        <f>IF(G201="Not available","",VLOOKUP(F201,Sheet2!$B$1:$E$19,4,FALSE)+(G201-1))</f>
        <v/>
      </c>
    </row>
    <row r="202" spans="1:15" s="1" customFormat="1" ht="15" customHeight="1" x14ac:dyDescent="0.25">
      <c r="A202" s="18" t="s">
        <v>73</v>
      </c>
      <c r="B202" s="18" t="s">
        <v>1052</v>
      </c>
      <c r="C202" s="5" t="s">
        <v>1837</v>
      </c>
      <c r="D202" s="1" t="s">
        <v>632</v>
      </c>
      <c r="E202" s="1" t="s">
        <v>2</v>
      </c>
      <c r="F202" s="18">
        <v>2165</v>
      </c>
      <c r="G202" s="18">
        <v>256</v>
      </c>
      <c r="H202" s="5">
        <v>3</v>
      </c>
      <c r="I202" s="1">
        <v>252</v>
      </c>
      <c r="J202" s="1">
        <v>228</v>
      </c>
      <c r="L202" t="str">
        <f t="shared" si="3"/>
        <v>http://www.badatelna.eu/reprodukce/?fondId=1073&amp;zaznamId=1108952&amp;reproId=3779117</v>
      </c>
      <c r="M202">
        <f>VLOOKUP(F202,Sheet2!$B$1:$E$19,2,FALSE)</f>
        <v>1073</v>
      </c>
      <c r="N202">
        <f>VLOOKUP(F202,Sheet2!$B$1:$E$19,3,FALSE)</f>
        <v>1108952</v>
      </c>
      <c r="O202">
        <f>IF(G202="Not available","",VLOOKUP(F202,Sheet2!$B$1:$E$19,4,FALSE)+(G202-1))</f>
        <v>3779117</v>
      </c>
    </row>
    <row r="203" spans="1:15" s="1" customFormat="1" ht="15" customHeight="1" x14ac:dyDescent="0.25">
      <c r="A203" s="18" t="s">
        <v>73</v>
      </c>
      <c r="B203" s="18" t="s">
        <v>1102</v>
      </c>
      <c r="C203" s="6" t="s">
        <v>2024</v>
      </c>
      <c r="D203" s="4" t="s">
        <v>2020</v>
      </c>
      <c r="E203" s="4" t="s">
        <v>2</v>
      </c>
      <c r="F203" s="18">
        <v>2176</v>
      </c>
      <c r="G203" s="18" t="s">
        <v>3271</v>
      </c>
      <c r="H203" s="6" t="s">
        <v>2021</v>
      </c>
      <c r="I203" s="1">
        <v>4</v>
      </c>
      <c r="J203" s="1" t="s">
        <v>3271</v>
      </c>
      <c r="K203" s="3"/>
      <c r="L203" t="str">
        <f t="shared" si="3"/>
        <v/>
      </c>
      <c r="M203">
        <f>VLOOKUP(F203,Sheet2!$B$1:$E$19,2,FALSE)</f>
        <v>1073</v>
      </c>
      <c r="N203">
        <f>VLOOKUP(F203,Sheet2!$B$1:$E$19,3,FALSE)</f>
        <v>1108963</v>
      </c>
      <c r="O203" t="str">
        <f>IF(G203="Not available","",VLOOKUP(F203,Sheet2!$B$1:$E$19,4,FALSE)+(G203-1))</f>
        <v/>
      </c>
    </row>
    <row r="204" spans="1:15" s="1" customFormat="1" ht="15" customHeight="1" x14ac:dyDescent="0.25">
      <c r="A204" s="18" t="s">
        <v>73</v>
      </c>
      <c r="B204" s="18" t="s">
        <v>65</v>
      </c>
      <c r="C204" s="5">
        <v>1843</v>
      </c>
      <c r="D204" s="1" t="s">
        <v>484</v>
      </c>
      <c r="E204" s="1" t="s">
        <v>2</v>
      </c>
      <c r="F204" s="18">
        <v>2174</v>
      </c>
      <c r="G204" s="18">
        <v>138</v>
      </c>
      <c r="H204" s="6" t="s">
        <v>3207</v>
      </c>
      <c r="I204" s="1">
        <v>181</v>
      </c>
      <c r="J204" s="1">
        <v>206</v>
      </c>
      <c r="L204" t="str">
        <f t="shared" si="3"/>
        <v>http://www.badatelna.eu/reprodukce/?fondId=1073&amp;zaznamId=1108960&amp;reproId=3780362</v>
      </c>
      <c r="M204">
        <f>VLOOKUP(F204,Sheet2!$B$1:$E$19,2,FALSE)</f>
        <v>1073</v>
      </c>
      <c r="N204">
        <f>VLOOKUP(F204,Sheet2!$B$1:$E$19,3,FALSE)</f>
        <v>1108960</v>
      </c>
      <c r="O204">
        <f>IF(G204="Not available","",VLOOKUP(F204,Sheet2!$B$1:$E$19,4,FALSE)+(G204-1))</f>
        <v>3780362</v>
      </c>
    </row>
    <row r="205" spans="1:15" s="1" customFormat="1" ht="15" customHeight="1" x14ac:dyDescent="0.25">
      <c r="A205" s="18" t="s">
        <v>73</v>
      </c>
      <c r="B205" s="18" t="s">
        <v>65</v>
      </c>
      <c r="C205" s="5">
        <v>1849</v>
      </c>
      <c r="D205" s="1" t="s">
        <v>635</v>
      </c>
      <c r="E205" s="1" t="s">
        <v>2</v>
      </c>
      <c r="F205" s="18">
        <v>2164</v>
      </c>
      <c r="G205" s="18">
        <v>62</v>
      </c>
      <c r="H205" s="5">
        <v>60</v>
      </c>
      <c r="I205" s="1">
        <v>123</v>
      </c>
      <c r="J205" s="4" t="s">
        <v>3271</v>
      </c>
      <c r="L205" t="str">
        <f t="shared" si="3"/>
        <v>http://www.badatelna.eu/reprodukce/?fondId=1073&amp;zaznamId=1108951&amp;reproId=3778776</v>
      </c>
      <c r="M205">
        <f>VLOOKUP(F205,Sheet2!$B$1:$E$19,2,FALSE)</f>
        <v>1073</v>
      </c>
      <c r="N205">
        <f>VLOOKUP(F205,Sheet2!$B$1:$E$19,3,FALSE)</f>
        <v>1108951</v>
      </c>
      <c r="O205">
        <f>IF(G205="Not available","",VLOOKUP(F205,Sheet2!$B$1:$E$19,4,FALSE)+(G205-1))</f>
        <v>3778776</v>
      </c>
    </row>
    <row r="206" spans="1:15" s="1" customFormat="1" ht="15" customHeight="1" x14ac:dyDescent="0.25">
      <c r="A206" s="18" t="s">
        <v>73</v>
      </c>
      <c r="B206" s="18" t="s">
        <v>65</v>
      </c>
      <c r="C206" s="5">
        <v>1852</v>
      </c>
      <c r="D206" s="1" t="s">
        <v>635</v>
      </c>
      <c r="E206" s="1" t="s">
        <v>2</v>
      </c>
      <c r="F206" s="18">
        <v>2164</v>
      </c>
      <c r="G206" s="18">
        <v>82</v>
      </c>
      <c r="H206" s="5">
        <v>80</v>
      </c>
      <c r="I206" s="1">
        <v>123</v>
      </c>
      <c r="J206" s="4" t="s">
        <v>3271</v>
      </c>
      <c r="L206" t="str">
        <f t="shared" si="3"/>
        <v>http://www.badatelna.eu/reprodukce/?fondId=1073&amp;zaznamId=1108951&amp;reproId=3778796</v>
      </c>
      <c r="M206">
        <f>VLOOKUP(F206,Sheet2!$B$1:$E$19,2,FALSE)</f>
        <v>1073</v>
      </c>
      <c r="N206">
        <f>VLOOKUP(F206,Sheet2!$B$1:$E$19,3,FALSE)</f>
        <v>1108951</v>
      </c>
      <c r="O206">
        <f>IF(G206="Not available","",VLOOKUP(F206,Sheet2!$B$1:$E$19,4,FALSE)+(G206-1))</f>
        <v>3778796</v>
      </c>
    </row>
    <row r="207" spans="1:15" s="1" customFormat="1" ht="15" customHeight="1" x14ac:dyDescent="0.25">
      <c r="A207" s="18" t="s">
        <v>73</v>
      </c>
      <c r="B207" s="18" t="s">
        <v>40</v>
      </c>
      <c r="C207" s="7">
        <v>1793</v>
      </c>
      <c r="D207" s="1" t="s">
        <v>74</v>
      </c>
      <c r="E207" s="1" t="s">
        <v>2</v>
      </c>
      <c r="F207" s="18">
        <v>2173</v>
      </c>
      <c r="G207" s="18">
        <v>30</v>
      </c>
      <c r="H207" s="5">
        <v>55</v>
      </c>
      <c r="I207" s="2">
        <v>91</v>
      </c>
      <c r="J207" s="2">
        <v>189</v>
      </c>
      <c r="L207" t="str">
        <f t="shared" si="3"/>
        <v>http://www.badatelna.eu/reprodukce/?fondId=1073&amp;zaznamId=1108959&amp;reproId=3780023</v>
      </c>
      <c r="M207">
        <f>VLOOKUP(F207,Sheet2!$B$1:$E$19,2,FALSE)</f>
        <v>1073</v>
      </c>
      <c r="N207">
        <f>VLOOKUP(F207,Sheet2!$B$1:$E$19,3,FALSE)</f>
        <v>1108959</v>
      </c>
      <c r="O207">
        <f>IF(G207="Not available","",VLOOKUP(F207,Sheet2!$B$1:$E$19,4,FALSE)+(G207-1))</f>
        <v>3780023</v>
      </c>
    </row>
    <row r="208" spans="1:15" s="1" customFormat="1" ht="15" customHeight="1" x14ac:dyDescent="0.25">
      <c r="A208" s="18" t="s">
        <v>73</v>
      </c>
      <c r="B208" s="18" t="s">
        <v>109</v>
      </c>
      <c r="C208" s="5">
        <v>1812</v>
      </c>
      <c r="E208" s="1" t="s">
        <v>2</v>
      </c>
      <c r="F208" s="18">
        <v>2173</v>
      </c>
      <c r="G208" s="18">
        <v>63</v>
      </c>
      <c r="H208" s="5">
        <v>112</v>
      </c>
      <c r="I208" s="1">
        <v>92</v>
      </c>
      <c r="J208" s="1">
        <v>190</v>
      </c>
      <c r="L208" t="str">
        <f t="shared" si="3"/>
        <v>http://www.badatelna.eu/reprodukce/?fondId=1073&amp;zaznamId=1108959&amp;reproId=3780056</v>
      </c>
      <c r="M208">
        <f>VLOOKUP(F208,Sheet2!$B$1:$E$19,2,FALSE)</f>
        <v>1073</v>
      </c>
      <c r="N208">
        <f>VLOOKUP(F208,Sheet2!$B$1:$E$19,3,FALSE)</f>
        <v>1108959</v>
      </c>
      <c r="O208">
        <f>IF(G208="Not available","",VLOOKUP(F208,Sheet2!$B$1:$E$19,4,FALSE)+(G208-1))</f>
        <v>3780056</v>
      </c>
    </row>
    <row r="209" spans="1:15" s="1" customFormat="1" ht="15" customHeight="1" x14ac:dyDescent="0.25">
      <c r="A209" s="18" t="s">
        <v>73</v>
      </c>
      <c r="B209" s="18" t="s">
        <v>51</v>
      </c>
      <c r="C209" s="5">
        <v>1808</v>
      </c>
      <c r="E209" s="1" t="s">
        <v>2</v>
      </c>
      <c r="F209" s="18">
        <v>2173</v>
      </c>
      <c r="G209" s="18">
        <v>54</v>
      </c>
      <c r="H209" s="5">
        <v>102</v>
      </c>
      <c r="I209" s="1">
        <v>92</v>
      </c>
      <c r="J209" s="1">
        <v>190</v>
      </c>
      <c r="L209" t="str">
        <f t="shared" si="3"/>
        <v>http://www.badatelna.eu/reprodukce/?fondId=1073&amp;zaznamId=1108959&amp;reproId=3780047</v>
      </c>
      <c r="M209">
        <f>VLOOKUP(F209,Sheet2!$B$1:$E$19,2,FALSE)</f>
        <v>1073</v>
      </c>
      <c r="N209">
        <f>VLOOKUP(F209,Sheet2!$B$1:$E$19,3,FALSE)</f>
        <v>1108959</v>
      </c>
      <c r="O209">
        <f>IF(G209="Not available","",VLOOKUP(F209,Sheet2!$B$1:$E$19,4,FALSE)+(G209-1))</f>
        <v>3780047</v>
      </c>
    </row>
    <row r="210" spans="1:15" s="1" customFormat="1" ht="15" customHeight="1" x14ac:dyDescent="0.25">
      <c r="A210" s="18" t="s">
        <v>73</v>
      </c>
      <c r="B210" s="18" t="s">
        <v>51</v>
      </c>
      <c r="C210" s="5">
        <v>1852</v>
      </c>
      <c r="D210" s="1" t="s">
        <v>495</v>
      </c>
      <c r="E210" s="1" t="s">
        <v>2</v>
      </c>
      <c r="F210" s="18">
        <v>2164</v>
      </c>
      <c r="G210" s="18">
        <v>82</v>
      </c>
      <c r="H210" s="5">
        <v>80</v>
      </c>
      <c r="I210" s="1">
        <v>123</v>
      </c>
      <c r="J210" s="4" t="s">
        <v>3271</v>
      </c>
      <c r="L210" t="str">
        <f t="shared" si="3"/>
        <v>http://www.badatelna.eu/reprodukce/?fondId=1073&amp;zaznamId=1108951&amp;reproId=3778796</v>
      </c>
      <c r="M210">
        <f>VLOOKUP(F210,Sheet2!$B$1:$E$19,2,FALSE)</f>
        <v>1073</v>
      </c>
      <c r="N210">
        <f>VLOOKUP(F210,Sheet2!$B$1:$E$19,3,FALSE)</f>
        <v>1108951</v>
      </c>
      <c r="O210">
        <f>IF(G210="Not available","",VLOOKUP(F210,Sheet2!$B$1:$E$19,4,FALSE)+(G210-1))</f>
        <v>3778796</v>
      </c>
    </row>
    <row r="211" spans="1:15" s="1" customFormat="1" ht="15" customHeight="1" x14ac:dyDescent="0.25">
      <c r="A211" s="18" t="s">
        <v>73</v>
      </c>
      <c r="B211" s="18" t="s">
        <v>437</v>
      </c>
      <c r="C211" s="5">
        <v>1857</v>
      </c>
      <c r="D211" s="1" t="s">
        <v>635</v>
      </c>
      <c r="E211" s="1" t="s">
        <v>2</v>
      </c>
      <c r="F211" s="18">
        <v>2164</v>
      </c>
      <c r="G211" s="18">
        <v>115</v>
      </c>
      <c r="H211" s="5">
        <v>113</v>
      </c>
      <c r="I211" s="1">
        <v>124</v>
      </c>
      <c r="J211" s="4" t="s">
        <v>3271</v>
      </c>
      <c r="L211" t="str">
        <f t="shared" si="3"/>
        <v>http://www.badatelna.eu/reprodukce/?fondId=1073&amp;zaznamId=1108951&amp;reproId=3778829</v>
      </c>
      <c r="M211">
        <f>VLOOKUP(F211,Sheet2!$B$1:$E$19,2,FALSE)</f>
        <v>1073</v>
      </c>
      <c r="N211">
        <f>VLOOKUP(F211,Sheet2!$B$1:$E$19,3,FALSE)</f>
        <v>1108951</v>
      </c>
      <c r="O211">
        <f>IF(G211="Not available","",VLOOKUP(F211,Sheet2!$B$1:$E$19,4,FALSE)+(G211-1))</f>
        <v>3778829</v>
      </c>
    </row>
    <row r="212" spans="1:15" s="1" customFormat="1" ht="15" customHeight="1" x14ac:dyDescent="0.25">
      <c r="A212" s="18" t="s">
        <v>73</v>
      </c>
      <c r="B212" s="18" t="s">
        <v>233</v>
      </c>
      <c r="C212" s="5">
        <v>1850</v>
      </c>
      <c r="D212" s="1" t="s">
        <v>813</v>
      </c>
      <c r="E212" s="1" t="s">
        <v>2</v>
      </c>
      <c r="F212" s="18">
        <v>2164</v>
      </c>
      <c r="G212" s="18">
        <v>72</v>
      </c>
      <c r="H212" s="5">
        <v>70</v>
      </c>
      <c r="I212" s="1">
        <v>123</v>
      </c>
      <c r="J212" s="4" t="s">
        <v>3271</v>
      </c>
      <c r="L212" t="str">
        <f t="shared" si="3"/>
        <v>http://www.badatelna.eu/reprodukce/?fondId=1073&amp;zaznamId=1108951&amp;reproId=3778786</v>
      </c>
      <c r="M212">
        <f>VLOOKUP(F212,Sheet2!$B$1:$E$19,2,FALSE)</f>
        <v>1073</v>
      </c>
      <c r="N212">
        <f>VLOOKUP(F212,Sheet2!$B$1:$E$19,3,FALSE)</f>
        <v>1108951</v>
      </c>
      <c r="O212">
        <f>IF(G212="Not available","",VLOOKUP(F212,Sheet2!$B$1:$E$19,4,FALSE)+(G212-1))</f>
        <v>3778786</v>
      </c>
    </row>
    <row r="213" spans="1:15" s="1" customFormat="1" ht="15" customHeight="1" x14ac:dyDescent="0.25">
      <c r="A213" s="18" t="s">
        <v>73</v>
      </c>
      <c r="B213" s="18" t="s">
        <v>233</v>
      </c>
      <c r="C213" s="5">
        <v>1855</v>
      </c>
      <c r="D213" s="1" t="s">
        <v>484</v>
      </c>
      <c r="E213" s="1" t="s">
        <v>2</v>
      </c>
      <c r="F213" s="18">
        <v>2164</v>
      </c>
      <c r="G213" s="18">
        <v>106</v>
      </c>
      <c r="H213" s="5">
        <v>104</v>
      </c>
      <c r="I213" s="1">
        <v>123</v>
      </c>
      <c r="J213" s="4" t="s">
        <v>3271</v>
      </c>
      <c r="L213" t="str">
        <f t="shared" si="3"/>
        <v>http://www.badatelna.eu/reprodukce/?fondId=1073&amp;zaznamId=1108951&amp;reproId=3778820</v>
      </c>
      <c r="M213">
        <f>VLOOKUP(F213,Sheet2!$B$1:$E$19,2,FALSE)</f>
        <v>1073</v>
      </c>
      <c r="N213">
        <f>VLOOKUP(F213,Sheet2!$B$1:$E$19,3,FALSE)</f>
        <v>1108951</v>
      </c>
      <c r="O213">
        <f>IF(G213="Not available","",VLOOKUP(F213,Sheet2!$B$1:$E$19,4,FALSE)+(G213-1))</f>
        <v>3778820</v>
      </c>
    </row>
    <row r="214" spans="1:15" s="1" customFormat="1" ht="15" customHeight="1" x14ac:dyDescent="0.25">
      <c r="A214" s="18" t="s">
        <v>73</v>
      </c>
      <c r="B214" s="18" t="s">
        <v>125</v>
      </c>
      <c r="C214" s="5">
        <v>1814</v>
      </c>
      <c r="E214" s="1" t="s">
        <v>2</v>
      </c>
      <c r="F214" s="18">
        <v>2173</v>
      </c>
      <c r="G214" s="18">
        <v>62</v>
      </c>
      <c r="H214" s="5">
        <v>118</v>
      </c>
      <c r="I214" s="1">
        <v>92</v>
      </c>
      <c r="J214" s="1">
        <v>190</v>
      </c>
      <c r="L214" t="str">
        <f t="shared" si="3"/>
        <v>http://www.badatelna.eu/reprodukce/?fondId=1073&amp;zaznamId=1108959&amp;reproId=3780055</v>
      </c>
      <c r="M214">
        <f>VLOOKUP(F214,Sheet2!$B$1:$E$19,2,FALSE)</f>
        <v>1073</v>
      </c>
      <c r="N214">
        <f>VLOOKUP(F214,Sheet2!$B$1:$E$19,3,FALSE)</f>
        <v>1108959</v>
      </c>
      <c r="O214">
        <f>IF(G214="Not available","",VLOOKUP(F214,Sheet2!$B$1:$E$19,4,FALSE)+(G214-1))</f>
        <v>3780055</v>
      </c>
    </row>
    <row r="215" spans="1:15" s="1" customFormat="1" ht="15" customHeight="1" x14ac:dyDescent="0.25">
      <c r="A215" s="18" t="s">
        <v>73</v>
      </c>
      <c r="B215" s="18" t="s">
        <v>830</v>
      </c>
      <c r="C215" s="5">
        <v>1855</v>
      </c>
      <c r="D215" s="1" t="s">
        <v>495</v>
      </c>
      <c r="E215" s="1" t="s">
        <v>2</v>
      </c>
      <c r="F215" s="18">
        <v>2164</v>
      </c>
      <c r="G215" s="18">
        <v>107</v>
      </c>
      <c r="H215" s="5">
        <v>105</v>
      </c>
      <c r="I215" s="1">
        <v>123</v>
      </c>
      <c r="J215" s="4" t="s">
        <v>3271</v>
      </c>
      <c r="L215" t="str">
        <f t="shared" si="3"/>
        <v>http://www.badatelna.eu/reprodukce/?fondId=1073&amp;zaznamId=1108951&amp;reproId=3778821</v>
      </c>
      <c r="M215">
        <f>VLOOKUP(F215,Sheet2!$B$1:$E$19,2,FALSE)</f>
        <v>1073</v>
      </c>
      <c r="N215">
        <f>VLOOKUP(F215,Sheet2!$B$1:$E$19,3,FALSE)</f>
        <v>1108951</v>
      </c>
      <c r="O215">
        <f>IF(G215="Not available","",VLOOKUP(F215,Sheet2!$B$1:$E$19,4,FALSE)+(G215-1))</f>
        <v>3778821</v>
      </c>
    </row>
    <row r="216" spans="1:15" s="1" customFormat="1" ht="15" customHeight="1" x14ac:dyDescent="0.25">
      <c r="A216" s="18" t="s">
        <v>73</v>
      </c>
      <c r="B216" s="18" t="s">
        <v>25</v>
      </c>
      <c r="C216" s="5">
        <v>1841</v>
      </c>
      <c r="D216" s="1" t="s">
        <v>484</v>
      </c>
      <c r="E216" s="1" t="s">
        <v>2</v>
      </c>
      <c r="F216" s="18">
        <v>2174</v>
      </c>
      <c r="G216" s="18">
        <v>120</v>
      </c>
      <c r="H216" s="16" t="s">
        <v>3183</v>
      </c>
      <c r="I216" s="1">
        <v>181</v>
      </c>
      <c r="J216" s="1">
        <v>205</v>
      </c>
      <c r="L216" t="str">
        <f t="shared" si="3"/>
        <v>http://www.badatelna.eu/reprodukce/?fondId=1073&amp;zaznamId=1108960&amp;reproId=3780344</v>
      </c>
      <c r="M216">
        <f>VLOOKUP(F216,Sheet2!$B$1:$E$19,2,FALSE)</f>
        <v>1073</v>
      </c>
      <c r="N216">
        <f>VLOOKUP(F216,Sheet2!$B$1:$E$19,3,FALSE)</f>
        <v>1108960</v>
      </c>
      <c r="O216">
        <f>IF(G216="Not available","",VLOOKUP(F216,Sheet2!$B$1:$E$19,4,FALSE)+(G216-1))</f>
        <v>3780344</v>
      </c>
    </row>
    <row r="217" spans="1:15" s="1" customFormat="1" ht="15" customHeight="1" x14ac:dyDescent="0.25">
      <c r="A217" s="18" t="s">
        <v>73</v>
      </c>
      <c r="B217" s="18" t="s">
        <v>21</v>
      </c>
      <c r="C217" s="5">
        <v>1850</v>
      </c>
      <c r="D217" s="1" t="s">
        <v>484</v>
      </c>
      <c r="E217" s="1" t="s">
        <v>2</v>
      </c>
      <c r="F217" s="18">
        <v>2164</v>
      </c>
      <c r="G217" s="18">
        <v>80</v>
      </c>
      <c r="H217" s="5">
        <v>76</v>
      </c>
      <c r="I217" s="1">
        <v>123</v>
      </c>
      <c r="J217" s="4" t="s">
        <v>3271</v>
      </c>
      <c r="L217" t="str">
        <f t="shared" si="3"/>
        <v>http://www.badatelna.eu/reprodukce/?fondId=1073&amp;zaznamId=1108951&amp;reproId=3778794</v>
      </c>
      <c r="M217">
        <f>VLOOKUP(F217,Sheet2!$B$1:$E$19,2,FALSE)</f>
        <v>1073</v>
      </c>
      <c r="N217">
        <f>VLOOKUP(F217,Sheet2!$B$1:$E$19,3,FALSE)</f>
        <v>1108951</v>
      </c>
      <c r="O217">
        <f>IF(G217="Not available","",VLOOKUP(F217,Sheet2!$B$1:$E$19,4,FALSE)+(G217-1))</f>
        <v>3778794</v>
      </c>
    </row>
    <row r="218" spans="1:15" s="1" customFormat="1" ht="15" customHeight="1" x14ac:dyDescent="0.25">
      <c r="A218" s="18" t="s">
        <v>73</v>
      </c>
      <c r="B218" s="18" t="s">
        <v>778</v>
      </c>
      <c r="C218" s="5">
        <v>1854</v>
      </c>
      <c r="D218" s="1" t="s">
        <v>495</v>
      </c>
      <c r="E218" s="1" t="s">
        <v>2</v>
      </c>
      <c r="F218" s="18">
        <v>2164</v>
      </c>
      <c r="G218" s="18">
        <v>96</v>
      </c>
      <c r="H218" s="5">
        <v>94</v>
      </c>
      <c r="I218" s="1">
        <v>123</v>
      </c>
      <c r="J218" s="4" t="s">
        <v>3271</v>
      </c>
      <c r="L218" t="str">
        <f t="shared" si="3"/>
        <v>http://www.badatelna.eu/reprodukce/?fondId=1073&amp;zaznamId=1108951&amp;reproId=3778810</v>
      </c>
      <c r="M218">
        <f>VLOOKUP(F218,Sheet2!$B$1:$E$19,2,FALSE)</f>
        <v>1073</v>
      </c>
      <c r="N218">
        <f>VLOOKUP(F218,Sheet2!$B$1:$E$19,3,FALSE)</f>
        <v>1108951</v>
      </c>
      <c r="O218">
        <f>IF(G218="Not available","",VLOOKUP(F218,Sheet2!$B$1:$E$19,4,FALSE)+(G218-1))</f>
        <v>3778810</v>
      </c>
    </row>
    <row r="219" spans="1:15" s="1" customFormat="1" ht="15" customHeight="1" x14ac:dyDescent="0.25">
      <c r="A219" s="18" t="s">
        <v>73</v>
      </c>
      <c r="B219" s="18" t="s">
        <v>476</v>
      </c>
      <c r="C219" s="5">
        <v>1843</v>
      </c>
      <c r="D219" s="1" t="s">
        <v>495</v>
      </c>
      <c r="E219" s="1" t="s">
        <v>2</v>
      </c>
      <c r="F219" s="18">
        <v>2174</v>
      </c>
      <c r="G219" s="18">
        <v>132</v>
      </c>
      <c r="H219" s="6" t="s">
        <v>3200</v>
      </c>
      <c r="I219" s="1">
        <v>181</v>
      </c>
      <c r="J219" s="1">
        <v>205</v>
      </c>
      <c r="L219" t="str">
        <f t="shared" si="3"/>
        <v>http://www.badatelna.eu/reprodukce/?fondId=1073&amp;zaznamId=1108960&amp;reproId=3780356</v>
      </c>
      <c r="M219">
        <f>VLOOKUP(F219,Sheet2!$B$1:$E$19,2,FALSE)</f>
        <v>1073</v>
      </c>
      <c r="N219">
        <f>VLOOKUP(F219,Sheet2!$B$1:$E$19,3,FALSE)</f>
        <v>1108960</v>
      </c>
      <c r="O219">
        <f>IF(G219="Not available","",VLOOKUP(F219,Sheet2!$B$1:$E$19,4,FALSE)+(G219-1))</f>
        <v>3780356</v>
      </c>
    </row>
    <row r="220" spans="1:15" s="1" customFormat="1" ht="15" customHeight="1" x14ac:dyDescent="0.25">
      <c r="A220" s="18" t="s">
        <v>73</v>
      </c>
      <c r="B220" s="18" t="s">
        <v>398</v>
      </c>
      <c r="C220" s="5">
        <v>1857</v>
      </c>
      <c r="D220" s="1" t="s">
        <v>495</v>
      </c>
      <c r="E220" s="1" t="s">
        <v>2</v>
      </c>
      <c r="F220" s="18">
        <v>2164</v>
      </c>
      <c r="G220" s="18">
        <v>114</v>
      </c>
      <c r="H220" s="5">
        <v>112</v>
      </c>
      <c r="I220" s="1">
        <v>124</v>
      </c>
      <c r="J220" s="4" t="s">
        <v>3271</v>
      </c>
      <c r="L220" t="str">
        <f t="shared" si="3"/>
        <v>http://www.badatelna.eu/reprodukce/?fondId=1073&amp;zaznamId=1108951&amp;reproId=3778828</v>
      </c>
      <c r="M220">
        <f>VLOOKUP(F220,Sheet2!$B$1:$E$19,2,FALSE)</f>
        <v>1073</v>
      </c>
      <c r="N220">
        <f>VLOOKUP(F220,Sheet2!$B$1:$E$19,3,FALSE)</f>
        <v>1108951</v>
      </c>
      <c r="O220">
        <f>IF(G220="Not available","",VLOOKUP(F220,Sheet2!$B$1:$E$19,4,FALSE)+(G220-1))</f>
        <v>3778828</v>
      </c>
    </row>
    <row r="221" spans="1:15" s="1" customFormat="1" ht="15" customHeight="1" x14ac:dyDescent="0.25">
      <c r="A221" s="18" t="s">
        <v>73</v>
      </c>
      <c r="B221" s="18" t="s">
        <v>491</v>
      </c>
      <c r="C221" s="5">
        <v>1846</v>
      </c>
      <c r="D221" s="1" t="s">
        <v>635</v>
      </c>
      <c r="E221" s="1" t="s">
        <v>2</v>
      </c>
      <c r="F221" s="18">
        <v>2174</v>
      </c>
      <c r="G221" s="18">
        <v>164</v>
      </c>
      <c r="H221" s="6" t="s">
        <v>3231</v>
      </c>
      <c r="I221" s="1">
        <v>181</v>
      </c>
      <c r="J221" s="1">
        <v>206</v>
      </c>
      <c r="L221" t="str">
        <f t="shared" si="3"/>
        <v>http://www.badatelna.eu/reprodukce/?fondId=1073&amp;zaznamId=1108960&amp;reproId=3780388</v>
      </c>
      <c r="M221">
        <f>VLOOKUP(F221,Sheet2!$B$1:$E$19,2,FALSE)</f>
        <v>1073</v>
      </c>
      <c r="N221">
        <f>VLOOKUP(F221,Sheet2!$B$1:$E$19,3,FALSE)</f>
        <v>1108960</v>
      </c>
      <c r="O221">
        <f>IF(G221="Not available","",VLOOKUP(F221,Sheet2!$B$1:$E$19,4,FALSE)+(G221-1))</f>
        <v>3780388</v>
      </c>
    </row>
    <row r="222" spans="1:15" s="1" customFormat="1" ht="15" customHeight="1" x14ac:dyDescent="0.25">
      <c r="A222" s="18" t="s">
        <v>73</v>
      </c>
      <c r="B222" s="18" t="s">
        <v>663</v>
      </c>
      <c r="C222" s="5">
        <v>1848</v>
      </c>
      <c r="D222" s="1" t="s">
        <v>484</v>
      </c>
      <c r="E222" s="1" t="s">
        <v>2</v>
      </c>
      <c r="F222" s="18">
        <v>2164</v>
      </c>
      <c r="G222" s="18">
        <v>33</v>
      </c>
      <c r="H222" s="5">
        <v>31</v>
      </c>
      <c r="I222" s="1">
        <v>123</v>
      </c>
      <c r="J222" s="4" t="s">
        <v>3271</v>
      </c>
      <c r="L222" t="str">
        <f t="shared" si="3"/>
        <v>http://www.badatelna.eu/reprodukce/?fondId=1073&amp;zaznamId=1108951&amp;reproId=3778747</v>
      </c>
      <c r="M222">
        <f>VLOOKUP(F222,Sheet2!$B$1:$E$19,2,FALSE)</f>
        <v>1073</v>
      </c>
      <c r="N222">
        <f>VLOOKUP(F222,Sheet2!$B$1:$E$19,3,FALSE)</f>
        <v>1108951</v>
      </c>
      <c r="O222">
        <f>IF(G222="Not available","",VLOOKUP(F222,Sheet2!$B$1:$E$19,4,FALSE)+(G222-1))</f>
        <v>3778747</v>
      </c>
    </row>
    <row r="223" spans="1:15" s="1" customFormat="1" ht="15" customHeight="1" x14ac:dyDescent="0.25">
      <c r="A223" s="18" t="s">
        <v>73</v>
      </c>
      <c r="B223" s="18" t="s">
        <v>44</v>
      </c>
      <c r="C223" s="5">
        <v>1803</v>
      </c>
      <c r="E223" s="1" t="s">
        <v>2</v>
      </c>
      <c r="F223" s="18">
        <v>2173</v>
      </c>
      <c r="G223" s="18">
        <v>47</v>
      </c>
      <c r="H223" s="14" t="s">
        <v>3020</v>
      </c>
      <c r="I223" s="1">
        <v>92</v>
      </c>
      <c r="J223" s="1">
        <v>190</v>
      </c>
      <c r="L223" t="str">
        <f t="shared" si="3"/>
        <v>http://www.badatelna.eu/reprodukce/?fondId=1073&amp;zaznamId=1108959&amp;reproId=3780040</v>
      </c>
      <c r="M223">
        <f>VLOOKUP(F223,Sheet2!$B$1:$E$19,2,FALSE)</f>
        <v>1073</v>
      </c>
      <c r="N223">
        <f>VLOOKUP(F223,Sheet2!$B$1:$E$19,3,FALSE)</f>
        <v>1108959</v>
      </c>
      <c r="O223">
        <f>IF(G223="Not available","",VLOOKUP(F223,Sheet2!$B$1:$E$19,4,FALSE)+(G223-1))</f>
        <v>3780040</v>
      </c>
    </row>
    <row r="224" spans="1:15" s="1" customFormat="1" ht="15" customHeight="1" x14ac:dyDescent="0.25">
      <c r="A224" s="18" t="s">
        <v>73</v>
      </c>
      <c r="B224" s="18" t="s">
        <v>44</v>
      </c>
      <c r="C224" s="5">
        <v>1807</v>
      </c>
      <c r="E224" s="1" t="s">
        <v>2</v>
      </c>
      <c r="F224" s="18">
        <v>2173</v>
      </c>
      <c r="G224" s="18">
        <v>53</v>
      </c>
      <c r="H224" s="5">
        <v>98</v>
      </c>
      <c r="I224" s="1">
        <v>92</v>
      </c>
      <c r="J224" s="1">
        <v>190</v>
      </c>
      <c r="L224" t="str">
        <f t="shared" si="3"/>
        <v>http://www.badatelna.eu/reprodukce/?fondId=1073&amp;zaznamId=1108959&amp;reproId=3780046</v>
      </c>
      <c r="M224">
        <f>VLOOKUP(F224,Sheet2!$B$1:$E$19,2,FALSE)</f>
        <v>1073</v>
      </c>
      <c r="N224">
        <f>VLOOKUP(F224,Sheet2!$B$1:$E$19,3,FALSE)</f>
        <v>1108959</v>
      </c>
      <c r="O224">
        <f>IF(G224="Not available","",VLOOKUP(F224,Sheet2!$B$1:$E$19,4,FALSE)+(G224-1))</f>
        <v>3780046</v>
      </c>
    </row>
    <row r="225" spans="1:15" s="1" customFormat="1" ht="15" customHeight="1" x14ac:dyDescent="0.25">
      <c r="A225" s="18" t="s">
        <v>73</v>
      </c>
      <c r="B225" s="18" t="s">
        <v>23</v>
      </c>
      <c r="C225" s="5">
        <v>1801</v>
      </c>
      <c r="E225" s="1" t="s">
        <v>2</v>
      </c>
      <c r="F225" s="18">
        <v>2173</v>
      </c>
      <c r="G225" s="18">
        <v>44</v>
      </c>
      <c r="H225" s="14" t="s">
        <v>3092</v>
      </c>
      <c r="I225" s="1">
        <v>92</v>
      </c>
      <c r="J225" s="1">
        <v>190</v>
      </c>
      <c r="L225" t="str">
        <f t="shared" si="3"/>
        <v>http://www.badatelna.eu/reprodukce/?fondId=1073&amp;zaznamId=1108959&amp;reproId=3780037</v>
      </c>
      <c r="M225">
        <f>VLOOKUP(F225,Sheet2!$B$1:$E$19,2,FALSE)</f>
        <v>1073</v>
      </c>
      <c r="N225">
        <f>VLOOKUP(F225,Sheet2!$B$1:$E$19,3,FALSE)</f>
        <v>1108959</v>
      </c>
      <c r="O225">
        <f>IF(G225="Not available","",VLOOKUP(F225,Sheet2!$B$1:$E$19,4,FALSE)+(G225-1))</f>
        <v>3780037</v>
      </c>
    </row>
    <row r="226" spans="1:15" s="1" customFormat="1" ht="15" customHeight="1" x14ac:dyDescent="0.25">
      <c r="A226" s="18" t="s">
        <v>73</v>
      </c>
      <c r="B226" s="18" t="s">
        <v>998</v>
      </c>
      <c r="C226" s="5" t="s">
        <v>1309</v>
      </c>
      <c r="D226" s="1" t="s">
        <v>65</v>
      </c>
      <c r="E226" s="1" t="s">
        <v>2</v>
      </c>
      <c r="F226" s="18">
        <v>2165</v>
      </c>
      <c r="G226" s="18">
        <v>29</v>
      </c>
      <c r="H226" s="5">
        <v>26</v>
      </c>
      <c r="I226" s="1">
        <v>80</v>
      </c>
      <c r="J226" s="1" t="s">
        <v>3271</v>
      </c>
      <c r="L226" t="str">
        <f t="shared" si="3"/>
        <v>http://www.badatelna.eu/reprodukce/?fondId=1073&amp;zaznamId=1108952&amp;reproId=3778890</v>
      </c>
      <c r="M226">
        <f>VLOOKUP(F226,Sheet2!$B$1:$E$19,2,FALSE)</f>
        <v>1073</v>
      </c>
      <c r="N226">
        <f>VLOOKUP(F226,Sheet2!$B$1:$E$19,3,FALSE)</f>
        <v>1108952</v>
      </c>
      <c r="O226">
        <f>IF(G226="Not available","",VLOOKUP(F226,Sheet2!$B$1:$E$19,4,FALSE)+(G226-1))</f>
        <v>3778890</v>
      </c>
    </row>
    <row r="227" spans="1:15" s="1" customFormat="1" ht="15" customHeight="1" x14ac:dyDescent="0.25">
      <c r="A227" s="18" t="s">
        <v>73</v>
      </c>
      <c r="B227" s="18" t="s">
        <v>304</v>
      </c>
      <c r="C227" s="5">
        <v>1848</v>
      </c>
      <c r="D227" s="1" t="s">
        <v>495</v>
      </c>
      <c r="E227" s="1" t="s">
        <v>2</v>
      </c>
      <c r="F227" s="18">
        <v>2164</v>
      </c>
      <c r="G227" s="18">
        <v>27</v>
      </c>
      <c r="H227" s="5">
        <v>25</v>
      </c>
      <c r="I227" s="1">
        <v>123</v>
      </c>
      <c r="J227" s="4" t="s">
        <v>3271</v>
      </c>
      <c r="L227" t="str">
        <f t="shared" si="3"/>
        <v>http://www.badatelna.eu/reprodukce/?fondId=1073&amp;zaznamId=1108951&amp;reproId=3778741</v>
      </c>
      <c r="M227">
        <f>VLOOKUP(F227,Sheet2!$B$1:$E$19,2,FALSE)</f>
        <v>1073</v>
      </c>
      <c r="N227">
        <f>VLOOKUP(F227,Sheet2!$B$1:$E$19,3,FALSE)</f>
        <v>1108951</v>
      </c>
      <c r="O227">
        <f>IF(G227="Not available","",VLOOKUP(F227,Sheet2!$B$1:$E$19,4,FALSE)+(G227-1))</f>
        <v>3778741</v>
      </c>
    </row>
    <row r="228" spans="1:15" s="1" customFormat="1" ht="15" customHeight="1" x14ac:dyDescent="0.25">
      <c r="A228" s="18" t="s">
        <v>73</v>
      </c>
      <c r="B228" s="18" t="s">
        <v>304</v>
      </c>
      <c r="C228" s="5">
        <v>1853</v>
      </c>
      <c r="D228" s="1" t="s">
        <v>484</v>
      </c>
      <c r="E228" s="1" t="s">
        <v>2</v>
      </c>
      <c r="F228" s="18">
        <v>2164</v>
      </c>
      <c r="G228" s="18">
        <v>92</v>
      </c>
      <c r="H228" s="5">
        <v>90</v>
      </c>
      <c r="I228" s="1">
        <v>123</v>
      </c>
      <c r="J228" s="4" t="s">
        <v>3271</v>
      </c>
      <c r="L228" t="str">
        <f t="shared" si="3"/>
        <v>http://www.badatelna.eu/reprodukce/?fondId=1073&amp;zaznamId=1108951&amp;reproId=3778806</v>
      </c>
      <c r="M228">
        <f>VLOOKUP(F228,Sheet2!$B$1:$E$19,2,FALSE)</f>
        <v>1073</v>
      </c>
      <c r="N228">
        <f>VLOOKUP(F228,Sheet2!$B$1:$E$19,3,FALSE)</f>
        <v>1108951</v>
      </c>
      <c r="O228">
        <f>IF(G228="Not available","",VLOOKUP(F228,Sheet2!$B$1:$E$19,4,FALSE)+(G228-1))</f>
        <v>3778806</v>
      </c>
    </row>
    <row r="229" spans="1:15" s="1" customFormat="1" ht="15" customHeight="1" x14ac:dyDescent="0.25">
      <c r="A229" s="18" t="s">
        <v>73</v>
      </c>
      <c r="B229" s="18" t="s">
        <v>91</v>
      </c>
      <c r="C229" s="5">
        <v>1797</v>
      </c>
      <c r="D229" s="1" t="s">
        <v>74</v>
      </c>
      <c r="E229" s="1" t="s">
        <v>2</v>
      </c>
      <c r="F229" s="18">
        <v>2173</v>
      </c>
      <c r="G229" s="18">
        <v>35</v>
      </c>
      <c r="H229" s="5">
        <v>65</v>
      </c>
      <c r="I229" s="1">
        <v>92</v>
      </c>
      <c r="J229" s="1">
        <v>190</v>
      </c>
      <c r="L229" t="str">
        <f t="shared" si="3"/>
        <v>http://www.badatelna.eu/reprodukce/?fondId=1073&amp;zaznamId=1108959&amp;reproId=3780028</v>
      </c>
      <c r="M229">
        <f>VLOOKUP(F229,Sheet2!$B$1:$E$19,2,FALSE)</f>
        <v>1073</v>
      </c>
      <c r="N229">
        <f>VLOOKUP(F229,Sheet2!$B$1:$E$19,3,FALSE)</f>
        <v>1108959</v>
      </c>
      <c r="O229">
        <f>IF(G229="Not available","",VLOOKUP(F229,Sheet2!$B$1:$E$19,4,FALSE)+(G229-1))</f>
        <v>3780028</v>
      </c>
    </row>
    <row r="230" spans="1:15" s="1" customFormat="1" ht="15" customHeight="1" x14ac:dyDescent="0.25">
      <c r="A230" s="18" t="s">
        <v>73</v>
      </c>
      <c r="B230" s="18" t="s">
        <v>76</v>
      </c>
      <c r="C230" s="5">
        <v>1846</v>
      </c>
      <c r="D230" s="1" t="s">
        <v>633</v>
      </c>
      <c r="E230" s="1" t="s">
        <v>2</v>
      </c>
      <c r="F230" s="18">
        <v>2174</v>
      </c>
      <c r="G230" s="18">
        <v>169</v>
      </c>
      <c r="H230" s="6" t="s">
        <v>3229</v>
      </c>
      <c r="I230" s="1">
        <v>181</v>
      </c>
      <c r="J230" s="1">
        <v>206</v>
      </c>
      <c r="L230" t="str">
        <f t="shared" si="3"/>
        <v>http://www.badatelna.eu/reprodukce/?fondId=1073&amp;zaznamId=1108960&amp;reproId=3780393</v>
      </c>
      <c r="M230">
        <f>VLOOKUP(F230,Sheet2!$B$1:$E$19,2,FALSE)</f>
        <v>1073</v>
      </c>
      <c r="N230">
        <f>VLOOKUP(F230,Sheet2!$B$1:$E$19,3,FALSE)</f>
        <v>1108960</v>
      </c>
      <c r="O230">
        <f>IF(G230="Not available","",VLOOKUP(F230,Sheet2!$B$1:$E$19,4,FALSE)+(G230-1))</f>
        <v>3780393</v>
      </c>
    </row>
    <row r="231" spans="1:15" s="1" customFormat="1" ht="15" customHeight="1" x14ac:dyDescent="0.25">
      <c r="A231" s="18" t="s">
        <v>102</v>
      </c>
      <c r="B231" s="18" t="s">
        <v>477</v>
      </c>
      <c r="C231" s="5" t="s">
        <v>1316</v>
      </c>
      <c r="D231" s="1" t="s">
        <v>603</v>
      </c>
      <c r="E231" s="1" t="s">
        <v>2</v>
      </c>
      <c r="F231" s="18">
        <v>2165</v>
      </c>
      <c r="G231" s="18">
        <v>37</v>
      </c>
      <c r="H231" s="5">
        <v>34</v>
      </c>
      <c r="I231" s="1">
        <v>81</v>
      </c>
      <c r="J231" s="1" t="s">
        <v>3271</v>
      </c>
      <c r="L231" t="str">
        <f t="shared" si="3"/>
        <v>http://www.badatelna.eu/reprodukce/?fondId=1073&amp;zaznamId=1108952&amp;reproId=3778898</v>
      </c>
      <c r="M231">
        <f>VLOOKUP(F231,Sheet2!$B$1:$E$19,2,FALSE)</f>
        <v>1073</v>
      </c>
      <c r="N231">
        <f>VLOOKUP(F231,Sheet2!$B$1:$E$19,3,FALSE)</f>
        <v>1108952</v>
      </c>
      <c r="O231">
        <f>IF(G231="Not available","",VLOOKUP(F231,Sheet2!$B$1:$E$19,4,FALSE)+(G231-1))</f>
        <v>3778898</v>
      </c>
    </row>
    <row r="232" spans="1:15" s="1" customFormat="1" ht="15" customHeight="1" x14ac:dyDescent="0.25">
      <c r="A232" s="18" t="s">
        <v>102</v>
      </c>
      <c r="B232" s="18" t="s">
        <v>632</v>
      </c>
      <c r="C232" s="5">
        <v>1863</v>
      </c>
      <c r="E232" s="1" t="s">
        <v>939</v>
      </c>
      <c r="F232" s="18">
        <v>999</v>
      </c>
      <c r="G232" s="18">
        <v>42</v>
      </c>
      <c r="H232" s="5">
        <v>40</v>
      </c>
      <c r="I232" s="1">
        <v>63</v>
      </c>
      <c r="J232" s="1">
        <v>96</v>
      </c>
      <c r="L232" t="str">
        <f t="shared" si="3"/>
        <v>http://www.badatelna.eu/reprodukce/?fondId=241&amp;zaznamId=1133739&amp;reproId=3885771</v>
      </c>
      <c r="M232">
        <f>VLOOKUP(F232,Sheet2!$B$1:$E$19,2,FALSE)</f>
        <v>241</v>
      </c>
      <c r="N232">
        <f>VLOOKUP(F232,Sheet2!$B$1:$E$19,3,FALSE)</f>
        <v>1133739</v>
      </c>
      <c r="O232">
        <f>IF(G232="Not available","",VLOOKUP(F232,Sheet2!$B$1:$E$19,4,FALSE)+(G232-1))</f>
        <v>3885771</v>
      </c>
    </row>
    <row r="233" spans="1:15" s="1" customFormat="1" ht="15" customHeight="1" x14ac:dyDescent="0.25">
      <c r="A233" s="18" t="s">
        <v>102</v>
      </c>
      <c r="B233" s="18" t="s">
        <v>74</v>
      </c>
      <c r="C233" s="5">
        <v>1803</v>
      </c>
      <c r="E233" s="1" t="s">
        <v>2</v>
      </c>
      <c r="F233" s="18">
        <v>2173</v>
      </c>
      <c r="G233" s="18">
        <v>46</v>
      </c>
      <c r="H233" s="14" t="s">
        <v>3095</v>
      </c>
      <c r="I233" s="1">
        <v>92</v>
      </c>
      <c r="J233" s="1">
        <v>190</v>
      </c>
      <c r="L233" t="str">
        <f t="shared" si="3"/>
        <v>http://www.badatelna.eu/reprodukce/?fondId=1073&amp;zaznamId=1108959&amp;reproId=3780039</v>
      </c>
      <c r="M233">
        <f>VLOOKUP(F233,Sheet2!$B$1:$E$19,2,FALSE)</f>
        <v>1073</v>
      </c>
      <c r="N233">
        <f>VLOOKUP(F233,Sheet2!$B$1:$E$19,3,FALSE)</f>
        <v>1108959</v>
      </c>
      <c r="O233">
        <f>IF(G233="Not available","",VLOOKUP(F233,Sheet2!$B$1:$E$19,4,FALSE)+(G233-1))</f>
        <v>3780039</v>
      </c>
    </row>
    <row r="234" spans="1:15" s="1" customFormat="1" ht="15" customHeight="1" x14ac:dyDescent="0.25">
      <c r="A234" s="18" t="s">
        <v>102</v>
      </c>
      <c r="B234" s="18" t="s">
        <v>74</v>
      </c>
      <c r="C234" s="5" t="s">
        <v>1317</v>
      </c>
      <c r="D234" s="1" t="s">
        <v>12</v>
      </c>
      <c r="E234" s="1" t="s">
        <v>2</v>
      </c>
      <c r="F234" s="18">
        <v>2165</v>
      </c>
      <c r="G234" s="18">
        <v>39</v>
      </c>
      <c r="H234" s="5">
        <v>36</v>
      </c>
      <c r="I234" s="1">
        <v>81</v>
      </c>
      <c r="J234" s="1" t="s">
        <v>3271</v>
      </c>
      <c r="L234" t="str">
        <f t="shared" si="3"/>
        <v>http://www.badatelna.eu/reprodukce/?fondId=1073&amp;zaznamId=1108952&amp;reproId=3778900</v>
      </c>
      <c r="M234">
        <f>VLOOKUP(F234,Sheet2!$B$1:$E$19,2,FALSE)</f>
        <v>1073</v>
      </c>
      <c r="N234">
        <f>VLOOKUP(F234,Sheet2!$B$1:$E$19,3,FALSE)</f>
        <v>1108952</v>
      </c>
      <c r="O234">
        <f>IF(G234="Not available","",VLOOKUP(F234,Sheet2!$B$1:$E$19,4,FALSE)+(G234-1))</f>
        <v>3778900</v>
      </c>
    </row>
    <row r="235" spans="1:15" s="1" customFormat="1" ht="15" customHeight="1" x14ac:dyDescent="0.25">
      <c r="A235" s="18" t="s">
        <v>102</v>
      </c>
      <c r="B235" s="18" t="s">
        <v>698</v>
      </c>
      <c r="C235" s="5" t="s">
        <v>1338</v>
      </c>
      <c r="D235" s="1" t="s">
        <v>603</v>
      </c>
      <c r="E235" s="1" t="s">
        <v>2</v>
      </c>
      <c r="F235" s="18">
        <v>2165</v>
      </c>
      <c r="G235" s="18">
        <v>66</v>
      </c>
      <c r="H235" s="5">
        <v>63</v>
      </c>
      <c r="I235" s="1">
        <v>81</v>
      </c>
      <c r="J235" s="1" t="s">
        <v>3271</v>
      </c>
      <c r="L235" t="str">
        <f t="shared" si="3"/>
        <v>http://www.badatelna.eu/reprodukce/?fondId=1073&amp;zaznamId=1108952&amp;reproId=3778927</v>
      </c>
      <c r="M235">
        <f>VLOOKUP(F235,Sheet2!$B$1:$E$19,2,FALSE)</f>
        <v>1073</v>
      </c>
      <c r="N235">
        <f>VLOOKUP(F235,Sheet2!$B$1:$E$19,3,FALSE)</f>
        <v>1108952</v>
      </c>
      <c r="O235">
        <f>IF(G235="Not available","",VLOOKUP(F235,Sheet2!$B$1:$E$19,4,FALSE)+(G235-1))</f>
        <v>3778927</v>
      </c>
    </row>
    <row r="236" spans="1:15" s="1" customFormat="1" ht="15" customHeight="1" x14ac:dyDescent="0.25">
      <c r="A236" s="18" t="s">
        <v>102</v>
      </c>
      <c r="B236" s="18" t="s">
        <v>2029</v>
      </c>
      <c r="C236" s="6" t="s">
        <v>2026</v>
      </c>
      <c r="D236" s="4" t="s">
        <v>2030</v>
      </c>
      <c r="E236" s="4" t="s">
        <v>2</v>
      </c>
      <c r="F236" s="18">
        <v>2176</v>
      </c>
      <c r="G236" s="18" t="s">
        <v>3271</v>
      </c>
      <c r="H236" s="6" t="s">
        <v>2031</v>
      </c>
      <c r="I236" s="1">
        <v>4</v>
      </c>
      <c r="J236" s="1" t="s">
        <v>3271</v>
      </c>
      <c r="K236" s="3"/>
      <c r="L236" t="str">
        <f t="shared" si="3"/>
        <v/>
      </c>
      <c r="M236">
        <f>VLOOKUP(F236,Sheet2!$B$1:$E$19,2,FALSE)</f>
        <v>1073</v>
      </c>
      <c r="N236">
        <f>VLOOKUP(F236,Sheet2!$B$1:$E$19,3,FALSE)</f>
        <v>1108963</v>
      </c>
      <c r="O236" t="str">
        <f>IF(G236="Not available","",VLOOKUP(F236,Sheet2!$B$1:$E$19,4,FALSE)+(G236-1))</f>
        <v/>
      </c>
    </row>
    <row r="237" spans="1:15" s="1" customFormat="1" ht="15" customHeight="1" x14ac:dyDescent="0.25">
      <c r="A237" s="18" t="s">
        <v>102</v>
      </c>
      <c r="B237" s="18" t="s">
        <v>1112</v>
      </c>
      <c r="C237" s="5" t="s">
        <v>1711</v>
      </c>
      <c r="D237" s="1" t="s">
        <v>83</v>
      </c>
      <c r="E237" s="1" t="s">
        <v>2</v>
      </c>
      <c r="F237" s="18">
        <v>2165</v>
      </c>
      <c r="G237" s="18">
        <v>167</v>
      </c>
      <c r="H237" s="5">
        <v>3</v>
      </c>
      <c r="I237" s="1">
        <v>170</v>
      </c>
      <c r="J237" s="1">
        <v>148</v>
      </c>
      <c r="L237" t="str">
        <f t="shared" si="3"/>
        <v>http://www.badatelna.eu/reprodukce/?fondId=1073&amp;zaznamId=1108952&amp;reproId=3779028</v>
      </c>
      <c r="M237">
        <f>VLOOKUP(F237,Sheet2!$B$1:$E$19,2,FALSE)</f>
        <v>1073</v>
      </c>
      <c r="N237">
        <f>VLOOKUP(F237,Sheet2!$B$1:$E$19,3,FALSE)</f>
        <v>1108952</v>
      </c>
      <c r="O237">
        <f>IF(G237="Not available","",VLOOKUP(F237,Sheet2!$B$1:$E$19,4,FALSE)+(G237-1))</f>
        <v>3779028</v>
      </c>
    </row>
    <row r="238" spans="1:15" s="1" customFormat="1" ht="15" customHeight="1" x14ac:dyDescent="0.25">
      <c r="A238" s="18" t="s">
        <v>102</v>
      </c>
      <c r="B238" s="18" t="s">
        <v>116</v>
      </c>
      <c r="C238" s="5">
        <v>1808</v>
      </c>
      <c r="E238" s="1" t="s">
        <v>2</v>
      </c>
      <c r="F238" s="18">
        <v>2173</v>
      </c>
      <c r="G238" s="18">
        <v>54</v>
      </c>
      <c r="H238" s="5">
        <v>102</v>
      </c>
      <c r="I238" s="1">
        <v>92</v>
      </c>
      <c r="J238" s="1">
        <v>190</v>
      </c>
      <c r="L238" t="str">
        <f t="shared" si="3"/>
        <v>http://www.badatelna.eu/reprodukce/?fondId=1073&amp;zaznamId=1108959&amp;reproId=3780047</v>
      </c>
      <c r="M238">
        <f>VLOOKUP(F238,Sheet2!$B$1:$E$19,2,FALSE)</f>
        <v>1073</v>
      </c>
      <c r="N238">
        <f>VLOOKUP(F238,Sheet2!$B$1:$E$19,3,FALSE)</f>
        <v>1108959</v>
      </c>
      <c r="O238">
        <f>IF(G238="Not available","",VLOOKUP(F238,Sheet2!$B$1:$E$19,4,FALSE)+(G238-1))</f>
        <v>3780047</v>
      </c>
    </row>
    <row r="239" spans="1:15" s="1" customFormat="1" ht="15" customHeight="1" x14ac:dyDescent="0.25">
      <c r="A239" s="18" t="s">
        <v>102</v>
      </c>
      <c r="B239" s="18" t="s">
        <v>59</v>
      </c>
      <c r="C239" s="5">
        <v>1819</v>
      </c>
      <c r="E239" s="1" t="s">
        <v>2</v>
      </c>
      <c r="F239" s="18">
        <v>2173</v>
      </c>
      <c r="G239" s="18">
        <v>65</v>
      </c>
      <c r="H239" s="5">
        <v>125</v>
      </c>
      <c r="I239" s="1">
        <v>92</v>
      </c>
      <c r="J239" s="1">
        <v>190</v>
      </c>
      <c r="L239" t="str">
        <f t="shared" si="3"/>
        <v>http://www.badatelna.eu/reprodukce/?fondId=1073&amp;zaznamId=1108959&amp;reproId=3780058</v>
      </c>
      <c r="M239">
        <f>VLOOKUP(F239,Sheet2!$B$1:$E$19,2,FALSE)</f>
        <v>1073</v>
      </c>
      <c r="N239">
        <f>VLOOKUP(F239,Sheet2!$B$1:$E$19,3,FALSE)</f>
        <v>1108959</v>
      </c>
      <c r="O239">
        <f>IF(G239="Not available","",VLOOKUP(F239,Sheet2!$B$1:$E$19,4,FALSE)+(G239-1))</f>
        <v>3780058</v>
      </c>
    </row>
    <row r="240" spans="1:15" s="1" customFormat="1" ht="15" customHeight="1" x14ac:dyDescent="0.25">
      <c r="A240" s="18" t="s">
        <v>102</v>
      </c>
      <c r="B240" s="18" t="s">
        <v>607</v>
      </c>
      <c r="C240" s="5">
        <v>1831</v>
      </c>
      <c r="D240" s="1" t="s">
        <v>74</v>
      </c>
      <c r="E240" s="1" t="s">
        <v>2</v>
      </c>
      <c r="F240" s="18">
        <v>2174</v>
      </c>
      <c r="G240" s="18">
        <v>64</v>
      </c>
      <c r="H240" s="6" t="s">
        <v>3108</v>
      </c>
      <c r="I240" s="1">
        <v>180</v>
      </c>
      <c r="J240" s="1">
        <v>204</v>
      </c>
      <c r="L240" t="str">
        <f t="shared" si="3"/>
        <v>http://www.badatelna.eu/reprodukce/?fondId=1073&amp;zaznamId=1108960&amp;reproId=3780288</v>
      </c>
      <c r="M240">
        <f>VLOOKUP(F240,Sheet2!$B$1:$E$19,2,FALSE)</f>
        <v>1073</v>
      </c>
      <c r="N240">
        <f>VLOOKUP(F240,Sheet2!$B$1:$E$19,3,FALSE)</f>
        <v>1108960</v>
      </c>
      <c r="O240">
        <f>IF(G240="Not available","",VLOOKUP(F240,Sheet2!$B$1:$E$19,4,FALSE)+(G240-1))</f>
        <v>3780288</v>
      </c>
    </row>
    <row r="241" spans="1:15" s="1" customFormat="1" ht="15" customHeight="1" x14ac:dyDescent="0.25">
      <c r="A241" s="18" t="s">
        <v>102</v>
      </c>
      <c r="B241" s="18" t="s">
        <v>735</v>
      </c>
      <c r="C241" s="5">
        <v>1865</v>
      </c>
      <c r="E241" s="1" t="s">
        <v>939</v>
      </c>
      <c r="F241" s="18">
        <v>999</v>
      </c>
      <c r="G241" s="18">
        <v>55</v>
      </c>
      <c r="H241" s="5">
        <v>53</v>
      </c>
      <c r="I241" s="1">
        <v>63</v>
      </c>
      <c r="J241" s="1">
        <v>96</v>
      </c>
      <c r="L241" t="str">
        <f t="shared" si="3"/>
        <v>http://www.badatelna.eu/reprodukce/?fondId=241&amp;zaznamId=1133739&amp;reproId=3885784</v>
      </c>
      <c r="M241">
        <f>VLOOKUP(F241,Sheet2!$B$1:$E$19,2,FALSE)</f>
        <v>241</v>
      </c>
      <c r="N241">
        <f>VLOOKUP(F241,Sheet2!$B$1:$E$19,3,FALSE)</f>
        <v>1133739</v>
      </c>
      <c r="O241">
        <f>IF(G241="Not available","",VLOOKUP(F241,Sheet2!$B$1:$E$19,4,FALSE)+(G241-1))</f>
        <v>3885784</v>
      </c>
    </row>
    <row r="242" spans="1:15" s="1" customFormat="1" ht="15" customHeight="1" x14ac:dyDescent="0.25">
      <c r="A242" s="18" t="s">
        <v>102</v>
      </c>
      <c r="B242" s="18" t="s">
        <v>135</v>
      </c>
      <c r="C242" s="5" t="s">
        <v>1292</v>
      </c>
      <c r="D242" s="1" t="s">
        <v>603</v>
      </c>
      <c r="E242" s="1" t="s">
        <v>2</v>
      </c>
      <c r="F242" s="18">
        <v>2165</v>
      </c>
      <c r="G242" s="18">
        <v>7</v>
      </c>
      <c r="H242" s="5">
        <v>4</v>
      </c>
      <c r="I242" s="1">
        <v>80</v>
      </c>
      <c r="J242" s="1" t="s">
        <v>3271</v>
      </c>
      <c r="L242" t="str">
        <f t="shared" si="3"/>
        <v>http://www.badatelna.eu/reprodukce/?fondId=1073&amp;zaznamId=1108952&amp;reproId=3778868</v>
      </c>
      <c r="M242">
        <f>VLOOKUP(F242,Sheet2!$B$1:$E$19,2,FALSE)</f>
        <v>1073</v>
      </c>
      <c r="N242">
        <f>VLOOKUP(F242,Sheet2!$B$1:$E$19,3,FALSE)</f>
        <v>1108952</v>
      </c>
      <c r="O242">
        <f>IF(G242="Not available","",VLOOKUP(F242,Sheet2!$B$1:$E$19,4,FALSE)+(G242-1))</f>
        <v>3778868</v>
      </c>
    </row>
    <row r="243" spans="1:15" s="1" customFormat="1" ht="15" customHeight="1" x14ac:dyDescent="0.25">
      <c r="A243" s="18" t="s">
        <v>102</v>
      </c>
      <c r="B243" s="18" t="s">
        <v>135</v>
      </c>
      <c r="C243" s="5" t="s">
        <v>1335</v>
      </c>
      <c r="D243" s="1" t="s">
        <v>428</v>
      </c>
      <c r="E243" s="1" t="s">
        <v>2</v>
      </c>
      <c r="F243" s="18">
        <v>2165</v>
      </c>
      <c r="G243" s="18">
        <v>66</v>
      </c>
      <c r="H243" s="5">
        <v>63</v>
      </c>
      <c r="I243" s="1">
        <v>81</v>
      </c>
      <c r="J243" s="1" t="s">
        <v>3271</v>
      </c>
      <c r="L243" t="str">
        <f t="shared" si="3"/>
        <v>http://www.badatelna.eu/reprodukce/?fondId=1073&amp;zaznamId=1108952&amp;reproId=3778927</v>
      </c>
      <c r="M243">
        <f>VLOOKUP(F243,Sheet2!$B$1:$E$19,2,FALSE)</f>
        <v>1073</v>
      </c>
      <c r="N243">
        <f>VLOOKUP(F243,Sheet2!$B$1:$E$19,3,FALSE)</f>
        <v>1108952</v>
      </c>
      <c r="O243">
        <f>IF(G243="Not available","",VLOOKUP(F243,Sheet2!$B$1:$E$19,4,FALSE)+(G243-1))</f>
        <v>3778927</v>
      </c>
    </row>
    <row r="244" spans="1:15" s="1" customFormat="1" ht="15" customHeight="1" x14ac:dyDescent="0.25">
      <c r="A244" s="18" t="s">
        <v>102</v>
      </c>
      <c r="B244" s="18" t="s">
        <v>426</v>
      </c>
      <c r="C244" s="5">
        <v>1833</v>
      </c>
      <c r="D244" s="1" t="s">
        <v>74</v>
      </c>
      <c r="E244" s="1" t="s">
        <v>2</v>
      </c>
      <c r="F244" s="18">
        <v>2174</v>
      </c>
      <c r="G244" s="18">
        <v>75</v>
      </c>
      <c r="H244" s="6" t="s">
        <v>3141</v>
      </c>
      <c r="I244" s="1">
        <v>180</v>
      </c>
      <c r="J244" s="1">
        <v>204</v>
      </c>
      <c r="L244" t="str">
        <f t="shared" si="3"/>
        <v>http://www.badatelna.eu/reprodukce/?fondId=1073&amp;zaznamId=1108960&amp;reproId=3780299</v>
      </c>
      <c r="M244">
        <f>VLOOKUP(F244,Sheet2!$B$1:$E$19,2,FALSE)</f>
        <v>1073</v>
      </c>
      <c r="N244">
        <f>VLOOKUP(F244,Sheet2!$B$1:$E$19,3,FALSE)</f>
        <v>1108960</v>
      </c>
      <c r="O244">
        <f>IF(G244="Not available","",VLOOKUP(F244,Sheet2!$B$1:$E$19,4,FALSE)+(G244-1))</f>
        <v>3780299</v>
      </c>
    </row>
    <row r="245" spans="1:15" s="1" customFormat="1" ht="15" customHeight="1" x14ac:dyDescent="0.25">
      <c r="A245" s="18" t="s">
        <v>102</v>
      </c>
      <c r="B245" s="18" t="s">
        <v>976</v>
      </c>
      <c r="C245" s="5" t="s">
        <v>1318</v>
      </c>
      <c r="D245" s="1" t="s">
        <v>428</v>
      </c>
      <c r="E245" s="1" t="s">
        <v>2</v>
      </c>
      <c r="F245" s="18">
        <v>2165</v>
      </c>
      <c r="G245" s="18">
        <v>39</v>
      </c>
      <c r="H245" s="5">
        <v>36</v>
      </c>
      <c r="I245" s="1">
        <v>81</v>
      </c>
      <c r="J245" s="1" t="s">
        <v>3271</v>
      </c>
      <c r="L245" t="str">
        <f t="shared" si="3"/>
        <v>http://www.badatelna.eu/reprodukce/?fondId=1073&amp;zaznamId=1108952&amp;reproId=3778900</v>
      </c>
      <c r="M245">
        <f>VLOOKUP(F245,Sheet2!$B$1:$E$19,2,FALSE)</f>
        <v>1073</v>
      </c>
      <c r="N245">
        <f>VLOOKUP(F245,Sheet2!$B$1:$E$19,3,FALSE)</f>
        <v>1108952</v>
      </c>
      <c r="O245">
        <f>IF(G245="Not available","",VLOOKUP(F245,Sheet2!$B$1:$E$19,4,FALSE)+(G245-1))</f>
        <v>3778900</v>
      </c>
    </row>
    <row r="246" spans="1:15" s="1" customFormat="1" ht="15" customHeight="1" x14ac:dyDescent="0.25">
      <c r="A246" s="18" t="s">
        <v>102</v>
      </c>
      <c r="B246" s="18" t="s">
        <v>809</v>
      </c>
      <c r="C246" s="6" t="s">
        <v>2005</v>
      </c>
      <c r="D246" s="4" t="s">
        <v>1970</v>
      </c>
      <c r="E246" s="4" t="s">
        <v>2</v>
      </c>
      <c r="F246" s="18">
        <v>2176</v>
      </c>
      <c r="G246" s="18" t="s">
        <v>3271</v>
      </c>
      <c r="H246" s="6" t="s">
        <v>2006</v>
      </c>
      <c r="I246" s="1">
        <v>4</v>
      </c>
      <c r="J246" s="1" t="s">
        <v>3271</v>
      </c>
      <c r="L246" t="str">
        <f t="shared" si="3"/>
        <v/>
      </c>
      <c r="M246">
        <f>VLOOKUP(F246,Sheet2!$B$1:$E$19,2,FALSE)</f>
        <v>1073</v>
      </c>
      <c r="N246">
        <f>VLOOKUP(F246,Sheet2!$B$1:$E$19,3,FALSE)</f>
        <v>1108963</v>
      </c>
      <c r="O246" t="str">
        <f>IF(G246="Not available","",VLOOKUP(F246,Sheet2!$B$1:$E$19,4,FALSE)+(G246-1))</f>
        <v/>
      </c>
    </row>
    <row r="247" spans="1:15" s="1" customFormat="1" ht="15" customHeight="1" x14ac:dyDescent="0.25">
      <c r="A247" s="18" t="s">
        <v>102</v>
      </c>
      <c r="B247" s="18" t="s">
        <v>428</v>
      </c>
      <c r="C247" s="5">
        <v>1843</v>
      </c>
      <c r="D247" s="1" t="s">
        <v>74</v>
      </c>
      <c r="E247" s="1" t="s">
        <v>2</v>
      </c>
      <c r="F247" s="18">
        <v>2174</v>
      </c>
      <c r="G247" s="18">
        <v>134</v>
      </c>
      <c r="H247" s="6" t="s">
        <v>3201</v>
      </c>
      <c r="I247" s="1">
        <v>181</v>
      </c>
      <c r="J247" s="1">
        <v>205</v>
      </c>
      <c r="L247" t="str">
        <f t="shared" si="3"/>
        <v>http://www.badatelna.eu/reprodukce/?fondId=1073&amp;zaznamId=1108960&amp;reproId=3780358</v>
      </c>
      <c r="M247">
        <f>VLOOKUP(F247,Sheet2!$B$1:$E$19,2,FALSE)</f>
        <v>1073</v>
      </c>
      <c r="N247">
        <f>VLOOKUP(F247,Sheet2!$B$1:$E$19,3,FALSE)</f>
        <v>1108960</v>
      </c>
      <c r="O247">
        <f>IF(G247="Not available","",VLOOKUP(F247,Sheet2!$B$1:$E$19,4,FALSE)+(G247-1))</f>
        <v>3780358</v>
      </c>
    </row>
    <row r="248" spans="1:15" s="1" customFormat="1" ht="15" customHeight="1" x14ac:dyDescent="0.25">
      <c r="A248" s="18" t="s">
        <v>102</v>
      </c>
      <c r="B248" s="18" t="s">
        <v>197</v>
      </c>
      <c r="C248" s="6" t="s">
        <v>2025</v>
      </c>
      <c r="D248" s="4" t="s">
        <v>1970</v>
      </c>
      <c r="E248" s="4" t="s">
        <v>2</v>
      </c>
      <c r="F248" s="18">
        <v>2176</v>
      </c>
      <c r="G248" s="18" t="s">
        <v>3271</v>
      </c>
      <c r="H248" s="6" t="s">
        <v>2019</v>
      </c>
      <c r="I248" s="1">
        <v>4</v>
      </c>
      <c r="J248" s="1" t="s">
        <v>3271</v>
      </c>
      <c r="K248" s="3"/>
      <c r="L248" t="str">
        <f t="shared" si="3"/>
        <v/>
      </c>
      <c r="M248">
        <f>VLOOKUP(F248,Sheet2!$B$1:$E$19,2,FALSE)</f>
        <v>1073</v>
      </c>
      <c r="N248">
        <f>VLOOKUP(F248,Sheet2!$B$1:$E$19,3,FALSE)</f>
        <v>1108963</v>
      </c>
      <c r="O248" t="str">
        <f>IF(G248="Not available","",VLOOKUP(F248,Sheet2!$B$1:$E$19,4,FALSE)+(G248-1))</f>
        <v/>
      </c>
    </row>
    <row r="249" spans="1:15" s="1" customFormat="1" ht="15" customHeight="1" x14ac:dyDescent="0.25">
      <c r="A249" s="18" t="s">
        <v>102</v>
      </c>
      <c r="B249" s="18" t="s">
        <v>197</v>
      </c>
      <c r="C249" s="5" t="s">
        <v>1328</v>
      </c>
      <c r="D249" s="1" t="s">
        <v>603</v>
      </c>
      <c r="E249" s="1" t="s">
        <v>2</v>
      </c>
      <c r="F249" s="18">
        <v>2165</v>
      </c>
      <c r="G249" s="18">
        <v>52</v>
      </c>
      <c r="H249" s="5">
        <v>49</v>
      </c>
      <c r="I249" s="1">
        <v>81</v>
      </c>
      <c r="J249" s="1" t="s">
        <v>3271</v>
      </c>
      <c r="L249" t="str">
        <f t="shared" si="3"/>
        <v>http://www.badatelna.eu/reprodukce/?fondId=1073&amp;zaznamId=1108952&amp;reproId=3778913</v>
      </c>
      <c r="M249">
        <f>VLOOKUP(F249,Sheet2!$B$1:$E$19,2,FALSE)</f>
        <v>1073</v>
      </c>
      <c r="N249">
        <f>VLOOKUP(F249,Sheet2!$B$1:$E$19,3,FALSE)</f>
        <v>1108952</v>
      </c>
      <c r="O249">
        <f>IF(G249="Not available","",VLOOKUP(F249,Sheet2!$B$1:$E$19,4,FALSE)+(G249-1))</f>
        <v>3778913</v>
      </c>
    </row>
    <row r="250" spans="1:15" s="1" customFormat="1" ht="15" customHeight="1" x14ac:dyDescent="0.25">
      <c r="A250" s="18" t="s">
        <v>102</v>
      </c>
      <c r="B250" s="18" t="s">
        <v>1985</v>
      </c>
      <c r="C250" s="6" t="s">
        <v>1969</v>
      </c>
      <c r="D250" s="4" t="s">
        <v>1986</v>
      </c>
      <c r="E250" s="4" t="s">
        <v>2</v>
      </c>
      <c r="F250" s="18">
        <v>2176</v>
      </c>
      <c r="G250" s="18" t="s">
        <v>3271</v>
      </c>
      <c r="H250" s="6" t="s">
        <v>1990</v>
      </c>
      <c r="I250" s="1">
        <v>4</v>
      </c>
      <c r="J250" s="1" t="s">
        <v>3271</v>
      </c>
      <c r="L250" t="str">
        <f t="shared" si="3"/>
        <v/>
      </c>
      <c r="M250">
        <f>VLOOKUP(F250,Sheet2!$B$1:$E$19,2,FALSE)</f>
        <v>1073</v>
      </c>
      <c r="N250">
        <f>VLOOKUP(F250,Sheet2!$B$1:$E$19,3,FALSE)</f>
        <v>1108963</v>
      </c>
      <c r="O250" t="str">
        <f>IF(G250="Not available","",VLOOKUP(F250,Sheet2!$B$1:$E$19,4,FALSE)+(G250-1))</f>
        <v/>
      </c>
    </row>
    <row r="251" spans="1:15" s="1" customFormat="1" ht="15" customHeight="1" x14ac:dyDescent="0.25">
      <c r="A251" s="18" t="s">
        <v>102</v>
      </c>
      <c r="B251" s="18" t="s">
        <v>133</v>
      </c>
      <c r="C251" s="5">
        <v>1818</v>
      </c>
      <c r="E251" s="1" t="s">
        <v>2</v>
      </c>
      <c r="F251" s="18">
        <v>2173</v>
      </c>
      <c r="G251" s="18">
        <v>67</v>
      </c>
      <c r="H251" s="5">
        <v>128</v>
      </c>
      <c r="I251" s="1">
        <v>93</v>
      </c>
      <c r="J251" s="1">
        <v>194</v>
      </c>
      <c r="L251" t="str">
        <f t="shared" si="3"/>
        <v>http://www.badatelna.eu/reprodukce/?fondId=1073&amp;zaznamId=1108959&amp;reproId=3780060</v>
      </c>
      <c r="M251">
        <f>VLOOKUP(F251,Sheet2!$B$1:$E$19,2,FALSE)</f>
        <v>1073</v>
      </c>
      <c r="N251">
        <f>VLOOKUP(F251,Sheet2!$B$1:$E$19,3,FALSE)</f>
        <v>1108959</v>
      </c>
      <c r="O251">
        <f>IF(G251="Not available","",VLOOKUP(F251,Sheet2!$B$1:$E$19,4,FALSE)+(G251-1))</f>
        <v>3780060</v>
      </c>
    </row>
    <row r="252" spans="1:15" s="1" customFormat="1" ht="15" customHeight="1" x14ac:dyDescent="0.25">
      <c r="A252" s="18" t="s">
        <v>102</v>
      </c>
      <c r="B252" s="18" t="s">
        <v>4</v>
      </c>
      <c r="C252" s="5">
        <v>1814</v>
      </c>
      <c r="E252" s="1" t="s">
        <v>2</v>
      </c>
      <c r="F252" s="18">
        <v>2173</v>
      </c>
      <c r="G252" s="18">
        <v>62</v>
      </c>
      <c r="H252" s="5">
        <v>119</v>
      </c>
      <c r="I252" s="1">
        <v>92</v>
      </c>
      <c r="J252" s="1">
        <v>190</v>
      </c>
      <c r="L252" t="str">
        <f t="shared" si="3"/>
        <v>http://www.badatelna.eu/reprodukce/?fondId=1073&amp;zaznamId=1108959&amp;reproId=3780055</v>
      </c>
      <c r="M252">
        <f>VLOOKUP(F252,Sheet2!$B$1:$E$19,2,FALSE)</f>
        <v>1073</v>
      </c>
      <c r="N252">
        <f>VLOOKUP(F252,Sheet2!$B$1:$E$19,3,FALSE)</f>
        <v>1108959</v>
      </c>
      <c r="O252">
        <f>IF(G252="Not available","",VLOOKUP(F252,Sheet2!$B$1:$E$19,4,FALSE)+(G252-1))</f>
        <v>3780055</v>
      </c>
    </row>
    <row r="253" spans="1:15" s="1" customFormat="1" ht="15" customHeight="1" x14ac:dyDescent="0.25">
      <c r="A253" s="18" t="s">
        <v>102</v>
      </c>
      <c r="B253" s="18" t="s">
        <v>602</v>
      </c>
      <c r="C253" s="6" t="s">
        <v>1969</v>
      </c>
      <c r="D253" s="4" t="s">
        <v>1970</v>
      </c>
      <c r="E253" s="4" t="s">
        <v>2</v>
      </c>
      <c r="F253" s="18">
        <v>2176</v>
      </c>
      <c r="G253" s="18" t="s">
        <v>3271</v>
      </c>
      <c r="H253" s="6" t="s">
        <v>1971</v>
      </c>
      <c r="I253" s="1">
        <v>4</v>
      </c>
      <c r="J253" s="1" t="s">
        <v>3271</v>
      </c>
      <c r="L253" t="str">
        <f t="shared" si="3"/>
        <v/>
      </c>
      <c r="M253">
        <f>VLOOKUP(F253,Sheet2!$B$1:$E$19,2,FALSE)</f>
        <v>1073</v>
      </c>
      <c r="N253">
        <f>VLOOKUP(F253,Sheet2!$B$1:$E$19,3,FALSE)</f>
        <v>1108963</v>
      </c>
      <c r="O253" t="str">
        <f>IF(G253="Not available","",VLOOKUP(F253,Sheet2!$B$1:$E$19,4,FALSE)+(G253-1))</f>
        <v/>
      </c>
    </row>
    <row r="254" spans="1:15" s="1" customFormat="1" ht="15" customHeight="1" x14ac:dyDescent="0.25">
      <c r="A254" s="18" t="s">
        <v>102</v>
      </c>
      <c r="B254" s="18" t="s">
        <v>30</v>
      </c>
      <c r="C254" s="5">
        <v>1826</v>
      </c>
      <c r="E254" s="1" t="s">
        <v>2</v>
      </c>
      <c r="F254" s="18">
        <v>2173</v>
      </c>
      <c r="G254" s="18">
        <v>80</v>
      </c>
      <c r="H254" s="5">
        <v>153</v>
      </c>
      <c r="I254" s="1">
        <v>93</v>
      </c>
      <c r="J254" s="1">
        <v>194</v>
      </c>
      <c r="L254" t="str">
        <f t="shared" si="3"/>
        <v>http://www.badatelna.eu/reprodukce/?fondId=1073&amp;zaznamId=1108959&amp;reproId=3780073</v>
      </c>
      <c r="M254">
        <f>VLOOKUP(F254,Sheet2!$B$1:$E$19,2,FALSE)</f>
        <v>1073</v>
      </c>
      <c r="N254">
        <f>VLOOKUP(F254,Sheet2!$B$1:$E$19,3,FALSE)</f>
        <v>1108959</v>
      </c>
      <c r="O254">
        <f>IF(G254="Not available","",VLOOKUP(F254,Sheet2!$B$1:$E$19,4,FALSE)+(G254-1))</f>
        <v>3780073</v>
      </c>
    </row>
    <row r="255" spans="1:15" s="1" customFormat="1" ht="15" customHeight="1" x14ac:dyDescent="0.25">
      <c r="A255" s="18" t="s">
        <v>102</v>
      </c>
      <c r="B255" s="18" t="s">
        <v>569</v>
      </c>
      <c r="C255" s="5">
        <v>1836</v>
      </c>
      <c r="D255" s="1" t="s">
        <v>74</v>
      </c>
      <c r="E255" s="1" t="s">
        <v>2</v>
      </c>
      <c r="F255" s="18">
        <v>2174</v>
      </c>
      <c r="G255" s="18">
        <v>89</v>
      </c>
      <c r="H255" s="6" t="s">
        <v>3154</v>
      </c>
      <c r="I255" s="1">
        <v>181</v>
      </c>
      <c r="J255" s="1">
        <v>205</v>
      </c>
      <c r="L255" t="str">
        <f t="shared" si="3"/>
        <v>http://www.badatelna.eu/reprodukce/?fondId=1073&amp;zaznamId=1108960&amp;reproId=3780313</v>
      </c>
      <c r="M255">
        <f>VLOOKUP(F255,Sheet2!$B$1:$E$19,2,FALSE)</f>
        <v>1073</v>
      </c>
      <c r="N255">
        <f>VLOOKUP(F255,Sheet2!$B$1:$E$19,3,FALSE)</f>
        <v>1108960</v>
      </c>
      <c r="O255">
        <f>IF(G255="Not available","",VLOOKUP(F255,Sheet2!$B$1:$E$19,4,FALSE)+(G255-1))</f>
        <v>3780313</v>
      </c>
    </row>
    <row r="256" spans="1:15" s="1" customFormat="1" ht="15" customHeight="1" x14ac:dyDescent="0.25">
      <c r="A256" s="18" t="s">
        <v>102</v>
      </c>
      <c r="B256" s="18" t="s">
        <v>25</v>
      </c>
      <c r="C256" s="5" t="s">
        <v>1327</v>
      </c>
      <c r="D256" s="1" t="s">
        <v>428</v>
      </c>
      <c r="E256" s="1" t="s">
        <v>2</v>
      </c>
      <c r="F256" s="18">
        <v>2165</v>
      </c>
      <c r="G256" s="18">
        <v>50</v>
      </c>
      <c r="H256" s="5">
        <v>47</v>
      </c>
      <c r="I256" s="1">
        <v>81</v>
      </c>
      <c r="J256" s="1" t="s">
        <v>3271</v>
      </c>
      <c r="L256" t="str">
        <f t="shared" si="3"/>
        <v>http://www.badatelna.eu/reprodukce/?fondId=1073&amp;zaznamId=1108952&amp;reproId=3778911</v>
      </c>
      <c r="M256">
        <f>VLOOKUP(F256,Sheet2!$B$1:$E$19,2,FALSE)</f>
        <v>1073</v>
      </c>
      <c r="N256">
        <f>VLOOKUP(F256,Sheet2!$B$1:$E$19,3,FALSE)</f>
        <v>1108952</v>
      </c>
      <c r="O256">
        <f>IF(G256="Not available","",VLOOKUP(F256,Sheet2!$B$1:$E$19,4,FALSE)+(G256-1))</f>
        <v>3778911</v>
      </c>
    </row>
    <row r="257" spans="1:15" s="1" customFormat="1" ht="15" customHeight="1" x14ac:dyDescent="0.25">
      <c r="A257" s="18" t="s">
        <v>102</v>
      </c>
      <c r="B257" s="18" t="s">
        <v>18</v>
      </c>
      <c r="C257" s="5">
        <v>1811</v>
      </c>
      <c r="E257" s="1" t="s">
        <v>2</v>
      </c>
      <c r="F257" s="18">
        <v>2173</v>
      </c>
      <c r="G257" s="18">
        <v>58</v>
      </c>
      <c r="H257" s="5">
        <v>110</v>
      </c>
      <c r="I257" s="1">
        <v>92</v>
      </c>
      <c r="J257" s="1">
        <v>190</v>
      </c>
      <c r="L257" t="str">
        <f t="shared" si="3"/>
        <v>http://www.badatelna.eu/reprodukce/?fondId=1073&amp;zaznamId=1108959&amp;reproId=3780051</v>
      </c>
      <c r="M257">
        <f>VLOOKUP(F257,Sheet2!$B$1:$E$19,2,FALSE)</f>
        <v>1073</v>
      </c>
      <c r="N257">
        <f>VLOOKUP(F257,Sheet2!$B$1:$E$19,3,FALSE)</f>
        <v>1108959</v>
      </c>
      <c r="O257">
        <f>IF(G257="Not available","",VLOOKUP(F257,Sheet2!$B$1:$E$19,4,FALSE)+(G257-1))</f>
        <v>3780051</v>
      </c>
    </row>
    <row r="258" spans="1:15" s="1" customFormat="1" ht="15" customHeight="1" x14ac:dyDescent="0.25">
      <c r="A258" s="18" t="s">
        <v>102</v>
      </c>
      <c r="B258" s="18" t="s">
        <v>398</v>
      </c>
      <c r="C258" s="5">
        <v>1859</v>
      </c>
      <c r="E258" s="1" t="s">
        <v>939</v>
      </c>
      <c r="F258" s="18">
        <v>999</v>
      </c>
      <c r="G258" s="18">
        <v>17</v>
      </c>
      <c r="H258" s="5">
        <v>15</v>
      </c>
      <c r="I258" s="1">
        <v>63</v>
      </c>
      <c r="J258" s="1">
        <v>96</v>
      </c>
      <c r="L258" t="str">
        <f t="shared" si="3"/>
        <v>http://www.badatelna.eu/reprodukce/?fondId=241&amp;zaznamId=1133739&amp;reproId=3885746</v>
      </c>
      <c r="M258">
        <f>VLOOKUP(F258,Sheet2!$B$1:$E$19,2,FALSE)</f>
        <v>241</v>
      </c>
      <c r="N258">
        <f>VLOOKUP(F258,Sheet2!$B$1:$E$19,3,FALSE)</f>
        <v>1133739</v>
      </c>
      <c r="O258">
        <f>IF(G258="Not available","",VLOOKUP(F258,Sheet2!$B$1:$E$19,4,FALSE)+(G258-1))</f>
        <v>3885746</v>
      </c>
    </row>
    <row r="259" spans="1:15" s="1" customFormat="1" ht="15" customHeight="1" x14ac:dyDescent="0.25">
      <c r="A259" s="18" t="s">
        <v>102</v>
      </c>
      <c r="B259" s="18" t="s">
        <v>593</v>
      </c>
      <c r="C259" s="5" t="s">
        <v>1305</v>
      </c>
      <c r="D259" s="1" t="s">
        <v>603</v>
      </c>
      <c r="E259" s="1" t="s">
        <v>2</v>
      </c>
      <c r="F259" s="18">
        <v>2165</v>
      </c>
      <c r="G259" s="18">
        <v>17</v>
      </c>
      <c r="H259" s="5">
        <v>14</v>
      </c>
      <c r="I259" s="1">
        <v>80</v>
      </c>
      <c r="J259" s="1" t="s">
        <v>3271</v>
      </c>
      <c r="L259" t="str">
        <f t="shared" ref="L259:L322" si="4">IF(G259="Not available","","http://www.badatelna.eu/reprodukce/?fondId="&amp;M259&amp;"&amp;zaznamId="&amp;N259&amp;"&amp;reproId="&amp;O259)</f>
        <v>http://www.badatelna.eu/reprodukce/?fondId=1073&amp;zaznamId=1108952&amp;reproId=3778878</v>
      </c>
      <c r="M259">
        <f>VLOOKUP(F259,Sheet2!$B$1:$E$19,2,FALSE)</f>
        <v>1073</v>
      </c>
      <c r="N259">
        <f>VLOOKUP(F259,Sheet2!$B$1:$E$19,3,FALSE)</f>
        <v>1108952</v>
      </c>
      <c r="O259">
        <f>IF(G259="Not available","",VLOOKUP(F259,Sheet2!$B$1:$E$19,4,FALSE)+(G259-1))</f>
        <v>3778878</v>
      </c>
    </row>
    <row r="260" spans="1:15" s="1" customFormat="1" ht="15" customHeight="1" x14ac:dyDescent="0.25">
      <c r="A260" s="18" t="s">
        <v>102</v>
      </c>
      <c r="B260" s="18" t="s">
        <v>145</v>
      </c>
      <c r="C260" s="6" t="s">
        <v>1987</v>
      </c>
      <c r="D260" s="4" t="s">
        <v>2001</v>
      </c>
      <c r="E260" s="4" t="s">
        <v>2</v>
      </c>
      <c r="F260" s="18">
        <v>2176</v>
      </c>
      <c r="G260" s="18" t="s">
        <v>3271</v>
      </c>
      <c r="H260" s="6" t="s">
        <v>2002</v>
      </c>
      <c r="I260" s="1">
        <v>4</v>
      </c>
      <c r="J260" s="1" t="s">
        <v>3271</v>
      </c>
      <c r="L260" t="str">
        <f t="shared" si="4"/>
        <v/>
      </c>
      <c r="M260">
        <f>VLOOKUP(F260,Sheet2!$B$1:$E$19,2,FALSE)</f>
        <v>1073</v>
      </c>
      <c r="N260">
        <f>VLOOKUP(F260,Sheet2!$B$1:$E$19,3,FALSE)</f>
        <v>1108963</v>
      </c>
      <c r="O260" t="str">
        <f>IF(G260="Not available","",VLOOKUP(F260,Sheet2!$B$1:$E$19,4,FALSE)+(G260-1))</f>
        <v/>
      </c>
    </row>
    <row r="261" spans="1:15" s="1" customFormat="1" ht="15" customHeight="1" x14ac:dyDescent="0.25">
      <c r="A261" s="18" t="s">
        <v>102</v>
      </c>
      <c r="B261" s="18" t="s">
        <v>603</v>
      </c>
      <c r="C261" s="5">
        <v>1838</v>
      </c>
      <c r="D261" s="1" t="s">
        <v>74</v>
      </c>
      <c r="E261" s="1" t="s">
        <v>2</v>
      </c>
      <c r="F261" s="18">
        <v>2174</v>
      </c>
      <c r="G261" s="18">
        <v>101</v>
      </c>
      <c r="H261" s="6" t="s">
        <v>3170</v>
      </c>
      <c r="I261" s="1">
        <v>181</v>
      </c>
      <c r="J261" s="1">
        <v>205</v>
      </c>
      <c r="L261" t="str">
        <f t="shared" si="4"/>
        <v>http://www.badatelna.eu/reprodukce/?fondId=1073&amp;zaznamId=1108960&amp;reproId=3780325</v>
      </c>
      <c r="M261">
        <f>VLOOKUP(F261,Sheet2!$B$1:$E$19,2,FALSE)</f>
        <v>1073</v>
      </c>
      <c r="N261">
        <f>VLOOKUP(F261,Sheet2!$B$1:$E$19,3,FALSE)</f>
        <v>1108960</v>
      </c>
      <c r="O261">
        <f>IF(G261="Not available","",VLOOKUP(F261,Sheet2!$B$1:$E$19,4,FALSE)+(G261-1))</f>
        <v>3780325</v>
      </c>
    </row>
    <row r="262" spans="1:15" s="1" customFormat="1" ht="15" customHeight="1" x14ac:dyDescent="0.25">
      <c r="A262" s="18" t="s">
        <v>102</v>
      </c>
      <c r="B262" s="18" t="s">
        <v>465</v>
      </c>
      <c r="C262" s="5">
        <v>1862</v>
      </c>
      <c r="E262" s="1" t="s">
        <v>939</v>
      </c>
      <c r="F262" s="18">
        <v>999</v>
      </c>
      <c r="G262" s="18">
        <v>33</v>
      </c>
      <c r="H262" s="5">
        <v>31</v>
      </c>
      <c r="I262" s="1">
        <v>63</v>
      </c>
      <c r="J262" s="1">
        <v>96</v>
      </c>
      <c r="L262" t="str">
        <f t="shared" si="4"/>
        <v>http://www.badatelna.eu/reprodukce/?fondId=241&amp;zaznamId=1133739&amp;reproId=3885762</v>
      </c>
      <c r="M262">
        <f>VLOOKUP(F262,Sheet2!$B$1:$E$19,2,FALSE)</f>
        <v>241</v>
      </c>
      <c r="N262">
        <f>VLOOKUP(F262,Sheet2!$B$1:$E$19,3,FALSE)</f>
        <v>1133739</v>
      </c>
      <c r="O262">
        <f>IF(G262="Not available","",VLOOKUP(F262,Sheet2!$B$1:$E$19,4,FALSE)+(G262-1))</f>
        <v>3885762</v>
      </c>
    </row>
    <row r="263" spans="1:15" s="1" customFormat="1" ht="15" customHeight="1" x14ac:dyDescent="0.25">
      <c r="A263" s="18" t="s">
        <v>102</v>
      </c>
      <c r="B263" s="18" t="s">
        <v>542</v>
      </c>
      <c r="C263" s="5">
        <v>1863</v>
      </c>
      <c r="E263" s="1" t="s">
        <v>939</v>
      </c>
      <c r="F263" s="18">
        <v>999</v>
      </c>
      <c r="G263" s="18">
        <v>41</v>
      </c>
      <c r="H263" s="5">
        <v>39</v>
      </c>
      <c r="I263" s="1">
        <v>63</v>
      </c>
      <c r="J263" s="1">
        <v>96</v>
      </c>
      <c r="L263" t="str">
        <f t="shared" si="4"/>
        <v>http://www.badatelna.eu/reprodukce/?fondId=241&amp;zaznamId=1133739&amp;reproId=3885770</v>
      </c>
      <c r="M263">
        <f>VLOOKUP(F263,Sheet2!$B$1:$E$19,2,FALSE)</f>
        <v>241</v>
      </c>
      <c r="N263">
        <f>VLOOKUP(F263,Sheet2!$B$1:$E$19,3,FALSE)</f>
        <v>1133739</v>
      </c>
      <c r="O263">
        <f>IF(G263="Not available","",VLOOKUP(F263,Sheet2!$B$1:$E$19,4,FALSE)+(G263-1))</f>
        <v>3885770</v>
      </c>
    </row>
    <row r="264" spans="1:15" s="1" customFormat="1" ht="15" customHeight="1" x14ac:dyDescent="0.25">
      <c r="A264" s="18" t="s">
        <v>2822</v>
      </c>
      <c r="B264" s="18" t="s">
        <v>1033</v>
      </c>
      <c r="C264" s="6" t="s">
        <v>2072</v>
      </c>
      <c r="D264" s="4" t="s">
        <v>2071</v>
      </c>
      <c r="E264" s="4" t="s">
        <v>2</v>
      </c>
      <c r="F264" s="18">
        <v>2176</v>
      </c>
      <c r="G264" s="18" t="s">
        <v>3271</v>
      </c>
      <c r="H264" s="6" t="s">
        <v>1974</v>
      </c>
      <c r="I264" s="1">
        <v>5</v>
      </c>
      <c r="J264" s="1" t="s">
        <v>3271</v>
      </c>
      <c r="K264" s="3"/>
      <c r="L264" t="str">
        <f t="shared" si="4"/>
        <v/>
      </c>
      <c r="M264">
        <f>VLOOKUP(F264,Sheet2!$B$1:$E$19,2,FALSE)</f>
        <v>1073</v>
      </c>
      <c r="N264">
        <f>VLOOKUP(F264,Sheet2!$B$1:$E$19,3,FALSE)</f>
        <v>1108963</v>
      </c>
      <c r="O264" t="str">
        <f>IF(G264="Not available","",VLOOKUP(F264,Sheet2!$B$1:$E$19,4,FALSE)+(G264-1))</f>
        <v/>
      </c>
    </row>
    <row r="265" spans="1:15" s="1" customFormat="1" ht="15" customHeight="1" x14ac:dyDescent="0.25">
      <c r="A265" s="18" t="s">
        <v>2822</v>
      </c>
      <c r="B265" s="18" t="s">
        <v>1033</v>
      </c>
      <c r="C265" s="5" t="s">
        <v>1941</v>
      </c>
      <c r="D265" s="1" t="s">
        <v>135</v>
      </c>
      <c r="E265" s="1" t="s">
        <v>2</v>
      </c>
      <c r="F265" s="18">
        <v>2165</v>
      </c>
      <c r="G265" s="18">
        <v>229</v>
      </c>
      <c r="H265" s="5">
        <v>2</v>
      </c>
      <c r="I265" s="1">
        <v>231</v>
      </c>
      <c r="J265" s="1">
        <v>207</v>
      </c>
      <c r="L265" t="str">
        <f t="shared" si="4"/>
        <v>http://www.badatelna.eu/reprodukce/?fondId=1073&amp;zaznamId=1108952&amp;reproId=3779090</v>
      </c>
      <c r="M265">
        <f>VLOOKUP(F265,Sheet2!$B$1:$E$19,2,FALSE)</f>
        <v>1073</v>
      </c>
      <c r="N265">
        <f>VLOOKUP(F265,Sheet2!$B$1:$E$19,3,FALSE)</f>
        <v>1108952</v>
      </c>
      <c r="O265">
        <f>IF(G265="Not available","",VLOOKUP(F265,Sheet2!$B$1:$E$19,4,FALSE)+(G265-1))</f>
        <v>3779090</v>
      </c>
    </row>
    <row r="266" spans="1:15" s="1" customFormat="1" ht="15" customHeight="1" x14ac:dyDescent="0.25">
      <c r="A266" s="21" t="s">
        <v>3082</v>
      </c>
      <c r="B266" s="21" t="s">
        <v>21</v>
      </c>
      <c r="C266" s="7">
        <v>1792</v>
      </c>
      <c r="D266" s="2" t="s">
        <v>12</v>
      </c>
      <c r="E266" s="1" t="s">
        <v>2</v>
      </c>
      <c r="F266" s="18">
        <v>2173</v>
      </c>
      <c r="G266" s="21">
        <v>28</v>
      </c>
      <c r="H266" s="7">
        <v>50</v>
      </c>
      <c r="I266" s="2">
        <v>91</v>
      </c>
      <c r="J266" s="2">
        <v>189</v>
      </c>
      <c r="K266" s="2"/>
      <c r="L266" t="str">
        <f t="shared" si="4"/>
        <v>http://www.badatelna.eu/reprodukce/?fondId=1073&amp;zaznamId=1108959&amp;reproId=3780021</v>
      </c>
      <c r="M266">
        <f>VLOOKUP(F266,Sheet2!$B$1:$E$19,2,FALSE)</f>
        <v>1073</v>
      </c>
      <c r="N266">
        <f>VLOOKUP(F266,Sheet2!$B$1:$E$19,3,FALSE)</f>
        <v>1108959</v>
      </c>
      <c r="O266">
        <f>IF(G266="Not available","",VLOOKUP(F266,Sheet2!$B$1:$E$19,4,FALSE)+(G266-1))</f>
        <v>3780021</v>
      </c>
    </row>
    <row r="267" spans="1:15" s="1" customFormat="1" ht="15" customHeight="1" x14ac:dyDescent="0.25">
      <c r="A267" s="18" t="s">
        <v>35</v>
      </c>
      <c r="B267" s="18" t="s">
        <v>110</v>
      </c>
      <c r="C267" s="5">
        <v>1805</v>
      </c>
      <c r="E267" s="1" t="s">
        <v>2</v>
      </c>
      <c r="F267" s="18">
        <v>2173</v>
      </c>
      <c r="G267" s="18">
        <v>50</v>
      </c>
      <c r="H267" s="5">
        <v>94</v>
      </c>
      <c r="I267" s="1">
        <v>92</v>
      </c>
      <c r="J267" s="1">
        <v>190</v>
      </c>
      <c r="L267" t="str">
        <f t="shared" si="4"/>
        <v>http://www.badatelna.eu/reprodukce/?fondId=1073&amp;zaznamId=1108959&amp;reproId=3780043</v>
      </c>
      <c r="M267">
        <f>VLOOKUP(F267,Sheet2!$B$1:$E$19,2,FALSE)</f>
        <v>1073</v>
      </c>
      <c r="N267">
        <f>VLOOKUP(F267,Sheet2!$B$1:$E$19,3,FALSE)</f>
        <v>1108959</v>
      </c>
      <c r="O267">
        <f>IF(G267="Not available","",VLOOKUP(F267,Sheet2!$B$1:$E$19,4,FALSE)+(G267-1))</f>
        <v>3780043</v>
      </c>
    </row>
    <row r="268" spans="1:15" s="1" customFormat="1" ht="15" customHeight="1" x14ac:dyDescent="0.25">
      <c r="A268" s="18" t="s">
        <v>35</v>
      </c>
      <c r="B268" s="18" t="s">
        <v>50</v>
      </c>
      <c r="C268" s="5">
        <v>1799</v>
      </c>
      <c r="D268" s="4" t="s">
        <v>40</v>
      </c>
      <c r="E268" s="1" t="s">
        <v>2</v>
      </c>
      <c r="F268" s="18">
        <v>2173</v>
      </c>
      <c r="G268" s="18">
        <v>41</v>
      </c>
      <c r="H268" s="5">
        <v>77</v>
      </c>
      <c r="I268" s="1">
        <v>92</v>
      </c>
      <c r="J268" s="1">
        <v>190</v>
      </c>
      <c r="L268" t="str">
        <f t="shared" si="4"/>
        <v>http://www.badatelna.eu/reprodukce/?fondId=1073&amp;zaznamId=1108959&amp;reproId=3780034</v>
      </c>
      <c r="M268">
        <f>VLOOKUP(F268,Sheet2!$B$1:$E$19,2,FALSE)</f>
        <v>1073</v>
      </c>
      <c r="N268">
        <f>VLOOKUP(F268,Sheet2!$B$1:$E$19,3,FALSE)</f>
        <v>1108959</v>
      </c>
      <c r="O268">
        <f>IF(G268="Not available","",VLOOKUP(F268,Sheet2!$B$1:$E$19,4,FALSE)+(G268-1))</f>
        <v>3780034</v>
      </c>
    </row>
    <row r="269" spans="1:15" s="1" customFormat="1" ht="15" customHeight="1" x14ac:dyDescent="0.25">
      <c r="A269" s="18" t="s">
        <v>35</v>
      </c>
      <c r="B269" s="18" t="s">
        <v>50</v>
      </c>
      <c r="C269" s="5">
        <v>1799</v>
      </c>
      <c r="D269" s="1" t="s">
        <v>26</v>
      </c>
      <c r="E269" s="1" t="s">
        <v>2</v>
      </c>
      <c r="F269" s="18">
        <v>2173</v>
      </c>
      <c r="G269" s="18">
        <v>41</v>
      </c>
      <c r="H269" s="14" t="s">
        <v>3088</v>
      </c>
      <c r="I269" s="1">
        <v>92</v>
      </c>
      <c r="J269" s="1">
        <v>190</v>
      </c>
      <c r="L269" t="str">
        <f t="shared" si="4"/>
        <v>http://www.badatelna.eu/reprodukce/?fondId=1073&amp;zaznamId=1108959&amp;reproId=3780034</v>
      </c>
      <c r="M269">
        <f>VLOOKUP(F269,Sheet2!$B$1:$E$19,2,FALSE)</f>
        <v>1073</v>
      </c>
      <c r="N269">
        <f>VLOOKUP(F269,Sheet2!$B$1:$E$19,3,FALSE)</f>
        <v>1108959</v>
      </c>
      <c r="O269">
        <f>IF(G269="Not available","",VLOOKUP(F269,Sheet2!$B$1:$E$19,4,FALSE)+(G269-1))</f>
        <v>3780034</v>
      </c>
    </row>
    <row r="270" spans="1:15" s="1" customFormat="1" ht="15" customHeight="1" x14ac:dyDescent="0.25">
      <c r="A270" s="18" t="s">
        <v>35</v>
      </c>
      <c r="B270" s="18" t="s">
        <v>50</v>
      </c>
      <c r="C270" s="5">
        <v>1808</v>
      </c>
      <c r="E270" s="1" t="s">
        <v>2</v>
      </c>
      <c r="F270" s="18">
        <v>2173</v>
      </c>
      <c r="G270" s="18">
        <v>54</v>
      </c>
      <c r="H270" s="5">
        <v>103</v>
      </c>
      <c r="I270" s="1">
        <v>92</v>
      </c>
      <c r="J270" s="1">
        <v>190</v>
      </c>
      <c r="L270" t="str">
        <f t="shared" si="4"/>
        <v>http://www.badatelna.eu/reprodukce/?fondId=1073&amp;zaznamId=1108959&amp;reproId=3780047</v>
      </c>
      <c r="M270">
        <f>VLOOKUP(F270,Sheet2!$B$1:$E$19,2,FALSE)</f>
        <v>1073</v>
      </c>
      <c r="N270">
        <f>VLOOKUP(F270,Sheet2!$B$1:$E$19,3,FALSE)</f>
        <v>1108959</v>
      </c>
      <c r="O270">
        <f>IF(G270="Not available","",VLOOKUP(F270,Sheet2!$B$1:$E$19,4,FALSE)+(G270-1))</f>
        <v>3780047</v>
      </c>
    </row>
    <row r="271" spans="1:15" s="1" customFormat="1" ht="15" customHeight="1" x14ac:dyDescent="0.25">
      <c r="A271" s="18" t="s">
        <v>35</v>
      </c>
      <c r="B271" s="18" t="s">
        <v>50</v>
      </c>
      <c r="C271" s="5">
        <v>1811</v>
      </c>
      <c r="E271" s="1" t="s">
        <v>2</v>
      </c>
      <c r="F271" s="18">
        <v>2173</v>
      </c>
      <c r="G271" s="18">
        <v>57</v>
      </c>
      <c r="H271" s="5">
        <v>109</v>
      </c>
      <c r="I271" s="1">
        <v>92</v>
      </c>
      <c r="J271" s="1">
        <v>190</v>
      </c>
      <c r="L271" t="str">
        <f t="shared" si="4"/>
        <v>http://www.badatelna.eu/reprodukce/?fondId=1073&amp;zaznamId=1108959&amp;reproId=3780050</v>
      </c>
      <c r="M271">
        <f>VLOOKUP(F271,Sheet2!$B$1:$E$19,2,FALSE)</f>
        <v>1073</v>
      </c>
      <c r="N271">
        <f>VLOOKUP(F271,Sheet2!$B$1:$E$19,3,FALSE)</f>
        <v>1108959</v>
      </c>
      <c r="O271">
        <f>IF(G271="Not available","",VLOOKUP(F271,Sheet2!$B$1:$E$19,4,FALSE)+(G271-1))</f>
        <v>3780050</v>
      </c>
    </row>
    <row r="272" spans="1:15" s="1" customFormat="1" ht="15" customHeight="1" x14ac:dyDescent="0.25">
      <c r="A272" s="18" t="s">
        <v>35</v>
      </c>
      <c r="B272" s="18" t="s">
        <v>50</v>
      </c>
      <c r="C272" s="5">
        <v>1823</v>
      </c>
      <c r="E272" s="1" t="s">
        <v>2</v>
      </c>
      <c r="F272" s="18">
        <v>2173</v>
      </c>
      <c r="G272" s="18">
        <v>74</v>
      </c>
      <c r="H272" s="5">
        <v>141</v>
      </c>
      <c r="I272" s="1">
        <v>93</v>
      </c>
      <c r="J272" s="1">
        <v>194</v>
      </c>
      <c r="L272" t="str">
        <f t="shared" si="4"/>
        <v>http://www.badatelna.eu/reprodukce/?fondId=1073&amp;zaznamId=1108959&amp;reproId=3780067</v>
      </c>
      <c r="M272">
        <f>VLOOKUP(F272,Sheet2!$B$1:$E$19,2,FALSE)</f>
        <v>1073</v>
      </c>
      <c r="N272">
        <f>VLOOKUP(F272,Sheet2!$B$1:$E$19,3,FALSE)</f>
        <v>1108959</v>
      </c>
      <c r="O272">
        <f>IF(G272="Not available","",VLOOKUP(F272,Sheet2!$B$1:$E$19,4,FALSE)+(G272-1))</f>
        <v>3780067</v>
      </c>
    </row>
    <row r="273" spans="1:15" s="1" customFormat="1" ht="15" customHeight="1" x14ac:dyDescent="0.25">
      <c r="A273" s="18" t="s">
        <v>35</v>
      </c>
      <c r="B273" s="18" t="s">
        <v>50</v>
      </c>
      <c r="C273" s="5">
        <v>1838</v>
      </c>
      <c r="D273" s="1" t="s">
        <v>619</v>
      </c>
      <c r="E273" s="1" t="s">
        <v>2</v>
      </c>
      <c r="F273" s="18">
        <v>2174</v>
      </c>
      <c r="G273" s="18">
        <v>100</v>
      </c>
      <c r="H273" s="6" t="s">
        <v>3168</v>
      </c>
      <c r="I273" s="1">
        <v>181</v>
      </c>
      <c r="J273" s="1">
        <v>205</v>
      </c>
      <c r="L273" t="str">
        <f t="shared" si="4"/>
        <v>http://www.badatelna.eu/reprodukce/?fondId=1073&amp;zaznamId=1108960&amp;reproId=3780324</v>
      </c>
      <c r="M273">
        <f>VLOOKUP(F273,Sheet2!$B$1:$E$19,2,FALSE)</f>
        <v>1073</v>
      </c>
      <c r="N273">
        <f>VLOOKUP(F273,Sheet2!$B$1:$E$19,3,FALSE)</f>
        <v>1108960</v>
      </c>
      <c r="O273">
        <f>IF(G273="Not available","",VLOOKUP(F273,Sheet2!$B$1:$E$19,4,FALSE)+(G273-1))</f>
        <v>3780324</v>
      </c>
    </row>
    <row r="274" spans="1:15" s="1" customFormat="1" ht="15" customHeight="1" x14ac:dyDescent="0.25">
      <c r="A274" s="18" t="s">
        <v>35</v>
      </c>
      <c r="B274" s="18" t="s">
        <v>50</v>
      </c>
      <c r="C274" s="5">
        <v>1855</v>
      </c>
      <c r="D274" s="1" t="s">
        <v>829</v>
      </c>
      <c r="E274" s="1" t="s">
        <v>2</v>
      </c>
      <c r="F274" s="18">
        <v>2164</v>
      </c>
      <c r="G274" s="18">
        <v>105</v>
      </c>
      <c r="H274" s="5">
        <v>103</v>
      </c>
      <c r="I274" s="1">
        <v>123</v>
      </c>
      <c r="J274" s="4" t="s">
        <v>3271</v>
      </c>
      <c r="L274" t="str">
        <f t="shared" si="4"/>
        <v>http://www.badatelna.eu/reprodukce/?fondId=1073&amp;zaznamId=1108951&amp;reproId=3778819</v>
      </c>
      <c r="M274">
        <f>VLOOKUP(F274,Sheet2!$B$1:$E$19,2,FALSE)</f>
        <v>1073</v>
      </c>
      <c r="N274">
        <f>VLOOKUP(F274,Sheet2!$B$1:$E$19,3,FALSE)</f>
        <v>1108951</v>
      </c>
      <c r="O274">
        <f>IF(G274="Not available","",VLOOKUP(F274,Sheet2!$B$1:$E$19,4,FALSE)+(G274-1))</f>
        <v>3778819</v>
      </c>
    </row>
    <row r="275" spans="1:15" s="1" customFormat="1" ht="15" customHeight="1" x14ac:dyDescent="0.25">
      <c r="A275" s="18" t="s">
        <v>35</v>
      </c>
      <c r="B275" s="18" t="s">
        <v>738</v>
      </c>
      <c r="C275" s="5">
        <v>1853</v>
      </c>
      <c r="D275" s="1" t="s">
        <v>825</v>
      </c>
      <c r="E275" s="1" t="s">
        <v>2</v>
      </c>
      <c r="F275" s="18">
        <v>2164</v>
      </c>
      <c r="G275" s="18">
        <v>93</v>
      </c>
      <c r="H275" s="5">
        <v>91</v>
      </c>
      <c r="I275" s="1">
        <v>123</v>
      </c>
      <c r="J275" s="4" t="s">
        <v>3271</v>
      </c>
      <c r="L275" t="str">
        <f t="shared" si="4"/>
        <v>http://www.badatelna.eu/reprodukce/?fondId=1073&amp;zaznamId=1108951&amp;reproId=3778807</v>
      </c>
      <c r="M275">
        <f>VLOOKUP(F275,Sheet2!$B$1:$E$19,2,FALSE)</f>
        <v>1073</v>
      </c>
      <c r="N275">
        <f>VLOOKUP(F275,Sheet2!$B$1:$E$19,3,FALSE)</f>
        <v>1108951</v>
      </c>
      <c r="O275">
        <f>IF(G275="Not available","",VLOOKUP(F275,Sheet2!$B$1:$E$19,4,FALSE)+(G275-1))</f>
        <v>3778807</v>
      </c>
    </row>
    <row r="276" spans="1:15" s="1" customFormat="1" ht="15" customHeight="1" x14ac:dyDescent="0.25">
      <c r="A276" s="18" t="s">
        <v>35</v>
      </c>
      <c r="B276" s="18" t="s">
        <v>507</v>
      </c>
      <c r="C276" s="5">
        <v>1855</v>
      </c>
      <c r="E276" s="1" t="s">
        <v>2</v>
      </c>
      <c r="F276" s="18">
        <v>2164</v>
      </c>
      <c r="G276" s="18">
        <v>103</v>
      </c>
      <c r="H276" s="5">
        <v>101</v>
      </c>
      <c r="I276" s="1">
        <v>123</v>
      </c>
      <c r="J276" s="4" t="s">
        <v>3271</v>
      </c>
      <c r="L276" t="str">
        <f t="shared" si="4"/>
        <v>http://www.badatelna.eu/reprodukce/?fondId=1073&amp;zaznamId=1108951&amp;reproId=3778817</v>
      </c>
      <c r="M276">
        <f>VLOOKUP(F276,Sheet2!$B$1:$E$19,2,FALSE)</f>
        <v>1073</v>
      </c>
      <c r="N276">
        <f>VLOOKUP(F276,Sheet2!$B$1:$E$19,3,FALSE)</f>
        <v>1108951</v>
      </c>
      <c r="O276">
        <f>IF(G276="Not available","",VLOOKUP(F276,Sheet2!$B$1:$E$19,4,FALSE)+(G276-1))</f>
        <v>3778817</v>
      </c>
    </row>
    <row r="277" spans="1:15" s="1" customFormat="1" ht="15" customHeight="1" x14ac:dyDescent="0.25">
      <c r="A277" s="18" t="s">
        <v>35</v>
      </c>
      <c r="B277" s="18" t="s">
        <v>477</v>
      </c>
      <c r="C277" s="5">
        <v>1839</v>
      </c>
      <c r="D277" s="1" t="s">
        <v>233</v>
      </c>
      <c r="E277" s="1" t="s">
        <v>2</v>
      </c>
      <c r="F277" s="18">
        <v>2174</v>
      </c>
      <c r="G277" s="18">
        <v>108</v>
      </c>
      <c r="H277" s="6" t="s">
        <v>3175</v>
      </c>
      <c r="I277" s="1">
        <v>181</v>
      </c>
      <c r="J277" s="1">
        <v>205</v>
      </c>
      <c r="L277" t="str">
        <f t="shared" si="4"/>
        <v>http://www.badatelna.eu/reprodukce/?fondId=1073&amp;zaznamId=1108960&amp;reproId=3780332</v>
      </c>
      <c r="M277">
        <f>VLOOKUP(F277,Sheet2!$B$1:$E$19,2,FALSE)</f>
        <v>1073</v>
      </c>
      <c r="N277">
        <f>VLOOKUP(F277,Sheet2!$B$1:$E$19,3,FALSE)</f>
        <v>1108960</v>
      </c>
      <c r="O277">
        <f>IF(G277="Not available","",VLOOKUP(F277,Sheet2!$B$1:$E$19,4,FALSE)+(G277-1))</f>
        <v>3780332</v>
      </c>
    </row>
    <row r="278" spans="1:15" s="1" customFormat="1" ht="15" customHeight="1" x14ac:dyDescent="0.25">
      <c r="A278" s="18" t="s">
        <v>35</v>
      </c>
      <c r="B278" s="18" t="s">
        <v>477</v>
      </c>
      <c r="C278" s="5">
        <v>1859</v>
      </c>
      <c r="E278" s="1" t="s">
        <v>939</v>
      </c>
      <c r="F278" s="18">
        <v>999</v>
      </c>
      <c r="G278" s="18">
        <v>12</v>
      </c>
      <c r="H278" s="5">
        <v>10</v>
      </c>
      <c r="I278" s="1">
        <v>63</v>
      </c>
      <c r="J278" s="1">
        <v>96</v>
      </c>
      <c r="L278" t="str">
        <f t="shared" si="4"/>
        <v>http://www.badatelna.eu/reprodukce/?fondId=241&amp;zaznamId=1133739&amp;reproId=3885741</v>
      </c>
      <c r="M278">
        <f>VLOOKUP(F278,Sheet2!$B$1:$E$19,2,FALSE)</f>
        <v>241</v>
      </c>
      <c r="N278">
        <f>VLOOKUP(F278,Sheet2!$B$1:$E$19,3,FALSE)</f>
        <v>1133739</v>
      </c>
      <c r="O278">
        <f>IF(G278="Not available","",VLOOKUP(F278,Sheet2!$B$1:$E$19,4,FALSE)+(G278-1))</f>
        <v>3885741</v>
      </c>
    </row>
    <row r="279" spans="1:15" s="1" customFormat="1" ht="15" customHeight="1" x14ac:dyDescent="0.25">
      <c r="A279" s="18" t="s">
        <v>35</v>
      </c>
      <c r="B279" s="18" t="s">
        <v>632</v>
      </c>
      <c r="C279" s="5">
        <v>1856</v>
      </c>
      <c r="D279" s="1" t="s">
        <v>133</v>
      </c>
      <c r="E279" s="1" t="s">
        <v>2</v>
      </c>
      <c r="F279" s="18">
        <v>2164</v>
      </c>
      <c r="G279" s="18">
        <v>112</v>
      </c>
      <c r="H279" s="5">
        <v>110</v>
      </c>
      <c r="I279" s="1">
        <v>124</v>
      </c>
      <c r="J279" s="4" t="s">
        <v>3271</v>
      </c>
      <c r="L279" t="str">
        <f t="shared" si="4"/>
        <v>http://www.badatelna.eu/reprodukce/?fondId=1073&amp;zaznamId=1108951&amp;reproId=3778826</v>
      </c>
      <c r="M279">
        <f>VLOOKUP(F279,Sheet2!$B$1:$E$19,2,FALSE)</f>
        <v>1073</v>
      </c>
      <c r="N279">
        <f>VLOOKUP(F279,Sheet2!$B$1:$E$19,3,FALSE)</f>
        <v>1108951</v>
      </c>
      <c r="O279">
        <f>IF(G279="Not available","",VLOOKUP(F279,Sheet2!$B$1:$E$19,4,FALSE)+(G279-1))</f>
        <v>3778826</v>
      </c>
    </row>
    <row r="280" spans="1:15" s="1" customFormat="1" ht="15" customHeight="1" x14ac:dyDescent="0.25">
      <c r="A280" s="18" t="s">
        <v>35</v>
      </c>
      <c r="B280" s="18" t="s">
        <v>632</v>
      </c>
      <c r="C280" s="5">
        <v>1858</v>
      </c>
      <c r="E280" s="1" t="s">
        <v>939</v>
      </c>
      <c r="F280" s="18">
        <v>999</v>
      </c>
      <c r="G280" s="18">
        <v>3</v>
      </c>
      <c r="H280" s="5">
        <v>1</v>
      </c>
      <c r="I280" s="1">
        <v>63</v>
      </c>
      <c r="J280" s="1">
        <v>96</v>
      </c>
      <c r="L280" t="str">
        <f t="shared" si="4"/>
        <v>http://www.badatelna.eu/reprodukce/?fondId=241&amp;zaznamId=1133739&amp;reproId=3885732</v>
      </c>
      <c r="M280">
        <f>VLOOKUP(F280,Sheet2!$B$1:$E$19,2,FALSE)</f>
        <v>241</v>
      </c>
      <c r="N280">
        <f>VLOOKUP(F280,Sheet2!$B$1:$E$19,3,FALSE)</f>
        <v>1133739</v>
      </c>
      <c r="O280">
        <f>IF(G280="Not available","",VLOOKUP(F280,Sheet2!$B$1:$E$19,4,FALSE)+(G280-1))</f>
        <v>3885732</v>
      </c>
    </row>
    <row r="281" spans="1:15" s="1" customFormat="1" ht="15" customHeight="1" x14ac:dyDescent="0.25">
      <c r="A281" s="18" t="s">
        <v>35</v>
      </c>
      <c r="B281" s="18" t="s">
        <v>835</v>
      </c>
      <c r="C281" s="5">
        <v>1858</v>
      </c>
      <c r="D281" s="1" t="s">
        <v>74</v>
      </c>
      <c r="E281" s="1" t="s">
        <v>2</v>
      </c>
      <c r="F281" s="18">
        <v>2164</v>
      </c>
      <c r="G281" s="18">
        <v>121</v>
      </c>
      <c r="H281" s="5">
        <v>119</v>
      </c>
      <c r="I281" s="1">
        <v>124</v>
      </c>
      <c r="J281" s="4" t="s">
        <v>3271</v>
      </c>
      <c r="L281" t="str">
        <f t="shared" si="4"/>
        <v>http://www.badatelna.eu/reprodukce/?fondId=1073&amp;zaznamId=1108951&amp;reproId=3778835</v>
      </c>
      <c r="M281">
        <f>VLOOKUP(F281,Sheet2!$B$1:$E$19,2,FALSE)</f>
        <v>1073</v>
      </c>
      <c r="N281">
        <f>VLOOKUP(F281,Sheet2!$B$1:$E$19,3,FALSE)</f>
        <v>1108951</v>
      </c>
      <c r="O281">
        <f>IF(G281="Not available","",VLOOKUP(F281,Sheet2!$B$1:$E$19,4,FALSE)+(G281-1))</f>
        <v>3778835</v>
      </c>
    </row>
    <row r="282" spans="1:15" s="1" customFormat="1" ht="15" customHeight="1" x14ac:dyDescent="0.25">
      <c r="A282" s="18" t="s">
        <v>35</v>
      </c>
      <c r="B282" s="18" t="s">
        <v>53</v>
      </c>
      <c r="C282" s="5">
        <v>1801</v>
      </c>
      <c r="E282" s="1" t="s">
        <v>2</v>
      </c>
      <c r="F282" s="18">
        <v>2173</v>
      </c>
      <c r="G282" s="18">
        <v>43</v>
      </c>
      <c r="H282" s="14" t="s">
        <v>3059</v>
      </c>
      <c r="I282" s="1">
        <v>92</v>
      </c>
      <c r="J282" s="1">
        <v>190</v>
      </c>
      <c r="L282" t="str">
        <f t="shared" si="4"/>
        <v>http://www.badatelna.eu/reprodukce/?fondId=1073&amp;zaznamId=1108959&amp;reproId=3780036</v>
      </c>
      <c r="M282">
        <f>VLOOKUP(F282,Sheet2!$B$1:$E$19,2,FALSE)</f>
        <v>1073</v>
      </c>
      <c r="N282">
        <f>VLOOKUP(F282,Sheet2!$B$1:$E$19,3,FALSE)</f>
        <v>1108959</v>
      </c>
      <c r="O282">
        <f>IF(G282="Not available","",VLOOKUP(F282,Sheet2!$B$1:$E$19,4,FALSE)+(G282-1))</f>
        <v>3780036</v>
      </c>
    </row>
    <row r="283" spans="1:15" s="1" customFormat="1" ht="15" customHeight="1" x14ac:dyDescent="0.25">
      <c r="A283" s="18" t="s">
        <v>35</v>
      </c>
      <c r="B283" s="18" t="s">
        <v>53</v>
      </c>
      <c r="C283" s="5">
        <v>1845</v>
      </c>
      <c r="D283" s="1" t="s">
        <v>602</v>
      </c>
      <c r="E283" s="1" t="s">
        <v>2</v>
      </c>
      <c r="F283" s="18">
        <v>2174</v>
      </c>
      <c r="G283" s="18">
        <v>160</v>
      </c>
      <c r="H283" s="6" t="s">
        <v>3223</v>
      </c>
      <c r="I283" s="1">
        <v>181</v>
      </c>
      <c r="J283" s="1">
        <v>206</v>
      </c>
      <c r="L283" t="str">
        <f t="shared" si="4"/>
        <v>http://www.badatelna.eu/reprodukce/?fondId=1073&amp;zaznamId=1108960&amp;reproId=3780384</v>
      </c>
      <c r="M283">
        <f>VLOOKUP(F283,Sheet2!$B$1:$E$19,2,FALSE)</f>
        <v>1073</v>
      </c>
      <c r="N283">
        <f>VLOOKUP(F283,Sheet2!$B$1:$E$19,3,FALSE)</f>
        <v>1108960</v>
      </c>
      <c r="O283">
        <f>IF(G283="Not available","",VLOOKUP(F283,Sheet2!$B$1:$E$19,4,FALSE)+(G283-1))</f>
        <v>3780384</v>
      </c>
    </row>
    <row r="284" spans="1:15" s="1" customFormat="1" ht="15" customHeight="1" x14ac:dyDescent="0.25">
      <c r="A284" s="18" t="s">
        <v>35</v>
      </c>
      <c r="B284" s="18" t="s">
        <v>196</v>
      </c>
      <c r="C284" s="5">
        <v>1840</v>
      </c>
      <c r="D284" s="1" t="s">
        <v>53</v>
      </c>
      <c r="E284" s="1" t="s">
        <v>2</v>
      </c>
      <c r="F284" s="18">
        <v>2174</v>
      </c>
      <c r="G284" s="18">
        <v>110</v>
      </c>
      <c r="H284" s="6" t="s">
        <v>3178</v>
      </c>
      <c r="I284" s="1">
        <v>181</v>
      </c>
      <c r="J284" s="1">
        <v>205</v>
      </c>
      <c r="L284" t="str">
        <f t="shared" si="4"/>
        <v>http://www.badatelna.eu/reprodukce/?fondId=1073&amp;zaznamId=1108960&amp;reproId=3780334</v>
      </c>
      <c r="M284">
        <f>VLOOKUP(F284,Sheet2!$B$1:$E$19,2,FALSE)</f>
        <v>1073</v>
      </c>
      <c r="N284">
        <f>VLOOKUP(F284,Sheet2!$B$1:$E$19,3,FALSE)</f>
        <v>1108960</v>
      </c>
      <c r="O284">
        <f>IF(G284="Not available","",VLOOKUP(F284,Sheet2!$B$1:$E$19,4,FALSE)+(G284-1))</f>
        <v>3780334</v>
      </c>
    </row>
    <row r="285" spans="1:15" s="1" customFormat="1" ht="15" customHeight="1" x14ac:dyDescent="0.25">
      <c r="A285" s="18" t="s">
        <v>35</v>
      </c>
      <c r="B285" s="18" t="s">
        <v>196</v>
      </c>
      <c r="C285" s="5">
        <v>1863</v>
      </c>
      <c r="E285" s="1" t="s">
        <v>939</v>
      </c>
      <c r="F285" s="18">
        <v>999</v>
      </c>
      <c r="G285" s="18">
        <v>40</v>
      </c>
      <c r="H285" s="5">
        <v>38</v>
      </c>
      <c r="I285" s="1">
        <v>63</v>
      </c>
      <c r="J285" s="1">
        <v>96</v>
      </c>
      <c r="L285" t="str">
        <f t="shared" si="4"/>
        <v>http://www.badatelna.eu/reprodukce/?fondId=241&amp;zaznamId=1133739&amp;reproId=3885769</v>
      </c>
      <c r="M285">
        <f>VLOOKUP(F285,Sheet2!$B$1:$E$19,2,FALSE)</f>
        <v>241</v>
      </c>
      <c r="N285">
        <f>VLOOKUP(F285,Sheet2!$B$1:$E$19,3,FALSE)</f>
        <v>1133739</v>
      </c>
      <c r="O285">
        <f>IF(G285="Not available","",VLOOKUP(F285,Sheet2!$B$1:$E$19,4,FALSE)+(G285-1))</f>
        <v>3885769</v>
      </c>
    </row>
    <row r="286" spans="1:15" s="1" customFormat="1" ht="15" customHeight="1" x14ac:dyDescent="0.25">
      <c r="A286" s="18" t="s">
        <v>35</v>
      </c>
      <c r="B286" s="18" t="s">
        <v>92</v>
      </c>
      <c r="C286" s="6" t="s">
        <v>3018</v>
      </c>
      <c r="E286" s="1" t="s">
        <v>2</v>
      </c>
      <c r="F286" s="18">
        <v>2173</v>
      </c>
      <c r="G286" s="18">
        <v>47</v>
      </c>
      <c r="H286" s="14" t="s">
        <v>3028</v>
      </c>
      <c r="I286" s="1">
        <v>92</v>
      </c>
      <c r="J286" s="1">
        <v>190</v>
      </c>
      <c r="L286" t="str">
        <f t="shared" si="4"/>
        <v>http://www.badatelna.eu/reprodukce/?fondId=1073&amp;zaznamId=1108959&amp;reproId=3780040</v>
      </c>
      <c r="M286">
        <f>VLOOKUP(F286,Sheet2!$B$1:$E$19,2,FALSE)</f>
        <v>1073</v>
      </c>
      <c r="N286">
        <f>VLOOKUP(F286,Sheet2!$B$1:$E$19,3,FALSE)</f>
        <v>1108959</v>
      </c>
      <c r="O286">
        <f>IF(G286="Not available","",VLOOKUP(F286,Sheet2!$B$1:$E$19,4,FALSE)+(G286-1))</f>
        <v>3780040</v>
      </c>
    </row>
    <row r="287" spans="1:15" s="1" customFormat="1" ht="15" customHeight="1" x14ac:dyDescent="0.25">
      <c r="A287" s="18" t="s">
        <v>35</v>
      </c>
      <c r="B287" s="18" t="s">
        <v>92</v>
      </c>
      <c r="C287" s="5" t="s">
        <v>1322</v>
      </c>
      <c r="D287" s="1" t="s">
        <v>1003</v>
      </c>
      <c r="E287" s="1" t="s">
        <v>2</v>
      </c>
      <c r="F287" s="18">
        <v>2165</v>
      </c>
      <c r="G287" s="18">
        <v>40</v>
      </c>
      <c r="H287" s="5">
        <v>37</v>
      </c>
      <c r="I287" s="1">
        <v>81</v>
      </c>
      <c r="J287" s="1" t="s">
        <v>3271</v>
      </c>
      <c r="L287" t="str">
        <f t="shared" si="4"/>
        <v>http://www.badatelna.eu/reprodukce/?fondId=1073&amp;zaznamId=1108952&amp;reproId=3778901</v>
      </c>
      <c r="M287">
        <f>VLOOKUP(F287,Sheet2!$B$1:$E$19,2,FALSE)</f>
        <v>1073</v>
      </c>
      <c r="N287">
        <f>VLOOKUP(F287,Sheet2!$B$1:$E$19,3,FALSE)</f>
        <v>1108952</v>
      </c>
      <c r="O287">
        <f>IF(G287="Not available","",VLOOKUP(F287,Sheet2!$B$1:$E$19,4,FALSE)+(G287-1))</f>
        <v>3778901</v>
      </c>
    </row>
    <row r="288" spans="1:15" s="1" customFormat="1" ht="15" customHeight="1" x14ac:dyDescent="0.25">
      <c r="A288" s="18" t="s">
        <v>35</v>
      </c>
      <c r="B288" s="18" t="s">
        <v>107</v>
      </c>
      <c r="C288" s="5">
        <v>1803</v>
      </c>
      <c r="E288" s="1" t="s">
        <v>2</v>
      </c>
      <c r="F288" s="18">
        <v>2173</v>
      </c>
      <c r="G288" s="18">
        <v>47</v>
      </c>
      <c r="H288" s="14" t="s">
        <v>3020</v>
      </c>
      <c r="I288" s="1">
        <v>92</v>
      </c>
      <c r="J288" s="1">
        <v>190</v>
      </c>
      <c r="L288" t="str">
        <f t="shared" si="4"/>
        <v>http://www.badatelna.eu/reprodukce/?fondId=1073&amp;zaznamId=1108959&amp;reproId=3780040</v>
      </c>
      <c r="M288">
        <f>VLOOKUP(F288,Sheet2!$B$1:$E$19,2,FALSE)</f>
        <v>1073</v>
      </c>
      <c r="N288">
        <f>VLOOKUP(F288,Sheet2!$B$1:$E$19,3,FALSE)</f>
        <v>1108959</v>
      </c>
      <c r="O288">
        <f>IF(G288="Not available","",VLOOKUP(F288,Sheet2!$B$1:$E$19,4,FALSE)+(G288-1))</f>
        <v>3780040</v>
      </c>
    </row>
    <row r="289" spans="1:15" s="1" customFormat="1" ht="15" customHeight="1" x14ac:dyDescent="0.25">
      <c r="A289" s="18" t="s">
        <v>35</v>
      </c>
      <c r="B289" s="18" t="s">
        <v>819</v>
      </c>
      <c r="C289" s="5" t="s">
        <v>1321</v>
      </c>
      <c r="D289" s="1" t="s">
        <v>1003</v>
      </c>
      <c r="E289" s="1" t="s">
        <v>2</v>
      </c>
      <c r="F289" s="18">
        <v>2165</v>
      </c>
      <c r="G289" s="18">
        <v>30</v>
      </c>
      <c r="H289" s="5">
        <v>27</v>
      </c>
      <c r="I289" s="1">
        <v>81</v>
      </c>
      <c r="J289" s="1" t="s">
        <v>3271</v>
      </c>
      <c r="L289" t="str">
        <f t="shared" si="4"/>
        <v>http://www.badatelna.eu/reprodukce/?fondId=1073&amp;zaznamId=1108952&amp;reproId=3778891</v>
      </c>
      <c r="M289">
        <f>VLOOKUP(F289,Sheet2!$B$1:$E$19,2,FALSE)</f>
        <v>1073</v>
      </c>
      <c r="N289">
        <f>VLOOKUP(F289,Sheet2!$B$1:$E$19,3,FALSE)</f>
        <v>1108952</v>
      </c>
      <c r="O289">
        <f>IF(G289="Not available","",VLOOKUP(F289,Sheet2!$B$1:$E$19,4,FALSE)+(G289-1))</f>
        <v>3778891</v>
      </c>
    </row>
    <row r="290" spans="1:15" s="1" customFormat="1" ht="15" customHeight="1" x14ac:dyDescent="0.25">
      <c r="A290" s="18" t="s">
        <v>35</v>
      </c>
      <c r="B290" s="18" t="s">
        <v>74</v>
      </c>
      <c r="C290" s="5">
        <v>1816</v>
      </c>
      <c r="E290" s="1" t="s">
        <v>2</v>
      </c>
      <c r="F290" s="18">
        <v>2173</v>
      </c>
      <c r="G290" s="18">
        <v>65</v>
      </c>
      <c r="H290" s="5">
        <v>125</v>
      </c>
      <c r="I290" s="1">
        <v>92</v>
      </c>
      <c r="J290" s="1">
        <v>190</v>
      </c>
      <c r="L290" t="str">
        <f t="shared" si="4"/>
        <v>http://www.badatelna.eu/reprodukce/?fondId=1073&amp;zaznamId=1108959&amp;reproId=3780058</v>
      </c>
      <c r="M290">
        <f>VLOOKUP(F290,Sheet2!$B$1:$E$19,2,FALSE)</f>
        <v>1073</v>
      </c>
      <c r="N290">
        <f>VLOOKUP(F290,Sheet2!$B$1:$E$19,3,FALSE)</f>
        <v>1108959</v>
      </c>
      <c r="O290">
        <f>IF(G290="Not available","",VLOOKUP(F290,Sheet2!$B$1:$E$19,4,FALSE)+(G290-1))</f>
        <v>3780058</v>
      </c>
    </row>
    <row r="291" spans="1:15" s="1" customFormat="1" ht="15" customHeight="1" x14ac:dyDescent="0.25">
      <c r="A291" s="18" t="s">
        <v>35</v>
      </c>
      <c r="B291" s="18" t="s">
        <v>101</v>
      </c>
      <c r="C291" s="5">
        <v>1799</v>
      </c>
      <c r="D291" s="12" t="s">
        <v>180</v>
      </c>
      <c r="E291" s="1" t="s">
        <v>2</v>
      </c>
      <c r="F291" s="18">
        <v>2173</v>
      </c>
      <c r="G291" s="18">
        <v>39</v>
      </c>
      <c r="H291" s="14" t="s">
        <v>3031</v>
      </c>
      <c r="I291" s="1">
        <v>92</v>
      </c>
      <c r="J291" s="1">
        <v>190</v>
      </c>
      <c r="L291" t="str">
        <f t="shared" si="4"/>
        <v>http://www.badatelna.eu/reprodukce/?fondId=1073&amp;zaznamId=1108959&amp;reproId=3780032</v>
      </c>
      <c r="M291">
        <f>VLOOKUP(F291,Sheet2!$B$1:$E$19,2,FALSE)</f>
        <v>1073</v>
      </c>
      <c r="N291">
        <f>VLOOKUP(F291,Sheet2!$B$1:$E$19,3,FALSE)</f>
        <v>1108959</v>
      </c>
      <c r="O291">
        <f>IF(G291="Not available","",VLOOKUP(F291,Sheet2!$B$1:$E$19,4,FALSE)+(G291-1))</f>
        <v>3780032</v>
      </c>
    </row>
    <row r="292" spans="1:15" s="1" customFormat="1" ht="15" customHeight="1" x14ac:dyDescent="0.25">
      <c r="A292" s="18" t="s">
        <v>35</v>
      </c>
      <c r="B292" s="18" t="s">
        <v>985</v>
      </c>
      <c r="C292" s="5" t="s">
        <v>1288</v>
      </c>
      <c r="D292" s="1" t="s">
        <v>304</v>
      </c>
      <c r="E292" s="1" t="s">
        <v>2</v>
      </c>
      <c r="F292" s="18">
        <v>2165</v>
      </c>
      <c r="G292" s="18">
        <v>4</v>
      </c>
      <c r="H292" s="5">
        <v>1</v>
      </c>
      <c r="I292" s="1">
        <v>80</v>
      </c>
      <c r="J292" s="1" t="s">
        <v>3271</v>
      </c>
      <c r="L292" t="str">
        <f t="shared" si="4"/>
        <v>http://www.badatelna.eu/reprodukce/?fondId=1073&amp;zaznamId=1108952&amp;reproId=3778865</v>
      </c>
      <c r="M292">
        <f>VLOOKUP(F292,Sheet2!$B$1:$E$19,2,FALSE)</f>
        <v>1073</v>
      </c>
      <c r="N292">
        <f>VLOOKUP(F292,Sheet2!$B$1:$E$19,3,FALSE)</f>
        <v>1108952</v>
      </c>
      <c r="O292">
        <f>IF(G292="Not available","",VLOOKUP(F292,Sheet2!$B$1:$E$19,4,FALSE)+(G292-1))</f>
        <v>3778865</v>
      </c>
    </row>
    <row r="293" spans="1:15" s="1" customFormat="1" ht="15" customHeight="1" x14ac:dyDescent="0.25">
      <c r="A293" s="18" t="s">
        <v>35</v>
      </c>
      <c r="B293" s="18" t="s">
        <v>16</v>
      </c>
      <c r="C293" s="5">
        <v>1818</v>
      </c>
      <c r="E293" s="1" t="s">
        <v>2</v>
      </c>
      <c r="F293" s="18">
        <v>2173</v>
      </c>
      <c r="G293" s="18">
        <v>66</v>
      </c>
      <c r="H293" s="5">
        <v>127</v>
      </c>
      <c r="I293" s="1">
        <v>93</v>
      </c>
      <c r="J293" s="1">
        <v>194</v>
      </c>
      <c r="L293" t="str">
        <f t="shared" si="4"/>
        <v>http://www.badatelna.eu/reprodukce/?fondId=1073&amp;zaznamId=1108959&amp;reproId=3780059</v>
      </c>
      <c r="M293">
        <f>VLOOKUP(F293,Sheet2!$B$1:$E$19,2,FALSE)</f>
        <v>1073</v>
      </c>
      <c r="N293">
        <f>VLOOKUP(F293,Sheet2!$B$1:$E$19,3,FALSE)</f>
        <v>1108959</v>
      </c>
      <c r="O293">
        <f>IF(G293="Not available","",VLOOKUP(F293,Sheet2!$B$1:$E$19,4,FALSE)+(G293-1))</f>
        <v>3780059</v>
      </c>
    </row>
    <row r="294" spans="1:15" s="1" customFormat="1" ht="15" customHeight="1" x14ac:dyDescent="0.25">
      <c r="A294" s="18" t="s">
        <v>35</v>
      </c>
      <c r="B294" s="18" t="s">
        <v>16</v>
      </c>
      <c r="C294" s="5">
        <v>1824</v>
      </c>
      <c r="E294" s="1" t="s">
        <v>2</v>
      </c>
      <c r="F294" s="18">
        <v>2173</v>
      </c>
      <c r="G294" s="18">
        <v>77</v>
      </c>
      <c r="H294" s="5">
        <v>147</v>
      </c>
      <c r="I294" s="1">
        <v>93</v>
      </c>
      <c r="J294" s="1">
        <v>194</v>
      </c>
      <c r="L294" t="str">
        <f t="shared" si="4"/>
        <v>http://www.badatelna.eu/reprodukce/?fondId=1073&amp;zaznamId=1108959&amp;reproId=3780070</v>
      </c>
      <c r="M294">
        <f>VLOOKUP(F294,Sheet2!$B$1:$E$19,2,FALSE)</f>
        <v>1073</v>
      </c>
      <c r="N294">
        <f>VLOOKUP(F294,Sheet2!$B$1:$E$19,3,FALSE)</f>
        <v>1108959</v>
      </c>
      <c r="O294">
        <f>IF(G294="Not available","",VLOOKUP(F294,Sheet2!$B$1:$E$19,4,FALSE)+(G294-1))</f>
        <v>3780070</v>
      </c>
    </row>
    <row r="295" spans="1:15" s="1" customFormat="1" ht="15" customHeight="1" x14ac:dyDescent="0.25">
      <c r="A295" s="18" t="s">
        <v>35</v>
      </c>
      <c r="B295" s="18" t="s">
        <v>674</v>
      </c>
      <c r="C295" s="5">
        <v>1860</v>
      </c>
      <c r="E295" s="1" t="s">
        <v>939</v>
      </c>
      <c r="F295" s="18">
        <v>999</v>
      </c>
      <c r="G295" s="18">
        <v>19</v>
      </c>
      <c r="H295" s="5">
        <v>17</v>
      </c>
      <c r="I295" s="1">
        <v>63</v>
      </c>
      <c r="J295" s="1">
        <v>96</v>
      </c>
      <c r="L295" t="str">
        <f t="shared" si="4"/>
        <v>http://www.badatelna.eu/reprodukce/?fondId=241&amp;zaznamId=1133739&amp;reproId=3885748</v>
      </c>
      <c r="M295">
        <f>VLOOKUP(F295,Sheet2!$B$1:$E$19,2,FALSE)</f>
        <v>241</v>
      </c>
      <c r="N295">
        <f>VLOOKUP(F295,Sheet2!$B$1:$E$19,3,FALSE)</f>
        <v>1133739</v>
      </c>
      <c r="O295">
        <f>IF(G295="Not available","",VLOOKUP(F295,Sheet2!$B$1:$E$19,4,FALSE)+(G295-1))</f>
        <v>3885748</v>
      </c>
    </row>
    <row r="296" spans="1:15" s="1" customFormat="1" ht="15" customHeight="1" x14ac:dyDescent="0.25">
      <c r="A296" s="18" t="s">
        <v>35</v>
      </c>
      <c r="B296" s="18" t="s">
        <v>547</v>
      </c>
      <c r="C296" s="5">
        <v>1844</v>
      </c>
      <c r="D296" s="1" t="s">
        <v>631</v>
      </c>
      <c r="E296" s="1" t="s">
        <v>2</v>
      </c>
      <c r="F296" s="18">
        <v>2174</v>
      </c>
      <c r="G296" s="18">
        <v>142</v>
      </c>
      <c r="H296" s="6" t="s">
        <v>3208</v>
      </c>
      <c r="I296" s="1">
        <v>181</v>
      </c>
      <c r="J296" s="1">
        <v>206</v>
      </c>
      <c r="L296" t="str">
        <f t="shared" si="4"/>
        <v>http://www.badatelna.eu/reprodukce/?fondId=1073&amp;zaznamId=1108960&amp;reproId=3780366</v>
      </c>
      <c r="M296">
        <f>VLOOKUP(F296,Sheet2!$B$1:$E$19,2,FALSE)</f>
        <v>1073</v>
      </c>
      <c r="N296">
        <f>VLOOKUP(F296,Sheet2!$B$1:$E$19,3,FALSE)</f>
        <v>1108960</v>
      </c>
      <c r="O296">
        <f>IF(G296="Not available","",VLOOKUP(F296,Sheet2!$B$1:$E$19,4,FALSE)+(G296-1))</f>
        <v>3780366</v>
      </c>
    </row>
    <row r="297" spans="1:15" s="1" customFormat="1" ht="15" customHeight="1" x14ac:dyDescent="0.25">
      <c r="A297" s="18" t="s">
        <v>35</v>
      </c>
      <c r="B297" s="18" t="s">
        <v>698</v>
      </c>
      <c r="C297" s="5" t="s">
        <v>1330</v>
      </c>
      <c r="D297" s="1" t="s">
        <v>1003</v>
      </c>
      <c r="E297" s="1" t="s">
        <v>2</v>
      </c>
      <c r="F297" s="18">
        <v>2165</v>
      </c>
      <c r="G297" s="18">
        <v>49</v>
      </c>
      <c r="H297" s="5">
        <v>46</v>
      </c>
      <c r="I297" s="1">
        <v>81</v>
      </c>
      <c r="J297" s="1" t="s">
        <v>3271</v>
      </c>
      <c r="L297" t="str">
        <f t="shared" si="4"/>
        <v>http://www.badatelna.eu/reprodukce/?fondId=1073&amp;zaznamId=1108952&amp;reproId=3778910</v>
      </c>
      <c r="M297">
        <f>VLOOKUP(F297,Sheet2!$B$1:$E$19,2,FALSE)</f>
        <v>1073</v>
      </c>
      <c r="N297">
        <f>VLOOKUP(F297,Sheet2!$B$1:$E$19,3,FALSE)</f>
        <v>1108952</v>
      </c>
      <c r="O297">
        <f>IF(G297="Not available","",VLOOKUP(F297,Sheet2!$B$1:$E$19,4,FALSE)+(G297-1))</f>
        <v>3778910</v>
      </c>
    </row>
    <row r="298" spans="1:15" s="1" customFormat="1" ht="15" customHeight="1" x14ac:dyDescent="0.25">
      <c r="A298" s="18" t="s">
        <v>35</v>
      </c>
      <c r="B298" s="18" t="s">
        <v>439</v>
      </c>
      <c r="C298" s="5">
        <v>1854</v>
      </c>
      <c r="D298" s="1" t="s">
        <v>133</v>
      </c>
      <c r="E298" s="1" t="s">
        <v>2</v>
      </c>
      <c r="F298" s="18">
        <v>2164</v>
      </c>
      <c r="G298" s="18">
        <v>98</v>
      </c>
      <c r="H298" s="5">
        <v>96</v>
      </c>
      <c r="I298" s="1">
        <v>123</v>
      </c>
      <c r="J298" s="4" t="s">
        <v>3271</v>
      </c>
      <c r="L298" t="str">
        <f t="shared" si="4"/>
        <v>http://www.badatelna.eu/reprodukce/?fondId=1073&amp;zaznamId=1108951&amp;reproId=3778812</v>
      </c>
      <c r="M298">
        <f>VLOOKUP(F298,Sheet2!$B$1:$E$19,2,FALSE)</f>
        <v>1073</v>
      </c>
      <c r="N298">
        <f>VLOOKUP(F298,Sheet2!$B$1:$E$19,3,FALSE)</f>
        <v>1108951</v>
      </c>
      <c r="O298">
        <f>IF(G298="Not available","",VLOOKUP(F298,Sheet2!$B$1:$E$19,4,FALSE)+(G298-1))</f>
        <v>3778812</v>
      </c>
    </row>
    <row r="299" spans="1:15" s="1" customFormat="1" ht="15" customHeight="1" x14ac:dyDescent="0.25">
      <c r="A299" s="18" t="s">
        <v>35</v>
      </c>
      <c r="B299" s="19" t="s">
        <v>211</v>
      </c>
      <c r="C299" s="5">
        <v>1824</v>
      </c>
      <c r="E299" s="1" t="s">
        <v>2</v>
      </c>
      <c r="F299" s="18">
        <v>2173</v>
      </c>
      <c r="G299" s="18">
        <v>75</v>
      </c>
      <c r="H299" s="5">
        <v>142</v>
      </c>
      <c r="I299" s="1">
        <v>93</v>
      </c>
      <c r="J299" s="1">
        <v>194</v>
      </c>
      <c r="L299" t="str">
        <f t="shared" si="4"/>
        <v>http://www.badatelna.eu/reprodukce/?fondId=1073&amp;zaznamId=1108959&amp;reproId=3780068</v>
      </c>
      <c r="M299">
        <f>VLOOKUP(F299,Sheet2!$B$1:$E$19,2,FALSE)</f>
        <v>1073</v>
      </c>
      <c r="N299">
        <f>VLOOKUP(F299,Sheet2!$B$1:$E$19,3,FALSE)</f>
        <v>1108959</v>
      </c>
      <c r="O299">
        <f>IF(G299="Not available","",VLOOKUP(F299,Sheet2!$B$1:$E$19,4,FALSE)+(G299-1))</f>
        <v>3780068</v>
      </c>
    </row>
    <row r="300" spans="1:15" s="1" customFormat="1" ht="15" customHeight="1" x14ac:dyDescent="0.25">
      <c r="A300" s="18" t="s">
        <v>35</v>
      </c>
      <c r="B300" s="18" t="s">
        <v>6</v>
      </c>
      <c r="C300" s="5">
        <v>1816</v>
      </c>
      <c r="E300" s="1" t="s">
        <v>2</v>
      </c>
      <c r="F300" s="18">
        <v>2173</v>
      </c>
      <c r="G300" s="18">
        <v>67</v>
      </c>
      <c r="H300" s="6" t="s">
        <v>338</v>
      </c>
      <c r="I300" s="1">
        <v>93</v>
      </c>
      <c r="J300" s="1">
        <v>194</v>
      </c>
      <c r="L300" t="str">
        <f t="shared" si="4"/>
        <v>http://www.badatelna.eu/reprodukce/?fondId=1073&amp;zaznamId=1108959&amp;reproId=3780060</v>
      </c>
      <c r="M300">
        <f>VLOOKUP(F300,Sheet2!$B$1:$E$19,2,FALSE)</f>
        <v>1073</v>
      </c>
      <c r="N300">
        <f>VLOOKUP(F300,Sheet2!$B$1:$E$19,3,FALSE)</f>
        <v>1108959</v>
      </c>
      <c r="O300">
        <f>IF(G300="Not available","",VLOOKUP(F300,Sheet2!$B$1:$E$19,4,FALSE)+(G300-1))</f>
        <v>3780060</v>
      </c>
    </row>
    <row r="301" spans="1:15" s="1" customFormat="1" ht="15" customHeight="1" x14ac:dyDescent="0.25">
      <c r="A301" s="18" t="s">
        <v>35</v>
      </c>
      <c r="B301" s="18" t="s">
        <v>1997</v>
      </c>
      <c r="C301" s="6" t="s">
        <v>1987</v>
      </c>
      <c r="D301" s="4" t="s">
        <v>1998</v>
      </c>
      <c r="E301" s="4" t="s">
        <v>2</v>
      </c>
      <c r="F301" s="18">
        <v>2176</v>
      </c>
      <c r="G301" s="18" t="s">
        <v>3271</v>
      </c>
      <c r="H301" s="6" t="s">
        <v>1999</v>
      </c>
      <c r="I301" s="1">
        <v>4</v>
      </c>
      <c r="J301" s="1" t="s">
        <v>3271</v>
      </c>
      <c r="L301" t="str">
        <f t="shared" si="4"/>
        <v/>
      </c>
      <c r="M301">
        <f>VLOOKUP(F301,Sheet2!$B$1:$E$19,2,FALSE)</f>
        <v>1073</v>
      </c>
      <c r="N301">
        <f>VLOOKUP(F301,Sheet2!$B$1:$E$19,3,FALSE)</f>
        <v>1108963</v>
      </c>
      <c r="O301" t="str">
        <f>IF(G301="Not available","",VLOOKUP(F301,Sheet2!$B$1:$E$19,4,FALSE)+(G301-1))</f>
        <v/>
      </c>
    </row>
    <row r="302" spans="1:15" s="1" customFormat="1" ht="15" customHeight="1" x14ac:dyDescent="0.25">
      <c r="A302" s="18" t="s">
        <v>35</v>
      </c>
      <c r="B302" s="18" t="s">
        <v>546</v>
      </c>
      <c r="C302" s="5">
        <v>1835</v>
      </c>
      <c r="D302" s="1" t="s">
        <v>606</v>
      </c>
      <c r="E302" s="1" t="s">
        <v>2</v>
      </c>
      <c r="F302" s="18">
        <v>2174</v>
      </c>
      <c r="G302" s="18">
        <v>83</v>
      </c>
      <c r="H302" s="6" t="s">
        <v>3147</v>
      </c>
      <c r="I302" s="1">
        <v>180</v>
      </c>
      <c r="J302" s="1">
        <v>204</v>
      </c>
      <c r="L302" t="str">
        <f t="shared" si="4"/>
        <v>http://www.badatelna.eu/reprodukce/?fondId=1073&amp;zaznamId=1108960&amp;reproId=3780307</v>
      </c>
      <c r="M302">
        <f>VLOOKUP(F302,Sheet2!$B$1:$E$19,2,FALSE)</f>
        <v>1073</v>
      </c>
      <c r="N302">
        <f>VLOOKUP(F302,Sheet2!$B$1:$E$19,3,FALSE)</f>
        <v>1108960</v>
      </c>
      <c r="O302">
        <f>IF(G302="Not available","",VLOOKUP(F302,Sheet2!$B$1:$E$19,4,FALSE)+(G302-1))</f>
        <v>3780307</v>
      </c>
    </row>
    <row r="303" spans="1:15" s="1" customFormat="1" ht="15" customHeight="1" x14ac:dyDescent="0.25">
      <c r="A303" s="18" t="s">
        <v>35</v>
      </c>
      <c r="B303" s="18" t="s">
        <v>562</v>
      </c>
      <c r="C303" s="5">
        <v>1836</v>
      </c>
      <c r="D303" s="1" t="s">
        <v>53</v>
      </c>
      <c r="E303" s="1" t="s">
        <v>2</v>
      </c>
      <c r="F303" s="18">
        <v>2174</v>
      </c>
      <c r="G303" s="18">
        <v>89</v>
      </c>
      <c r="H303" s="6" t="s">
        <v>3154</v>
      </c>
      <c r="I303" s="1">
        <v>181</v>
      </c>
      <c r="J303" s="1">
        <v>205</v>
      </c>
      <c r="L303" t="str">
        <f t="shared" si="4"/>
        <v>http://www.badatelna.eu/reprodukce/?fondId=1073&amp;zaznamId=1108960&amp;reproId=3780313</v>
      </c>
      <c r="M303">
        <f>VLOOKUP(F303,Sheet2!$B$1:$E$19,2,FALSE)</f>
        <v>1073</v>
      </c>
      <c r="N303">
        <f>VLOOKUP(F303,Sheet2!$B$1:$E$19,3,FALSE)</f>
        <v>1108960</v>
      </c>
      <c r="O303">
        <f>IF(G303="Not available","",VLOOKUP(F303,Sheet2!$B$1:$E$19,4,FALSE)+(G303-1))</f>
        <v>3780313</v>
      </c>
    </row>
    <row r="304" spans="1:15" s="1" customFormat="1" ht="15" customHeight="1" x14ac:dyDescent="0.25">
      <c r="A304" s="18" t="s">
        <v>35</v>
      </c>
      <c r="B304" s="18" t="s">
        <v>191</v>
      </c>
      <c r="C304" s="5">
        <v>1843</v>
      </c>
      <c r="D304" s="1" t="s">
        <v>627</v>
      </c>
      <c r="E304" s="1" t="s">
        <v>2</v>
      </c>
      <c r="F304" s="18">
        <v>2174</v>
      </c>
      <c r="G304" s="18">
        <v>142</v>
      </c>
      <c r="H304" s="6" t="s">
        <v>3208</v>
      </c>
      <c r="I304" s="1">
        <v>181</v>
      </c>
      <c r="J304" s="1">
        <v>206</v>
      </c>
      <c r="L304" t="str">
        <f t="shared" si="4"/>
        <v>http://www.badatelna.eu/reprodukce/?fondId=1073&amp;zaznamId=1108960&amp;reproId=3780366</v>
      </c>
      <c r="M304">
        <f>VLOOKUP(F304,Sheet2!$B$1:$E$19,2,FALSE)</f>
        <v>1073</v>
      </c>
      <c r="N304">
        <f>VLOOKUP(F304,Sheet2!$B$1:$E$19,3,FALSE)</f>
        <v>1108960</v>
      </c>
      <c r="O304">
        <f>IF(G304="Not available","",VLOOKUP(F304,Sheet2!$B$1:$E$19,4,FALSE)+(G304-1))</f>
        <v>3780366</v>
      </c>
    </row>
    <row r="305" spans="1:15" s="1" customFormat="1" ht="15" customHeight="1" x14ac:dyDescent="0.25">
      <c r="A305" s="18" t="s">
        <v>35</v>
      </c>
      <c r="B305" s="18" t="s">
        <v>822</v>
      </c>
      <c r="C305" s="5">
        <v>1852</v>
      </c>
      <c r="D305" s="1" t="s">
        <v>74</v>
      </c>
      <c r="E305" s="1" t="s">
        <v>2</v>
      </c>
      <c r="F305" s="18">
        <v>2164</v>
      </c>
      <c r="G305" s="18">
        <v>85</v>
      </c>
      <c r="H305" s="5">
        <v>83</v>
      </c>
      <c r="I305" s="1">
        <v>123</v>
      </c>
      <c r="J305" s="4" t="s">
        <v>3271</v>
      </c>
      <c r="L305" t="str">
        <f t="shared" si="4"/>
        <v>http://www.badatelna.eu/reprodukce/?fondId=1073&amp;zaznamId=1108951&amp;reproId=3778799</v>
      </c>
      <c r="M305">
        <f>VLOOKUP(F305,Sheet2!$B$1:$E$19,2,FALSE)</f>
        <v>1073</v>
      </c>
      <c r="N305">
        <f>VLOOKUP(F305,Sheet2!$B$1:$E$19,3,FALSE)</f>
        <v>1108951</v>
      </c>
      <c r="O305">
        <f>IF(G305="Not available","",VLOOKUP(F305,Sheet2!$B$1:$E$19,4,FALSE)+(G305-1))</f>
        <v>3778799</v>
      </c>
    </row>
    <row r="306" spans="1:15" s="1" customFormat="1" ht="15" customHeight="1" x14ac:dyDescent="0.25">
      <c r="A306" s="18" t="s">
        <v>35</v>
      </c>
      <c r="B306" s="18" t="s">
        <v>822</v>
      </c>
      <c r="C306" s="5">
        <v>1857</v>
      </c>
      <c r="D306" s="1" t="s">
        <v>752</v>
      </c>
      <c r="E306" s="1" t="s">
        <v>2</v>
      </c>
      <c r="F306" s="18">
        <v>2164</v>
      </c>
      <c r="G306" s="18">
        <v>120</v>
      </c>
      <c r="H306" s="5">
        <v>118</v>
      </c>
      <c r="I306" s="1">
        <v>124</v>
      </c>
      <c r="J306" s="4" t="s">
        <v>3271</v>
      </c>
      <c r="L306" t="str">
        <f t="shared" si="4"/>
        <v>http://www.badatelna.eu/reprodukce/?fondId=1073&amp;zaznamId=1108951&amp;reproId=3778834</v>
      </c>
      <c r="M306">
        <f>VLOOKUP(F306,Sheet2!$B$1:$E$19,2,FALSE)</f>
        <v>1073</v>
      </c>
      <c r="N306">
        <f>VLOOKUP(F306,Sheet2!$B$1:$E$19,3,FALSE)</f>
        <v>1108951</v>
      </c>
      <c r="O306">
        <f>IF(G306="Not available","",VLOOKUP(F306,Sheet2!$B$1:$E$19,4,FALSE)+(G306-1))</f>
        <v>3778834</v>
      </c>
    </row>
    <row r="307" spans="1:15" s="1" customFormat="1" ht="15" customHeight="1" x14ac:dyDescent="0.25">
      <c r="A307" s="18" t="s">
        <v>35</v>
      </c>
      <c r="B307" s="19" t="s">
        <v>774</v>
      </c>
      <c r="C307" s="5">
        <v>1865</v>
      </c>
      <c r="E307" s="1" t="s">
        <v>939</v>
      </c>
      <c r="F307" s="18">
        <v>999</v>
      </c>
      <c r="G307" s="18">
        <v>54</v>
      </c>
      <c r="H307" s="5">
        <v>52</v>
      </c>
      <c r="I307" s="1">
        <v>63</v>
      </c>
      <c r="J307" s="1">
        <v>96</v>
      </c>
      <c r="L307" t="str">
        <f t="shared" si="4"/>
        <v>http://www.badatelna.eu/reprodukce/?fondId=241&amp;zaznamId=1133739&amp;reproId=3885783</v>
      </c>
      <c r="M307">
        <f>VLOOKUP(F307,Sheet2!$B$1:$E$19,2,FALSE)</f>
        <v>241</v>
      </c>
      <c r="N307">
        <f>VLOOKUP(F307,Sheet2!$B$1:$E$19,3,FALSE)</f>
        <v>1133739</v>
      </c>
      <c r="O307">
        <f>IF(G307="Not available","",VLOOKUP(F307,Sheet2!$B$1:$E$19,4,FALSE)+(G307-1))</f>
        <v>3885783</v>
      </c>
    </row>
    <row r="308" spans="1:15" s="1" customFormat="1" ht="15" customHeight="1" x14ac:dyDescent="0.25">
      <c r="A308" s="22" t="s">
        <v>35</v>
      </c>
      <c r="B308" s="18" t="s">
        <v>774</v>
      </c>
      <c r="C308" s="5" t="s">
        <v>1291</v>
      </c>
      <c r="D308" s="1" t="s">
        <v>801</v>
      </c>
      <c r="E308" s="1" t="s">
        <v>2</v>
      </c>
      <c r="F308" s="18">
        <v>2165</v>
      </c>
      <c r="G308" s="18">
        <v>6</v>
      </c>
      <c r="H308" s="5">
        <v>3</v>
      </c>
      <c r="I308" s="1">
        <v>80</v>
      </c>
      <c r="J308" s="1" t="s">
        <v>3271</v>
      </c>
      <c r="L308" t="str">
        <f t="shared" si="4"/>
        <v>http://www.badatelna.eu/reprodukce/?fondId=1073&amp;zaznamId=1108952&amp;reproId=3778867</v>
      </c>
      <c r="M308">
        <f>VLOOKUP(F308,Sheet2!$B$1:$E$19,2,FALSE)</f>
        <v>1073</v>
      </c>
      <c r="N308">
        <f>VLOOKUP(F308,Sheet2!$B$1:$E$19,3,FALSE)</f>
        <v>1108952</v>
      </c>
      <c r="O308">
        <f>IF(G308="Not available","",VLOOKUP(F308,Sheet2!$B$1:$E$19,4,FALSE)+(G308-1))</f>
        <v>3778867</v>
      </c>
    </row>
    <row r="309" spans="1:15" s="1" customFormat="1" ht="15" customHeight="1" x14ac:dyDescent="0.25">
      <c r="A309" s="18" t="s">
        <v>35</v>
      </c>
      <c r="B309" s="18" t="s">
        <v>59</v>
      </c>
      <c r="C309" s="5">
        <v>1803</v>
      </c>
      <c r="E309" s="1" t="s">
        <v>2</v>
      </c>
      <c r="F309" s="18">
        <v>2173</v>
      </c>
      <c r="G309" s="18">
        <v>47</v>
      </c>
      <c r="H309" s="14" t="s">
        <v>3020</v>
      </c>
      <c r="I309" s="1">
        <v>92</v>
      </c>
      <c r="J309" s="1">
        <v>190</v>
      </c>
      <c r="L309" t="str">
        <f t="shared" si="4"/>
        <v>http://www.badatelna.eu/reprodukce/?fondId=1073&amp;zaznamId=1108959&amp;reproId=3780040</v>
      </c>
      <c r="M309">
        <f>VLOOKUP(F309,Sheet2!$B$1:$E$19,2,FALSE)</f>
        <v>1073</v>
      </c>
      <c r="N309">
        <f>VLOOKUP(F309,Sheet2!$B$1:$E$19,3,FALSE)</f>
        <v>1108959</v>
      </c>
      <c r="O309">
        <f>IF(G309="Not available","",VLOOKUP(F309,Sheet2!$B$1:$E$19,4,FALSE)+(G309-1))</f>
        <v>3780040</v>
      </c>
    </row>
    <row r="310" spans="1:15" s="1" customFormat="1" ht="15" customHeight="1" x14ac:dyDescent="0.25">
      <c r="A310" s="18" t="s">
        <v>35</v>
      </c>
      <c r="B310" s="19" t="s">
        <v>59</v>
      </c>
      <c r="C310" s="5">
        <v>1829</v>
      </c>
      <c r="D310" s="4" t="s">
        <v>58</v>
      </c>
      <c r="E310" s="1" t="s">
        <v>2</v>
      </c>
      <c r="F310" s="18">
        <v>2173</v>
      </c>
      <c r="G310" s="18">
        <v>82</v>
      </c>
      <c r="H310" s="5">
        <v>156</v>
      </c>
      <c r="I310" s="1">
        <v>93</v>
      </c>
      <c r="J310" s="1">
        <v>194</v>
      </c>
      <c r="L310" t="str">
        <f t="shared" si="4"/>
        <v>http://www.badatelna.eu/reprodukce/?fondId=1073&amp;zaznamId=1108959&amp;reproId=3780075</v>
      </c>
      <c r="M310">
        <f>VLOOKUP(F310,Sheet2!$B$1:$E$19,2,FALSE)</f>
        <v>1073</v>
      </c>
      <c r="N310">
        <f>VLOOKUP(F310,Sheet2!$B$1:$E$19,3,FALSE)</f>
        <v>1108959</v>
      </c>
      <c r="O310">
        <f>IF(G310="Not available","",VLOOKUP(F310,Sheet2!$B$1:$E$19,4,FALSE)+(G310-1))</f>
        <v>3780075</v>
      </c>
    </row>
    <row r="311" spans="1:15" s="1" customFormat="1" ht="15" customHeight="1" x14ac:dyDescent="0.25">
      <c r="A311" s="18" t="s">
        <v>35</v>
      </c>
      <c r="B311" s="18" t="s">
        <v>1008</v>
      </c>
      <c r="C311" s="5" t="s">
        <v>1340</v>
      </c>
      <c r="D311" s="1" t="s">
        <v>44</v>
      </c>
      <c r="E311" s="1" t="s">
        <v>2</v>
      </c>
      <c r="F311" s="18">
        <v>2165</v>
      </c>
      <c r="G311" s="18">
        <v>73</v>
      </c>
      <c r="H311" s="5">
        <v>70</v>
      </c>
      <c r="I311" s="1">
        <v>81</v>
      </c>
      <c r="J311" s="1" t="s">
        <v>3271</v>
      </c>
      <c r="L311" t="str">
        <f t="shared" si="4"/>
        <v>http://www.badatelna.eu/reprodukce/?fondId=1073&amp;zaznamId=1108952&amp;reproId=3778934</v>
      </c>
      <c r="M311">
        <f>VLOOKUP(F311,Sheet2!$B$1:$E$19,2,FALSE)</f>
        <v>1073</v>
      </c>
      <c r="N311">
        <f>VLOOKUP(F311,Sheet2!$B$1:$E$19,3,FALSE)</f>
        <v>1108952</v>
      </c>
      <c r="O311">
        <f>IF(G311="Not available","",VLOOKUP(F311,Sheet2!$B$1:$E$19,4,FALSE)+(G311-1))</f>
        <v>3778934</v>
      </c>
    </row>
    <row r="312" spans="1:15" s="1" customFormat="1" ht="15" customHeight="1" x14ac:dyDescent="0.25">
      <c r="A312" s="18" t="s">
        <v>35</v>
      </c>
      <c r="B312" s="18" t="s">
        <v>87</v>
      </c>
      <c r="C312" s="6" t="s">
        <v>2949</v>
      </c>
      <c r="D312" s="4" t="s">
        <v>4</v>
      </c>
      <c r="E312" s="1" t="s">
        <v>2</v>
      </c>
      <c r="F312" s="18">
        <v>2173</v>
      </c>
      <c r="G312" s="18">
        <v>42</v>
      </c>
      <c r="H312" s="14" t="s">
        <v>3093</v>
      </c>
      <c r="I312" s="1">
        <v>92</v>
      </c>
      <c r="J312" s="1">
        <v>190</v>
      </c>
      <c r="L312" t="str">
        <f t="shared" si="4"/>
        <v>http://www.badatelna.eu/reprodukce/?fondId=1073&amp;zaznamId=1108959&amp;reproId=3780035</v>
      </c>
      <c r="M312">
        <f>VLOOKUP(F312,Sheet2!$B$1:$E$19,2,FALSE)</f>
        <v>1073</v>
      </c>
      <c r="N312">
        <f>VLOOKUP(F312,Sheet2!$B$1:$E$19,3,FALSE)</f>
        <v>1108959</v>
      </c>
      <c r="O312">
        <f>IF(G312="Not available","",VLOOKUP(F312,Sheet2!$B$1:$E$19,4,FALSE)+(G312-1))</f>
        <v>3780035</v>
      </c>
    </row>
    <row r="313" spans="1:15" s="1" customFormat="1" ht="15" customHeight="1" x14ac:dyDescent="0.25">
      <c r="A313" s="18" t="s">
        <v>35</v>
      </c>
      <c r="B313" s="18" t="s">
        <v>735</v>
      </c>
      <c r="C313" s="5">
        <v>1848</v>
      </c>
      <c r="D313" s="1" t="s">
        <v>804</v>
      </c>
      <c r="E313" s="1" t="s">
        <v>2</v>
      </c>
      <c r="F313" s="18">
        <v>2164</v>
      </c>
      <c r="G313" s="18">
        <v>39</v>
      </c>
      <c r="H313" s="5">
        <v>37</v>
      </c>
      <c r="I313" s="1">
        <v>123</v>
      </c>
      <c r="J313" s="4" t="s">
        <v>3271</v>
      </c>
      <c r="L313" t="str">
        <f t="shared" si="4"/>
        <v>http://www.badatelna.eu/reprodukce/?fondId=1073&amp;zaznamId=1108951&amp;reproId=3778753</v>
      </c>
      <c r="M313">
        <f>VLOOKUP(F313,Sheet2!$B$1:$E$19,2,FALSE)</f>
        <v>1073</v>
      </c>
      <c r="N313">
        <f>VLOOKUP(F313,Sheet2!$B$1:$E$19,3,FALSE)</f>
        <v>1108951</v>
      </c>
      <c r="O313">
        <f>IF(G313="Not available","",VLOOKUP(F313,Sheet2!$B$1:$E$19,4,FALSE)+(G313-1))</f>
        <v>3778753</v>
      </c>
    </row>
    <row r="314" spans="1:15" s="1" customFormat="1" ht="15" customHeight="1" x14ac:dyDescent="0.25">
      <c r="A314" s="18" t="s">
        <v>35</v>
      </c>
      <c r="B314" s="18" t="s">
        <v>735</v>
      </c>
      <c r="C314" s="5">
        <v>1850</v>
      </c>
      <c r="D314" s="1" t="s">
        <v>801</v>
      </c>
      <c r="E314" s="1" t="s">
        <v>2</v>
      </c>
      <c r="F314" s="18">
        <v>2164</v>
      </c>
      <c r="G314" s="18">
        <v>78</v>
      </c>
      <c r="H314" s="5">
        <v>76</v>
      </c>
      <c r="I314" s="1">
        <v>123</v>
      </c>
      <c r="J314" s="4" t="s">
        <v>3271</v>
      </c>
      <c r="L314" t="str">
        <f t="shared" si="4"/>
        <v>http://www.badatelna.eu/reprodukce/?fondId=1073&amp;zaznamId=1108951&amp;reproId=3778792</v>
      </c>
      <c r="M314">
        <f>VLOOKUP(F314,Sheet2!$B$1:$E$19,2,FALSE)</f>
        <v>1073</v>
      </c>
      <c r="N314">
        <f>VLOOKUP(F314,Sheet2!$B$1:$E$19,3,FALSE)</f>
        <v>1108951</v>
      </c>
      <c r="O314">
        <f>IF(G314="Not available","",VLOOKUP(F314,Sheet2!$B$1:$E$19,4,FALSE)+(G314-1))</f>
        <v>3778792</v>
      </c>
    </row>
    <row r="315" spans="1:15" s="1" customFormat="1" ht="15" customHeight="1" x14ac:dyDescent="0.25">
      <c r="A315" s="18" t="s">
        <v>35</v>
      </c>
      <c r="B315" s="18" t="s">
        <v>135</v>
      </c>
      <c r="C315" s="5">
        <v>1814</v>
      </c>
      <c r="E315" s="1" t="s">
        <v>2</v>
      </c>
      <c r="F315" s="18">
        <v>2173</v>
      </c>
      <c r="G315" s="18">
        <v>62</v>
      </c>
      <c r="H315" s="5">
        <v>119</v>
      </c>
      <c r="I315" s="1">
        <v>92</v>
      </c>
      <c r="J315" s="1">
        <v>190</v>
      </c>
      <c r="L315" t="str">
        <f t="shared" si="4"/>
        <v>http://www.badatelna.eu/reprodukce/?fondId=1073&amp;zaznamId=1108959&amp;reproId=3780055</v>
      </c>
      <c r="M315">
        <f>VLOOKUP(F315,Sheet2!$B$1:$E$19,2,FALSE)</f>
        <v>1073</v>
      </c>
      <c r="N315">
        <f>VLOOKUP(F315,Sheet2!$B$1:$E$19,3,FALSE)</f>
        <v>1108959</v>
      </c>
      <c r="O315">
        <f>IF(G315="Not available","",VLOOKUP(F315,Sheet2!$B$1:$E$19,4,FALSE)+(G315-1))</f>
        <v>3780055</v>
      </c>
    </row>
    <row r="316" spans="1:15" s="1" customFormat="1" ht="15" customHeight="1" x14ac:dyDescent="0.25">
      <c r="A316" s="18" t="s">
        <v>35</v>
      </c>
      <c r="B316" s="18" t="s">
        <v>135</v>
      </c>
      <c r="C316" s="5">
        <v>1857</v>
      </c>
      <c r="D316" s="1" t="s">
        <v>298</v>
      </c>
      <c r="E316" s="1" t="s">
        <v>2</v>
      </c>
      <c r="F316" s="18">
        <v>2164</v>
      </c>
      <c r="G316" s="18">
        <v>115</v>
      </c>
      <c r="H316" s="5">
        <v>113</v>
      </c>
      <c r="I316" s="1">
        <v>124</v>
      </c>
      <c r="J316" s="4" t="s">
        <v>3271</v>
      </c>
      <c r="L316" t="str">
        <f t="shared" si="4"/>
        <v>http://www.badatelna.eu/reprodukce/?fondId=1073&amp;zaznamId=1108951&amp;reproId=3778829</v>
      </c>
      <c r="M316">
        <f>VLOOKUP(F316,Sheet2!$B$1:$E$19,2,FALSE)</f>
        <v>1073</v>
      </c>
      <c r="N316">
        <f>VLOOKUP(F316,Sheet2!$B$1:$E$19,3,FALSE)</f>
        <v>1108951</v>
      </c>
      <c r="O316">
        <f>IF(G316="Not available","",VLOOKUP(F316,Sheet2!$B$1:$E$19,4,FALSE)+(G316-1))</f>
        <v>3778829</v>
      </c>
    </row>
    <row r="317" spans="1:15" s="1" customFormat="1" ht="15" customHeight="1" x14ac:dyDescent="0.25">
      <c r="A317" s="18" t="s">
        <v>35</v>
      </c>
      <c r="B317" s="18" t="s">
        <v>426</v>
      </c>
      <c r="C317" s="5">
        <v>1832</v>
      </c>
      <c r="D317" s="1" t="s">
        <v>12</v>
      </c>
      <c r="E317" s="1" t="s">
        <v>2</v>
      </c>
      <c r="F317" s="18">
        <v>2174</v>
      </c>
      <c r="G317" s="18">
        <v>67</v>
      </c>
      <c r="H317" s="6" t="s">
        <v>3134</v>
      </c>
      <c r="I317" s="1">
        <v>180</v>
      </c>
      <c r="J317" s="1">
        <v>204</v>
      </c>
      <c r="K317" s="2"/>
      <c r="L317" t="str">
        <f t="shared" si="4"/>
        <v>http://www.badatelna.eu/reprodukce/?fondId=1073&amp;zaznamId=1108960&amp;reproId=3780291</v>
      </c>
      <c r="M317">
        <f>VLOOKUP(F317,Sheet2!$B$1:$E$19,2,FALSE)</f>
        <v>1073</v>
      </c>
      <c r="N317">
        <f>VLOOKUP(F317,Sheet2!$B$1:$E$19,3,FALSE)</f>
        <v>1108960</v>
      </c>
      <c r="O317">
        <f>IF(G317="Not available","",VLOOKUP(F317,Sheet2!$B$1:$E$19,4,FALSE)+(G317-1))</f>
        <v>3780291</v>
      </c>
    </row>
    <row r="318" spans="1:15" s="1" customFormat="1" ht="15" customHeight="1" x14ac:dyDescent="0.25">
      <c r="A318" s="18" t="s">
        <v>35</v>
      </c>
      <c r="B318" s="18" t="s">
        <v>885</v>
      </c>
      <c r="C318" s="5" t="s">
        <v>1302</v>
      </c>
      <c r="D318" s="1" t="s">
        <v>44</v>
      </c>
      <c r="E318" s="1" t="s">
        <v>2</v>
      </c>
      <c r="F318" s="18">
        <v>2165</v>
      </c>
      <c r="G318" s="18">
        <v>17</v>
      </c>
      <c r="H318" s="5">
        <v>14</v>
      </c>
      <c r="I318" s="1">
        <v>80</v>
      </c>
      <c r="J318" s="1" t="s">
        <v>3271</v>
      </c>
      <c r="L318" t="str">
        <f t="shared" si="4"/>
        <v>http://www.badatelna.eu/reprodukce/?fondId=1073&amp;zaznamId=1108952&amp;reproId=3778878</v>
      </c>
      <c r="M318">
        <f>VLOOKUP(F318,Sheet2!$B$1:$E$19,2,FALSE)</f>
        <v>1073</v>
      </c>
      <c r="N318">
        <f>VLOOKUP(F318,Sheet2!$B$1:$E$19,3,FALSE)</f>
        <v>1108952</v>
      </c>
      <c r="O318">
        <f>IF(G318="Not available","",VLOOKUP(F318,Sheet2!$B$1:$E$19,4,FALSE)+(G318-1))</f>
        <v>3778878</v>
      </c>
    </row>
    <row r="319" spans="1:15" s="1" customFormat="1" ht="15" customHeight="1" x14ac:dyDescent="0.25">
      <c r="A319" s="18" t="s">
        <v>35</v>
      </c>
      <c r="B319" s="18" t="s">
        <v>123</v>
      </c>
      <c r="C319" s="5">
        <v>1813</v>
      </c>
      <c r="E319" s="1" t="s">
        <v>2</v>
      </c>
      <c r="F319" s="18">
        <v>2173</v>
      </c>
      <c r="G319" s="18">
        <v>61</v>
      </c>
      <c r="H319" s="5">
        <v>117</v>
      </c>
      <c r="I319" s="1">
        <v>92</v>
      </c>
      <c r="J319" s="1">
        <v>190</v>
      </c>
      <c r="L319" t="str">
        <f t="shared" si="4"/>
        <v>http://www.badatelna.eu/reprodukce/?fondId=1073&amp;zaznamId=1108959&amp;reproId=3780054</v>
      </c>
      <c r="M319">
        <f>VLOOKUP(F319,Sheet2!$B$1:$E$19,2,FALSE)</f>
        <v>1073</v>
      </c>
      <c r="N319">
        <f>VLOOKUP(F319,Sheet2!$B$1:$E$19,3,FALSE)</f>
        <v>1108959</v>
      </c>
      <c r="O319">
        <f>IF(G319="Not available","",VLOOKUP(F319,Sheet2!$B$1:$E$19,4,FALSE)+(G319-1))</f>
        <v>3780054</v>
      </c>
    </row>
    <row r="320" spans="1:15" s="1" customFormat="1" ht="15" customHeight="1" x14ac:dyDescent="0.25">
      <c r="A320" s="18" t="s">
        <v>35</v>
      </c>
      <c r="B320" s="18" t="s">
        <v>123</v>
      </c>
      <c r="C320" s="5">
        <v>1850</v>
      </c>
      <c r="D320" s="1" t="s">
        <v>700</v>
      </c>
      <c r="E320" s="1" t="s">
        <v>2</v>
      </c>
      <c r="F320" s="18">
        <v>2164</v>
      </c>
      <c r="G320" s="18">
        <v>65</v>
      </c>
      <c r="H320" s="5">
        <v>63</v>
      </c>
      <c r="I320" s="1">
        <v>123</v>
      </c>
      <c r="J320" s="4" t="s">
        <v>3271</v>
      </c>
      <c r="L320" t="str">
        <f t="shared" si="4"/>
        <v>http://www.badatelna.eu/reprodukce/?fondId=1073&amp;zaznamId=1108951&amp;reproId=3778779</v>
      </c>
      <c r="M320">
        <f>VLOOKUP(F320,Sheet2!$B$1:$E$19,2,FALSE)</f>
        <v>1073</v>
      </c>
      <c r="N320">
        <f>VLOOKUP(F320,Sheet2!$B$1:$E$19,3,FALSE)</f>
        <v>1108951</v>
      </c>
      <c r="O320">
        <f>IF(G320="Not available","",VLOOKUP(F320,Sheet2!$B$1:$E$19,4,FALSE)+(G320-1))</f>
        <v>3778779</v>
      </c>
    </row>
    <row r="321" spans="1:15" s="1" customFormat="1" ht="15" customHeight="1" x14ac:dyDescent="0.25">
      <c r="A321" s="18" t="s">
        <v>35</v>
      </c>
      <c r="B321" s="18" t="s">
        <v>983</v>
      </c>
      <c r="C321" s="5">
        <v>1864</v>
      </c>
      <c r="E321" s="1" t="s">
        <v>939</v>
      </c>
      <c r="F321" s="18">
        <v>999</v>
      </c>
      <c r="G321" s="18">
        <v>49</v>
      </c>
      <c r="H321" s="5">
        <v>47</v>
      </c>
      <c r="I321" s="1">
        <v>63</v>
      </c>
      <c r="J321" s="1">
        <v>96</v>
      </c>
      <c r="L321" t="str">
        <f t="shared" si="4"/>
        <v>http://www.badatelna.eu/reprodukce/?fondId=241&amp;zaznamId=1133739&amp;reproId=3885778</v>
      </c>
      <c r="M321">
        <f>VLOOKUP(F321,Sheet2!$B$1:$E$19,2,FALSE)</f>
        <v>241</v>
      </c>
      <c r="N321">
        <f>VLOOKUP(F321,Sheet2!$B$1:$E$19,3,FALSE)</f>
        <v>1133739</v>
      </c>
      <c r="O321">
        <f>IF(G321="Not available","",VLOOKUP(F321,Sheet2!$B$1:$E$19,4,FALSE)+(G321-1))</f>
        <v>3885778</v>
      </c>
    </row>
    <row r="322" spans="1:15" s="1" customFormat="1" ht="15" customHeight="1" x14ac:dyDescent="0.25">
      <c r="A322" s="21" t="s">
        <v>35</v>
      </c>
      <c r="B322" s="21" t="s">
        <v>64</v>
      </c>
      <c r="C322" s="7">
        <v>1792</v>
      </c>
      <c r="D322" s="2" t="s">
        <v>40</v>
      </c>
      <c r="E322" s="1" t="s">
        <v>2</v>
      </c>
      <c r="F322" s="18">
        <v>2173</v>
      </c>
      <c r="G322" s="21">
        <v>27</v>
      </c>
      <c r="H322" s="7">
        <v>49</v>
      </c>
      <c r="I322" s="2">
        <v>91</v>
      </c>
      <c r="J322" s="2">
        <v>189</v>
      </c>
      <c r="K322" s="2"/>
      <c r="L322" t="str">
        <f t="shared" si="4"/>
        <v>http://www.badatelna.eu/reprodukce/?fondId=1073&amp;zaznamId=1108959&amp;reproId=3780020</v>
      </c>
      <c r="M322">
        <f>VLOOKUP(F322,Sheet2!$B$1:$E$19,2,FALSE)</f>
        <v>1073</v>
      </c>
      <c r="N322">
        <f>VLOOKUP(F322,Sheet2!$B$1:$E$19,3,FALSE)</f>
        <v>1108959</v>
      </c>
      <c r="O322">
        <f>IF(G322="Not available","",VLOOKUP(F322,Sheet2!$B$1:$E$19,4,FALSE)+(G322-1))</f>
        <v>3780020</v>
      </c>
    </row>
    <row r="323" spans="1:15" s="1" customFormat="1" ht="15" customHeight="1" x14ac:dyDescent="0.25">
      <c r="A323" s="18" t="s">
        <v>35</v>
      </c>
      <c r="B323" s="18" t="s">
        <v>64</v>
      </c>
      <c r="C323" s="5">
        <v>1839</v>
      </c>
      <c r="D323" s="1" t="s">
        <v>604</v>
      </c>
      <c r="E323" s="1" t="s">
        <v>2</v>
      </c>
      <c r="F323" s="18">
        <v>2174</v>
      </c>
      <c r="G323" s="18">
        <v>103</v>
      </c>
      <c r="H323" s="6" t="s">
        <v>3172</v>
      </c>
      <c r="I323" s="1">
        <v>181</v>
      </c>
      <c r="J323" s="1">
        <v>205</v>
      </c>
      <c r="L323" t="str">
        <f t="shared" ref="L323:L386" si="5">IF(G323="Not available","","http://www.badatelna.eu/reprodukce/?fondId="&amp;M323&amp;"&amp;zaznamId="&amp;N323&amp;"&amp;reproId="&amp;O323)</f>
        <v>http://www.badatelna.eu/reprodukce/?fondId=1073&amp;zaznamId=1108960&amp;reproId=3780327</v>
      </c>
      <c r="M323">
        <f>VLOOKUP(F323,Sheet2!$B$1:$E$19,2,FALSE)</f>
        <v>1073</v>
      </c>
      <c r="N323">
        <f>VLOOKUP(F323,Sheet2!$B$1:$E$19,3,FALSE)</f>
        <v>1108960</v>
      </c>
      <c r="O323">
        <f>IF(G323="Not available","",VLOOKUP(F323,Sheet2!$B$1:$E$19,4,FALSE)+(G323-1))</f>
        <v>3780327</v>
      </c>
    </row>
    <row r="324" spans="1:15" s="1" customFormat="1" ht="15" customHeight="1" x14ac:dyDescent="0.25">
      <c r="A324" s="18" t="s">
        <v>35</v>
      </c>
      <c r="B324" s="18" t="s">
        <v>99</v>
      </c>
      <c r="C324" s="5">
        <v>1819</v>
      </c>
      <c r="E324" s="1" t="s">
        <v>2</v>
      </c>
      <c r="F324" s="18">
        <v>2173</v>
      </c>
      <c r="G324" s="18">
        <v>70</v>
      </c>
      <c r="H324" s="5">
        <v>133</v>
      </c>
      <c r="I324" s="1">
        <v>93</v>
      </c>
      <c r="J324" s="1">
        <v>194</v>
      </c>
      <c r="L324" t="str">
        <f t="shared" si="5"/>
        <v>http://www.badatelna.eu/reprodukce/?fondId=1073&amp;zaznamId=1108959&amp;reproId=3780063</v>
      </c>
      <c r="M324">
        <f>VLOOKUP(F324,Sheet2!$B$1:$E$19,2,FALSE)</f>
        <v>1073</v>
      </c>
      <c r="N324">
        <f>VLOOKUP(F324,Sheet2!$B$1:$E$19,3,FALSE)</f>
        <v>1108959</v>
      </c>
      <c r="O324">
        <f>IF(G324="Not available","",VLOOKUP(F324,Sheet2!$B$1:$E$19,4,FALSE)+(G324-1))</f>
        <v>3780063</v>
      </c>
    </row>
    <row r="325" spans="1:15" s="1" customFormat="1" ht="15" customHeight="1" x14ac:dyDescent="0.25">
      <c r="A325" s="18" t="s">
        <v>35</v>
      </c>
      <c r="B325" s="18" t="s">
        <v>992</v>
      </c>
      <c r="C325" s="5" t="s">
        <v>1300</v>
      </c>
      <c r="D325" s="1" t="s">
        <v>850</v>
      </c>
      <c r="E325" s="1" t="s">
        <v>2</v>
      </c>
      <c r="F325" s="18">
        <v>2165</v>
      </c>
      <c r="G325" s="18">
        <v>16</v>
      </c>
      <c r="H325" s="5">
        <v>13</v>
      </c>
      <c r="I325" s="1">
        <v>80</v>
      </c>
      <c r="J325" s="1" t="s">
        <v>3271</v>
      </c>
      <c r="L325" t="str">
        <f t="shared" si="5"/>
        <v>http://www.badatelna.eu/reprodukce/?fondId=1073&amp;zaznamId=1108952&amp;reproId=3778877</v>
      </c>
      <c r="M325">
        <f>VLOOKUP(F325,Sheet2!$B$1:$E$19,2,FALSE)</f>
        <v>1073</v>
      </c>
      <c r="N325">
        <f>VLOOKUP(F325,Sheet2!$B$1:$E$19,3,FALSE)</f>
        <v>1108952</v>
      </c>
      <c r="O325">
        <f>IF(G325="Not available","",VLOOKUP(F325,Sheet2!$B$1:$E$19,4,FALSE)+(G325-1))</f>
        <v>3778877</v>
      </c>
    </row>
    <row r="326" spans="1:15" s="1" customFormat="1" ht="15" customHeight="1" x14ac:dyDescent="0.25">
      <c r="A326" s="18" t="s">
        <v>35</v>
      </c>
      <c r="B326" s="18" t="s">
        <v>155</v>
      </c>
      <c r="C326" s="5">
        <v>1829</v>
      </c>
      <c r="E326" s="1" t="s">
        <v>2</v>
      </c>
      <c r="F326" s="18">
        <v>2173</v>
      </c>
      <c r="G326" s="18">
        <v>82</v>
      </c>
      <c r="H326" s="5">
        <v>156</v>
      </c>
      <c r="I326" s="1">
        <v>93</v>
      </c>
      <c r="J326" s="1">
        <v>194</v>
      </c>
      <c r="L326" t="str">
        <f t="shared" si="5"/>
        <v>http://www.badatelna.eu/reprodukce/?fondId=1073&amp;zaznamId=1108959&amp;reproId=3780075</v>
      </c>
      <c r="M326">
        <f>VLOOKUP(F326,Sheet2!$B$1:$E$19,2,FALSE)</f>
        <v>1073</v>
      </c>
      <c r="N326">
        <f>VLOOKUP(F326,Sheet2!$B$1:$E$19,3,FALSE)</f>
        <v>1108959</v>
      </c>
      <c r="O326">
        <f>IF(G326="Not available","",VLOOKUP(F326,Sheet2!$B$1:$E$19,4,FALSE)+(G326-1))</f>
        <v>3780075</v>
      </c>
    </row>
    <row r="327" spans="1:15" s="1" customFormat="1" ht="15" customHeight="1" x14ac:dyDescent="0.25">
      <c r="A327" s="18" t="s">
        <v>35</v>
      </c>
      <c r="B327" s="18" t="s">
        <v>436</v>
      </c>
      <c r="C327" s="5">
        <v>1831</v>
      </c>
      <c r="D327" s="1" t="s">
        <v>604</v>
      </c>
      <c r="E327" s="1" t="s">
        <v>2</v>
      </c>
      <c r="F327" s="18">
        <v>2174</v>
      </c>
      <c r="G327" s="18">
        <v>62</v>
      </c>
      <c r="H327" s="6" t="s">
        <v>3106</v>
      </c>
      <c r="I327" s="1">
        <v>180</v>
      </c>
      <c r="J327" s="1">
        <v>204</v>
      </c>
      <c r="L327" t="str">
        <f t="shared" si="5"/>
        <v>http://www.badatelna.eu/reprodukce/?fondId=1073&amp;zaznamId=1108960&amp;reproId=3780286</v>
      </c>
      <c r="M327">
        <f>VLOOKUP(F327,Sheet2!$B$1:$E$19,2,FALSE)</f>
        <v>1073</v>
      </c>
      <c r="N327">
        <f>VLOOKUP(F327,Sheet2!$B$1:$E$19,3,FALSE)</f>
        <v>1108960</v>
      </c>
      <c r="O327">
        <f>IF(G327="Not available","",VLOOKUP(F327,Sheet2!$B$1:$E$19,4,FALSE)+(G327-1))</f>
        <v>3780286</v>
      </c>
    </row>
    <row r="328" spans="1:15" s="1" customFormat="1" ht="15" customHeight="1" x14ac:dyDescent="0.25">
      <c r="A328" s="18" t="s">
        <v>35</v>
      </c>
      <c r="B328" s="18" t="s">
        <v>436</v>
      </c>
      <c r="C328" s="5">
        <v>1840</v>
      </c>
      <c r="D328" s="1" t="s">
        <v>606</v>
      </c>
      <c r="E328" s="1" t="s">
        <v>2</v>
      </c>
      <c r="F328" s="18">
        <v>2174</v>
      </c>
      <c r="G328" s="18">
        <v>112</v>
      </c>
      <c r="H328" s="6" t="s">
        <v>3182</v>
      </c>
      <c r="I328" s="1">
        <v>181</v>
      </c>
      <c r="J328" s="1">
        <v>205</v>
      </c>
      <c r="L328" t="str">
        <f t="shared" si="5"/>
        <v>http://www.badatelna.eu/reprodukce/?fondId=1073&amp;zaznamId=1108960&amp;reproId=3780336</v>
      </c>
      <c r="M328">
        <f>VLOOKUP(F328,Sheet2!$B$1:$E$19,2,FALSE)</f>
        <v>1073</v>
      </c>
      <c r="N328">
        <f>VLOOKUP(F328,Sheet2!$B$1:$E$19,3,FALSE)</f>
        <v>1108960</v>
      </c>
      <c r="O328">
        <f>IF(G328="Not available","",VLOOKUP(F328,Sheet2!$B$1:$E$19,4,FALSE)+(G328-1))</f>
        <v>3780336</v>
      </c>
    </row>
    <row r="329" spans="1:15" s="1" customFormat="1" ht="15" customHeight="1" x14ac:dyDescent="0.25">
      <c r="A329" s="18" t="s">
        <v>35</v>
      </c>
      <c r="B329" s="18" t="s">
        <v>436</v>
      </c>
      <c r="C329" s="5">
        <v>1852</v>
      </c>
      <c r="D329" s="1" t="s">
        <v>133</v>
      </c>
      <c r="E329" s="1" t="s">
        <v>2</v>
      </c>
      <c r="F329" s="18">
        <v>2164</v>
      </c>
      <c r="G329" s="18">
        <v>87</v>
      </c>
      <c r="H329" s="5">
        <v>85</v>
      </c>
      <c r="I329" s="1">
        <v>123</v>
      </c>
      <c r="J329" s="4" t="s">
        <v>3271</v>
      </c>
      <c r="L329" t="str">
        <f t="shared" si="5"/>
        <v>http://www.badatelna.eu/reprodukce/?fondId=1073&amp;zaznamId=1108951&amp;reproId=3778801</v>
      </c>
      <c r="M329">
        <f>VLOOKUP(F329,Sheet2!$B$1:$E$19,2,FALSE)</f>
        <v>1073</v>
      </c>
      <c r="N329">
        <f>VLOOKUP(F329,Sheet2!$B$1:$E$19,3,FALSE)</f>
        <v>1108951</v>
      </c>
      <c r="O329">
        <f>IF(G329="Not available","",VLOOKUP(F329,Sheet2!$B$1:$E$19,4,FALSE)+(G329-1))</f>
        <v>3778801</v>
      </c>
    </row>
    <row r="330" spans="1:15" s="1" customFormat="1" ht="15" customHeight="1" x14ac:dyDescent="0.25">
      <c r="A330" s="18" t="s">
        <v>35</v>
      </c>
      <c r="B330" s="18" t="s">
        <v>436</v>
      </c>
      <c r="C330" s="5">
        <v>1864</v>
      </c>
      <c r="E330" s="1" t="s">
        <v>939</v>
      </c>
      <c r="F330" s="18">
        <v>999</v>
      </c>
      <c r="G330" s="18">
        <v>48</v>
      </c>
      <c r="H330" s="5">
        <v>46</v>
      </c>
      <c r="I330" s="1">
        <v>63</v>
      </c>
      <c r="J330" s="1">
        <v>96</v>
      </c>
      <c r="L330" t="str">
        <f t="shared" si="5"/>
        <v>http://www.badatelna.eu/reprodukce/?fondId=241&amp;zaznamId=1133739&amp;reproId=3885777</v>
      </c>
      <c r="M330">
        <f>VLOOKUP(F330,Sheet2!$B$1:$E$19,2,FALSE)</f>
        <v>241</v>
      </c>
      <c r="N330">
        <f>VLOOKUP(F330,Sheet2!$B$1:$E$19,3,FALSE)</f>
        <v>1133739</v>
      </c>
      <c r="O330">
        <f>IF(G330="Not available","",VLOOKUP(F330,Sheet2!$B$1:$E$19,4,FALSE)+(G330-1))</f>
        <v>3885777</v>
      </c>
    </row>
    <row r="331" spans="1:15" s="1" customFormat="1" ht="15" customHeight="1" x14ac:dyDescent="0.25">
      <c r="A331" s="18" t="s">
        <v>35</v>
      </c>
      <c r="B331" s="18" t="s">
        <v>219</v>
      </c>
      <c r="C331" s="5">
        <v>1849</v>
      </c>
      <c r="D331" s="1" t="s">
        <v>20</v>
      </c>
      <c r="E331" s="1" t="s">
        <v>2</v>
      </c>
      <c r="F331" s="18">
        <v>2164</v>
      </c>
      <c r="G331" s="18">
        <v>66</v>
      </c>
      <c r="H331" s="5">
        <v>64</v>
      </c>
      <c r="I331" s="1">
        <v>123</v>
      </c>
      <c r="J331" s="4" t="s">
        <v>3271</v>
      </c>
      <c r="L331" t="str">
        <f t="shared" si="5"/>
        <v>http://www.badatelna.eu/reprodukce/?fondId=1073&amp;zaznamId=1108951&amp;reproId=3778780</v>
      </c>
      <c r="M331">
        <f>VLOOKUP(F331,Sheet2!$B$1:$E$19,2,FALSE)</f>
        <v>1073</v>
      </c>
      <c r="N331">
        <f>VLOOKUP(F331,Sheet2!$B$1:$E$19,3,FALSE)</f>
        <v>1108951</v>
      </c>
      <c r="O331">
        <f>IF(G331="Not available","",VLOOKUP(F331,Sheet2!$B$1:$E$19,4,FALSE)+(G331-1))</f>
        <v>3778780</v>
      </c>
    </row>
    <row r="332" spans="1:15" s="1" customFormat="1" ht="15" customHeight="1" x14ac:dyDescent="0.25">
      <c r="A332" s="18" t="s">
        <v>35</v>
      </c>
      <c r="B332" s="18" t="s">
        <v>129</v>
      </c>
      <c r="C332" s="5">
        <v>1811</v>
      </c>
      <c r="E332" s="1" t="s">
        <v>2</v>
      </c>
      <c r="F332" s="18">
        <v>2173</v>
      </c>
      <c r="G332" s="18">
        <v>57</v>
      </c>
      <c r="H332" s="5">
        <v>109</v>
      </c>
      <c r="I332" s="1">
        <v>92</v>
      </c>
      <c r="J332" s="1">
        <v>190</v>
      </c>
      <c r="L332" t="str">
        <f t="shared" si="5"/>
        <v>http://www.badatelna.eu/reprodukce/?fondId=1073&amp;zaznamId=1108959&amp;reproId=3780050</v>
      </c>
      <c r="M332">
        <f>VLOOKUP(F332,Sheet2!$B$1:$E$19,2,FALSE)</f>
        <v>1073</v>
      </c>
      <c r="N332">
        <f>VLOOKUP(F332,Sheet2!$B$1:$E$19,3,FALSE)</f>
        <v>1108959</v>
      </c>
      <c r="O332">
        <f>IF(G332="Not available","",VLOOKUP(F332,Sheet2!$B$1:$E$19,4,FALSE)+(G332-1))</f>
        <v>3780050</v>
      </c>
    </row>
    <row r="333" spans="1:15" s="1" customFormat="1" ht="15" customHeight="1" x14ac:dyDescent="0.25">
      <c r="A333" s="18" t="s">
        <v>35</v>
      </c>
      <c r="B333" s="18" t="s">
        <v>129</v>
      </c>
      <c r="C333" s="5">
        <v>1855</v>
      </c>
      <c r="D333" s="1" t="s">
        <v>74</v>
      </c>
      <c r="E333" s="1" t="s">
        <v>2</v>
      </c>
      <c r="F333" s="18">
        <v>2164</v>
      </c>
      <c r="G333" s="18">
        <v>107</v>
      </c>
      <c r="H333" s="5">
        <v>105</v>
      </c>
      <c r="I333" s="1">
        <v>123</v>
      </c>
      <c r="J333" s="4" t="s">
        <v>3271</v>
      </c>
      <c r="L333" t="str">
        <f t="shared" si="5"/>
        <v>http://www.badatelna.eu/reprodukce/?fondId=1073&amp;zaznamId=1108951&amp;reproId=3778821</v>
      </c>
      <c r="M333">
        <f>VLOOKUP(F333,Sheet2!$B$1:$E$19,2,FALSE)</f>
        <v>1073</v>
      </c>
      <c r="N333">
        <f>VLOOKUP(F333,Sheet2!$B$1:$E$19,3,FALSE)</f>
        <v>1108951</v>
      </c>
      <c r="O333">
        <f>IF(G333="Not available","",VLOOKUP(F333,Sheet2!$B$1:$E$19,4,FALSE)+(G333-1))</f>
        <v>3778821</v>
      </c>
    </row>
    <row r="334" spans="1:15" s="1" customFormat="1" ht="15" customHeight="1" x14ac:dyDescent="0.25">
      <c r="A334" s="18" t="s">
        <v>35</v>
      </c>
      <c r="B334" s="18" t="s">
        <v>75</v>
      </c>
      <c r="C334" s="5">
        <v>1815</v>
      </c>
      <c r="E334" s="1" t="s">
        <v>2</v>
      </c>
      <c r="F334" s="18">
        <v>2173</v>
      </c>
      <c r="G334" s="18">
        <v>65</v>
      </c>
      <c r="H334" s="5">
        <v>123</v>
      </c>
      <c r="I334" s="1">
        <v>92</v>
      </c>
      <c r="J334" s="1">
        <v>190</v>
      </c>
      <c r="L334" t="str">
        <f t="shared" si="5"/>
        <v>http://www.badatelna.eu/reprodukce/?fondId=1073&amp;zaznamId=1108959&amp;reproId=3780058</v>
      </c>
      <c r="M334">
        <f>VLOOKUP(F334,Sheet2!$B$1:$E$19,2,FALSE)</f>
        <v>1073</v>
      </c>
      <c r="N334">
        <f>VLOOKUP(F334,Sheet2!$B$1:$E$19,3,FALSE)</f>
        <v>1108959</v>
      </c>
      <c r="O334">
        <f>IF(G334="Not available","",VLOOKUP(F334,Sheet2!$B$1:$E$19,4,FALSE)+(G334-1))</f>
        <v>3780058</v>
      </c>
    </row>
    <row r="335" spans="1:15" s="1" customFormat="1" ht="15" customHeight="1" x14ac:dyDescent="0.25">
      <c r="A335" s="18" t="s">
        <v>35</v>
      </c>
      <c r="B335" s="18" t="s">
        <v>75</v>
      </c>
      <c r="C335" s="5">
        <v>1815</v>
      </c>
      <c r="E335" s="1" t="s">
        <v>2</v>
      </c>
      <c r="F335" s="18">
        <v>2173</v>
      </c>
      <c r="G335" s="18">
        <v>66</v>
      </c>
      <c r="H335" s="5">
        <v>124</v>
      </c>
      <c r="I335" s="1">
        <v>92</v>
      </c>
      <c r="J335" s="1">
        <v>190</v>
      </c>
      <c r="L335" t="str">
        <f t="shared" si="5"/>
        <v>http://www.badatelna.eu/reprodukce/?fondId=1073&amp;zaznamId=1108959&amp;reproId=3780059</v>
      </c>
      <c r="M335">
        <f>VLOOKUP(F335,Sheet2!$B$1:$E$19,2,FALSE)</f>
        <v>1073</v>
      </c>
      <c r="N335">
        <f>VLOOKUP(F335,Sheet2!$B$1:$E$19,3,FALSE)</f>
        <v>1108959</v>
      </c>
      <c r="O335">
        <f>IF(G335="Not available","",VLOOKUP(F335,Sheet2!$B$1:$E$19,4,FALSE)+(G335-1))</f>
        <v>3780059</v>
      </c>
    </row>
    <row r="336" spans="1:15" s="1" customFormat="1" ht="15" customHeight="1" x14ac:dyDescent="0.25">
      <c r="A336" s="21" t="s">
        <v>35</v>
      </c>
      <c r="B336" s="21" t="s">
        <v>43</v>
      </c>
      <c r="C336" s="7">
        <v>1786</v>
      </c>
      <c r="D336" s="2" t="s">
        <v>44</v>
      </c>
      <c r="E336" s="1" t="s">
        <v>2</v>
      </c>
      <c r="F336" s="18">
        <v>2173</v>
      </c>
      <c r="G336" s="21">
        <v>12</v>
      </c>
      <c r="H336" s="7">
        <v>18</v>
      </c>
      <c r="I336" s="2">
        <v>91</v>
      </c>
      <c r="J336" s="2">
        <v>189</v>
      </c>
      <c r="K336" s="2"/>
      <c r="L336" t="str">
        <f t="shared" si="5"/>
        <v>http://www.badatelna.eu/reprodukce/?fondId=1073&amp;zaznamId=1108959&amp;reproId=3780005</v>
      </c>
      <c r="M336">
        <f>VLOOKUP(F336,Sheet2!$B$1:$E$19,2,FALSE)</f>
        <v>1073</v>
      </c>
      <c r="N336">
        <f>VLOOKUP(F336,Sheet2!$B$1:$E$19,3,FALSE)</f>
        <v>1108959</v>
      </c>
      <c r="O336">
        <f>IF(G336="Not available","",VLOOKUP(F336,Sheet2!$B$1:$E$19,4,FALSE)+(G336-1))</f>
        <v>3780005</v>
      </c>
    </row>
    <row r="337" spans="1:15" s="1" customFormat="1" ht="15" customHeight="1" x14ac:dyDescent="0.25">
      <c r="A337" s="18" t="s">
        <v>35</v>
      </c>
      <c r="B337" s="18" t="s">
        <v>1052</v>
      </c>
      <c r="C337" s="6" t="s">
        <v>1987</v>
      </c>
      <c r="D337" s="4" t="s">
        <v>1991</v>
      </c>
      <c r="E337" s="4" t="s">
        <v>2</v>
      </c>
      <c r="F337" s="18">
        <v>2176</v>
      </c>
      <c r="G337" s="18" t="s">
        <v>3271</v>
      </c>
      <c r="H337" s="6" t="s">
        <v>1992</v>
      </c>
      <c r="I337" s="1">
        <v>4</v>
      </c>
      <c r="J337" s="1" t="s">
        <v>3271</v>
      </c>
      <c r="L337" t="str">
        <f t="shared" si="5"/>
        <v/>
      </c>
      <c r="M337">
        <f>VLOOKUP(F337,Sheet2!$B$1:$E$19,2,FALSE)</f>
        <v>1073</v>
      </c>
      <c r="N337">
        <f>VLOOKUP(F337,Sheet2!$B$1:$E$19,3,FALSE)</f>
        <v>1108963</v>
      </c>
      <c r="O337" t="str">
        <f>IF(G337="Not available","",VLOOKUP(F337,Sheet2!$B$1:$E$19,4,FALSE)+(G337-1))</f>
        <v/>
      </c>
    </row>
    <row r="338" spans="1:15" s="1" customFormat="1" ht="15" customHeight="1" x14ac:dyDescent="0.25">
      <c r="A338" s="18" t="s">
        <v>35</v>
      </c>
      <c r="B338" s="18" t="s">
        <v>557</v>
      </c>
      <c r="C338" s="5">
        <v>1831</v>
      </c>
      <c r="D338" s="1" t="s">
        <v>60</v>
      </c>
      <c r="E338" s="1" t="s">
        <v>2</v>
      </c>
      <c r="F338" s="18">
        <v>2174</v>
      </c>
      <c r="G338" s="18">
        <v>65</v>
      </c>
      <c r="H338" s="6" t="s">
        <v>3109</v>
      </c>
      <c r="I338" s="1">
        <v>180</v>
      </c>
      <c r="J338" s="1">
        <v>204</v>
      </c>
      <c r="K338" s="2"/>
      <c r="L338" t="str">
        <f t="shared" si="5"/>
        <v>http://www.badatelna.eu/reprodukce/?fondId=1073&amp;zaznamId=1108960&amp;reproId=3780289</v>
      </c>
      <c r="M338">
        <f>VLOOKUP(F338,Sheet2!$B$1:$E$19,2,FALSE)</f>
        <v>1073</v>
      </c>
      <c r="N338">
        <f>VLOOKUP(F338,Sheet2!$B$1:$E$19,3,FALSE)</f>
        <v>1108960</v>
      </c>
      <c r="O338">
        <f>IF(G338="Not available","",VLOOKUP(F338,Sheet2!$B$1:$E$19,4,FALSE)+(G338-1))</f>
        <v>3780289</v>
      </c>
    </row>
    <row r="339" spans="1:15" s="1" customFormat="1" ht="15" customHeight="1" x14ac:dyDescent="0.25">
      <c r="A339" s="18" t="s">
        <v>35</v>
      </c>
      <c r="B339" s="18" t="s">
        <v>557</v>
      </c>
      <c r="C339" s="5">
        <v>1837</v>
      </c>
      <c r="D339" s="1" t="s">
        <v>466</v>
      </c>
      <c r="E339" s="1" t="s">
        <v>2</v>
      </c>
      <c r="F339" s="18">
        <v>2174</v>
      </c>
      <c r="G339" s="18">
        <v>95</v>
      </c>
      <c r="H339" s="6" t="s">
        <v>3163</v>
      </c>
      <c r="I339" s="1">
        <v>181</v>
      </c>
      <c r="J339" s="1">
        <v>205</v>
      </c>
      <c r="L339" t="str">
        <f t="shared" si="5"/>
        <v>http://www.badatelna.eu/reprodukce/?fondId=1073&amp;zaznamId=1108960&amp;reproId=3780319</v>
      </c>
      <c r="M339">
        <f>VLOOKUP(F339,Sheet2!$B$1:$E$19,2,FALSE)</f>
        <v>1073</v>
      </c>
      <c r="N339">
        <f>VLOOKUP(F339,Sheet2!$B$1:$E$19,3,FALSE)</f>
        <v>1108960</v>
      </c>
      <c r="O339">
        <f>IF(G339="Not available","",VLOOKUP(F339,Sheet2!$B$1:$E$19,4,FALSE)+(G339-1))</f>
        <v>3780319</v>
      </c>
    </row>
    <row r="340" spans="1:15" s="1" customFormat="1" ht="15" customHeight="1" x14ac:dyDescent="0.25">
      <c r="A340" s="18" t="s">
        <v>35</v>
      </c>
      <c r="B340" s="18" t="s">
        <v>557</v>
      </c>
      <c r="C340" s="5">
        <v>1838</v>
      </c>
      <c r="D340" s="1" t="s">
        <v>53</v>
      </c>
      <c r="E340" s="1" t="s">
        <v>2</v>
      </c>
      <c r="F340" s="18">
        <v>2174</v>
      </c>
      <c r="G340" s="18">
        <v>97</v>
      </c>
      <c r="H340" s="6" t="s">
        <v>3167</v>
      </c>
      <c r="I340" s="1">
        <v>181</v>
      </c>
      <c r="J340" s="1">
        <v>205</v>
      </c>
      <c r="L340" t="str">
        <f t="shared" si="5"/>
        <v>http://www.badatelna.eu/reprodukce/?fondId=1073&amp;zaznamId=1108960&amp;reproId=3780321</v>
      </c>
      <c r="M340">
        <f>VLOOKUP(F340,Sheet2!$B$1:$E$19,2,FALSE)</f>
        <v>1073</v>
      </c>
      <c r="N340">
        <f>VLOOKUP(F340,Sheet2!$B$1:$E$19,3,FALSE)</f>
        <v>1108960</v>
      </c>
      <c r="O340">
        <f>IF(G340="Not available","",VLOOKUP(F340,Sheet2!$B$1:$E$19,4,FALSE)+(G340-1))</f>
        <v>3780321</v>
      </c>
    </row>
    <row r="341" spans="1:15" s="1" customFormat="1" ht="15" customHeight="1" x14ac:dyDescent="0.25">
      <c r="A341" s="21" t="s">
        <v>35</v>
      </c>
      <c r="B341" s="21" t="s">
        <v>34</v>
      </c>
      <c r="C341" s="7">
        <v>1788</v>
      </c>
      <c r="D341" s="2" t="s">
        <v>44</v>
      </c>
      <c r="E341" s="1" t="s">
        <v>2</v>
      </c>
      <c r="F341" s="18">
        <v>2173</v>
      </c>
      <c r="G341" s="21">
        <v>18</v>
      </c>
      <c r="H341" s="7">
        <v>30</v>
      </c>
      <c r="I341" s="2">
        <v>91</v>
      </c>
      <c r="J341" s="2">
        <v>189</v>
      </c>
      <c r="K341" s="2"/>
      <c r="L341" t="str">
        <f t="shared" si="5"/>
        <v>http://www.badatelna.eu/reprodukce/?fondId=1073&amp;zaznamId=1108959&amp;reproId=3780011</v>
      </c>
      <c r="M341">
        <f>VLOOKUP(F341,Sheet2!$B$1:$E$19,2,FALSE)</f>
        <v>1073</v>
      </c>
      <c r="N341">
        <f>VLOOKUP(F341,Sheet2!$B$1:$E$19,3,FALSE)</f>
        <v>1108959</v>
      </c>
      <c r="O341">
        <f>IF(G341="Not available","",VLOOKUP(F341,Sheet2!$B$1:$E$19,4,FALSE)+(G341-1))</f>
        <v>3780011</v>
      </c>
    </row>
    <row r="342" spans="1:15" s="1" customFormat="1" ht="15" customHeight="1" x14ac:dyDescent="0.25">
      <c r="A342" s="18" t="s">
        <v>35</v>
      </c>
      <c r="B342" s="18" t="s">
        <v>809</v>
      </c>
      <c r="C342" s="5">
        <v>1850</v>
      </c>
      <c r="D342" s="1" t="s">
        <v>810</v>
      </c>
      <c r="E342" s="1" t="s">
        <v>2</v>
      </c>
      <c r="F342" s="18">
        <v>2164</v>
      </c>
      <c r="G342" s="18">
        <v>68</v>
      </c>
      <c r="H342" s="5">
        <v>66</v>
      </c>
      <c r="I342" s="1">
        <v>123</v>
      </c>
      <c r="J342" s="4" t="s">
        <v>3271</v>
      </c>
      <c r="L342" t="str">
        <f t="shared" si="5"/>
        <v>http://www.badatelna.eu/reprodukce/?fondId=1073&amp;zaznamId=1108951&amp;reproId=3778782</v>
      </c>
      <c r="M342">
        <f>VLOOKUP(F342,Sheet2!$B$1:$E$19,2,FALSE)</f>
        <v>1073</v>
      </c>
      <c r="N342">
        <f>VLOOKUP(F342,Sheet2!$B$1:$E$19,3,FALSE)</f>
        <v>1108951</v>
      </c>
      <c r="O342">
        <f>IF(G342="Not available","",VLOOKUP(F342,Sheet2!$B$1:$E$19,4,FALSE)+(G342-1))</f>
        <v>3778782</v>
      </c>
    </row>
    <row r="343" spans="1:15" s="1" customFormat="1" ht="15" customHeight="1" x14ac:dyDescent="0.25">
      <c r="A343" s="18" t="s">
        <v>35</v>
      </c>
      <c r="B343" s="18" t="s">
        <v>809</v>
      </c>
      <c r="C343" s="5">
        <v>1862</v>
      </c>
      <c r="E343" s="1" t="s">
        <v>939</v>
      </c>
      <c r="F343" s="18">
        <v>999</v>
      </c>
      <c r="G343" s="18">
        <v>39</v>
      </c>
      <c r="H343" s="5">
        <v>37</v>
      </c>
      <c r="I343" s="1">
        <v>63</v>
      </c>
      <c r="J343" s="1">
        <v>96</v>
      </c>
      <c r="L343" t="str">
        <f t="shared" si="5"/>
        <v>http://www.badatelna.eu/reprodukce/?fondId=241&amp;zaznamId=1133739&amp;reproId=3885768</v>
      </c>
      <c r="M343">
        <f>VLOOKUP(F343,Sheet2!$B$1:$E$19,2,FALSE)</f>
        <v>241</v>
      </c>
      <c r="N343">
        <f>VLOOKUP(F343,Sheet2!$B$1:$E$19,3,FALSE)</f>
        <v>1133739</v>
      </c>
      <c r="O343">
        <f>IF(G343="Not available","",VLOOKUP(F343,Sheet2!$B$1:$E$19,4,FALSE)+(G343-1))</f>
        <v>3885768</v>
      </c>
    </row>
    <row r="344" spans="1:15" s="1" customFormat="1" ht="15" customHeight="1" x14ac:dyDescent="0.25">
      <c r="A344" s="18" t="s">
        <v>3333</v>
      </c>
      <c r="B344" s="18" t="s">
        <v>65</v>
      </c>
      <c r="C344" s="5">
        <v>1823</v>
      </c>
      <c r="D344" s="4" t="s">
        <v>3332</v>
      </c>
      <c r="E344" s="1" t="s">
        <v>2</v>
      </c>
      <c r="F344" s="18">
        <v>2173</v>
      </c>
      <c r="G344" s="18">
        <v>74</v>
      </c>
      <c r="H344" s="5">
        <v>141</v>
      </c>
      <c r="I344" s="1">
        <v>93</v>
      </c>
      <c r="J344" s="1">
        <v>194</v>
      </c>
      <c r="L344" t="str">
        <f t="shared" si="5"/>
        <v>http://www.badatelna.eu/reprodukce/?fondId=1073&amp;zaznamId=1108959&amp;reproId=3780067</v>
      </c>
      <c r="M344">
        <f>VLOOKUP(F344,Sheet2!$B$1:$E$19,2,FALSE)</f>
        <v>1073</v>
      </c>
      <c r="N344">
        <f>VLOOKUP(F344,Sheet2!$B$1:$E$19,3,FALSE)</f>
        <v>1108959</v>
      </c>
      <c r="O344">
        <f>IF(G344="Not available","",VLOOKUP(F344,Sheet2!$B$1:$E$19,4,FALSE)+(G344-1))</f>
        <v>3780067</v>
      </c>
    </row>
    <row r="345" spans="1:15" s="1" customFormat="1" ht="15" customHeight="1" x14ac:dyDescent="0.25">
      <c r="A345" s="21" t="s">
        <v>35</v>
      </c>
      <c r="B345" s="21" t="s">
        <v>12</v>
      </c>
      <c r="C345" s="7">
        <v>1790</v>
      </c>
      <c r="D345" s="8" t="s">
        <v>66</v>
      </c>
      <c r="E345" s="1" t="s">
        <v>2</v>
      </c>
      <c r="F345" s="18">
        <v>2173</v>
      </c>
      <c r="G345" s="21">
        <v>23</v>
      </c>
      <c r="H345" s="7">
        <v>41</v>
      </c>
      <c r="I345" s="2">
        <v>91</v>
      </c>
      <c r="J345" s="2">
        <v>189</v>
      </c>
      <c r="K345" s="2"/>
      <c r="L345" t="str">
        <f t="shared" si="5"/>
        <v>http://www.badatelna.eu/reprodukce/?fondId=1073&amp;zaznamId=1108959&amp;reproId=3780016</v>
      </c>
      <c r="M345">
        <f>VLOOKUP(F345,Sheet2!$B$1:$E$19,2,FALSE)</f>
        <v>1073</v>
      </c>
      <c r="N345">
        <f>VLOOKUP(F345,Sheet2!$B$1:$E$19,3,FALSE)</f>
        <v>1108959</v>
      </c>
      <c r="O345">
        <f>IF(G345="Not available","",VLOOKUP(F345,Sheet2!$B$1:$E$19,4,FALSE)+(G345-1))</f>
        <v>3780016</v>
      </c>
    </row>
    <row r="346" spans="1:15" s="1" customFormat="1" ht="15" customHeight="1" x14ac:dyDescent="0.25">
      <c r="A346" s="18" t="s">
        <v>35</v>
      </c>
      <c r="B346" s="18" t="s">
        <v>12</v>
      </c>
      <c r="C346" s="5">
        <v>1817</v>
      </c>
      <c r="E346" s="1" t="s">
        <v>2</v>
      </c>
      <c r="F346" s="18">
        <v>2173</v>
      </c>
      <c r="G346" s="18">
        <v>67</v>
      </c>
      <c r="H346" s="6" t="s">
        <v>338</v>
      </c>
      <c r="I346" s="1">
        <v>93</v>
      </c>
      <c r="J346" s="1">
        <v>194</v>
      </c>
      <c r="L346" t="str">
        <f t="shared" si="5"/>
        <v>http://www.badatelna.eu/reprodukce/?fondId=1073&amp;zaznamId=1108959&amp;reproId=3780060</v>
      </c>
      <c r="M346">
        <f>VLOOKUP(F346,Sheet2!$B$1:$E$19,2,FALSE)</f>
        <v>1073</v>
      </c>
      <c r="N346">
        <f>VLOOKUP(F346,Sheet2!$B$1:$E$19,3,FALSE)</f>
        <v>1108959</v>
      </c>
      <c r="O346">
        <f>IF(G346="Not available","",VLOOKUP(F346,Sheet2!$B$1:$E$19,4,FALSE)+(G346-1))</f>
        <v>3780060</v>
      </c>
    </row>
    <row r="347" spans="1:15" s="1" customFormat="1" ht="15" customHeight="1" x14ac:dyDescent="0.25">
      <c r="A347" s="18" t="s">
        <v>35</v>
      </c>
      <c r="B347" s="18" t="s">
        <v>12</v>
      </c>
      <c r="C347" s="5">
        <v>1858</v>
      </c>
      <c r="E347" s="1" t="s">
        <v>939</v>
      </c>
      <c r="F347" s="18">
        <v>999</v>
      </c>
      <c r="G347" s="18">
        <v>9</v>
      </c>
      <c r="H347" s="5">
        <v>7</v>
      </c>
      <c r="I347" s="1">
        <v>63</v>
      </c>
      <c r="J347" s="1">
        <v>96</v>
      </c>
      <c r="L347" t="str">
        <f t="shared" si="5"/>
        <v>http://www.badatelna.eu/reprodukce/?fondId=241&amp;zaznamId=1133739&amp;reproId=3885738</v>
      </c>
      <c r="M347">
        <f>VLOOKUP(F347,Sheet2!$B$1:$E$19,2,FALSE)</f>
        <v>241</v>
      </c>
      <c r="N347">
        <f>VLOOKUP(F347,Sheet2!$B$1:$E$19,3,FALSE)</f>
        <v>1133739</v>
      </c>
      <c r="O347">
        <f>IF(G347="Not available","",VLOOKUP(F347,Sheet2!$B$1:$E$19,4,FALSE)+(G347-1))</f>
        <v>3885738</v>
      </c>
    </row>
    <row r="348" spans="1:15" s="1" customFormat="1" ht="15" customHeight="1" x14ac:dyDescent="0.25">
      <c r="A348" s="18" t="s">
        <v>35</v>
      </c>
      <c r="B348" s="18" t="s">
        <v>40</v>
      </c>
      <c r="C348" s="5">
        <v>1798</v>
      </c>
      <c r="D348" s="1" t="s">
        <v>84</v>
      </c>
      <c r="E348" s="1" t="s">
        <v>2</v>
      </c>
      <c r="F348" s="18">
        <v>2173</v>
      </c>
      <c r="G348" s="18">
        <v>37</v>
      </c>
      <c r="H348" s="5">
        <v>69</v>
      </c>
      <c r="I348" s="1">
        <v>92</v>
      </c>
      <c r="J348" s="1">
        <v>190</v>
      </c>
      <c r="L348" t="str">
        <f t="shared" si="5"/>
        <v>http://www.badatelna.eu/reprodukce/?fondId=1073&amp;zaznamId=1108959&amp;reproId=3780030</v>
      </c>
      <c r="M348">
        <f>VLOOKUP(F348,Sheet2!$B$1:$E$19,2,FALSE)</f>
        <v>1073</v>
      </c>
      <c r="N348">
        <f>VLOOKUP(F348,Sheet2!$B$1:$E$19,3,FALSE)</f>
        <v>1108959</v>
      </c>
      <c r="O348">
        <f>IF(G348="Not available","",VLOOKUP(F348,Sheet2!$B$1:$E$19,4,FALSE)+(G348-1))</f>
        <v>3780030</v>
      </c>
    </row>
    <row r="349" spans="1:15" s="1" customFormat="1" ht="15" customHeight="1" x14ac:dyDescent="0.25">
      <c r="A349" s="18" t="s">
        <v>35</v>
      </c>
      <c r="B349" s="18" t="s">
        <v>40</v>
      </c>
      <c r="C349" s="5">
        <v>1809</v>
      </c>
      <c r="E349" s="1" t="s">
        <v>2</v>
      </c>
      <c r="F349" s="18">
        <v>2173</v>
      </c>
      <c r="G349" s="18">
        <v>55</v>
      </c>
      <c r="H349" s="5">
        <v>105</v>
      </c>
      <c r="I349" s="1">
        <v>92</v>
      </c>
      <c r="J349" s="1">
        <v>190</v>
      </c>
      <c r="L349" t="str">
        <f t="shared" si="5"/>
        <v>http://www.badatelna.eu/reprodukce/?fondId=1073&amp;zaznamId=1108959&amp;reproId=3780048</v>
      </c>
      <c r="M349">
        <f>VLOOKUP(F349,Sheet2!$B$1:$E$19,2,FALSE)</f>
        <v>1073</v>
      </c>
      <c r="N349">
        <f>VLOOKUP(F349,Sheet2!$B$1:$E$19,3,FALSE)</f>
        <v>1108959</v>
      </c>
      <c r="O349">
        <f>IF(G349="Not available","",VLOOKUP(F349,Sheet2!$B$1:$E$19,4,FALSE)+(G349-1))</f>
        <v>3780048</v>
      </c>
    </row>
    <row r="350" spans="1:15" s="1" customFormat="1" ht="15" customHeight="1" x14ac:dyDescent="0.25">
      <c r="A350" s="18" t="s">
        <v>35</v>
      </c>
      <c r="B350" s="18" t="s">
        <v>40</v>
      </c>
      <c r="C350" s="5">
        <v>1819</v>
      </c>
      <c r="E350" s="1" t="s">
        <v>2</v>
      </c>
      <c r="F350" s="18">
        <v>2173</v>
      </c>
      <c r="G350" s="18">
        <v>69</v>
      </c>
      <c r="H350" s="5">
        <v>131</v>
      </c>
      <c r="I350" s="1">
        <v>92</v>
      </c>
      <c r="J350" s="1">
        <v>190</v>
      </c>
      <c r="L350" t="str">
        <f t="shared" si="5"/>
        <v>http://www.badatelna.eu/reprodukce/?fondId=1073&amp;zaznamId=1108959&amp;reproId=3780062</v>
      </c>
      <c r="M350">
        <f>VLOOKUP(F350,Sheet2!$B$1:$E$19,2,FALSE)</f>
        <v>1073</v>
      </c>
      <c r="N350">
        <f>VLOOKUP(F350,Sheet2!$B$1:$E$19,3,FALSE)</f>
        <v>1108959</v>
      </c>
      <c r="O350">
        <f>IF(G350="Not available","",VLOOKUP(F350,Sheet2!$B$1:$E$19,4,FALSE)+(G350-1))</f>
        <v>3780062</v>
      </c>
    </row>
    <row r="351" spans="1:15" s="1" customFormat="1" ht="15" customHeight="1" x14ac:dyDescent="0.25">
      <c r="A351" s="21" t="s">
        <v>35</v>
      </c>
      <c r="B351" s="20" t="s">
        <v>359</v>
      </c>
      <c r="C351" s="7">
        <v>1788</v>
      </c>
      <c r="D351" s="2" t="s">
        <v>52</v>
      </c>
      <c r="E351" s="1" t="s">
        <v>2</v>
      </c>
      <c r="F351" s="18">
        <v>2173</v>
      </c>
      <c r="G351" s="21">
        <v>17</v>
      </c>
      <c r="H351" s="16" t="s">
        <v>2907</v>
      </c>
      <c r="I351" s="2">
        <v>91</v>
      </c>
      <c r="J351" s="2">
        <v>189</v>
      </c>
      <c r="K351" s="2"/>
      <c r="L351" t="str">
        <f t="shared" si="5"/>
        <v>http://www.badatelna.eu/reprodukce/?fondId=1073&amp;zaznamId=1108959&amp;reproId=3780010</v>
      </c>
      <c r="M351">
        <f>VLOOKUP(F351,Sheet2!$B$1:$E$19,2,FALSE)</f>
        <v>1073</v>
      </c>
      <c r="N351">
        <f>VLOOKUP(F351,Sheet2!$B$1:$E$19,3,FALSE)</f>
        <v>1108959</v>
      </c>
      <c r="O351">
        <f>IF(G351="Not available","",VLOOKUP(F351,Sheet2!$B$1:$E$19,4,FALSE)+(G351-1))</f>
        <v>3780010</v>
      </c>
    </row>
    <row r="352" spans="1:15" s="1" customFormat="1" ht="15" customHeight="1" x14ac:dyDescent="0.25">
      <c r="A352" s="18" t="s">
        <v>35</v>
      </c>
      <c r="B352" s="18" t="s">
        <v>120</v>
      </c>
      <c r="C352" s="6" t="s">
        <v>3036</v>
      </c>
      <c r="E352" s="1" t="s">
        <v>2</v>
      </c>
      <c r="F352" s="18">
        <v>2173</v>
      </c>
      <c r="G352" s="18">
        <v>49</v>
      </c>
      <c r="H352" s="14" t="s">
        <v>3096</v>
      </c>
      <c r="I352" s="1">
        <v>92</v>
      </c>
      <c r="J352" s="1">
        <v>190</v>
      </c>
      <c r="L352" t="str">
        <f t="shared" si="5"/>
        <v>http://www.badatelna.eu/reprodukce/?fondId=1073&amp;zaznamId=1108959&amp;reproId=3780042</v>
      </c>
      <c r="M352">
        <f>VLOOKUP(F352,Sheet2!$B$1:$E$19,2,FALSE)</f>
        <v>1073</v>
      </c>
      <c r="N352">
        <f>VLOOKUP(F352,Sheet2!$B$1:$E$19,3,FALSE)</f>
        <v>1108959</v>
      </c>
      <c r="O352">
        <f>IF(G352="Not available","",VLOOKUP(F352,Sheet2!$B$1:$E$19,4,FALSE)+(G352-1))</f>
        <v>3780042</v>
      </c>
    </row>
    <row r="353" spans="1:15" s="1" customFormat="1" ht="15" customHeight="1" x14ac:dyDescent="0.25">
      <c r="A353" s="18" t="s">
        <v>35</v>
      </c>
      <c r="B353" s="18" t="s">
        <v>120</v>
      </c>
      <c r="C353" s="5">
        <v>1811</v>
      </c>
      <c r="E353" s="1" t="s">
        <v>2</v>
      </c>
      <c r="F353" s="18">
        <v>2173</v>
      </c>
      <c r="G353" s="18">
        <v>57</v>
      </c>
      <c r="H353" s="5">
        <v>109</v>
      </c>
      <c r="I353" s="1">
        <v>92</v>
      </c>
      <c r="J353" s="1">
        <v>190</v>
      </c>
      <c r="L353" t="str">
        <f t="shared" si="5"/>
        <v>http://www.badatelna.eu/reprodukce/?fondId=1073&amp;zaznamId=1108959&amp;reproId=3780050</v>
      </c>
      <c r="M353">
        <f>VLOOKUP(F353,Sheet2!$B$1:$E$19,2,FALSE)</f>
        <v>1073</v>
      </c>
      <c r="N353">
        <f>VLOOKUP(F353,Sheet2!$B$1:$E$19,3,FALSE)</f>
        <v>1108959</v>
      </c>
      <c r="O353">
        <f>IF(G353="Not available","",VLOOKUP(F353,Sheet2!$B$1:$E$19,4,FALSE)+(G353-1))</f>
        <v>3780050</v>
      </c>
    </row>
    <row r="354" spans="1:15" s="1" customFormat="1" ht="15" customHeight="1" x14ac:dyDescent="0.25">
      <c r="A354" s="18" t="s">
        <v>35</v>
      </c>
      <c r="B354" s="18" t="s">
        <v>139</v>
      </c>
      <c r="C354" s="5">
        <v>1807</v>
      </c>
      <c r="E354" s="1" t="s">
        <v>2</v>
      </c>
      <c r="F354" s="18">
        <v>2173</v>
      </c>
      <c r="G354" s="18">
        <v>52</v>
      </c>
      <c r="H354" s="5">
        <v>99</v>
      </c>
      <c r="I354" s="1">
        <v>92</v>
      </c>
      <c r="J354" s="1">
        <v>190</v>
      </c>
      <c r="L354" t="str">
        <f t="shared" si="5"/>
        <v>http://www.badatelna.eu/reprodukce/?fondId=1073&amp;zaznamId=1108959&amp;reproId=3780045</v>
      </c>
      <c r="M354">
        <f>VLOOKUP(F354,Sheet2!$B$1:$E$19,2,FALSE)</f>
        <v>1073</v>
      </c>
      <c r="N354">
        <f>VLOOKUP(F354,Sheet2!$B$1:$E$19,3,FALSE)</f>
        <v>1108959</v>
      </c>
      <c r="O354">
        <f>IF(G354="Not available","",VLOOKUP(F354,Sheet2!$B$1:$E$19,4,FALSE)+(G354-1))</f>
        <v>3780045</v>
      </c>
    </row>
    <row r="355" spans="1:15" s="1" customFormat="1" ht="15" customHeight="1" x14ac:dyDescent="0.25">
      <c r="A355" s="21" t="s">
        <v>35</v>
      </c>
      <c r="B355" s="21" t="s">
        <v>51</v>
      </c>
      <c r="C355" s="7">
        <v>1787</v>
      </c>
      <c r="D355" s="15" t="s">
        <v>40</v>
      </c>
      <c r="E355" s="1" t="s">
        <v>2</v>
      </c>
      <c r="F355" s="18">
        <v>2173</v>
      </c>
      <c r="G355" s="21">
        <v>16</v>
      </c>
      <c r="H355" s="7">
        <v>26</v>
      </c>
      <c r="I355" s="2">
        <v>91</v>
      </c>
      <c r="J355" s="2">
        <v>189</v>
      </c>
      <c r="K355" s="2"/>
      <c r="L355" t="str">
        <f t="shared" si="5"/>
        <v>http://www.badatelna.eu/reprodukce/?fondId=1073&amp;zaznamId=1108959&amp;reproId=3780009</v>
      </c>
      <c r="M355">
        <f>VLOOKUP(F355,Sheet2!$B$1:$E$19,2,FALSE)</f>
        <v>1073</v>
      </c>
      <c r="N355">
        <f>VLOOKUP(F355,Sheet2!$B$1:$E$19,3,FALSE)</f>
        <v>1108959</v>
      </c>
      <c r="O355">
        <f>IF(G355="Not available","",VLOOKUP(F355,Sheet2!$B$1:$E$19,4,FALSE)+(G355-1))</f>
        <v>3780009</v>
      </c>
    </row>
    <row r="356" spans="1:15" s="1" customFormat="1" ht="15" customHeight="1" x14ac:dyDescent="0.25">
      <c r="A356" s="18" t="s">
        <v>35</v>
      </c>
      <c r="B356" s="18" t="s">
        <v>51</v>
      </c>
      <c r="C356" s="5">
        <v>1850</v>
      </c>
      <c r="D356" s="1" t="s">
        <v>133</v>
      </c>
      <c r="E356" s="1" t="s">
        <v>2</v>
      </c>
      <c r="F356" s="18">
        <v>2164</v>
      </c>
      <c r="G356" s="18">
        <v>74</v>
      </c>
      <c r="H356" s="5">
        <v>72</v>
      </c>
      <c r="I356" s="1">
        <v>123</v>
      </c>
      <c r="J356" s="4" t="s">
        <v>3271</v>
      </c>
      <c r="L356" t="str">
        <f t="shared" si="5"/>
        <v>http://www.badatelna.eu/reprodukce/?fondId=1073&amp;zaznamId=1108951&amp;reproId=3778788</v>
      </c>
      <c r="M356">
        <f>VLOOKUP(F356,Sheet2!$B$1:$E$19,2,FALSE)</f>
        <v>1073</v>
      </c>
      <c r="N356">
        <f>VLOOKUP(F356,Sheet2!$B$1:$E$19,3,FALSE)</f>
        <v>1108951</v>
      </c>
      <c r="O356">
        <f>IF(G356="Not available","",VLOOKUP(F356,Sheet2!$B$1:$E$19,4,FALSE)+(G356-1))</f>
        <v>3778788</v>
      </c>
    </row>
    <row r="357" spans="1:15" s="1" customFormat="1" ht="15" customHeight="1" x14ac:dyDescent="0.25">
      <c r="A357" s="18" t="s">
        <v>35</v>
      </c>
      <c r="B357" s="18" t="s">
        <v>51</v>
      </c>
      <c r="C357" s="5">
        <v>1853</v>
      </c>
      <c r="D357" s="1" t="s">
        <v>495</v>
      </c>
      <c r="E357" s="1" t="s">
        <v>2</v>
      </c>
      <c r="F357" s="18">
        <v>2164</v>
      </c>
      <c r="G357" s="18">
        <v>93</v>
      </c>
      <c r="H357" s="5">
        <v>91</v>
      </c>
      <c r="I357" s="1">
        <v>123</v>
      </c>
      <c r="J357" s="4" t="s">
        <v>3271</v>
      </c>
      <c r="L357" t="str">
        <f t="shared" si="5"/>
        <v>http://www.badatelna.eu/reprodukce/?fondId=1073&amp;zaznamId=1108951&amp;reproId=3778807</v>
      </c>
      <c r="M357">
        <f>VLOOKUP(F357,Sheet2!$B$1:$E$19,2,FALSE)</f>
        <v>1073</v>
      </c>
      <c r="N357">
        <f>VLOOKUP(F357,Sheet2!$B$1:$E$19,3,FALSE)</f>
        <v>1108951</v>
      </c>
      <c r="O357">
        <f>IF(G357="Not available","",VLOOKUP(F357,Sheet2!$B$1:$E$19,4,FALSE)+(G357-1))</f>
        <v>3778807</v>
      </c>
    </row>
    <row r="358" spans="1:15" s="1" customFormat="1" ht="15" customHeight="1" x14ac:dyDescent="0.25">
      <c r="A358" s="18" t="s">
        <v>35</v>
      </c>
      <c r="B358" s="18" t="s">
        <v>197</v>
      </c>
      <c r="C358" s="5">
        <v>1858</v>
      </c>
      <c r="E358" s="1" t="s">
        <v>939</v>
      </c>
      <c r="F358" s="18">
        <v>999</v>
      </c>
      <c r="G358" s="18">
        <v>4</v>
      </c>
      <c r="H358" s="5">
        <v>2</v>
      </c>
      <c r="I358" s="1">
        <v>63</v>
      </c>
      <c r="J358" s="1">
        <v>96</v>
      </c>
      <c r="L358" t="str">
        <f t="shared" si="5"/>
        <v>http://www.badatelna.eu/reprodukce/?fondId=241&amp;zaznamId=1133739&amp;reproId=3885733</v>
      </c>
      <c r="M358">
        <f>VLOOKUP(F358,Sheet2!$B$1:$E$19,2,FALSE)</f>
        <v>241</v>
      </c>
      <c r="N358">
        <f>VLOOKUP(F358,Sheet2!$B$1:$E$19,3,FALSE)</f>
        <v>1133739</v>
      </c>
      <c r="O358">
        <f>IF(G358="Not available","",VLOOKUP(F358,Sheet2!$B$1:$E$19,4,FALSE)+(G358-1))</f>
        <v>3885733</v>
      </c>
    </row>
    <row r="359" spans="1:15" s="1" customFormat="1" ht="15" customHeight="1" x14ac:dyDescent="0.25">
      <c r="A359" s="18" t="s">
        <v>35</v>
      </c>
      <c r="B359" s="18" t="s">
        <v>361</v>
      </c>
      <c r="C359" s="5" t="s">
        <v>1308</v>
      </c>
      <c r="D359" s="1" t="s">
        <v>133</v>
      </c>
      <c r="E359" s="1" t="s">
        <v>2</v>
      </c>
      <c r="F359" s="18">
        <v>2165</v>
      </c>
      <c r="G359" s="18">
        <v>24</v>
      </c>
      <c r="H359" s="5">
        <v>21</v>
      </c>
      <c r="I359" s="1">
        <v>80</v>
      </c>
      <c r="J359" s="1" t="s">
        <v>3271</v>
      </c>
      <c r="L359" t="str">
        <f t="shared" si="5"/>
        <v>http://www.badatelna.eu/reprodukce/?fondId=1073&amp;zaznamId=1108952&amp;reproId=3778885</v>
      </c>
      <c r="M359">
        <f>VLOOKUP(F359,Sheet2!$B$1:$E$19,2,FALSE)</f>
        <v>1073</v>
      </c>
      <c r="N359">
        <f>VLOOKUP(F359,Sheet2!$B$1:$E$19,3,FALSE)</f>
        <v>1108952</v>
      </c>
      <c r="O359">
        <f>IF(G359="Not available","",VLOOKUP(F359,Sheet2!$B$1:$E$19,4,FALSE)+(G359-1))</f>
        <v>3778885</v>
      </c>
    </row>
    <row r="360" spans="1:15" s="1" customFormat="1" ht="15" customHeight="1" x14ac:dyDescent="0.25">
      <c r="A360" s="18" t="s">
        <v>35</v>
      </c>
      <c r="B360" s="19" t="s">
        <v>239</v>
      </c>
      <c r="C360" s="5">
        <v>1859</v>
      </c>
      <c r="D360" s="4" t="s">
        <v>58</v>
      </c>
      <c r="E360" s="1" t="s">
        <v>939</v>
      </c>
      <c r="F360" s="18">
        <v>999</v>
      </c>
      <c r="G360" s="18">
        <v>16</v>
      </c>
      <c r="H360" s="5">
        <v>14</v>
      </c>
      <c r="I360" s="1">
        <v>63</v>
      </c>
      <c r="J360" s="1">
        <v>96</v>
      </c>
      <c r="L360" t="str">
        <f t="shared" si="5"/>
        <v>http://www.badatelna.eu/reprodukce/?fondId=241&amp;zaznamId=1133739&amp;reproId=3885745</v>
      </c>
      <c r="M360">
        <f>VLOOKUP(F360,Sheet2!$B$1:$E$19,2,FALSE)</f>
        <v>241</v>
      </c>
      <c r="N360">
        <f>VLOOKUP(F360,Sheet2!$B$1:$E$19,3,FALSE)</f>
        <v>1133739</v>
      </c>
      <c r="O360">
        <f>IF(G360="Not available","",VLOOKUP(F360,Sheet2!$B$1:$E$19,4,FALSE)+(G360-1))</f>
        <v>3885745</v>
      </c>
    </row>
    <row r="361" spans="1:15" s="1" customFormat="1" ht="15" customHeight="1" x14ac:dyDescent="0.25">
      <c r="A361" s="18" t="s">
        <v>35</v>
      </c>
      <c r="B361" s="18" t="s">
        <v>287</v>
      </c>
      <c r="C361" s="5">
        <v>1856</v>
      </c>
      <c r="D361" s="1" t="s">
        <v>833</v>
      </c>
      <c r="E361" s="1" t="s">
        <v>2</v>
      </c>
      <c r="F361" s="18">
        <v>2164</v>
      </c>
      <c r="G361" s="18">
        <v>114</v>
      </c>
      <c r="H361" s="5">
        <v>112</v>
      </c>
      <c r="I361" s="1">
        <v>124</v>
      </c>
      <c r="J361" s="4" t="s">
        <v>3271</v>
      </c>
      <c r="L361" t="str">
        <f t="shared" si="5"/>
        <v>http://www.badatelna.eu/reprodukce/?fondId=1073&amp;zaznamId=1108951&amp;reproId=3778828</v>
      </c>
      <c r="M361">
        <f>VLOOKUP(F361,Sheet2!$B$1:$E$19,2,FALSE)</f>
        <v>1073</v>
      </c>
      <c r="N361">
        <f>VLOOKUP(F361,Sheet2!$B$1:$E$19,3,FALSE)</f>
        <v>1108951</v>
      </c>
      <c r="O361">
        <f>IF(G361="Not available","",VLOOKUP(F361,Sheet2!$B$1:$E$19,4,FALSE)+(G361-1))</f>
        <v>3778828</v>
      </c>
    </row>
    <row r="362" spans="1:15" s="1" customFormat="1" ht="15" customHeight="1" x14ac:dyDescent="0.25">
      <c r="A362" s="18" t="s">
        <v>35</v>
      </c>
      <c r="B362" s="18" t="s">
        <v>133</v>
      </c>
      <c r="C362" s="5">
        <v>1813</v>
      </c>
      <c r="E362" s="1" t="s">
        <v>2</v>
      </c>
      <c r="F362" s="18">
        <v>2173</v>
      </c>
      <c r="G362" s="18">
        <v>60</v>
      </c>
      <c r="H362" s="5">
        <v>114</v>
      </c>
      <c r="I362" s="1">
        <v>92</v>
      </c>
      <c r="J362" s="1">
        <v>190</v>
      </c>
      <c r="L362" t="str">
        <f t="shared" si="5"/>
        <v>http://www.badatelna.eu/reprodukce/?fondId=1073&amp;zaznamId=1108959&amp;reproId=3780053</v>
      </c>
      <c r="M362">
        <f>VLOOKUP(F362,Sheet2!$B$1:$E$19,2,FALSE)</f>
        <v>1073</v>
      </c>
      <c r="N362">
        <f>VLOOKUP(F362,Sheet2!$B$1:$E$19,3,FALSE)</f>
        <v>1108959</v>
      </c>
      <c r="O362">
        <f>IF(G362="Not available","",VLOOKUP(F362,Sheet2!$B$1:$E$19,4,FALSE)+(G362-1))</f>
        <v>3780053</v>
      </c>
    </row>
    <row r="363" spans="1:15" s="1" customFormat="1" ht="15" customHeight="1" x14ac:dyDescent="0.25">
      <c r="A363" s="18" t="s">
        <v>35</v>
      </c>
      <c r="B363" s="18" t="s">
        <v>133</v>
      </c>
      <c r="C363" s="5">
        <v>1826</v>
      </c>
      <c r="E363" s="1" t="s">
        <v>2</v>
      </c>
      <c r="F363" s="18">
        <v>2173</v>
      </c>
      <c r="G363" s="18">
        <v>80</v>
      </c>
      <c r="H363" s="5">
        <v>153</v>
      </c>
      <c r="I363" s="1">
        <v>93</v>
      </c>
      <c r="J363" s="1">
        <v>194</v>
      </c>
      <c r="L363" t="str">
        <f t="shared" si="5"/>
        <v>http://www.badatelna.eu/reprodukce/?fondId=1073&amp;zaznamId=1108959&amp;reproId=3780073</v>
      </c>
      <c r="M363">
        <f>VLOOKUP(F363,Sheet2!$B$1:$E$19,2,FALSE)</f>
        <v>1073</v>
      </c>
      <c r="N363">
        <f>VLOOKUP(F363,Sheet2!$B$1:$E$19,3,FALSE)</f>
        <v>1108959</v>
      </c>
      <c r="O363">
        <f>IF(G363="Not available","",VLOOKUP(F363,Sheet2!$B$1:$E$19,4,FALSE)+(G363-1))</f>
        <v>3780073</v>
      </c>
    </row>
    <row r="364" spans="1:15" s="1" customFormat="1" ht="15" customHeight="1" x14ac:dyDescent="0.25">
      <c r="A364" s="18" t="s">
        <v>35</v>
      </c>
      <c r="B364" s="18" t="s">
        <v>4</v>
      </c>
      <c r="C364" s="7">
        <v>1793</v>
      </c>
      <c r="D364" s="1" t="s">
        <v>44</v>
      </c>
      <c r="E364" s="1" t="s">
        <v>2</v>
      </c>
      <c r="F364" s="18">
        <v>2173</v>
      </c>
      <c r="G364" s="18">
        <v>30</v>
      </c>
      <c r="H364" s="5">
        <v>54</v>
      </c>
      <c r="I364" s="2">
        <v>91</v>
      </c>
      <c r="J364" s="2">
        <v>189</v>
      </c>
      <c r="L364" t="str">
        <f t="shared" si="5"/>
        <v>http://www.badatelna.eu/reprodukce/?fondId=1073&amp;zaznamId=1108959&amp;reproId=3780023</v>
      </c>
      <c r="M364">
        <f>VLOOKUP(F364,Sheet2!$B$1:$E$19,2,FALSE)</f>
        <v>1073</v>
      </c>
      <c r="N364">
        <f>VLOOKUP(F364,Sheet2!$B$1:$E$19,3,FALSE)</f>
        <v>1108959</v>
      </c>
      <c r="O364">
        <f>IF(G364="Not available","",VLOOKUP(F364,Sheet2!$B$1:$E$19,4,FALSE)+(G364-1))</f>
        <v>3780023</v>
      </c>
    </row>
    <row r="365" spans="1:15" s="1" customFormat="1" ht="15" customHeight="1" x14ac:dyDescent="0.25">
      <c r="A365" s="18" t="s">
        <v>35</v>
      </c>
      <c r="B365" s="18" t="s">
        <v>4</v>
      </c>
      <c r="C365" s="5">
        <v>1801</v>
      </c>
      <c r="E365" s="1" t="s">
        <v>2</v>
      </c>
      <c r="F365" s="18">
        <v>2173</v>
      </c>
      <c r="G365" s="18">
        <v>44</v>
      </c>
      <c r="H365" s="14" t="s">
        <v>2927</v>
      </c>
      <c r="I365" s="1">
        <v>92</v>
      </c>
      <c r="J365" s="1">
        <v>190</v>
      </c>
      <c r="L365" t="str">
        <f t="shared" si="5"/>
        <v>http://www.badatelna.eu/reprodukce/?fondId=1073&amp;zaznamId=1108959&amp;reproId=3780037</v>
      </c>
      <c r="M365">
        <f>VLOOKUP(F365,Sheet2!$B$1:$E$19,2,FALSE)</f>
        <v>1073</v>
      </c>
      <c r="N365">
        <f>VLOOKUP(F365,Sheet2!$B$1:$E$19,3,FALSE)</f>
        <v>1108959</v>
      </c>
      <c r="O365">
        <f>IF(G365="Not available","",VLOOKUP(F365,Sheet2!$B$1:$E$19,4,FALSE)+(G365-1))</f>
        <v>3780037</v>
      </c>
    </row>
    <row r="366" spans="1:15" s="1" customFormat="1" ht="15" customHeight="1" x14ac:dyDescent="0.25">
      <c r="A366" s="18" t="s">
        <v>35</v>
      </c>
      <c r="B366" s="18" t="s">
        <v>4</v>
      </c>
      <c r="C366" s="5">
        <v>1809</v>
      </c>
      <c r="E366" s="1" t="s">
        <v>2</v>
      </c>
      <c r="F366" s="18">
        <v>2173</v>
      </c>
      <c r="G366" s="18">
        <v>55</v>
      </c>
      <c r="H366" s="5">
        <v>105</v>
      </c>
      <c r="I366" s="1">
        <v>92</v>
      </c>
      <c r="J366" s="1">
        <v>190</v>
      </c>
      <c r="L366" t="str">
        <f t="shared" si="5"/>
        <v>http://www.badatelna.eu/reprodukce/?fondId=1073&amp;zaznamId=1108959&amp;reproId=3780048</v>
      </c>
      <c r="M366">
        <f>VLOOKUP(F366,Sheet2!$B$1:$E$19,2,FALSE)</f>
        <v>1073</v>
      </c>
      <c r="N366">
        <f>VLOOKUP(F366,Sheet2!$B$1:$E$19,3,FALSE)</f>
        <v>1108959</v>
      </c>
      <c r="O366">
        <f>IF(G366="Not available","",VLOOKUP(F366,Sheet2!$B$1:$E$19,4,FALSE)+(G366-1))</f>
        <v>3780048</v>
      </c>
    </row>
    <row r="367" spans="1:15" s="1" customFormat="1" ht="15" customHeight="1" x14ac:dyDescent="0.25">
      <c r="A367" s="18" t="s">
        <v>35</v>
      </c>
      <c r="B367" s="18" t="s">
        <v>4</v>
      </c>
      <c r="C367" s="5">
        <v>1811</v>
      </c>
      <c r="E367" s="1" t="s">
        <v>2</v>
      </c>
      <c r="F367" s="18">
        <v>2173</v>
      </c>
      <c r="G367" s="18">
        <v>58</v>
      </c>
      <c r="H367" s="5">
        <v>110</v>
      </c>
      <c r="I367" s="1">
        <v>92</v>
      </c>
      <c r="J367" s="1">
        <v>190</v>
      </c>
      <c r="L367" t="str">
        <f t="shared" si="5"/>
        <v>http://www.badatelna.eu/reprodukce/?fondId=1073&amp;zaznamId=1108959&amp;reproId=3780051</v>
      </c>
      <c r="M367">
        <f>VLOOKUP(F367,Sheet2!$B$1:$E$19,2,FALSE)</f>
        <v>1073</v>
      </c>
      <c r="N367">
        <f>VLOOKUP(F367,Sheet2!$B$1:$E$19,3,FALSE)</f>
        <v>1108959</v>
      </c>
      <c r="O367">
        <f>IF(G367="Not available","",VLOOKUP(F367,Sheet2!$B$1:$E$19,4,FALSE)+(G367-1))</f>
        <v>3780051</v>
      </c>
    </row>
    <row r="368" spans="1:15" s="1" customFormat="1" ht="15" customHeight="1" x14ac:dyDescent="0.25">
      <c r="A368" s="18" t="s">
        <v>35</v>
      </c>
      <c r="B368" s="18" t="s">
        <v>4</v>
      </c>
      <c r="C368" s="5">
        <v>1819</v>
      </c>
      <c r="E368" s="1" t="s">
        <v>2</v>
      </c>
      <c r="F368" s="18">
        <v>2173</v>
      </c>
      <c r="G368" s="18">
        <v>70</v>
      </c>
      <c r="H368" s="5">
        <v>133</v>
      </c>
      <c r="I368" s="1">
        <v>93</v>
      </c>
      <c r="J368" s="1">
        <v>194</v>
      </c>
      <c r="L368" t="str">
        <f t="shared" si="5"/>
        <v>http://www.badatelna.eu/reprodukce/?fondId=1073&amp;zaznamId=1108959&amp;reproId=3780063</v>
      </c>
      <c r="M368">
        <f>VLOOKUP(F368,Sheet2!$B$1:$E$19,2,FALSE)</f>
        <v>1073</v>
      </c>
      <c r="N368">
        <f>VLOOKUP(F368,Sheet2!$B$1:$E$19,3,FALSE)</f>
        <v>1108959</v>
      </c>
      <c r="O368">
        <f>IF(G368="Not available","",VLOOKUP(F368,Sheet2!$B$1:$E$19,4,FALSE)+(G368-1))</f>
        <v>3780063</v>
      </c>
    </row>
    <row r="369" spans="1:15" s="1" customFormat="1" ht="15" customHeight="1" x14ac:dyDescent="0.25">
      <c r="A369" s="18" t="s">
        <v>35</v>
      </c>
      <c r="B369" s="18" t="s">
        <v>700</v>
      </c>
      <c r="C369" s="5">
        <v>1850</v>
      </c>
      <c r="D369" s="1" t="s">
        <v>812</v>
      </c>
      <c r="E369" s="1" t="s">
        <v>2</v>
      </c>
      <c r="F369" s="18">
        <v>2164</v>
      </c>
      <c r="G369" s="18">
        <v>71</v>
      </c>
      <c r="H369" s="5">
        <v>69</v>
      </c>
      <c r="I369" s="1">
        <v>123</v>
      </c>
      <c r="J369" s="4" t="s">
        <v>3271</v>
      </c>
      <c r="L369" t="str">
        <f t="shared" si="5"/>
        <v>http://www.badatelna.eu/reprodukce/?fondId=1073&amp;zaznamId=1108951&amp;reproId=3778785</v>
      </c>
      <c r="M369">
        <f>VLOOKUP(F369,Sheet2!$B$1:$E$19,2,FALSE)</f>
        <v>1073</v>
      </c>
      <c r="N369">
        <f>VLOOKUP(F369,Sheet2!$B$1:$E$19,3,FALSE)</f>
        <v>1108951</v>
      </c>
      <c r="O369">
        <f>IF(G369="Not available","",VLOOKUP(F369,Sheet2!$B$1:$E$19,4,FALSE)+(G369-1))</f>
        <v>3778785</v>
      </c>
    </row>
    <row r="370" spans="1:15" s="1" customFormat="1" ht="15" customHeight="1" x14ac:dyDescent="0.25">
      <c r="A370" s="18" t="s">
        <v>35</v>
      </c>
      <c r="B370" s="18" t="s">
        <v>148</v>
      </c>
      <c r="C370" s="5">
        <v>1824</v>
      </c>
      <c r="E370" s="1" t="s">
        <v>2</v>
      </c>
      <c r="F370" s="18">
        <v>2173</v>
      </c>
      <c r="G370" s="18">
        <v>75</v>
      </c>
      <c r="H370" s="5">
        <v>143</v>
      </c>
      <c r="I370" s="1">
        <v>93</v>
      </c>
      <c r="J370" s="1">
        <v>194</v>
      </c>
      <c r="L370" t="str">
        <f t="shared" si="5"/>
        <v>http://www.badatelna.eu/reprodukce/?fondId=1073&amp;zaznamId=1108959&amp;reproId=3780068</v>
      </c>
      <c r="M370">
        <f>VLOOKUP(F370,Sheet2!$B$1:$E$19,2,FALSE)</f>
        <v>1073</v>
      </c>
      <c r="N370">
        <f>VLOOKUP(F370,Sheet2!$B$1:$E$19,3,FALSE)</f>
        <v>1108959</v>
      </c>
      <c r="O370">
        <f>IF(G370="Not available","",VLOOKUP(F370,Sheet2!$B$1:$E$19,4,FALSE)+(G370-1))</f>
        <v>3780068</v>
      </c>
    </row>
    <row r="371" spans="1:15" s="1" customFormat="1" ht="15" customHeight="1" x14ac:dyDescent="0.25">
      <c r="A371" s="18" t="s">
        <v>35</v>
      </c>
      <c r="B371" s="18" t="s">
        <v>85</v>
      </c>
      <c r="C371" s="5">
        <v>1796</v>
      </c>
      <c r="D371" s="1" t="s">
        <v>44</v>
      </c>
      <c r="E371" s="1" t="s">
        <v>2</v>
      </c>
      <c r="F371" s="18">
        <v>2173</v>
      </c>
      <c r="G371" s="18">
        <v>34</v>
      </c>
      <c r="H371" s="5">
        <v>62</v>
      </c>
      <c r="I371" s="1">
        <v>92</v>
      </c>
      <c r="J371" s="1">
        <v>190</v>
      </c>
      <c r="L371" t="str">
        <f t="shared" si="5"/>
        <v>http://www.badatelna.eu/reprodukce/?fondId=1073&amp;zaznamId=1108959&amp;reproId=3780027</v>
      </c>
      <c r="M371">
        <f>VLOOKUP(F371,Sheet2!$B$1:$E$19,2,FALSE)</f>
        <v>1073</v>
      </c>
      <c r="N371">
        <f>VLOOKUP(F371,Sheet2!$B$1:$E$19,3,FALSE)</f>
        <v>1108959</v>
      </c>
      <c r="O371">
        <f>IF(G371="Not available","",VLOOKUP(F371,Sheet2!$B$1:$E$19,4,FALSE)+(G371-1))</f>
        <v>3780027</v>
      </c>
    </row>
    <row r="372" spans="1:15" s="1" customFormat="1" ht="15" customHeight="1" x14ac:dyDescent="0.25">
      <c r="A372" s="18" t="s">
        <v>35</v>
      </c>
      <c r="B372" s="18" t="s">
        <v>137</v>
      </c>
      <c r="C372" s="5">
        <v>1824</v>
      </c>
      <c r="E372" s="1" t="s">
        <v>2</v>
      </c>
      <c r="F372" s="18">
        <v>2173</v>
      </c>
      <c r="G372" s="18">
        <v>76</v>
      </c>
      <c r="H372" s="5">
        <v>145</v>
      </c>
      <c r="I372" s="1">
        <v>93</v>
      </c>
      <c r="J372" s="1">
        <v>194</v>
      </c>
      <c r="L372" t="str">
        <f t="shared" si="5"/>
        <v>http://www.badatelna.eu/reprodukce/?fondId=1073&amp;zaznamId=1108959&amp;reproId=3780069</v>
      </c>
      <c r="M372">
        <f>VLOOKUP(F372,Sheet2!$B$1:$E$19,2,FALSE)</f>
        <v>1073</v>
      </c>
      <c r="N372">
        <f>VLOOKUP(F372,Sheet2!$B$1:$E$19,3,FALSE)</f>
        <v>1108959</v>
      </c>
      <c r="O372">
        <f>IF(G372="Not available","",VLOOKUP(F372,Sheet2!$B$1:$E$19,4,FALSE)+(G372-1))</f>
        <v>3780069</v>
      </c>
    </row>
    <row r="373" spans="1:15" s="1" customFormat="1" ht="15" customHeight="1" x14ac:dyDescent="0.25">
      <c r="A373" s="18" t="s">
        <v>35</v>
      </c>
      <c r="B373" s="18" t="s">
        <v>437</v>
      </c>
      <c r="C373" s="5">
        <v>1850</v>
      </c>
      <c r="D373" s="1" t="s">
        <v>310</v>
      </c>
      <c r="E373" s="1" t="s">
        <v>2</v>
      </c>
      <c r="F373" s="18">
        <v>2164</v>
      </c>
      <c r="G373" s="18">
        <v>79</v>
      </c>
      <c r="H373" s="5">
        <v>77</v>
      </c>
      <c r="I373" s="1">
        <v>123</v>
      </c>
      <c r="J373" s="4" t="s">
        <v>3271</v>
      </c>
      <c r="L373" t="str">
        <f t="shared" si="5"/>
        <v>http://www.badatelna.eu/reprodukce/?fondId=1073&amp;zaznamId=1108951&amp;reproId=3778793</v>
      </c>
      <c r="M373">
        <f>VLOOKUP(F373,Sheet2!$B$1:$E$19,2,FALSE)</f>
        <v>1073</v>
      </c>
      <c r="N373">
        <f>VLOOKUP(F373,Sheet2!$B$1:$E$19,3,FALSE)</f>
        <v>1108951</v>
      </c>
      <c r="O373">
        <f>IF(G373="Not available","",VLOOKUP(F373,Sheet2!$B$1:$E$19,4,FALSE)+(G373-1))</f>
        <v>3778793</v>
      </c>
    </row>
    <row r="374" spans="1:15" s="1" customFormat="1" ht="15" customHeight="1" x14ac:dyDescent="0.25">
      <c r="A374" s="18" t="s">
        <v>35</v>
      </c>
      <c r="B374" s="18" t="s">
        <v>602</v>
      </c>
      <c r="C374" s="5" t="s">
        <v>1303</v>
      </c>
      <c r="D374" s="1" t="s">
        <v>632</v>
      </c>
      <c r="E374" s="1" t="s">
        <v>2</v>
      </c>
      <c r="F374" s="18">
        <v>2165</v>
      </c>
      <c r="G374" s="18">
        <v>18</v>
      </c>
      <c r="H374" s="5">
        <v>15</v>
      </c>
      <c r="I374" s="1">
        <v>80</v>
      </c>
      <c r="J374" s="1" t="s">
        <v>3271</v>
      </c>
      <c r="L374" t="str">
        <f t="shared" si="5"/>
        <v>http://www.badatelna.eu/reprodukce/?fondId=1073&amp;zaznamId=1108952&amp;reproId=3778879</v>
      </c>
      <c r="M374">
        <f>VLOOKUP(F374,Sheet2!$B$1:$E$19,2,FALSE)</f>
        <v>1073</v>
      </c>
      <c r="N374">
        <f>VLOOKUP(F374,Sheet2!$B$1:$E$19,3,FALSE)</f>
        <v>1108952</v>
      </c>
      <c r="O374">
        <f>IF(G374="Not available","",VLOOKUP(F374,Sheet2!$B$1:$E$19,4,FALSE)+(G374-1))</f>
        <v>3778879</v>
      </c>
    </row>
    <row r="375" spans="1:15" s="1" customFormat="1" ht="15" customHeight="1" x14ac:dyDescent="0.25">
      <c r="A375" s="18" t="s">
        <v>35</v>
      </c>
      <c r="B375" s="18" t="s">
        <v>212</v>
      </c>
      <c r="C375" s="5">
        <v>1848</v>
      </c>
      <c r="D375" s="1" t="s">
        <v>74</v>
      </c>
      <c r="E375" s="1" t="s">
        <v>2</v>
      </c>
      <c r="F375" s="18">
        <v>2164</v>
      </c>
      <c r="G375" s="18">
        <v>19</v>
      </c>
      <c r="H375" s="5">
        <v>17</v>
      </c>
      <c r="I375" s="1">
        <v>123</v>
      </c>
      <c r="J375" s="4" t="s">
        <v>3271</v>
      </c>
      <c r="L375" t="str">
        <f t="shared" si="5"/>
        <v>http://www.badatelna.eu/reprodukce/?fondId=1073&amp;zaznamId=1108951&amp;reproId=3778733</v>
      </c>
      <c r="M375">
        <f>VLOOKUP(F375,Sheet2!$B$1:$E$19,2,FALSE)</f>
        <v>1073</v>
      </c>
      <c r="N375">
        <f>VLOOKUP(F375,Sheet2!$B$1:$E$19,3,FALSE)</f>
        <v>1108951</v>
      </c>
      <c r="O375">
        <f>IF(G375="Not available","",VLOOKUP(F375,Sheet2!$B$1:$E$19,4,FALSE)+(G375-1))</f>
        <v>3778733</v>
      </c>
    </row>
    <row r="376" spans="1:15" s="1" customFormat="1" ht="15" customHeight="1" x14ac:dyDescent="0.25">
      <c r="A376" s="18" t="s">
        <v>35</v>
      </c>
      <c r="B376" s="18" t="s">
        <v>172</v>
      </c>
      <c r="C376" s="5">
        <v>1864</v>
      </c>
      <c r="E376" s="1" t="s">
        <v>939</v>
      </c>
      <c r="F376" s="18">
        <v>999</v>
      </c>
      <c r="G376" s="18">
        <v>51</v>
      </c>
      <c r="H376" s="5">
        <v>49</v>
      </c>
      <c r="I376" s="1">
        <v>63</v>
      </c>
      <c r="J376" s="1">
        <v>96</v>
      </c>
      <c r="L376" t="str">
        <f t="shared" si="5"/>
        <v>http://www.badatelna.eu/reprodukce/?fondId=241&amp;zaznamId=1133739&amp;reproId=3885780</v>
      </c>
      <c r="M376">
        <f>VLOOKUP(F376,Sheet2!$B$1:$E$19,2,FALSE)</f>
        <v>241</v>
      </c>
      <c r="N376">
        <f>VLOOKUP(F376,Sheet2!$B$1:$E$19,3,FALSE)</f>
        <v>1133739</v>
      </c>
      <c r="O376">
        <f>IF(G376="Not available","",VLOOKUP(F376,Sheet2!$B$1:$E$19,4,FALSE)+(G376-1))</f>
        <v>3885780</v>
      </c>
    </row>
    <row r="377" spans="1:15" s="1" customFormat="1" ht="15" customHeight="1" x14ac:dyDescent="0.25">
      <c r="A377" s="18" t="s">
        <v>35</v>
      </c>
      <c r="B377" s="18" t="s">
        <v>56</v>
      </c>
      <c r="C377" s="5">
        <v>1799</v>
      </c>
      <c r="D377" s="1" t="s">
        <v>17</v>
      </c>
      <c r="E377" s="1" t="s">
        <v>2</v>
      </c>
      <c r="F377" s="18">
        <v>2173</v>
      </c>
      <c r="G377" s="18">
        <v>39</v>
      </c>
      <c r="H377" s="14" t="s">
        <v>3089</v>
      </c>
      <c r="I377" s="1">
        <v>92</v>
      </c>
      <c r="J377" s="1">
        <v>190</v>
      </c>
      <c r="L377" t="str">
        <f t="shared" si="5"/>
        <v>http://www.badatelna.eu/reprodukce/?fondId=1073&amp;zaznamId=1108959&amp;reproId=3780032</v>
      </c>
      <c r="M377">
        <f>VLOOKUP(F377,Sheet2!$B$1:$E$19,2,FALSE)</f>
        <v>1073</v>
      </c>
      <c r="N377">
        <f>VLOOKUP(F377,Sheet2!$B$1:$E$19,3,FALSE)</f>
        <v>1108959</v>
      </c>
      <c r="O377">
        <f>IF(G377="Not available","",VLOOKUP(F377,Sheet2!$B$1:$E$19,4,FALSE)+(G377-1))</f>
        <v>3780032</v>
      </c>
    </row>
    <row r="378" spans="1:15" s="1" customFormat="1" ht="15" customHeight="1" x14ac:dyDescent="0.25">
      <c r="A378" s="18" t="s">
        <v>35</v>
      </c>
      <c r="B378" s="18" t="s">
        <v>56</v>
      </c>
      <c r="C378" s="5">
        <v>1805</v>
      </c>
      <c r="E378" s="1" t="s">
        <v>2</v>
      </c>
      <c r="F378" s="18">
        <v>2173</v>
      </c>
      <c r="G378" s="18">
        <v>40</v>
      </c>
      <c r="H378" s="5">
        <v>94</v>
      </c>
      <c r="I378" s="1">
        <v>92</v>
      </c>
      <c r="J378" s="1">
        <v>190</v>
      </c>
      <c r="L378" t="str">
        <f t="shared" si="5"/>
        <v>http://www.badatelna.eu/reprodukce/?fondId=1073&amp;zaznamId=1108959&amp;reproId=3780033</v>
      </c>
      <c r="M378">
        <f>VLOOKUP(F378,Sheet2!$B$1:$E$19,2,FALSE)</f>
        <v>1073</v>
      </c>
      <c r="N378">
        <f>VLOOKUP(F378,Sheet2!$B$1:$E$19,3,FALSE)</f>
        <v>1108959</v>
      </c>
      <c r="O378">
        <f>IF(G378="Not available","",VLOOKUP(F378,Sheet2!$B$1:$E$19,4,FALSE)+(G378-1))</f>
        <v>3780033</v>
      </c>
    </row>
    <row r="379" spans="1:15" s="2" customFormat="1" ht="15" customHeight="1" x14ac:dyDescent="0.25">
      <c r="A379" s="19" t="s">
        <v>35</v>
      </c>
      <c r="B379" s="18" t="s">
        <v>56</v>
      </c>
      <c r="C379" s="6" t="s">
        <v>3331</v>
      </c>
      <c r="D379" s="1"/>
      <c r="E379" s="1" t="s">
        <v>2</v>
      </c>
      <c r="F379" s="18">
        <v>2173</v>
      </c>
      <c r="G379" s="18">
        <v>70</v>
      </c>
      <c r="H379" s="5">
        <v>133</v>
      </c>
      <c r="I379" s="1">
        <v>93</v>
      </c>
      <c r="J379" s="1">
        <v>194</v>
      </c>
      <c r="K379" s="1"/>
      <c r="L379" t="str">
        <f t="shared" si="5"/>
        <v>http://www.badatelna.eu/reprodukce/?fondId=1073&amp;zaznamId=1108959&amp;reproId=3780063</v>
      </c>
      <c r="M379">
        <f>VLOOKUP(F379,Sheet2!$B$1:$E$19,2,FALSE)</f>
        <v>1073</v>
      </c>
      <c r="N379">
        <f>VLOOKUP(F379,Sheet2!$B$1:$E$19,3,FALSE)</f>
        <v>1108959</v>
      </c>
      <c r="O379">
        <f>IF(G379="Not available","",VLOOKUP(F379,Sheet2!$B$1:$E$19,4,FALSE)+(G379-1))</f>
        <v>3780063</v>
      </c>
    </row>
    <row r="380" spans="1:15" s="1" customFormat="1" ht="15" customHeight="1" x14ac:dyDescent="0.25">
      <c r="A380" s="18" t="s">
        <v>35</v>
      </c>
      <c r="B380" s="18" t="s">
        <v>132</v>
      </c>
      <c r="C380" s="5">
        <v>1812</v>
      </c>
      <c r="E380" s="1" t="s">
        <v>2</v>
      </c>
      <c r="F380" s="18">
        <v>2173</v>
      </c>
      <c r="G380" s="18">
        <v>59</v>
      </c>
      <c r="H380" s="5">
        <v>112</v>
      </c>
      <c r="I380" s="1">
        <v>92</v>
      </c>
      <c r="J380" s="1">
        <v>190</v>
      </c>
      <c r="L380" t="str">
        <f t="shared" si="5"/>
        <v>http://www.badatelna.eu/reprodukce/?fondId=1073&amp;zaznamId=1108959&amp;reproId=3780052</v>
      </c>
      <c r="M380">
        <f>VLOOKUP(F380,Sheet2!$B$1:$E$19,2,FALSE)</f>
        <v>1073</v>
      </c>
      <c r="N380">
        <f>VLOOKUP(F380,Sheet2!$B$1:$E$19,3,FALSE)</f>
        <v>1108959</v>
      </c>
      <c r="O380">
        <f>IF(G380="Not available","",VLOOKUP(F380,Sheet2!$B$1:$E$19,4,FALSE)+(G380-1))</f>
        <v>3780052</v>
      </c>
    </row>
    <row r="381" spans="1:15" s="1" customFormat="1" ht="15" customHeight="1" x14ac:dyDescent="0.25">
      <c r="A381" s="18" t="s">
        <v>35</v>
      </c>
      <c r="B381" s="18" t="s">
        <v>634</v>
      </c>
      <c r="C381" s="5">
        <v>1845</v>
      </c>
      <c r="D381" s="1" t="s">
        <v>233</v>
      </c>
      <c r="E381" s="1" t="s">
        <v>2</v>
      </c>
      <c r="F381" s="18">
        <v>2174</v>
      </c>
      <c r="G381" s="18">
        <v>160</v>
      </c>
      <c r="H381" s="6" t="s">
        <v>3223</v>
      </c>
      <c r="I381" s="1">
        <v>181</v>
      </c>
      <c r="J381" s="1">
        <v>206</v>
      </c>
      <c r="L381" t="str">
        <f t="shared" si="5"/>
        <v>http://www.badatelna.eu/reprodukce/?fondId=1073&amp;zaznamId=1108960&amp;reproId=3780384</v>
      </c>
      <c r="M381">
        <f>VLOOKUP(F381,Sheet2!$B$1:$E$19,2,FALSE)</f>
        <v>1073</v>
      </c>
      <c r="N381">
        <f>VLOOKUP(F381,Sheet2!$B$1:$E$19,3,FALSE)</f>
        <v>1108960</v>
      </c>
      <c r="O381">
        <f>IF(G381="Not available","",VLOOKUP(F381,Sheet2!$B$1:$E$19,4,FALSE)+(G381-1))</f>
        <v>3780384</v>
      </c>
    </row>
    <row r="382" spans="1:15" s="1" customFormat="1" ht="15" customHeight="1" x14ac:dyDescent="0.25">
      <c r="A382" s="18" t="s">
        <v>35</v>
      </c>
      <c r="B382" s="18" t="s">
        <v>55</v>
      </c>
      <c r="C382" s="5">
        <v>1832</v>
      </c>
      <c r="D382" s="1" t="s">
        <v>101</v>
      </c>
      <c r="E382" s="1" t="s">
        <v>2</v>
      </c>
      <c r="F382" s="18">
        <v>2174</v>
      </c>
      <c r="G382" s="18">
        <v>70</v>
      </c>
      <c r="H382" s="6" t="s">
        <v>3135</v>
      </c>
      <c r="I382" s="1">
        <v>180</v>
      </c>
      <c r="J382" s="1">
        <v>204</v>
      </c>
      <c r="L382" t="str">
        <f t="shared" si="5"/>
        <v>http://www.badatelna.eu/reprodukce/?fondId=1073&amp;zaznamId=1108960&amp;reproId=3780294</v>
      </c>
      <c r="M382">
        <f>VLOOKUP(F382,Sheet2!$B$1:$E$19,2,FALSE)</f>
        <v>1073</v>
      </c>
      <c r="N382">
        <f>VLOOKUP(F382,Sheet2!$B$1:$E$19,3,FALSE)</f>
        <v>1108960</v>
      </c>
      <c r="O382">
        <f>IF(G382="Not available","",VLOOKUP(F382,Sheet2!$B$1:$E$19,4,FALSE)+(G382-1))</f>
        <v>3780294</v>
      </c>
    </row>
    <row r="383" spans="1:15" s="1" customFormat="1" ht="15" customHeight="1" x14ac:dyDescent="0.25">
      <c r="A383" s="18" t="s">
        <v>35</v>
      </c>
      <c r="B383" s="18" t="s">
        <v>55</v>
      </c>
      <c r="C383" s="5">
        <v>1852</v>
      </c>
      <c r="D383" s="1" t="s">
        <v>823</v>
      </c>
      <c r="E383" s="1" t="s">
        <v>2</v>
      </c>
      <c r="F383" s="18">
        <v>2164</v>
      </c>
      <c r="G383" s="18">
        <v>86</v>
      </c>
      <c r="H383" s="5">
        <v>84</v>
      </c>
      <c r="I383" s="1">
        <v>123</v>
      </c>
      <c r="J383" s="4" t="s">
        <v>3271</v>
      </c>
      <c r="L383" t="str">
        <f t="shared" si="5"/>
        <v>http://www.badatelna.eu/reprodukce/?fondId=1073&amp;zaznamId=1108951&amp;reproId=3778800</v>
      </c>
      <c r="M383">
        <f>VLOOKUP(F383,Sheet2!$B$1:$E$19,2,FALSE)</f>
        <v>1073</v>
      </c>
      <c r="N383">
        <f>VLOOKUP(F383,Sheet2!$B$1:$E$19,3,FALSE)</f>
        <v>1108951</v>
      </c>
      <c r="O383">
        <f>IF(G383="Not available","",VLOOKUP(F383,Sheet2!$B$1:$E$19,4,FALSE)+(G383-1))</f>
        <v>3778800</v>
      </c>
    </row>
    <row r="384" spans="1:15" s="1" customFormat="1" ht="15" customHeight="1" x14ac:dyDescent="0.25">
      <c r="A384" s="18" t="s">
        <v>35</v>
      </c>
      <c r="B384" s="18" t="s">
        <v>605</v>
      </c>
      <c r="C384" s="5">
        <v>1831</v>
      </c>
      <c r="D384" s="1" t="s">
        <v>606</v>
      </c>
      <c r="E384" s="1" t="s">
        <v>2</v>
      </c>
      <c r="F384" s="18">
        <v>2174</v>
      </c>
      <c r="G384" s="18">
        <v>63</v>
      </c>
      <c r="H384" s="6" t="s">
        <v>3107</v>
      </c>
      <c r="I384" s="1">
        <v>180</v>
      </c>
      <c r="J384" s="1">
        <v>204</v>
      </c>
      <c r="L384" t="str">
        <f t="shared" si="5"/>
        <v>http://www.badatelna.eu/reprodukce/?fondId=1073&amp;zaznamId=1108960&amp;reproId=3780287</v>
      </c>
      <c r="M384">
        <f>VLOOKUP(F384,Sheet2!$B$1:$E$19,2,FALSE)</f>
        <v>1073</v>
      </c>
      <c r="N384">
        <f>VLOOKUP(F384,Sheet2!$B$1:$E$19,3,FALSE)</f>
        <v>1108960</v>
      </c>
      <c r="O384">
        <f>IF(G384="Not available","",VLOOKUP(F384,Sheet2!$B$1:$E$19,4,FALSE)+(G384-1))</f>
        <v>3780287</v>
      </c>
    </row>
    <row r="385" spans="1:15" s="1" customFormat="1" ht="15" customHeight="1" x14ac:dyDescent="0.25">
      <c r="A385" s="21" t="s">
        <v>35</v>
      </c>
      <c r="B385" s="20" t="s">
        <v>22</v>
      </c>
      <c r="C385" s="7">
        <v>1785</v>
      </c>
      <c r="D385" s="2" t="s">
        <v>13</v>
      </c>
      <c r="E385" s="1" t="s">
        <v>2</v>
      </c>
      <c r="F385" s="18">
        <v>2173</v>
      </c>
      <c r="G385" s="21">
        <v>9</v>
      </c>
      <c r="H385" s="7">
        <v>12</v>
      </c>
      <c r="I385" s="2">
        <v>91</v>
      </c>
      <c r="J385" s="2">
        <v>189</v>
      </c>
      <c r="K385" s="2"/>
      <c r="L385" t="str">
        <f t="shared" si="5"/>
        <v>http://www.badatelna.eu/reprodukce/?fondId=1073&amp;zaznamId=1108959&amp;reproId=3780002</v>
      </c>
      <c r="M385">
        <f>VLOOKUP(F385,Sheet2!$B$1:$E$19,2,FALSE)</f>
        <v>1073</v>
      </c>
      <c r="N385">
        <f>VLOOKUP(F385,Sheet2!$B$1:$E$19,3,FALSE)</f>
        <v>1108959</v>
      </c>
      <c r="O385">
        <f>IF(G385="Not available","",VLOOKUP(F385,Sheet2!$B$1:$E$19,4,FALSE)+(G385-1))</f>
        <v>3780002</v>
      </c>
    </row>
    <row r="386" spans="1:15" s="1" customFormat="1" ht="15" customHeight="1" x14ac:dyDescent="0.25">
      <c r="A386" s="18" t="s">
        <v>35</v>
      </c>
      <c r="B386" s="18" t="s">
        <v>22</v>
      </c>
      <c r="C386" s="5">
        <v>1819</v>
      </c>
      <c r="E386" s="1" t="s">
        <v>2</v>
      </c>
      <c r="F386" s="18">
        <v>2173</v>
      </c>
      <c r="G386" s="18">
        <v>68</v>
      </c>
      <c r="H386" s="5">
        <v>130</v>
      </c>
      <c r="I386" s="1">
        <v>93</v>
      </c>
      <c r="J386" s="1">
        <v>194</v>
      </c>
      <c r="L386" t="str">
        <f t="shared" si="5"/>
        <v>http://www.badatelna.eu/reprodukce/?fondId=1073&amp;zaznamId=1108959&amp;reproId=3780061</v>
      </c>
      <c r="M386">
        <f>VLOOKUP(F386,Sheet2!$B$1:$E$19,2,FALSE)</f>
        <v>1073</v>
      </c>
      <c r="N386">
        <f>VLOOKUP(F386,Sheet2!$B$1:$E$19,3,FALSE)</f>
        <v>1108959</v>
      </c>
      <c r="O386">
        <f>IF(G386="Not available","",VLOOKUP(F386,Sheet2!$B$1:$E$19,4,FALSE)+(G386-1))</f>
        <v>3780061</v>
      </c>
    </row>
    <row r="387" spans="1:15" s="1" customFormat="1" ht="15" customHeight="1" x14ac:dyDescent="0.25">
      <c r="A387" s="18" t="s">
        <v>35</v>
      </c>
      <c r="B387" s="18" t="s">
        <v>233</v>
      </c>
      <c r="C387" s="5">
        <v>1839</v>
      </c>
      <c r="D387" s="1" t="s">
        <v>606</v>
      </c>
      <c r="E387" s="1" t="s">
        <v>2</v>
      </c>
      <c r="F387" s="18">
        <v>2174</v>
      </c>
      <c r="G387" s="18">
        <v>106</v>
      </c>
      <c r="H387" s="6" t="s">
        <v>3173</v>
      </c>
      <c r="I387" s="1">
        <v>181</v>
      </c>
      <c r="J387" s="1">
        <v>205</v>
      </c>
      <c r="L387" t="str">
        <f t="shared" ref="L387:L450" si="6">IF(G387="Not available","","http://www.badatelna.eu/reprodukce/?fondId="&amp;M387&amp;"&amp;zaznamId="&amp;N387&amp;"&amp;reproId="&amp;O387)</f>
        <v>http://www.badatelna.eu/reprodukce/?fondId=1073&amp;zaznamId=1108960&amp;reproId=3780330</v>
      </c>
      <c r="M387">
        <f>VLOOKUP(F387,Sheet2!$B$1:$E$19,2,FALSE)</f>
        <v>1073</v>
      </c>
      <c r="N387">
        <f>VLOOKUP(F387,Sheet2!$B$1:$E$19,3,FALSE)</f>
        <v>1108960</v>
      </c>
      <c r="O387">
        <f>IF(G387="Not available","",VLOOKUP(F387,Sheet2!$B$1:$E$19,4,FALSE)+(G387-1))</f>
        <v>3780330</v>
      </c>
    </row>
    <row r="388" spans="1:15" s="1" customFormat="1" ht="15" customHeight="1" x14ac:dyDescent="0.25">
      <c r="A388" s="18" t="s">
        <v>35</v>
      </c>
      <c r="B388" s="18" t="s">
        <v>233</v>
      </c>
      <c r="C388" s="5">
        <v>1853</v>
      </c>
      <c r="D388" s="1" t="s">
        <v>634</v>
      </c>
      <c r="E388" s="1" t="s">
        <v>2</v>
      </c>
      <c r="F388" s="18">
        <v>2164</v>
      </c>
      <c r="G388" s="18">
        <v>90</v>
      </c>
      <c r="H388" s="5">
        <v>88</v>
      </c>
      <c r="I388" s="1">
        <v>123</v>
      </c>
      <c r="J388" s="4" t="s">
        <v>3271</v>
      </c>
      <c r="L388" t="str">
        <f t="shared" si="6"/>
        <v>http://www.badatelna.eu/reprodukce/?fondId=1073&amp;zaznamId=1108951&amp;reproId=3778804</v>
      </c>
      <c r="M388">
        <f>VLOOKUP(F388,Sheet2!$B$1:$E$19,2,FALSE)</f>
        <v>1073</v>
      </c>
      <c r="N388">
        <f>VLOOKUP(F388,Sheet2!$B$1:$E$19,3,FALSE)</f>
        <v>1108951</v>
      </c>
      <c r="O388">
        <f>IF(G388="Not available","",VLOOKUP(F388,Sheet2!$B$1:$E$19,4,FALSE)+(G388-1))</f>
        <v>3778804</v>
      </c>
    </row>
    <row r="389" spans="1:15" s="1" customFormat="1" ht="15" customHeight="1" x14ac:dyDescent="0.25">
      <c r="A389" s="18" t="s">
        <v>35</v>
      </c>
      <c r="B389" s="18" t="s">
        <v>233</v>
      </c>
      <c r="C389" s="6" t="s">
        <v>2005</v>
      </c>
      <c r="D389" s="4" t="s">
        <v>2012</v>
      </c>
      <c r="E389" s="4" t="s">
        <v>2</v>
      </c>
      <c r="F389" s="18">
        <v>2176</v>
      </c>
      <c r="G389" s="18" t="s">
        <v>3271</v>
      </c>
      <c r="H389" s="6" t="s">
        <v>2013</v>
      </c>
      <c r="I389" s="1">
        <v>4</v>
      </c>
      <c r="J389" s="1" t="s">
        <v>3271</v>
      </c>
      <c r="L389" t="str">
        <f t="shared" si="6"/>
        <v/>
      </c>
      <c r="M389">
        <f>VLOOKUP(F389,Sheet2!$B$1:$E$19,2,FALSE)</f>
        <v>1073</v>
      </c>
      <c r="N389">
        <f>VLOOKUP(F389,Sheet2!$B$1:$E$19,3,FALSE)</f>
        <v>1108963</v>
      </c>
      <c r="O389" t="str">
        <f>IF(G389="Not available","",VLOOKUP(F389,Sheet2!$B$1:$E$19,4,FALSE)+(G389-1))</f>
        <v/>
      </c>
    </row>
    <row r="390" spans="1:15" s="1" customFormat="1" ht="15" customHeight="1" x14ac:dyDescent="0.25">
      <c r="A390" s="18" t="s">
        <v>35</v>
      </c>
      <c r="B390" s="18" t="s">
        <v>233</v>
      </c>
      <c r="C390" s="5" t="s">
        <v>1312</v>
      </c>
      <c r="D390" s="1" t="s">
        <v>44</v>
      </c>
      <c r="E390" s="1" t="s">
        <v>2</v>
      </c>
      <c r="F390" s="18">
        <v>2165</v>
      </c>
      <c r="G390" s="18">
        <v>32</v>
      </c>
      <c r="H390" s="5">
        <v>29</v>
      </c>
      <c r="I390" s="1">
        <v>81</v>
      </c>
      <c r="J390" s="1" t="s">
        <v>3271</v>
      </c>
      <c r="L390" t="str">
        <f t="shared" si="6"/>
        <v>http://www.badatelna.eu/reprodukce/?fondId=1073&amp;zaznamId=1108952&amp;reproId=3778893</v>
      </c>
      <c r="M390">
        <f>VLOOKUP(F390,Sheet2!$B$1:$E$19,2,FALSE)</f>
        <v>1073</v>
      </c>
      <c r="N390">
        <f>VLOOKUP(F390,Sheet2!$B$1:$E$19,3,FALSE)</f>
        <v>1108952</v>
      </c>
      <c r="O390">
        <f>IF(G390="Not available","",VLOOKUP(F390,Sheet2!$B$1:$E$19,4,FALSE)+(G390-1))</f>
        <v>3778893</v>
      </c>
    </row>
    <row r="391" spans="1:15" s="1" customFormat="1" ht="15" customHeight="1" x14ac:dyDescent="0.25">
      <c r="A391" s="21" t="s">
        <v>35</v>
      </c>
      <c r="B391" s="21" t="s">
        <v>7</v>
      </c>
      <c r="C391" s="7">
        <v>1792</v>
      </c>
      <c r="D391" s="2" t="s">
        <v>61</v>
      </c>
      <c r="E391" s="1" t="s">
        <v>2</v>
      </c>
      <c r="F391" s="18">
        <v>2173</v>
      </c>
      <c r="G391" s="21">
        <v>25</v>
      </c>
      <c r="H391" s="7">
        <v>47</v>
      </c>
      <c r="I391" s="2">
        <v>91</v>
      </c>
      <c r="J391" s="2">
        <v>189</v>
      </c>
      <c r="K391" s="2"/>
      <c r="L391" t="str">
        <f t="shared" si="6"/>
        <v>http://www.badatelna.eu/reprodukce/?fondId=1073&amp;zaznamId=1108959&amp;reproId=3780018</v>
      </c>
      <c r="M391">
        <f>VLOOKUP(F391,Sheet2!$B$1:$E$19,2,FALSE)</f>
        <v>1073</v>
      </c>
      <c r="N391">
        <f>VLOOKUP(F391,Sheet2!$B$1:$E$19,3,FALSE)</f>
        <v>1108959</v>
      </c>
      <c r="O391">
        <f>IF(G391="Not available","",VLOOKUP(F391,Sheet2!$B$1:$E$19,4,FALSE)+(G391-1))</f>
        <v>3780018</v>
      </c>
    </row>
    <row r="392" spans="1:15" s="1" customFormat="1" ht="15" customHeight="1" x14ac:dyDescent="0.25">
      <c r="A392" s="18" t="s">
        <v>35</v>
      </c>
      <c r="B392" s="18" t="s">
        <v>125</v>
      </c>
      <c r="C392" s="5">
        <v>1810</v>
      </c>
      <c r="E392" s="1" t="s">
        <v>2</v>
      </c>
      <c r="F392" s="18">
        <v>2173</v>
      </c>
      <c r="G392" s="18">
        <v>56</v>
      </c>
      <c r="H392" s="5">
        <v>106</v>
      </c>
      <c r="I392" s="1">
        <v>92</v>
      </c>
      <c r="J392" s="1">
        <v>190</v>
      </c>
      <c r="L392" t="str">
        <f t="shared" si="6"/>
        <v>http://www.badatelna.eu/reprodukce/?fondId=1073&amp;zaznamId=1108959&amp;reproId=3780049</v>
      </c>
      <c r="M392">
        <f>VLOOKUP(F392,Sheet2!$B$1:$E$19,2,FALSE)</f>
        <v>1073</v>
      </c>
      <c r="N392">
        <f>VLOOKUP(F392,Sheet2!$B$1:$E$19,3,FALSE)</f>
        <v>1108959</v>
      </c>
      <c r="O392">
        <f>IF(G392="Not available","",VLOOKUP(F392,Sheet2!$B$1:$E$19,4,FALSE)+(G392-1))</f>
        <v>3780049</v>
      </c>
    </row>
    <row r="393" spans="1:15" s="1" customFormat="1" ht="15" customHeight="1" x14ac:dyDescent="0.25">
      <c r="A393" s="18" t="s">
        <v>35</v>
      </c>
      <c r="B393" s="19" t="s">
        <v>3099</v>
      </c>
      <c r="C393" s="5">
        <v>1815</v>
      </c>
      <c r="E393" s="1" t="s">
        <v>2</v>
      </c>
      <c r="F393" s="18">
        <v>2173</v>
      </c>
      <c r="G393" s="18">
        <v>63</v>
      </c>
      <c r="H393" s="5">
        <v>121</v>
      </c>
      <c r="I393" s="1">
        <v>92</v>
      </c>
      <c r="J393" s="1">
        <v>190</v>
      </c>
      <c r="L393" t="str">
        <f t="shared" si="6"/>
        <v>http://www.badatelna.eu/reprodukce/?fondId=1073&amp;zaznamId=1108959&amp;reproId=3780056</v>
      </c>
      <c r="M393">
        <f>VLOOKUP(F393,Sheet2!$B$1:$E$19,2,FALSE)</f>
        <v>1073</v>
      </c>
      <c r="N393">
        <f>VLOOKUP(F393,Sheet2!$B$1:$E$19,3,FALSE)</f>
        <v>1108959</v>
      </c>
      <c r="O393">
        <f>IF(G393="Not available","",VLOOKUP(F393,Sheet2!$B$1:$E$19,4,FALSE)+(G393-1))</f>
        <v>3780056</v>
      </c>
    </row>
    <row r="394" spans="1:15" s="1" customFormat="1" ht="15" customHeight="1" x14ac:dyDescent="0.25">
      <c r="A394" s="18" t="s">
        <v>35</v>
      </c>
      <c r="B394" s="18" t="s">
        <v>625</v>
      </c>
      <c r="C394" s="5">
        <v>1841</v>
      </c>
      <c r="D394" s="1" t="s">
        <v>233</v>
      </c>
      <c r="E394" s="1" t="s">
        <v>2</v>
      </c>
      <c r="F394" s="18">
        <v>2174</v>
      </c>
      <c r="G394" s="18">
        <v>120</v>
      </c>
      <c r="H394" s="16" t="s">
        <v>3183</v>
      </c>
      <c r="I394" s="1">
        <v>181</v>
      </c>
      <c r="J394" s="1">
        <v>205</v>
      </c>
      <c r="L394" t="str">
        <f t="shared" si="6"/>
        <v>http://www.badatelna.eu/reprodukce/?fondId=1073&amp;zaznamId=1108960&amp;reproId=3780344</v>
      </c>
      <c r="M394">
        <f>VLOOKUP(F394,Sheet2!$B$1:$E$19,2,FALSE)</f>
        <v>1073</v>
      </c>
      <c r="N394">
        <f>VLOOKUP(F394,Sheet2!$B$1:$E$19,3,FALSE)</f>
        <v>1108960</v>
      </c>
      <c r="O394">
        <f>IF(G394="Not available","",VLOOKUP(F394,Sheet2!$B$1:$E$19,4,FALSE)+(G394-1))</f>
        <v>3780344</v>
      </c>
    </row>
    <row r="395" spans="1:15" s="1" customFormat="1" ht="15" customHeight="1" x14ac:dyDescent="0.25">
      <c r="A395" s="18" t="s">
        <v>35</v>
      </c>
      <c r="B395" s="18" t="s">
        <v>105</v>
      </c>
      <c r="C395" s="6" t="s">
        <v>3018</v>
      </c>
      <c r="E395" s="1" t="s">
        <v>2</v>
      </c>
      <c r="F395" s="18">
        <v>2173</v>
      </c>
      <c r="G395" s="18">
        <v>46</v>
      </c>
      <c r="H395" s="14" t="s">
        <v>2889</v>
      </c>
      <c r="I395" s="1">
        <v>92</v>
      </c>
      <c r="J395" s="1">
        <v>190</v>
      </c>
      <c r="L395" t="str">
        <f t="shared" si="6"/>
        <v>http://www.badatelna.eu/reprodukce/?fondId=1073&amp;zaznamId=1108959&amp;reproId=3780039</v>
      </c>
      <c r="M395">
        <f>VLOOKUP(F395,Sheet2!$B$1:$E$19,2,FALSE)</f>
        <v>1073</v>
      </c>
      <c r="N395">
        <f>VLOOKUP(F395,Sheet2!$B$1:$E$19,3,FALSE)</f>
        <v>1108959</v>
      </c>
      <c r="O395">
        <f>IF(G395="Not available","",VLOOKUP(F395,Sheet2!$B$1:$E$19,4,FALSE)+(G395-1))</f>
        <v>3780039</v>
      </c>
    </row>
    <row r="396" spans="1:15" s="1" customFormat="1" ht="15" customHeight="1" x14ac:dyDescent="0.25">
      <c r="A396" s="18" t="s">
        <v>35</v>
      </c>
      <c r="B396" s="18" t="s">
        <v>131</v>
      </c>
      <c r="C396" s="5">
        <v>1812</v>
      </c>
      <c r="E396" s="1" t="s">
        <v>2</v>
      </c>
      <c r="F396" s="18">
        <v>2173</v>
      </c>
      <c r="G396" s="18">
        <v>59</v>
      </c>
      <c r="H396" s="5">
        <v>112</v>
      </c>
      <c r="I396" s="1">
        <v>92</v>
      </c>
      <c r="J396" s="1">
        <v>190</v>
      </c>
      <c r="L396" t="str">
        <f t="shared" si="6"/>
        <v>http://www.badatelna.eu/reprodukce/?fondId=1073&amp;zaznamId=1108959&amp;reproId=3780052</v>
      </c>
      <c r="M396">
        <f>VLOOKUP(F396,Sheet2!$B$1:$E$19,2,FALSE)</f>
        <v>1073</v>
      </c>
      <c r="N396">
        <f>VLOOKUP(F396,Sheet2!$B$1:$E$19,3,FALSE)</f>
        <v>1108959</v>
      </c>
      <c r="O396">
        <f>IF(G396="Not available","",VLOOKUP(F396,Sheet2!$B$1:$E$19,4,FALSE)+(G396-1))</f>
        <v>3780052</v>
      </c>
    </row>
    <row r="397" spans="1:15" s="1" customFormat="1" ht="15" customHeight="1" x14ac:dyDescent="0.25">
      <c r="A397" s="18" t="s">
        <v>35</v>
      </c>
      <c r="B397" s="18" t="s">
        <v>25</v>
      </c>
      <c r="C397" s="5">
        <v>1850</v>
      </c>
      <c r="D397" s="1" t="s">
        <v>634</v>
      </c>
      <c r="E397" s="1" t="s">
        <v>2</v>
      </c>
      <c r="F397" s="18">
        <v>2164</v>
      </c>
      <c r="G397" s="18">
        <v>75</v>
      </c>
      <c r="H397" s="5">
        <v>73</v>
      </c>
      <c r="I397" s="1">
        <v>123</v>
      </c>
      <c r="J397" s="4" t="s">
        <v>3271</v>
      </c>
      <c r="L397" t="str">
        <f t="shared" si="6"/>
        <v>http://www.badatelna.eu/reprodukce/?fondId=1073&amp;zaznamId=1108951&amp;reproId=3778789</v>
      </c>
      <c r="M397">
        <f>VLOOKUP(F397,Sheet2!$B$1:$E$19,2,FALSE)</f>
        <v>1073</v>
      </c>
      <c r="N397">
        <f>VLOOKUP(F397,Sheet2!$B$1:$E$19,3,FALSE)</f>
        <v>1108951</v>
      </c>
      <c r="O397">
        <f>IF(G397="Not available","",VLOOKUP(F397,Sheet2!$B$1:$E$19,4,FALSE)+(G397-1))</f>
        <v>3778789</v>
      </c>
    </row>
    <row r="398" spans="1:15" s="1" customFormat="1" ht="15" customHeight="1" x14ac:dyDescent="0.25">
      <c r="A398" s="18" t="s">
        <v>35</v>
      </c>
      <c r="B398" s="18" t="s">
        <v>21</v>
      </c>
      <c r="C398" s="5">
        <v>1794</v>
      </c>
      <c r="D398" s="1" t="s">
        <v>75</v>
      </c>
      <c r="E398" s="1" t="s">
        <v>2</v>
      </c>
      <c r="F398" s="18">
        <v>2173</v>
      </c>
      <c r="G398" s="18">
        <v>31</v>
      </c>
      <c r="H398" s="5">
        <v>57</v>
      </c>
      <c r="I398" s="1">
        <v>92</v>
      </c>
      <c r="J398" s="1">
        <v>190</v>
      </c>
      <c r="L398" t="str">
        <f t="shared" si="6"/>
        <v>http://www.badatelna.eu/reprodukce/?fondId=1073&amp;zaznamId=1108959&amp;reproId=3780024</v>
      </c>
      <c r="M398">
        <f>VLOOKUP(F398,Sheet2!$B$1:$E$19,2,FALSE)</f>
        <v>1073</v>
      </c>
      <c r="N398">
        <f>VLOOKUP(F398,Sheet2!$B$1:$E$19,3,FALSE)</f>
        <v>1108959</v>
      </c>
      <c r="O398">
        <f>IF(G398="Not available","",VLOOKUP(F398,Sheet2!$B$1:$E$19,4,FALSE)+(G398-1))</f>
        <v>3780024</v>
      </c>
    </row>
    <row r="399" spans="1:15" s="1" customFormat="1" ht="15" customHeight="1" x14ac:dyDescent="0.25">
      <c r="A399" s="18" t="s">
        <v>35</v>
      </c>
      <c r="B399" s="18" t="s">
        <v>21</v>
      </c>
      <c r="C399" s="5">
        <v>1834</v>
      </c>
      <c r="D399" s="1" t="s">
        <v>12</v>
      </c>
      <c r="E399" s="1" t="s">
        <v>2</v>
      </c>
      <c r="F399" s="18">
        <v>2174</v>
      </c>
      <c r="G399" s="18">
        <v>79</v>
      </c>
      <c r="H399" s="6" t="s">
        <v>3145</v>
      </c>
      <c r="I399" s="1">
        <v>180</v>
      </c>
      <c r="J399" s="1">
        <v>204</v>
      </c>
      <c r="L399" t="str">
        <f t="shared" si="6"/>
        <v>http://www.badatelna.eu/reprodukce/?fondId=1073&amp;zaznamId=1108960&amp;reproId=3780303</v>
      </c>
      <c r="M399">
        <f>VLOOKUP(F399,Sheet2!$B$1:$E$19,2,FALSE)</f>
        <v>1073</v>
      </c>
      <c r="N399">
        <f>VLOOKUP(F399,Sheet2!$B$1:$E$19,3,FALSE)</f>
        <v>1108960</v>
      </c>
      <c r="O399">
        <f>IF(G399="Not available","",VLOOKUP(F399,Sheet2!$B$1:$E$19,4,FALSE)+(G399-1))</f>
        <v>3780303</v>
      </c>
    </row>
    <row r="400" spans="1:15" s="1" customFormat="1" ht="15" customHeight="1" x14ac:dyDescent="0.25">
      <c r="A400" s="18" t="s">
        <v>35</v>
      </c>
      <c r="B400" s="18" t="s">
        <v>115</v>
      </c>
      <c r="C400" s="5">
        <v>1808</v>
      </c>
      <c r="E400" s="1" t="s">
        <v>2</v>
      </c>
      <c r="F400" s="18">
        <v>2173</v>
      </c>
      <c r="G400" s="18">
        <v>53</v>
      </c>
      <c r="H400" s="5">
        <v>101</v>
      </c>
      <c r="I400" s="1">
        <v>92</v>
      </c>
      <c r="J400" s="1">
        <v>190</v>
      </c>
      <c r="L400" t="str">
        <f t="shared" si="6"/>
        <v>http://www.badatelna.eu/reprodukce/?fondId=1073&amp;zaznamId=1108959&amp;reproId=3780046</v>
      </c>
      <c r="M400">
        <f>VLOOKUP(F400,Sheet2!$B$1:$E$19,2,FALSE)</f>
        <v>1073</v>
      </c>
      <c r="N400">
        <f>VLOOKUP(F400,Sheet2!$B$1:$E$19,3,FALSE)</f>
        <v>1108959</v>
      </c>
      <c r="O400">
        <f>IF(G400="Not available","",VLOOKUP(F400,Sheet2!$B$1:$E$19,4,FALSE)+(G400-1))</f>
        <v>3780046</v>
      </c>
    </row>
    <row r="401" spans="1:15" s="1" customFormat="1" ht="15" customHeight="1" x14ac:dyDescent="0.25">
      <c r="A401" s="18" t="s">
        <v>35</v>
      </c>
      <c r="B401" s="18" t="s">
        <v>341</v>
      </c>
      <c r="C401" s="5">
        <v>1843</v>
      </c>
      <c r="D401" s="1" t="s">
        <v>53</v>
      </c>
      <c r="E401" s="1" t="s">
        <v>2</v>
      </c>
      <c r="F401" s="18">
        <v>2174</v>
      </c>
      <c r="G401" s="18">
        <v>136</v>
      </c>
      <c r="H401" s="6" t="s">
        <v>3202</v>
      </c>
      <c r="I401" s="1">
        <v>181</v>
      </c>
      <c r="J401" s="1">
        <v>206</v>
      </c>
      <c r="L401" t="str">
        <f t="shared" si="6"/>
        <v>http://www.badatelna.eu/reprodukce/?fondId=1073&amp;zaznamId=1108960&amp;reproId=3780360</v>
      </c>
      <c r="M401">
        <f>VLOOKUP(F401,Sheet2!$B$1:$E$19,2,FALSE)</f>
        <v>1073</v>
      </c>
      <c r="N401">
        <f>VLOOKUP(F401,Sheet2!$B$1:$E$19,3,FALSE)</f>
        <v>1108960</v>
      </c>
      <c r="O401">
        <f>IF(G401="Not available","",VLOOKUP(F401,Sheet2!$B$1:$E$19,4,FALSE)+(G401-1))</f>
        <v>3780360</v>
      </c>
    </row>
    <row r="402" spans="1:15" s="1" customFormat="1" ht="15" customHeight="1" x14ac:dyDescent="0.25">
      <c r="A402" s="18" t="s">
        <v>35</v>
      </c>
      <c r="B402" s="18" t="s">
        <v>937</v>
      </c>
      <c r="C402" s="5" t="s">
        <v>1331</v>
      </c>
      <c r="D402" s="1" t="s">
        <v>1003</v>
      </c>
      <c r="E402" s="1" t="s">
        <v>2</v>
      </c>
      <c r="F402" s="18">
        <v>2165</v>
      </c>
      <c r="G402" s="18">
        <v>58</v>
      </c>
      <c r="H402" s="5">
        <v>55</v>
      </c>
      <c r="I402" s="1">
        <v>81</v>
      </c>
      <c r="J402" s="1" t="s">
        <v>3271</v>
      </c>
      <c r="L402" t="str">
        <f t="shared" si="6"/>
        <v>http://www.badatelna.eu/reprodukce/?fondId=1073&amp;zaznamId=1108952&amp;reproId=3778919</v>
      </c>
      <c r="M402">
        <f>VLOOKUP(F402,Sheet2!$B$1:$E$19,2,FALSE)</f>
        <v>1073</v>
      </c>
      <c r="N402">
        <f>VLOOKUP(F402,Sheet2!$B$1:$E$19,3,FALSE)</f>
        <v>1108952</v>
      </c>
      <c r="O402">
        <f>IF(G402="Not available","",VLOOKUP(F402,Sheet2!$B$1:$E$19,4,FALSE)+(G402-1))</f>
        <v>3778919</v>
      </c>
    </row>
    <row r="403" spans="1:15" s="1" customFormat="1" ht="15" customHeight="1" x14ac:dyDescent="0.25">
      <c r="A403" s="18" t="s">
        <v>35</v>
      </c>
      <c r="B403" s="18" t="s">
        <v>432</v>
      </c>
      <c r="C403" s="5">
        <v>1847</v>
      </c>
      <c r="D403" s="4" t="s">
        <v>53</v>
      </c>
      <c r="E403" s="1" t="s">
        <v>2</v>
      </c>
      <c r="F403" s="18">
        <v>2164</v>
      </c>
      <c r="G403" s="18">
        <v>14</v>
      </c>
      <c r="H403" s="5">
        <v>12</v>
      </c>
      <c r="I403" s="1">
        <v>123</v>
      </c>
      <c r="J403" s="4" t="s">
        <v>3271</v>
      </c>
      <c r="L403" t="str">
        <f t="shared" si="6"/>
        <v>http://www.badatelna.eu/reprodukce/?fondId=1073&amp;zaznamId=1108951&amp;reproId=3778728</v>
      </c>
      <c r="M403">
        <f>VLOOKUP(F403,Sheet2!$B$1:$E$19,2,FALSE)</f>
        <v>1073</v>
      </c>
      <c r="N403">
        <f>VLOOKUP(F403,Sheet2!$B$1:$E$19,3,FALSE)</f>
        <v>1108951</v>
      </c>
      <c r="O403">
        <f>IF(G403="Not available","",VLOOKUP(F403,Sheet2!$B$1:$E$19,4,FALSE)+(G403-1))</f>
        <v>3778728</v>
      </c>
    </row>
    <row r="404" spans="1:15" s="1" customFormat="1" ht="15" customHeight="1" x14ac:dyDescent="0.25">
      <c r="A404" s="18" t="s">
        <v>35</v>
      </c>
      <c r="B404" s="18" t="s">
        <v>617</v>
      </c>
      <c r="C404" s="5">
        <v>1836</v>
      </c>
      <c r="D404" s="1" t="s">
        <v>618</v>
      </c>
      <c r="E404" s="1" t="s">
        <v>2</v>
      </c>
      <c r="F404" s="18">
        <v>2174</v>
      </c>
      <c r="G404" s="18">
        <v>87</v>
      </c>
      <c r="H404" s="6" t="s">
        <v>3151</v>
      </c>
      <c r="I404" s="1">
        <v>180</v>
      </c>
      <c r="J404" s="1">
        <v>204</v>
      </c>
      <c r="L404" t="str">
        <f t="shared" si="6"/>
        <v>http://www.badatelna.eu/reprodukce/?fondId=1073&amp;zaznamId=1108960&amp;reproId=3780311</v>
      </c>
      <c r="M404">
        <f>VLOOKUP(F404,Sheet2!$B$1:$E$19,2,FALSE)</f>
        <v>1073</v>
      </c>
      <c r="N404">
        <f>VLOOKUP(F404,Sheet2!$B$1:$E$19,3,FALSE)</f>
        <v>1108960</v>
      </c>
      <c r="O404">
        <f>IF(G404="Not available","",VLOOKUP(F404,Sheet2!$B$1:$E$19,4,FALSE)+(G404-1))</f>
        <v>3780311</v>
      </c>
    </row>
    <row r="405" spans="1:15" s="1" customFormat="1" ht="15" customHeight="1" x14ac:dyDescent="0.25">
      <c r="A405" s="18" t="s">
        <v>35</v>
      </c>
      <c r="B405" s="18" t="s">
        <v>128</v>
      </c>
      <c r="C405" s="5">
        <v>1811</v>
      </c>
      <c r="E405" s="1" t="s">
        <v>2</v>
      </c>
      <c r="F405" s="18">
        <v>2173</v>
      </c>
      <c r="G405" s="18">
        <v>57</v>
      </c>
      <c r="H405" s="5">
        <v>109</v>
      </c>
      <c r="I405" s="1">
        <v>92</v>
      </c>
      <c r="J405" s="1">
        <v>190</v>
      </c>
      <c r="L405" t="str">
        <f t="shared" si="6"/>
        <v>http://www.badatelna.eu/reprodukce/?fondId=1073&amp;zaznamId=1108959&amp;reproId=3780050</v>
      </c>
      <c r="M405">
        <f>VLOOKUP(F405,Sheet2!$B$1:$E$19,2,FALSE)</f>
        <v>1073</v>
      </c>
      <c r="N405">
        <f>VLOOKUP(F405,Sheet2!$B$1:$E$19,3,FALSE)</f>
        <v>1108959</v>
      </c>
      <c r="O405">
        <f>IF(G405="Not available","",VLOOKUP(F405,Sheet2!$B$1:$E$19,4,FALSE)+(G405-1))</f>
        <v>3780050</v>
      </c>
    </row>
    <row r="406" spans="1:15" s="1" customFormat="1" ht="15" customHeight="1" x14ac:dyDescent="0.25">
      <c r="A406" s="18" t="s">
        <v>35</v>
      </c>
      <c r="B406" s="18" t="s">
        <v>434</v>
      </c>
      <c r="C406" s="5">
        <v>1848</v>
      </c>
      <c r="D406" s="1" t="s">
        <v>634</v>
      </c>
      <c r="E406" s="1" t="s">
        <v>2</v>
      </c>
      <c r="F406" s="18">
        <v>2164</v>
      </c>
      <c r="G406" s="18">
        <v>40</v>
      </c>
      <c r="H406" s="5">
        <v>38</v>
      </c>
      <c r="I406" s="1">
        <v>123</v>
      </c>
      <c r="J406" s="4" t="s">
        <v>3271</v>
      </c>
      <c r="L406" t="str">
        <f t="shared" si="6"/>
        <v>http://www.badatelna.eu/reprodukce/?fondId=1073&amp;zaznamId=1108951&amp;reproId=3778754</v>
      </c>
      <c r="M406">
        <f>VLOOKUP(F406,Sheet2!$B$1:$E$19,2,FALSE)</f>
        <v>1073</v>
      </c>
      <c r="N406">
        <f>VLOOKUP(F406,Sheet2!$B$1:$E$19,3,FALSE)</f>
        <v>1108951</v>
      </c>
      <c r="O406">
        <f>IF(G406="Not available","",VLOOKUP(F406,Sheet2!$B$1:$E$19,4,FALSE)+(G406-1))</f>
        <v>3778754</v>
      </c>
    </row>
    <row r="407" spans="1:15" s="1" customFormat="1" ht="15" customHeight="1" x14ac:dyDescent="0.25">
      <c r="A407" s="18" t="s">
        <v>35</v>
      </c>
      <c r="B407" s="18" t="s">
        <v>434</v>
      </c>
      <c r="C407" s="5">
        <v>1850</v>
      </c>
      <c r="D407" s="1" t="s">
        <v>807</v>
      </c>
      <c r="E407" s="1" t="s">
        <v>2</v>
      </c>
      <c r="F407" s="18">
        <v>2164</v>
      </c>
      <c r="G407" s="18">
        <v>66</v>
      </c>
      <c r="H407" s="5">
        <v>64</v>
      </c>
      <c r="I407" s="1">
        <v>123</v>
      </c>
      <c r="J407" s="4" t="s">
        <v>3271</v>
      </c>
      <c r="L407" t="str">
        <f t="shared" si="6"/>
        <v>http://www.badatelna.eu/reprodukce/?fondId=1073&amp;zaznamId=1108951&amp;reproId=3778780</v>
      </c>
      <c r="M407">
        <f>VLOOKUP(F407,Sheet2!$B$1:$E$19,2,FALSE)</f>
        <v>1073</v>
      </c>
      <c r="N407">
        <f>VLOOKUP(F407,Sheet2!$B$1:$E$19,3,FALSE)</f>
        <v>1108951</v>
      </c>
      <c r="O407">
        <f>IF(G407="Not available","",VLOOKUP(F407,Sheet2!$B$1:$E$19,4,FALSE)+(G407-1))</f>
        <v>3778780</v>
      </c>
    </row>
    <row r="408" spans="1:15" s="1" customFormat="1" ht="15" customHeight="1" x14ac:dyDescent="0.25">
      <c r="A408" s="18" t="s">
        <v>35</v>
      </c>
      <c r="B408" s="18" t="s">
        <v>434</v>
      </c>
      <c r="C408" s="6" t="s">
        <v>2860</v>
      </c>
      <c r="E408" s="1" t="s">
        <v>939</v>
      </c>
      <c r="F408" s="18">
        <v>999</v>
      </c>
      <c r="G408" s="18">
        <v>32</v>
      </c>
      <c r="H408" s="5">
        <v>30</v>
      </c>
      <c r="I408" s="1">
        <v>63</v>
      </c>
      <c r="J408" s="1">
        <v>96</v>
      </c>
      <c r="L408" t="str">
        <f t="shared" si="6"/>
        <v>http://www.badatelna.eu/reprodukce/?fondId=241&amp;zaznamId=1133739&amp;reproId=3885761</v>
      </c>
      <c r="M408">
        <f>VLOOKUP(F408,Sheet2!$B$1:$E$19,2,FALSE)</f>
        <v>241</v>
      </c>
      <c r="N408">
        <f>VLOOKUP(F408,Sheet2!$B$1:$E$19,3,FALSE)</f>
        <v>1133739</v>
      </c>
      <c r="O408">
        <f>IF(G408="Not available","",VLOOKUP(F408,Sheet2!$B$1:$E$19,4,FALSE)+(G408-1))</f>
        <v>3885761</v>
      </c>
    </row>
    <row r="409" spans="1:15" s="1" customFormat="1" ht="15" customHeight="1" x14ac:dyDescent="0.25">
      <c r="A409" s="18" t="s">
        <v>35</v>
      </c>
      <c r="B409" s="18" t="s">
        <v>152</v>
      </c>
      <c r="C409" s="5">
        <v>1826</v>
      </c>
      <c r="E409" s="1" t="s">
        <v>2</v>
      </c>
      <c r="F409" s="18">
        <v>2173</v>
      </c>
      <c r="G409" s="18">
        <v>91</v>
      </c>
      <c r="H409" s="5">
        <v>153</v>
      </c>
      <c r="I409" s="1">
        <v>93</v>
      </c>
      <c r="J409" s="1">
        <v>194</v>
      </c>
      <c r="L409" t="str">
        <f t="shared" si="6"/>
        <v>http://www.badatelna.eu/reprodukce/?fondId=1073&amp;zaznamId=1108959&amp;reproId=3780084</v>
      </c>
      <c r="M409">
        <f>VLOOKUP(F409,Sheet2!$B$1:$E$19,2,FALSE)</f>
        <v>1073</v>
      </c>
      <c r="N409">
        <f>VLOOKUP(F409,Sheet2!$B$1:$E$19,3,FALSE)</f>
        <v>1108959</v>
      </c>
      <c r="O409">
        <f>IF(G409="Not available","",VLOOKUP(F409,Sheet2!$B$1:$E$19,4,FALSE)+(G409-1))</f>
        <v>3780084</v>
      </c>
    </row>
    <row r="410" spans="1:15" s="1" customFormat="1" ht="15" customHeight="1" x14ac:dyDescent="0.25">
      <c r="A410" s="18" t="s">
        <v>35</v>
      </c>
      <c r="B410" s="18" t="s">
        <v>13</v>
      </c>
      <c r="C410" s="5">
        <v>1796</v>
      </c>
      <c r="D410" s="1" t="s">
        <v>89</v>
      </c>
      <c r="E410" s="1" t="s">
        <v>2</v>
      </c>
      <c r="F410" s="18">
        <v>2173</v>
      </c>
      <c r="G410" s="18">
        <v>35</v>
      </c>
      <c r="H410" s="5">
        <v>64</v>
      </c>
      <c r="I410" s="1">
        <v>92</v>
      </c>
      <c r="J410" s="1">
        <v>190</v>
      </c>
      <c r="L410" t="str">
        <f t="shared" si="6"/>
        <v>http://www.badatelna.eu/reprodukce/?fondId=1073&amp;zaznamId=1108959&amp;reproId=3780028</v>
      </c>
      <c r="M410">
        <f>VLOOKUP(F410,Sheet2!$B$1:$E$19,2,FALSE)</f>
        <v>1073</v>
      </c>
      <c r="N410">
        <f>VLOOKUP(F410,Sheet2!$B$1:$E$19,3,FALSE)</f>
        <v>1108959</v>
      </c>
      <c r="O410">
        <f>IF(G410="Not available","",VLOOKUP(F410,Sheet2!$B$1:$E$19,4,FALSE)+(G410-1))</f>
        <v>3780028</v>
      </c>
    </row>
    <row r="411" spans="1:15" s="1" customFormat="1" ht="15" customHeight="1" x14ac:dyDescent="0.25">
      <c r="A411" s="18" t="s">
        <v>35</v>
      </c>
      <c r="B411" s="18" t="s">
        <v>13</v>
      </c>
      <c r="C411" s="5">
        <v>1813</v>
      </c>
      <c r="E411" s="1" t="s">
        <v>2</v>
      </c>
      <c r="F411" s="18">
        <v>2173</v>
      </c>
      <c r="G411" s="18">
        <v>60</v>
      </c>
      <c r="H411" s="5">
        <v>115</v>
      </c>
      <c r="I411" s="1">
        <v>92</v>
      </c>
      <c r="J411" s="1">
        <v>190</v>
      </c>
      <c r="L411" t="str">
        <f t="shared" si="6"/>
        <v>http://www.badatelna.eu/reprodukce/?fondId=1073&amp;zaznamId=1108959&amp;reproId=3780053</v>
      </c>
      <c r="M411">
        <f>VLOOKUP(F411,Sheet2!$B$1:$E$19,2,FALSE)</f>
        <v>1073</v>
      </c>
      <c r="N411">
        <f>VLOOKUP(F411,Sheet2!$B$1:$E$19,3,FALSE)</f>
        <v>1108959</v>
      </c>
      <c r="O411">
        <f>IF(G411="Not available","",VLOOKUP(F411,Sheet2!$B$1:$E$19,4,FALSE)+(G411-1))</f>
        <v>3780053</v>
      </c>
    </row>
    <row r="412" spans="1:15" s="1" customFormat="1" ht="15" customHeight="1" x14ac:dyDescent="0.25">
      <c r="A412" s="18" t="s">
        <v>35</v>
      </c>
      <c r="B412" s="18" t="s">
        <v>112</v>
      </c>
      <c r="C412" s="5">
        <v>1808</v>
      </c>
      <c r="E412" s="1" t="s">
        <v>2</v>
      </c>
      <c r="F412" s="18">
        <v>2173</v>
      </c>
      <c r="G412" s="18">
        <v>53</v>
      </c>
      <c r="H412" s="5">
        <v>100</v>
      </c>
      <c r="I412" s="1">
        <v>92</v>
      </c>
      <c r="J412" s="1">
        <v>190</v>
      </c>
      <c r="L412" t="str">
        <f t="shared" si="6"/>
        <v>http://www.badatelna.eu/reprodukce/?fondId=1073&amp;zaznamId=1108959&amp;reproId=3780046</v>
      </c>
      <c r="M412">
        <f>VLOOKUP(F412,Sheet2!$B$1:$E$19,2,FALSE)</f>
        <v>1073</v>
      </c>
      <c r="N412">
        <f>VLOOKUP(F412,Sheet2!$B$1:$E$19,3,FALSE)</f>
        <v>1108959</v>
      </c>
      <c r="O412">
        <f>IF(G412="Not available","",VLOOKUP(F412,Sheet2!$B$1:$E$19,4,FALSE)+(G412-1))</f>
        <v>3780046</v>
      </c>
    </row>
    <row r="413" spans="1:15" s="1" customFormat="1" ht="15" customHeight="1" x14ac:dyDescent="0.25">
      <c r="A413" s="18" t="s">
        <v>35</v>
      </c>
      <c r="B413" s="18" t="s">
        <v>100</v>
      </c>
      <c r="C413" s="5">
        <v>1799</v>
      </c>
      <c r="E413" s="1" t="s">
        <v>2</v>
      </c>
      <c r="F413" s="18">
        <v>2173</v>
      </c>
      <c r="G413" s="18">
        <v>40</v>
      </c>
      <c r="H413" s="5">
        <v>75</v>
      </c>
      <c r="I413" s="1">
        <v>92</v>
      </c>
      <c r="J413" s="1">
        <v>190</v>
      </c>
      <c r="L413" t="str">
        <f t="shared" si="6"/>
        <v>http://www.badatelna.eu/reprodukce/?fondId=1073&amp;zaznamId=1108959&amp;reproId=3780033</v>
      </c>
      <c r="M413">
        <f>VLOOKUP(F413,Sheet2!$B$1:$E$19,2,FALSE)</f>
        <v>1073</v>
      </c>
      <c r="N413">
        <f>VLOOKUP(F413,Sheet2!$B$1:$E$19,3,FALSE)</f>
        <v>1108959</v>
      </c>
      <c r="O413">
        <f>IF(G413="Not available","",VLOOKUP(F413,Sheet2!$B$1:$E$19,4,FALSE)+(G413-1))</f>
        <v>3780033</v>
      </c>
    </row>
    <row r="414" spans="1:15" s="1" customFormat="1" ht="15" customHeight="1" x14ac:dyDescent="0.25">
      <c r="A414" s="18" t="s">
        <v>35</v>
      </c>
      <c r="B414" s="18" t="s">
        <v>100</v>
      </c>
      <c r="C414" s="5">
        <v>1819</v>
      </c>
      <c r="E414" s="1" t="s">
        <v>2</v>
      </c>
      <c r="F414" s="18">
        <v>2173</v>
      </c>
      <c r="G414" s="18">
        <v>71</v>
      </c>
      <c r="H414" s="5">
        <v>134</v>
      </c>
      <c r="I414" s="1">
        <v>93</v>
      </c>
      <c r="J414" s="1">
        <v>194</v>
      </c>
      <c r="L414" t="str">
        <f t="shared" si="6"/>
        <v>http://www.badatelna.eu/reprodukce/?fondId=1073&amp;zaznamId=1108959&amp;reproId=3780064</v>
      </c>
      <c r="M414">
        <f>VLOOKUP(F414,Sheet2!$B$1:$E$19,2,FALSE)</f>
        <v>1073</v>
      </c>
      <c r="N414">
        <f>VLOOKUP(F414,Sheet2!$B$1:$E$19,3,FALSE)</f>
        <v>1108959</v>
      </c>
      <c r="O414">
        <f>IF(G414="Not available","",VLOOKUP(F414,Sheet2!$B$1:$E$19,4,FALSE)+(G414-1))</f>
        <v>3780064</v>
      </c>
    </row>
    <row r="415" spans="1:15" s="1" customFormat="1" ht="15" customHeight="1" x14ac:dyDescent="0.25">
      <c r="A415" s="21" t="s">
        <v>35</v>
      </c>
      <c r="B415" s="21" t="s">
        <v>45</v>
      </c>
      <c r="C415" s="7">
        <v>1786</v>
      </c>
      <c r="D415" s="2" t="s">
        <v>10</v>
      </c>
      <c r="E415" s="1" t="s">
        <v>2</v>
      </c>
      <c r="F415" s="18">
        <v>2173</v>
      </c>
      <c r="G415" s="21">
        <v>13</v>
      </c>
      <c r="H415" s="7">
        <v>20</v>
      </c>
      <c r="I415" s="2">
        <v>91</v>
      </c>
      <c r="J415" s="2">
        <v>189</v>
      </c>
      <c r="K415" s="2"/>
      <c r="L415" t="str">
        <f t="shared" si="6"/>
        <v>http://www.badatelna.eu/reprodukce/?fondId=1073&amp;zaznamId=1108959&amp;reproId=3780006</v>
      </c>
      <c r="M415">
        <f>VLOOKUP(F415,Sheet2!$B$1:$E$19,2,FALSE)</f>
        <v>1073</v>
      </c>
      <c r="N415">
        <f>VLOOKUP(F415,Sheet2!$B$1:$E$19,3,FALSE)</f>
        <v>1108959</v>
      </c>
      <c r="O415">
        <f>IF(G415="Not available","",VLOOKUP(F415,Sheet2!$B$1:$E$19,4,FALSE)+(G415-1))</f>
        <v>3780006</v>
      </c>
    </row>
    <row r="416" spans="1:15" s="1" customFormat="1" ht="15" customHeight="1" x14ac:dyDescent="0.25">
      <c r="A416" s="18" t="s">
        <v>35</v>
      </c>
      <c r="B416" s="18" t="s">
        <v>476</v>
      </c>
      <c r="C416" s="5">
        <v>1847</v>
      </c>
      <c r="D416" s="1" t="s">
        <v>74</v>
      </c>
      <c r="E416" s="1" t="s">
        <v>2</v>
      </c>
      <c r="F416" s="18">
        <v>2174</v>
      </c>
      <c r="G416" s="18">
        <v>181</v>
      </c>
      <c r="H416" s="6" t="s">
        <v>3238</v>
      </c>
      <c r="I416" s="1">
        <v>181</v>
      </c>
      <c r="J416" s="1">
        <v>206</v>
      </c>
      <c r="L416" t="str">
        <f t="shared" si="6"/>
        <v>http://www.badatelna.eu/reprodukce/?fondId=1073&amp;zaznamId=1108960&amp;reproId=3780405</v>
      </c>
      <c r="M416">
        <f>VLOOKUP(F416,Sheet2!$B$1:$E$19,2,FALSE)</f>
        <v>1073</v>
      </c>
      <c r="N416">
        <f>VLOOKUP(F416,Sheet2!$B$1:$E$19,3,FALSE)</f>
        <v>1108960</v>
      </c>
      <c r="O416">
        <f>IF(G416="Not available","",VLOOKUP(F416,Sheet2!$B$1:$E$19,4,FALSE)+(G416-1))</f>
        <v>3780405</v>
      </c>
    </row>
    <row r="417" spans="1:15" s="1" customFormat="1" ht="15" customHeight="1" x14ac:dyDescent="0.25">
      <c r="A417" s="18" t="s">
        <v>35</v>
      </c>
      <c r="B417" s="18" t="s">
        <v>67</v>
      </c>
      <c r="C417" s="7">
        <v>1793</v>
      </c>
      <c r="D417" s="1" t="s">
        <v>4</v>
      </c>
      <c r="E417" s="1" t="s">
        <v>2</v>
      </c>
      <c r="F417" s="18">
        <v>2173</v>
      </c>
      <c r="G417" s="18">
        <v>29</v>
      </c>
      <c r="H417" s="5">
        <v>53</v>
      </c>
      <c r="I417" s="2">
        <v>91</v>
      </c>
      <c r="J417" s="2">
        <v>189</v>
      </c>
      <c r="L417" t="str">
        <f t="shared" si="6"/>
        <v>http://www.badatelna.eu/reprodukce/?fondId=1073&amp;zaznamId=1108959&amp;reproId=3780022</v>
      </c>
      <c r="M417">
        <f>VLOOKUP(F417,Sheet2!$B$1:$E$19,2,FALSE)</f>
        <v>1073</v>
      </c>
      <c r="N417">
        <f>VLOOKUP(F417,Sheet2!$B$1:$E$19,3,FALSE)</f>
        <v>1108959</v>
      </c>
      <c r="O417">
        <f>IF(G417="Not available","",VLOOKUP(F417,Sheet2!$B$1:$E$19,4,FALSE)+(G417-1))</f>
        <v>3780022</v>
      </c>
    </row>
    <row r="418" spans="1:15" s="1" customFormat="1" ht="15" customHeight="1" x14ac:dyDescent="0.25">
      <c r="A418" s="18" t="s">
        <v>35</v>
      </c>
      <c r="B418" s="18" t="s">
        <v>427</v>
      </c>
      <c r="C418" s="5">
        <v>1834</v>
      </c>
      <c r="D418" s="1" t="s">
        <v>60</v>
      </c>
      <c r="E418" s="1" t="s">
        <v>2</v>
      </c>
      <c r="F418" s="18">
        <v>2174</v>
      </c>
      <c r="G418" s="18">
        <v>77</v>
      </c>
      <c r="H418" s="6" t="s">
        <v>3143</v>
      </c>
      <c r="I418" s="1">
        <v>180</v>
      </c>
      <c r="J418" s="1">
        <v>204</v>
      </c>
      <c r="L418" t="str">
        <f t="shared" si="6"/>
        <v>http://www.badatelna.eu/reprodukce/?fondId=1073&amp;zaznamId=1108960&amp;reproId=3780301</v>
      </c>
      <c r="M418">
        <f>VLOOKUP(F418,Sheet2!$B$1:$E$19,2,FALSE)</f>
        <v>1073</v>
      </c>
      <c r="N418">
        <f>VLOOKUP(F418,Sheet2!$B$1:$E$19,3,FALSE)</f>
        <v>1108960</v>
      </c>
      <c r="O418">
        <f>IF(G418="Not available","",VLOOKUP(F418,Sheet2!$B$1:$E$19,4,FALSE)+(G418-1))</f>
        <v>3780301</v>
      </c>
    </row>
    <row r="419" spans="1:15" s="1" customFormat="1" ht="15" customHeight="1" x14ac:dyDescent="0.25">
      <c r="A419" s="18" t="s">
        <v>35</v>
      </c>
      <c r="B419" s="18" t="s">
        <v>427</v>
      </c>
      <c r="C419" s="5">
        <v>1848</v>
      </c>
      <c r="D419" s="1" t="s">
        <v>801</v>
      </c>
      <c r="E419" s="1" t="s">
        <v>2</v>
      </c>
      <c r="F419" s="18">
        <v>2164</v>
      </c>
      <c r="G419" s="18">
        <v>17</v>
      </c>
      <c r="H419" s="5">
        <v>15</v>
      </c>
      <c r="I419" s="1">
        <v>123</v>
      </c>
      <c r="J419" s="4" t="s">
        <v>3271</v>
      </c>
      <c r="L419" t="str">
        <f t="shared" si="6"/>
        <v>http://www.badatelna.eu/reprodukce/?fondId=1073&amp;zaznamId=1108951&amp;reproId=3778731</v>
      </c>
      <c r="M419">
        <f>VLOOKUP(F419,Sheet2!$B$1:$E$19,2,FALSE)</f>
        <v>1073</v>
      </c>
      <c r="N419">
        <f>VLOOKUP(F419,Sheet2!$B$1:$E$19,3,FALSE)</f>
        <v>1108951</v>
      </c>
      <c r="O419">
        <f>IF(G419="Not available","",VLOOKUP(F419,Sheet2!$B$1:$E$19,4,FALSE)+(G419-1))</f>
        <v>3778731</v>
      </c>
    </row>
    <row r="420" spans="1:15" s="1" customFormat="1" ht="15" customHeight="1" x14ac:dyDescent="0.25">
      <c r="A420" s="18" t="s">
        <v>35</v>
      </c>
      <c r="B420" s="18" t="s">
        <v>96</v>
      </c>
      <c r="C420" s="5">
        <v>1811</v>
      </c>
      <c r="E420" s="1" t="s">
        <v>2</v>
      </c>
      <c r="F420" s="18">
        <v>2173</v>
      </c>
      <c r="G420" s="18">
        <v>57</v>
      </c>
      <c r="H420" s="5">
        <v>109</v>
      </c>
      <c r="I420" s="1">
        <v>92</v>
      </c>
      <c r="J420" s="1">
        <v>190</v>
      </c>
      <c r="L420" t="str">
        <f t="shared" si="6"/>
        <v>http://www.badatelna.eu/reprodukce/?fondId=1073&amp;zaznamId=1108959&amp;reproId=3780050</v>
      </c>
      <c r="M420">
        <f>VLOOKUP(F420,Sheet2!$B$1:$E$19,2,FALSE)</f>
        <v>1073</v>
      </c>
      <c r="N420">
        <f>VLOOKUP(F420,Sheet2!$B$1:$E$19,3,FALSE)</f>
        <v>1108959</v>
      </c>
      <c r="O420">
        <f>IF(G420="Not available","",VLOOKUP(F420,Sheet2!$B$1:$E$19,4,FALSE)+(G420-1))</f>
        <v>3780050</v>
      </c>
    </row>
    <row r="421" spans="1:15" s="1" customFormat="1" ht="15" customHeight="1" x14ac:dyDescent="0.25">
      <c r="A421" s="18" t="s">
        <v>35</v>
      </c>
      <c r="B421" s="18" t="s">
        <v>97</v>
      </c>
      <c r="C421" s="5">
        <v>1798</v>
      </c>
      <c r="D421" s="1" t="s">
        <v>44</v>
      </c>
      <c r="E421" s="1" t="s">
        <v>2</v>
      </c>
      <c r="F421" s="18">
        <v>2173</v>
      </c>
      <c r="G421" s="18">
        <v>38</v>
      </c>
      <c r="H421" s="5">
        <v>70</v>
      </c>
      <c r="I421" s="1">
        <v>92</v>
      </c>
      <c r="J421" s="1">
        <v>190</v>
      </c>
      <c r="L421" t="str">
        <f t="shared" si="6"/>
        <v>http://www.badatelna.eu/reprodukce/?fondId=1073&amp;zaznamId=1108959&amp;reproId=3780031</v>
      </c>
      <c r="M421">
        <f>VLOOKUP(F421,Sheet2!$B$1:$E$19,2,FALSE)</f>
        <v>1073</v>
      </c>
      <c r="N421">
        <f>VLOOKUP(F421,Sheet2!$B$1:$E$19,3,FALSE)</f>
        <v>1108959</v>
      </c>
      <c r="O421">
        <f>IF(G421="Not available","",VLOOKUP(F421,Sheet2!$B$1:$E$19,4,FALSE)+(G421-1))</f>
        <v>3780031</v>
      </c>
    </row>
    <row r="422" spans="1:15" s="1" customFormat="1" ht="15" customHeight="1" x14ac:dyDescent="0.25">
      <c r="A422" s="18" t="s">
        <v>35</v>
      </c>
      <c r="B422" s="18" t="s">
        <v>146</v>
      </c>
      <c r="C422" s="5">
        <v>1822</v>
      </c>
      <c r="E422" s="1" t="s">
        <v>2</v>
      </c>
      <c r="F422" s="18">
        <v>2173</v>
      </c>
      <c r="G422" s="18">
        <v>73</v>
      </c>
      <c r="H422" s="5">
        <v>139</v>
      </c>
      <c r="I422" s="1">
        <v>93</v>
      </c>
      <c r="J422" s="1">
        <v>194</v>
      </c>
      <c r="L422" t="str">
        <f t="shared" si="6"/>
        <v>http://www.badatelna.eu/reprodukce/?fondId=1073&amp;zaznamId=1108959&amp;reproId=3780066</v>
      </c>
      <c r="M422">
        <f>VLOOKUP(F422,Sheet2!$B$1:$E$19,2,FALSE)</f>
        <v>1073</v>
      </c>
      <c r="N422">
        <f>VLOOKUP(F422,Sheet2!$B$1:$E$19,3,FALSE)</f>
        <v>1108959</v>
      </c>
      <c r="O422">
        <f>IF(G422="Not available","",VLOOKUP(F422,Sheet2!$B$1:$E$19,4,FALSE)+(G422-1))</f>
        <v>3780066</v>
      </c>
    </row>
    <row r="423" spans="1:15" s="1" customFormat="1" ht="15" customHeight="1" x14ac:dyDescent="0.25">
      <c r="A423" s="18" t="s">
        <v>35</v>
      </c>
      <c r="B423" s="18" t="s">
        <v>18</v>
      </c>
      <c r="C423" s="5">
        <v>1804</v>
      </c>
      <c r="E423" s="1" t="s">
        <v>2</v>
      </c>
      <c r="F423" s="18">
        <v>2173</v>
      </c>
      <c r="G423" s="18">
        <v>48</v>
      </c>
      <c r="H423" s="14" t="s">
        <v>3029</v>
      </c>
      <c r="I423" s="1">
        <v>92</v>
      </c>
      <c r="J423" s="1">
        <v>190</v>
      </c>
      <c r="L423" t="str">
        <f t="shared" si="6"/>
        <v>http://www.badatelna.eu/reprodukce/?fondId=1073&amp;zaznamId=1108959&amp;reproId=3780041</v>
      </c>
      <c r="M423">
        <f>VLOOKUP(F423,Sheet2!$B$1:$E$19,2,FALSE)</f>
        <v>1073</v>
      </c>
      <c r="N423">
        <f>VLOOKUP(F423,Sheet2!$B$1:$E$19,3,FALSE)</f>
        <v>1108959</v>
      </c>
      <c r="O423">
        <f>IF(G423="Not available","",VLOOKUP(F423,Sheet2!$B$1:$E$19,4,FALSE)+(G423-1))</f>
        <v>3780041</v>
      </c>
    </row>
    <row r="424" spans="1:15" s="1" customFormat="1" ht="15" customHeight="1" x14ac:dyDescent="0.25">
      <c r="A424" s="18" t="s">
        <v>35</v>
      </c>
      <c r="B424" s="18" t="s">
        <v>18</v>
      </c>
      <c r="C424" s="5">
        <v>1823</v>
      </c>
      <c r="E424" s="1" t="s">
        <v>2</v>
      </c>
      <c r="F424" s="18">
        <v>2173</v>
      </c>
      <c r="G424" s="18">
        <v>73</v>
      </c>
      <c r="H424" s="5">
        <v>139</v>
      </c>
      <c r="I424" s="1">
        <v>93</v>
      </c>
      <c r="J424" s="1">
        <v>194</v>
      </c>
      <c r="L424" t="str">
        <f t="shared" si="6"/>
        <v>http://www.badatelna.eu/reprodukce/?fondId=1073&amp;zaznamId=1108959&amp;reproId=3780066</v>
      </c>
      <c r="M424">
        <f>VLOOKUP(F424,Sheet2!$B$1:$E$19,2,FALSE)</f>
        <v>1073</v>
      </c>
      <c r="N424">
        <f>VLOOKUP(F424,Sheet2!$B$1:$E$19,3,FALSE)</f>
        <v>1108959</v>
      </c>
      <c r="O424">
        <f>IF(G424="Not available","",VLOOKUP(F424,Sheet2!$B$1:$E$19,4,FALSE)+(G424-1))</f>
        <v>3780066</v>
      </c>
    </row>
    <row r="425" spans="1:15" s="1" customFormat="1" ht="15" customHeight="1" x14ac:dyDescent="0.25">
      <c r="A425" s="21" t="s">
        <v>35</v>
      </c>
      <c r="B425" s="21" t="s">
        <v>11</v>
      </c>
      <c r="C425" s="7">
        <v>1790</v>
      </c>
      <c r="D425" s="2" t="s">
        <v>52</v>
      </c>
      <c r="E425" s="1" t="s">
        <v>2</v>
      </c>
      <c r="F425" s="18">
        <v>2173</v>
      </c>
      <c r="G425" s="21">
        <v>23</v>
      </c>
      <c r="H425" s="7">
        <v>41</v>
      </c>
      <c r="I425" s="2">
        <v>91</v>
      </c>
      <c r="J425" s="2">
        <v>189</v>
      </c>
      <c r="K425" s="2"/>
      <c r="L425" t="str">
        <f t="shared" si="6"/>
        <v>http://www.badatelna.eu/reprodukce/?fondId=1073&amp;zaznamId=1108959&amp;reproId=3780016</v>
      </c>
      <c r="M425">
        <f>VLOOKUP(F425,Sheet2!$B$1:$E$19,2,FALSE)</f>
        <v>1073</v>
      </c>
      <c r="N425">
        <f>VLOOKUP(F425,Sheet2!$B$1:$E$19,3,FALSE)</f>
        <v>1108959</v>
      </c>
      <c r="O425">
        <f>IF(G425="Not available","",VLOOKUP(F425,Sheet2!$B$1:$E$19,4,FALSE)+(G425-1))</f>
        <v>3780016</v>
      </c>
    </row>
    <row r="426" spans="1:15" s="1" customFormat="1" ht="15" customHeight="1" x14ac:dyDescent="0.25">
      <c r="A426" s="18" t="s">
        <v>35</v>
      </c>
      <c r="B426" s="18" t="s">
        <v>11</v>
      </c>
      <c r="C426" s="5">
        <v>1794</v>
      </c>
      <c r="D426" s="12" t="s">
        <v>40</v>
      </c>
      <c r="E426" s="1" t="s">
        <v>2</v>
      </c>
      <c r="F426" s="18">
        <v>2173</v>
      </c>
      <c r="G426" s="18">
        <v>31</v>
      </c>
      <c r="H426" s="5">
        <v>57</v>
      </c>
      <c r="I426" s="1">
        <v>92</v>
      </c>
      <c r="J426" s="1">
        <v>190</v>
      </c>
      <c r="L426" t="str">
        <f t="shared" si="6"/>
        <v>http://www.badatelna.eu/reprodukce/?fondId=1073&amp;zaznamId=1108959&amp;reproId=3780024</v>
      </c>
      <c r="M426">
        <f>VLOOKUP(F426,Sheet2!$B$1:$E$19,2,FALSE)</f>
        <v>1073</v>
      </c>
      <c r="N426">
        <f>VLOOKUP(F426,Sheet2!$B$1:$E$19,3,FALSE)</f>
        <v>1108959</v>
      </c>
      <c r="O426">
        <f>IF(G426="Not available","",VLOOKUP(F426,Sheet2!$B$1:$E$19,4,FALSE)+(G426-1))</f>
        <v>3780024</v>
      </c>
    </row>
    <row r="427" spans="1:15" s="1" customFormat="1" ht="15" customHeight="1" x14ac:dyDescent="0.25">
      <c r="A427" s="18" t="s">
        <v>35</v>
      </c>
      <c r="B427" s="18" t="s">
        <v>11</v>
      </c>
      <c r="C427" s="5">
        <v>1799</v>
      </c>
      <c r="D427" s="1" t="s">
        <v>10</v>
      </c>
      <c r="E427" s="1" t="s">
        <v>2</v>
      </c>
      <c r="F427" s="18">
        <v>2173</v>
      </c>
      <c r="G427" s="18">
        <v>39</v>
      </c>
      <c r="H427" s="14" t="s">
        <v>3089</v>
      </c>
      <c r="I427" s="1">
        <v>92</v>
      </c>
      <c r="J427" s="1">
        <v>190</v>
      </c>
      <c r="L427" t="str">
        <f t="shared" si="6"/>
        <v>http://www.badatelna.eu/reprodukce/?fondId=1073&amp;zaznamId=1108959&amp;reproId=3780032</v>
      </c>
      <c r="M427">
        <f>VLOOKUP(F427,Sheet2!$B$1:$E$19,2,FALSE)</f>
        <v>1073</v>
      </c>
      <c r="N427">
        <f>VLOOKUP(F427,Sheet2!$B$1:$E$19,3,FALSE)</f>
        <v>1108959</v>
      </c>
      <c r="O427">
        <f>IF(G427="Not available","",VLOOKUP(F427,Sheet2!$B$1:$E$19,4,FALSE)+(G427-1))</f>
        <v>3780032</v>
      </c>
    </row>
    <row r="428" spans="1:15" s="1" customFormat="1" ht="15" customHeight="1" x14ac:dyDescent="0.25">
      <c r="A428" s="18" t="s">
        <v>35</v>
      </c>
      <c r="B428" s="18" t="s">
        <v>11</v>
      </c>
      <c r="C428" s="5">
        <v>1801</v>
      </c>
      <c r="D428" s="4" t="s">
        <v>74</v>
      </c>
      <c r="E428" s="1" t="s">
        <v>2</v>
      </c>
      <c r="F428" s="18">
        <v>2173</v>
      </c>
      <c r="G428" s="18">
        <v>44</v>
      </c>
      <c r="H428" s="14" t="s">
        <v>2927</v>
      </c>
      <c r="I428" s="1">
        <v>92</v>
      </c>
      <c r="J428" s="1">
        <v>190</v>
      </c>
      <c r="L428" t="str">
        <f t="shared" si="6"/>
        <v>http://www.badatelna.eu/reprodukce/?fondId=1073&amp;zaznamId=1108959&amp;reproId=3780037</v>
      </c>
      <c r="M428">
        <f>VLOOKUP(F428,Sheet2!$B$1:$E$19,2,FALSE)</f>
        <v>1073</v>
      </c>
      <c r="N428">
        <f>VLOOKUP(F428,Sheet2!$B$1:$E$19,3,FALSE)</f>
        <v>1108959</v>
      </c>
      <c r="O428">
        <f>IF(G428="Not available","",VLOOKUP(F428,Sheet2!$B$1:$E$19,4,FALSE)+(G428-1))</f>
        <v>3780037</v>
      </c>
    </row>
    <row r="429" spans="1:15" s="1" customFormat="1" ht="15" customHeight="1" x14ac:dyDescent="0.25">
      <c r="A429" s="18" t="s">
        <v>35</v>
      </c>
      <c r="B429" s="18" t="s">
        <v>398</v>
      </c>
      <c r="C429" s="5">
        <v>1836</v>
      </c>
      <c r="D429" s="1" t="s">
        <v>616</v>
      </c>
      <c r="E429" s="1" t="s">
        <v>2</v>
      </c>
      <c r="F429" s="18">
        <v>2174</v>
      </c>
      <c r="G429" s="18">
        <v>87</v>
      </c>
      <c r="H429" s="6" t="s">
        <v>3151</v>
      </c>
      <c r="I429" s="1">
        <v>180</v>
      </c>
      <c r="J429" s="1">
        <v>204</v>
      </c>
      <c r="L429" t="str">
        <f t="shared" si="6"/>
        <v>http://www.badatelna.eu/reprodukce/?fondId=1073&amp;zaznamId=1108960&amp;reproId=3780311</v>
      </c>
      <c r="M429">
        <f>VLOOKUP(F429,Sheet2!$B$1:$E$19,2,FALSE)</f>
        <v>1073</v>
      </c>
      <c r="N429">
        <f>VLOOKUP(F429,Sheet2!$B$1:$E$19,3,FALSE)</f>
        <v>1108960</v>
      </c>
      <c r="O429">
        <f>IF(G429="Not available","",VLOOKUP(F429,Sheet2!$B$1:$E$19,4,FALSE)+(G429-1))</f>
        <v>3780311</v>
      </c>
    </row>
    <row r="430" spans="1:15" s="1" customFormat="1" ht="15" customHeight="1" x14ac:dyDescent="0.25">
      <c r="A430" s="18" t="s">
        <v>35</v>
      </c>
      <c r="B430" s="18" t="s">
        <v>398</v>
      </c>
      <c r="C430" s="5">
        <v>1852</v>
      </c>
      <c r="D430" s="1" t="s">
        <v>495</v>
      </c>
      <c r="E430" s="1" t="s">
        <v>2</v>
      </c>
      <c r="F430" s="18">
        <v>2164</v>
      </c>
      <c r="G430" s="18">
        <v>80</v>
      </c>
      <c r="H430" s="5">
        <v>78</v>
      </c>
      <c r="I430" s="1">
        <v>123</v>
      </c>
      <c r="J430" s="4" t="s">
        <v>3271</v>
      </c>
      <c r="L430" t="str">
        <f t="shared" si="6"/>
        <v>http://www.badatelna.eu/reprodukce/?fondId=1073&amp;zaznamId=1108951&amp;reproId=3778794</v>
      </c>
      <c r="M430">
        <f>VLOOKUP(F430,Sheet2!$B$1:$E$19,2,FALSE)</f>
        <v>1073</v>
      </c>
      <c r="N430">
        <f>VLOOKUP(F430,Sheet2!$B$1:$E$19,3,FALSE)</f>
        <v>1108951</v>
      </c>
      <c r="O430">
        <f>IF(G430="Not available","",VLOOKUP(F430,Sheet2!$B$1:$E$19,4,FALSE)+(G430-1))</f>
        <v>3778794</v>
      </c>
    </row>
    <row r="431" spans="1:15" s="1" customFormat="1" ht="15" customHeight="1" x14ac:dyDescent="0.25">
      <c r="A431" s="18" t="s">
        <v>35</v>
      </c>
      <c r="B431" s="18" t="s">
        <v>398</v>
      </c>
      <c r="C431" s="5">
        <v>1858</v>
      </c>
      <c r="E431" s="1" t="s">
        <v>939</v>
      </c>
      <c r="F431" s="18">
        <v>999</v>
      </c>
      <c r="G431" s="18">
        <v>6</v>
      </c>
      <c r="H431" s="5">
        <v>4</v>
      </c>
      <c r="I431" s="1">
        <v>63</v>
      </c>
      <c r="J431" s="1">
        <v>96</v>
      </c>
      <c r="L431" t="str">
        <f t="shared" si="6"/>
        <v>http://www.badatelna.eu/reprodukce/?fondId=241&amp;zaznamId=1133739&amp;reproId=3885735</v>
      </c>
      <c r="M431">
        <f>VLOOKUP(F431,Sheet2!$B$1:$E$19,2,FALSE)</f>
        <v>241</v>
      </c>
      <c r="N431">
        <f>VLOOKUP(F431,Sheet2!$B$1:$E$19,3,FALSE)</f>
        <v>1133739</v>
      </c>
      <c r="O431">
        <f>IF(G431="Not available","",VLOOKUP(F431,Sheet2!$B$1:$E$19,4,FALSE)+(G431-1))</f>
        <v>3885735</v>
      </c>
    </row>
    <row r="432" spans="1:15" s="1" customFormat="1" ht="15" customHeight="1" x14ac:dyDescent="0.25">
      <c r="A432" s="18" t="s">
        <v>35</v>
      </c>
      <c r="B432" s="18" t="s">
        <v>398</v>
      </c>
      <c r="C432" s="6" t="s">
        <v>2860</v>
      </c>
      <c r="E432" s="1" t="s">
        <v>939</v>
      </c>
      <c r="F432" s="18">
        <v>999</v>
      </c>
      <c r="G432" s="18">
        <v>31</v>
      </c>
      <c r="H432" s="5">
        <v>29</v>
      </c>
      <c r="I432" s="1">
        <v>63</v>
      </c>
      <c r="J432" s="1">
        <v>96</v>
      </c>
      <c r="L432" t="str">
        <f t="shared" si="6"/>
        <v>http://www.badatelna.eu/reprodukce/?fondId=241&amp;zaznamId=1133739&amp;reproId=3885760</v>
      </c>
      <c r="M432">
        <f>VLOOKUP(F432,Sheet2!$B$1:$E$19,2,FALSE)</f>
        <v>241</v>
      </c>
      <c r="N432">
        <f>VLOOKUP(F432,Sheet2!$B$1:$E$19,3,FALSE)</f>
        <v>1133739</v>
      </c>
      <c r="O432">
        <f>IF(G432="Not available","",VLOOKUP(F432,Sheet2!$B$1:$E$19,4,FALSE)+(G432-1))</f>
        <v>3885760</v>
      </c>
    </row>
    <row r="433" spans="1:15" s="1" customFormat="1" ht="15" customHeight="1" x14ac:dyDescent="0.25">
      <c r="A433" s="21" t="s">
        <v>35</v>
      </c>
      <c r="B433" s="20" t="s">
        <v>3064</v>
      </c>
      <c r="C433" s="7">
        <v>1785</v>
      </c>
      <c r="D433" s="2" t="s">
        <v>21</v>
      </c>
      <c r="E433" s="1" t="s">
        <v>2</v>
      </c>
      <c r="F433" s="18">
        <v>2173</v>
      </c>
      <c r="G433" s="21">
        <v>8</v>
      </c>
      <c r="H433" s="7">
        <v>11</v>
      </c>
      <c r="I433" s="2">
        <v>91</v>
      </c>
      <c r="J433" s="2">
        <v>189</v>
      </c>
      <c r="K433" s="2"/>
      <c r="L433" t="str">
        <f t="shared" si="6"/>
        <v>http://www.badatelna.eu/reprodukce/?fondId=1073&amp;zaznamId=1108959&amp;reproId=3780001</v>
      </c>
      <c r="M433">
        <f>VLOOKUP(F433,Sheet2!$B$1:$E$19,2,FALSE)</f>
        <v>1073</v>
      </c>
      <c r="N433">
        <f>VLOOKUP(F433,Sheet2!$B$1:$E$19,3,FALSE)</f>
        <v>1108959</v>
      </c>
      <c r="O433">
        <f>IF(G433="Not available","",VLOOKUP(F433,Sheet2!$B$1:$E$19,4,FALSE)+(G433-1))</f>
        <v>3780001</v>
      </c>
    </row>
    <row r="434" spans="1:15" s="1" customFormat="1" ht="15" customHeight="1" x14ac:dyDescent="0.25">
      <c r="A434" s="19" t="s">
        <v>35</v>
      </c>
      <c r="B434" s="18" t="s">
        <v>1007</v>
      </c>
      <c r="C434" s="5" t="s">
        <v>1336</v>
      </c>
      <c r="D434" s="1" t="s">
        <v>1003</v>
      </c>
      <c r="E434" s="1" t="s">
        <v>2</v>
      </c>
      <c r="F434" s="18">
        <v>2165</v>
      </c>
      <c r="G434" s="18">
        <v>65</v>
      </c>
      <c r="H434" s="5">
        <v>62</v>
      </c>
      <c r="I434" s="1">
        <v>81</v>
      </c>
      <c r="J434" s="1" t="s">
        <v>3271</v>
      </c>
      <c r="L434" t="str">
        <f t="shared" si="6"/>
        <v>http://www.badatelna.eu/reprodukce/?fondId=1073&amp;zaznamId=1108952&amp;reproId=3778926</v>
      </c>
      <c r="M434">
        <f>VLOOKUP(F434,Sheet2!$B$1:$E$19,2,FALSE)</f>
        <v>1073</v>
      </c>
      <c r="N434">
        <f>VLOOKUP(F434,Sheet2!$B$1:$E$19,3,FALSE)</f>
        <v>1108952</v>
      </c>
      <c r="O434">
        <f>IF(G434="Not available","",VLOOKUP(F434,Sheet2!$B$1:$E$19,4,FALSE)+(G434-1))</f>
        <v>3778926</v>
      </c>
    </row>
    <row r="435" spans="1:15" s="1" customFormat="1" ht="15" customHeight="1" x14ac:dyDescent="0.25">
      <c r="A435" s="18" t="s">
        <v>35</v>
      </c>
      <c r="B435" s="18" t="s">
        <v>593</v>
      </c>
      <c r="C435" s="5">
        <v>1842</v>
      </c>
      <c r="D435" s="1" t="s">
        <v>626</v>
      </c>
      <c r="E435" s="1" t="s">
        <v>2</v>
      </c>
      <c r="F435" s="18">
        <v>2174</v>
      </c>
      <c r="G435" s="18">
        <v>126</v>
      </c>
      <c r="H435" s="6" t="s">
        <v>3196</v>
      </c>
      <c r="I435" s="1">
        <v>181</v>
      </c>
      <c r="J435" s="1">
        <v>205</v>
      </c>
      <c r="K435" s="4" t="s">
        <v>363</v>
      </c>
      <c r="L435" t="str">
        <f t="shared" si="6"/>
        <v>http://www.badatelna.eu/reprodukce/?fondId=1073&amp;zaznamId=1108960&amp;reproId=3780350</v>
      </c>
      <c r="M435">
        <f>VLOOKUP(F435,Sheet2!$B$1:$E$19,2,FALSE)</f>
        <v>1073</v>
      </c>
      <c r="N435">
        <f>VLOOKUP(F435,Sheet2!$B$1:$E$19,3,FALSE)</f>
        <v>1108960</v>
      </c>
      <c r="O435">
        <f>IF(G435="Not available","",VLOOKUP(F435,Sheet2!$B$1:$E$19,4,FALSE)+(G435-1))</f>
        <v>3780350</v>
      </c>
    </row>
    <row r="436" spans="1:15" s="1" customFormat="1" ht="15" customHeight="1" x14ac:dyDescent="0.25">
      <c r="A436" s="18" t="s">
        <v>35</v>
      </c>
      <c r="B436" s="18" t="s">
        <v>593</v>
      </c>
      <c r="C436" s="5">
        <v>1850</v>
      </c>
      <c r="D436" s="1" t="s">
        <v>304</v>
      </c>
      <c r="E436" s="1" t="s">
        <v>2</v>
      </c>
      <c r="F436" s="18">
        <v>2164</v>
      </c>
      <c r="G436" s="18">
        <v>71</v>
      </c>
      <c r="H436" s="5">
        <v>69</v>
      </c>
      <c r="I436" s="1">
        <v>123</v>
      </c>
      <c r="J436" s="4" t="s">
        <v>3271</v>
      </c>
      <c r="L436" t="str">
        <f t="shared" si="6"/>
        <v>http://www.badatelna.eu/reprodukce/?fondId=1073&amp;zaznamId=1108951&amp;reproId=3778785</v>
      </c>
      <c r="M436">
        <f>VLOOKUP(F436,Sheet2!$B$1:$E$19,2,FALSE)</f>
        <v>1073</v>
      </c>
      <c r="N436">
        <f>VLOOKUP(F436,Sheet2!$B$1:$E$19,3,FALSE)</f>
        <v>1108951</v>
      </c>
      <c r="O436">
        <f>IF(G436="Not available","",VLOOKUP(F436,Sheet2!$B$1:$E$19,4,FALSE)+(G436-1))</f>
        <v>3778785</v>
      </c>
    </row>
    <row r="437" spans="1:15" s="1" customFormat="1" ht="15" customHeight="1" x14ac:dyDescent="0.25">
      <c r="A437" s="18" t="s">
        <v>35</v>
      </c>
      <c r="B437" s="18" t="s">
        <v>80</v>
      </c>
      <c r="C437" s="5">
        <v>1795</v>
      </c>
      <c r="D437" s="1" t="s">
        <v>81</v>
      </c>
      <c r="E437" s="1" t="s">
        <v>2</v>
      </c>
      <c r="F437" s="18">
        <v>2173</v>
      </c>
      <c r="G437" s="18">
        <v>33</v>
      </c>
      <c r="H437" s="5">
        <v>60</v>
      </c>
      <c r="I437" s="1">
        <v>92</v>
      </c>
      <c r="J437" s="1">
        <v>190</v>
      </c>
      <c r="L437" t="str">
        <f t="shared" si="6"/>
        <v>http://www.badatelna.eu/reprodukce/?fondId=1073&amp;zaznamId=1108959&amp;reproId=3780026</v>
      </c>
      <c r="M437">
        <f>VLOOKUP(F437,Sheet2!$B$1:$E$19,2,FALSE)</f>
        <v>1073</v>
      </c>
      <c r="N437">
        <f>VLOOKUP(F437,Sheet2!$B$1:$E$19,3,FALSE)</f>
        <v>1108959</v>
      </c>
      <c r="O437">
        <f>IF(G437="Not available","",VLOOKUP(F437,Sheet2!$B$1:$E$19,4,FALSE)+(G437-1))</f>
        <v>3780026</v>
      </c>
    </row>
    <row r="438" spans="1:15" s="1" customFormat="1" ht="15" customHeight="1" x14ac:dyDescent="0.25">
      <c r="A438" s="18" t="s">
        <v>35</v>
      </c>
      <c r="B438" s="18" t="s">
        <v>147</v>
      </c>
      <c r="C438" s="5">
        <v>1823</v>
      </c>
      <c r="E438" s="1" t="s">
        <v>2</v>
      </c>
      <c r="F438" s="18">
        <v>2173</v>
      </c>
      <c r="G438" s="18">
        <v>74</v>
      </c>
      <c r="H438" s="5">
        <v>141</v>
      </c>
      <c r="I438" s="1">
        <v>93</v>
      </c>
      <c r="J438" s="1">
        <v>194</v>
      </c>
      <c r="L438" t="str">
        <f t="shared" si="6"/>
        <v>http://www.badatelna.eu/reprodukce/?fondId=1073&amp;zaznamId=1108959&amp;reproId=3780067</v>
      </c>
      <c r="M438">
        <f>VLOOKUP(F438,Sheet2!$B$1:$E$19,2,FALSE)</f>
        <v>1073</v>
      </c>
      <c r="N438">
        <f>VLOOKUP(F438,Sheet2!$B$1:$E$19,3,FALSE)</f>
        <v>1108959</v>
      </c>
      <c r="O438">
        <f>IF(G438="Not available","",VLOOKUP(F438,Sheet2!$B$1:$E$19,4,FALSE)+(G438-1))</f>
        <v>3780067</v>
      </c>
    </row>
    <row r="439" spans="1:15" s="1" customFormat="1" ht="15" customHeight="1" x14ac:dyDescent="0.25">
      <c r="A439" s="18" t="s">
        <v>35</v>
      </c>
      <c r="B439" s="18" t="s">
        <v>142</v>
      </c>
      <c r="C439" s="5">
        <v>1817</v>
      </c>
      <c r="E439" s="1" t="s">
        <v>2</v>
      </c>
      <c r="F439" s="18">
        <v>2173</v>
      </c>
      <c r="G439" s="18">
        <v>66</v>
      </c>
      <c r="H439" s="5">
        <v>127</v>
      </c>
      <c r="I439" s="1">
        <v>93</v>
      </c>
      <c r="J439" s="1">
        <v>194</v>
      </c>
      <c r="L439" t="str">
        <f t="shared" si="6"/>
        <v>http://www.badatelna.eu/reprodukce/?fondId=1073&amp;zaznamId=1108959&amp;reproId=3780059</v>
      </c>
      <c r="M439">
        <f>VLOOKUP(F439,Sheet2!$B$1:$E$19,2,FALSE)</f>
        <v>1073</v>
      </c>
      <c r="N439">
        <f>VLOOKUP(F439,Sheet2!$B$1:$E$19,3,FALSE)</f>
        <v>1108959</v>
      </c>
      <c r="O439">
        <f>IF(G439="Not available","",VLOOKUP(F439,Sheet2!$B$1:$E$19,4,FALSE)+(G439-1))</f>
        <v>3780059</v>
      </c>
    </row>
    <row r="440" spans="1:15" s="1" customFormat="1" ht="15" customHeight="1" x14ac:dyDescent="0.25">
      <c r="A440" s="18" t="s">
        <v>35</v>
      </c>
      <c r="B440" s="18" t="s">
        <v>134</v>
      </c>
      <c r="C440" s="5">
        <v>1813</v>
      </c>
      <c r="E440" s="1" t="s">
        <v>2</v>
      </c>
      <c r="F440" s="18">
        <v>2173</v>
      </c>
      <c r="G440" s="18">
        <v>61</v>
      </c>
      <c r="H440" s="5">
        <v>117</v>
      </c>
      <c r="I440" s="1">
        <v>92</v>
      </c>
      <c r="J440" s="1">
        <v>190</v>
      </c>
      <c r="L440" t="str">
        <f t="shared" si="6"/>
        <v>http://www.badatelna.eu/reprodukce/?fondId=1073&amp;zaznamId=1108959&amp;reproId=3780054</v>
      </c>
      <c r="M440">
        <f>VLOOKUP(F440,Sheet2!$B$1:$E$19,2,FALSE)</f>
        <v>1073</v>
      </c>
      <c r="N440">
        <f>VLOOKUP(F440,Sheet2!$B$1:$E$19,3,FALSE)</f>
        <v>1108959</v>
      </c>
      <c r="O440">
        <f>IF(G440="Not available","",VLOOKUP(F440,Sheet2!$B$1:$E$19,4,FALSE)+(G440-1))</f>
        <v>3780054</v>
      </c>
    </row>
    <row r="441" spans="1:15" s="1" customFormat="1" ht="15" customHeight="1" x14ac:dyDescent="0.25">
      <c r="A441" s="18" t="s">
        <v>35</v>
      </c>
      <c r="B441" s="18" t="s">
        <v>24</v>
      </c>
      <c r="C441" s="5">
        <v>1863</v>
      </c>
      <c r="E441" s="1" t="s">
        <v>939</v>
      </c>
      <c r="F441" s="18">
        <v>999</v>
      </c>
      <c r="G441" s="18">
        <v>42</v>
      </c>
      <c r="H441" s="5">
        <v>40</v>
      </c>
      <c r="I441" s="1">
        <v>63</v>
      </c>
      <c r="J441" s="1">
        <v>96</v>
      </c>
      <c r="L441" t="str">
        <f t="shared" si="6"/>
        <v>http://www.badatelna.eu/reprodukce/?fondId=241&amp;zaznamId=1133739&amp;reproId=3885771</v>
      </c>
      <c r="M441">
        <f>VLOOKUP(F441,Sheet2!$B$1:$E$19,2,FALSE)</f>
        <v>241</v>
      </c>
      <c r="N441">
        <f>VLOOKUP(F441,Sheet2!$B$1:$E$19,3,FALSE)</f>
        <v>1133739</v>
      </c>
      <c r="O441">
        <f>IF(G441="Not available","",VLOOKUP(F441,Sheet2!$B$1:$E$19,4,FALSE)+(G441-1))</f>
        <v>3885771</v>
      </c>
    </row>
    <row r="442" spans="1:15" s="1" customFormat="1" ht="15" customHeight="1" x14ac:dyDescent="0.25">
      <c r="A442" s="18" t="s">
        <v>35</v>
      </c>
      <c r="B442" s="18" t="s">
        <v>475</v>
      </c>
      <c r="C442" s="5">
        <v>1853</v>
      </c>
      <c r="D442" s="1" t="s">
        <v>74</v>
      </c>
      <c r="E442" s="1" t="s">
        <v>2</v>
      </c>
      <c r="F442" s="18">
        <v>2164</v>
      </c>
      <c r="G442" s="18">
        <v>93</v>
      </c>
      <c r="H442" s="5">
        <v>91</v>
      </c>
      <c r="I442" s="1">
        <v>123</v>
      </c>
      <c r="J442" s="4" t="s">
        <v>3271</v>
      </c>
      <c r="L442" t="str">
        <f t="shared" si="6"/>
        <v>http://www.badatelna.eu/reprodukce/?fondId=1073&amp;zaznamId=1108951&amp;reproId=3778807</v>
      </c>
      <c r="M442">
        <f>VLOOKUP(F442,Sheet2!$B$1:$E$19,2,FALSE)</f>
        <v>1073</v>
      </c>
      <c r="N442">
        <f>VLOOKUP(F442,Sheet2!$B$1:$E$19,3,FALSE)</f>
        <v>1108951</v>
      </c>
      <c r="O442">
        <f>IF(G442="Not available","",VLOOKUP(F442,Sheet2!$B$1:$E$19,4,FALSE)+(G442-1))</f>
        <v>3778807</v>
      </c>
    </row>
    <row r="443" spans="1:15" s="1" customFormat="1" ht="15" customHeight="1" x14ac:dyDescent="0.25">
      <c r="A443" s="18" t="s">
        <v>35</v>
      </c>
      <c r="B443" s="18" t="s">
        <v>44</v>
      </c>
      <c r="C443" s="7">
        <v>1793</v>
      </c>
      <c r="D443" s="1" t="s">
        <v>66</v>
      </c>
      <c r="E443" s="1" t="s">
        <v>2</v>
      </c>
      <c r="F443" s="18">
        <v>2173</v>
      </c>
      <c r="G443" s="18">
        <v>29</v>
      </c>
      <c r="H443" s="5">
        <v>52</v>
      </c>
      <c r="I443" s="2">
        <v>91</v>
      </c>
      <c r="J443" s="2">
        <v>189</v>
      </c>
      <c r="L443" t="str">
        <f t="shared" si="6"/>
        <v>http://www.badatelna.eu/reprodukce/?fondId=1073&amp;zaznamId=1108959&amp;reproId=3780022</v>
      </c>
      <c r="M443">
        <f>VLOOKUP(F443,Sheet2!$B$1:$E$19,2,FALSE)</f>
        <v>1073</v>
      </c>
      <c r="N443">
        <f>VLOOKUP(F443,Sheet2!$B$1:$E$19,3,FALSE)</f>
        <v>1108959</v>
      </c>
      <c r="O443">
        <f>IF(G443="Not available","",VLOOKUP(F443,Sheet2!$B$1:$E$19,4,FALSE)+(G443-1))</f>
        <v>3780022</v>
      </c>
    </row>
    <row r="444" spans="1:15" s="1" customFormat="1" ht="15" customHeight="1" x14ac:dyDescent="0.25">
      <c r="A444" s="18" t="s">
        <v>35</v>
      </c>
      <c r="B444" s="18" t="s">
        <v>44</v>
      </c>
      <c r="C444" s="5">
        <v>1794</v>
      </c>
      <c r="D444" s="1" t="s">
        <v>49</v>
      </c>
      <c r="E444" s="1" t="s">
        <v>2</v>
      </c>
      <c r="F444" s="18">
        <v>2173</v>
      </c>
      <c r="G444" s="18">
        <v>28</v>
      </c>
      <c r="H444" s="5">
        <v>51</v>
      </c>
      <c r="I444" s="2">
        <v>91</v>
      </c>
      <c r="J444" s="2">
        <v>189</v>
      </c>
      <c r="L444" t="str">
        <f t="shared" si="6"/>
        <v>http://www.badatelna.eu/reprodukce/?fondId=1073&amp;zaznamId=1108959&amp;reproId=3780021</v>
      </c>
      <c r="M444">
        <f>VLOOKUP(F444,Sheet2!$B$1:$E$19,2,FALSE)</f>
        <v>1073</v>
      </c>
      <c r="N444">
        <f>VLOOKUP(F444,Sheet2!$B$1:$E$19,3,FALSE)</f>
        <v>1108959</v>
      </c>
      <c r="O444">
        <f>IF(G444="Not available","",VLOOKUP(F444,Sheet2!$B$1:$E$19,4,FALSE)+(G444-1))</f>
        <v>3780021</v>
      </c>
    </row>
    <row r="445" spans="1:15" s="1" customFormat="1" ht="15" customHeight="1" x14ac:dyDescent="0.25">
      <c r="A445" s="18" t="s">
        <v>35</v>
      </c>
      <c r="B445" s="18" t="s">
        <v>44</v>
      </c>
      <c r="C445" s="6" t="s">
        <v>3036</v>
      </c>
      <c r="E445" s="1" t="s">
        <v>2</v>
      </c>
      <c r="F445" s="18">
        <v>2173</v>
      </c>
      <c r="G445" s="18">
        <v>49</v>
      </c>
      <c r="H445" s="14" t="s">
        <v>3009</v>
      </c>
      <c r="I445" s="1">
        <v>92</v>
      </c>
      <c r="J445" s="1">
        <v>190</v>
      </c>
      <c r="L445" t="str">
        <f t="shared" si="6"/>
        <v>http://www.badatelna.eu/reprodukce/?fondId=1073&amp;zaznamId=1108959&amp;reproId=3780042</v>
      </c>
      <c r="M445">
        <f>VLOOKUP(F445,Sheet2!$B$1:$E$19,2,FALSE)</f>
        <v>1073</v>
      </c>
      <c r="N445">
        <f>VLOOKUP(F445,Sheet2!$B$1:$E$19,3,FALSE)</f>
        <v>1108959</v>
      </c>
      <c r="O445">
        <f>IF(G445="Not available","",VLOOKUP(F445,Sheet2!$B$1:$E$19,4,FALSE)+(G445-1))</f>
        <v>3780042</v>
      </c>
    </row>
    <row r="446" spans="1:15" s="1" customFormat="1" ht="15" customHeight="1" x14ac:dyDescent="0.25">
      <c r="A446" s="18" t="s">
        <v>35</v>
      </c>
      <c r="B446" s="18" t="s">
        <v>44</v>
      </c>
      <c r="C446" s="5">
        <v>1832</v>
      </c>
      <c r="D446" s="1" t="s">
        <v>212</v>
      </c>
      <c r="E446" s="1" t="s">
        <v>2</v>
      </c>
      <c r="F446" s="18">
        <v>2174</v>
      </c>
      <c r="G446" s="18">
        <v>68</v>
      </c>
      <c r="H446" s="6" t="s">
        <v>3112</v>
      </c>
      <c r="I446" s="1">
        <v>180</v>
      </c>
      <c r="J446" s="1">
        <v>204</v>
      </c>
      <c r="K446" s="2"/>
      <c r="L446" t="str">
        <f t="shared" si="6"/>
        <v>http://www.badatelna.eu/reprodukce/?fondId=1073&amp;zaznamId=1108960&amp;reproId=3780292</v>
      </c>
      <c r="M446">
        <f>VLOOKUP(F446,Sheet2!$B$1:$E$19,2,FALSE)</f>
        <v>1073</v>
      </c>
      <c r="N446">
        <f>VLOOKUP(F446,Sheet2!$B$1:$E$19,3,FALSE)</f>
        <v>1108960</v>
      </c>
      <c r="O446">
        <f>IF(G446="Not available","",VLOOKUP(F446,Sheet2!$B$1:$E$19,4,FALSE)+(G446-1))</f>
        <v>3780292</v>
      </c>
    </row>
    <row r="447" spans="1:15" s="1" customFormat="1" ht="15" customHeight="1" x14ac:dyDescent="0.25">
      <c r="A447" s="18" t="s">
        <v>35</v>
      </c>
      <c r="B447" s="18" t="s">
        <v>44</v>
      </c>
      <c r="C447" s="5">
        <v>1854</v>
      </c>
      <c r="D447" s="1" t="s">
        <v>826</v>
      </c>
      <c r="E447" s="1" t="s">
        <v>2</v>
      </c>
      <c r="F447" s="18">
        <v>2164</v>
      </c>
      <c r="G447" s="18">
        <v>97</v>
      </c>
      <c r="H447" s="5">
        <v>95</v>
      </c>
      <c r="I447" s="1">
        <v>123</v>
      </c>
      <c r="J447" s="4" t="s">
        <v>3271</v>
      </c>
      <c r="L447" t="str">
        <f t="shared" si="6"/>
        <v>http://www.badatelna.eu/reprodukce/?fondId=1073&amp;zaznamId=1108951&amp;reproId=3778811</v>
      </c>
      <c r="M447">
        <f>VLOOKUP(F447,Sheet2!$B$1:$E$19,2,FALSE)</f>
        <v>1073</v>
      </c>
      <c r="N447">
        <f>VLOOKUP(F447,Sheet2!$B$1:$E$19,3,FALSE)</f>
        <v>1108951</v>
      </c>
      <c r="O447">
        <f>IF(G447="Not available","",VLOOKUP(F447,Sheet2!$B$1:$E$19,4,FALSE)+(G447-1))</f>
        <v>3778811</v>
      </c>
    </row>
    <row r="448" spans="1:15" s="1" customFormat="1" ht="15" customHeight="1" x14ac:dyDescent="0.25">
      <c r="A448" s="18" t="s">
        <v>35</v>
      </c>
      <c r="B448" s="18" t="s">
        <v>23</v>
      </c>
      <c r="C448" s="5">
        <v>1801</v>
      </c>
      <c r="D448" s="4" t="s">
        <v>21</v>
      </c>
      <c r="E448" s="1" t="s">
        <v>2</v>
      </c>
      <c r="F448" s="18">
        <v>2173</v>
      </c>
      <c r="G448" s="18">
        <v>44</v>
      </c>
      <c r="H448" s="14" t="s">
        <v>2927</v>
      </c>
      <c r="I448" s="1">
        <v>92</v>
      </c>
      <c r="J448" s="1">
        <v>190</v>
      </c>
      <c r="L448" t="str">
        <f t="shared" si="6"/>
        <v>http://www.badatelna.eu/reprodukce/?fondId=1073&amp;zaznamId=1108959&amp;reproId=3780037</v>
      </c>
      <c r="M448">
        <f>VLOOKUP(F448,Sheet2!$B$1:$E$19,2,FALSE)</f>
        <v>1073</v>
      </c>
      <c r="N448">
        <f>VLOOKUP(F448,Sheet2!$B$1:$E$19,3,FALSE)</f>
        <v>1108959</v>
      </c>
      <c r="O448">
        <f>IF(G448="Not available","",VLOOKUP(F448,Sheet2!$B$1:$E$19,4,FALSE)+(G448-1))</f>
        <v>3780037</v>
      </c>
    </row>
    <row r="449" spans="1:15" s="1" customFormat="1" ht="15" customHeight="1" x14ac:dyDescent="0.25">
      <c r="A449" s="18" t="s">
        <v>35</v>
      </c>
      <c r="B449" s="18" t="s">
        <v>23</v>
      </c>
      <c r="C449" s="5">
        <v>1808</v>
      </c>
      <c r="E449" s="1" t="s">
        <v>2</v>
      </c>
      <c r="F449" s="18">
        <v>2173</v>
      </c>
      <c r="G449" s="18">
        <v>53</v>
      </c>
      <c r="H449" s="5">
        <v>100</v>
      </c>
      <c r="I449" s="1">
        <v>92</v>
      </c>
      <c r="J449" s="1">
        <v>190</v>
      </c>
      <c r="L449" t="str">
        <f t="shared" si="6"/>
        <v>http://www.badatelna.eu/reprodukce/?fondId=1073&amp;zaznamId=1108959&amp;reproId=3780046</v>
      </c>
      <c r="M449">
        <f>VLOOKUP(F449,Sheet2!$B$1:$E$19,2,FALSE)</f>
        <v>1073</v>
      </c>
      <c r="N449">
        <f>VLOOKUP(F449,Sheet2!$B$1:$E$19,3,FALSE)</f>
        <v>1108959</v>
      </c>
      <c r="O449">
        <f>IF(G449="Not available","",VLOOKUP(F449,Sheet2!$B$1:$E$19,4,FALSE)+(G449-1))</f>
        <v>3780046</v>
      </c>
    </row>
    <row r="450" spans="1:15" s="1" customFormat="1" ht="15" customHeight="1" x14ac:dyDescent="0.25">
      <c r="A450" s="18" t="s">
        <v>35</v>
      </c>
      <c r="B450" s="18" t="s">
        <v>23</v>
      </c>
      <c r="C450" s="5">
        <v>1814</v>
      </c>
      <c r="E450" s="1" t="s">
        <v>2</v>
      </c>
      <c r="F450" s="18">
        <v>2173</v>
      </c>
      <c r="G450" s="18">
        <v>63</v>
      </c>
      <c r="H450" s="5">
        <v>121</v>
      </c>
      <c r="I450" s="1">
        <v>92</v>
      </c>
      <c r="J450" s="1">
        <v>190</v>
      </c>
      <c r="L450" t="str">
        <f t="shared" si="6"/>
        <v>http://www.badatelna.eu/reprodukce/?fondId=1073&amp;zaznamId=1108959&amp;reproId=3780056</v>
      </c>
      <c r="M450">
        <f>VLOOKUP(F450,Sheet2!$B$1:$E$19,2,FALSE)</f>
        <v>1073</v>
      </c>
      <c r="N450">
        <f>VLOOKUP(F450,Sheet2!$B$1:$E$19,3,FALSE)</f>
        <v>1108959</v>
      </c>
      <c r="O450">
        <f>IF(G450="Not available","",VLOOKUP(F450,Sheet2!$B$1:$E$19,4,FALSE)+(G450-1))</f>
        <v>3780056</v>
      </c>
    </row>
    <row r="451" spans="1:15" s="1" customFormat="1" ht="15" customHeight="1" x14ac:dyDescent="0.25">
      <c r="A451" s="18" t="s">
        <v>35</v>
      </c>
      <c r="B451" s="18" t="s">
        <v>23</v>
      </c>
      <c r="C451" s="5">
        <v>1817</v>
      </c>
      <c r="E451" s="1" t="s">
        <v>2</v>
      </c>
      <c r="F451" s="18">
        <v>2173</v>
      </c>
      <c r="G451" s="18">
        <v>66</v>
      </c>
      <c r="H451" s="6" t="s">
        <v>3057</v>
      </c>
      <c r="I451" s="1">
        <v>93</v>
      </c>
      <c r="J451" s="1">
        <v>194</v>
      </c>
      <c r="L451" t="str">
        <f t="shared" ref="L451:L514" si="7">IF(G451="Not available","","http://www.badatelna.eu/reprodukce/?fondId="&amp;M451&amp;"&amp;zaznamId="&amp;N451&amp;"&amp;reproId="&amp;O451)</f>
        <v>http://www.badatelna.eu/reprodukce/?fondId=1073&amp;zaznamId=1108959&amp;reproId=3780059</v>
      </c>
      <c r="M451">
        <f>VLOOKUP(F451,Sheet2!$B$1:$E$19,2,FALSE)</f>
        <v>1073</v>
      </c>
      <c r="N451">
        <f>VLOOKUP(F451,Sheet2!$B$1:$E$19,3,FALSE)</f>
        <v>1108959</v>
      </c>
      <c r="O451">
        <f>IF(G451="Not available","",VLOOKUP(F451,Sheet2!$B$1:$E$19,4,FALSE)+(G451-1))</f>
        <v>3780059</v>
      </c>
    </row>
    <row r="452" spans="1:15" s="1" customFormat="1" ht="15" customHeight="1" x14ac:dyDescent="0.25">
      <c r="A452" s="18" t="s">
        <v>35</v>
      </c>
      <c r="B452" s="18" t="s">
        <v>23</v>
      </c>
      <c r="C452" s="5">
        <v>1821</v>
      </c>
      <c r="E452" s="1" t="s">
        <v>2</v>
      </c>
      <c r="F452" s="18">
        <v>2173</v>
      </c>
      <c r="G452" s="18">
        <v>72</v>
      </c>
      <c r="H452" s="5">
        <v>136</v>
      </c>
      <c r="I452" s="1">
        <v>93</v>
      </c>
      <c r="J452" s="1">
        <v>194</v>
      </c>
      <c r="L452" t="str">
        <f t="shared" si="7"/>
        <v>http://www.badatelna.eu/reprodukce/?fondId=1073&amp;zaznamId=1108959&amp;reproId=3780065</v>
      </c>
      <c r="M452">
        <f>VLOOKUP(F452,Sheet2!$B$1:$E$19,2,FALSE)</f>
        <v>1073</v>
      </c>
      <c r="N452">
        <f>VLOOKUP(F452,Sheet2!$B$1:$E$19,3,FALSE)</f>
        <v>1108959</v>
      </c>
      <c r="O452">
        <f>IF(G452="Not available","",VLOOKUP(F452,Sheet2!$B$1:$E$19,4,FALSE)+(G452-1))</f>
        <v>3780065</v>
      </c>
    </row>
    <row r="453" spans="1:15" s="1" customFormat="1" ht="15" customHeight="1" x14ac:dyDescent="0.25">
      <c r="A453" s="18" t="s">
        <v>35</v>
      </c>
      <c r="B453" s="18" t="s">
        <v>23</v>
      </c>
      <c r="C453" s="5">
        <v>1829</v>
      </c>
      <c r="D453" s="4" t="s">
        <v>12</v>
      </c>
      <c r="E453" s="1" t="s">
        <v>2</v>
      </c>
      <c r="F453" s="18">
        <v>2173</v>
      </c>
      <c r="G453" s="18">
        <v>82</v>
      </c>
      <c r="H453" s="5">
        <v>156</v>
      </c>
      <c r="I453" s="1">
        <v>93</v>
      </c>
      <c r="J453" s="1">
        <v>194</v>
      </c>
      <c r="L453" t="str">
        <f t="shared" si="7"/>
        <v>http://www.badatelna.eu/reprodukce/?fondId=1073&amp;zaznamId=1108959&amp;reproId=3780075</v>
      </c>
      <c r="M453">
        <f>VLOOKUP(F453,Sheet2!$B$1:$E$19,2,FALSE)</f>
        <v>1073</v>
      </c>
      <c r="N453">
        <f>VLOOKUP(F453,Sheet2!$B$1:$E$19,3,FALSE)</f>
        <v>1108959</v>
      </c>
      <c r="O453">
        <f>IF(G453="Not available","",VLOOKUP(F453,Sheet2!$B$1:$E$19,4,FALSE)+(G453-1))</f>
        <v>3780075</v>
      </c>
    </row>
    <row r="454" spans="1:15" s="1" customFormat="1" ht="15" customHeight="1" x14ac:dyDescent="0.25">
      <c r="A454" s="18" t="s">
        <v>35</v>
      </c>
      <c r="B454" s="18" t="s">
        <v>791</v>
      </c>
      <c r="C454" s="5">
        <v>1855</v>
      </c>
      <c r="D454" s="1" t="s">
        <v>99</v>
      </c>
      <c r="E454" s="1" t="s">
        <v>2</v>
      </c>
      <c r="F454" s="18">
        <v>2164</v>
      </c>
      <c r="G454" s="18">
        <v>105</v>
      </c>
      <c r="H454" s="5">
        <v>103</v>
      </c>
      <c r="I454" s="1">
        <v>123</v>
      </c>
      <c r="J454" s="4" t="s">
        <v>3271</v>
      </c>
      <c r="L454" t="str">
        <f t="shared" si="7"/>
        <v>http://www.badatelna.eu/reprodukce/?fondId=1073&amp;zaznamId=1108951&amp;reproId=3778819</v>
      </c>
      <c r="M454">
        <f>VLOOKUP(F454,Sheet2!$B$1:$E$19,2,FALSE)</f>
        <v>1073</v>
      </c>
      <c r="N454">
        <f>VLOOKUP(F454,Sheet2!$B$1:$E$19,3,FALSE)</f>
        <v>1108951</v>
      </c>
      <c r="O454">
        <f>IF(G454="Not available","",VLOOKUP(F454,Sheet2!$B$1:$E$19,4,FALSE)+(G454-1))</f>
        <v>3778819</v>
      </c>
    </row>
    <row r="455" spans="1:15" s="1" customFormat="1" ht="15" customHeight="1" x14ac:dyDescent="0.25">
      <c r="A455" s="18" t="s">
        <v>35</v>
      </c>
      <c r="B455" s="18" t="s">
        <v>83</v>
      </c>
      <c r="C455" s="5">
        <v>1848</v>
      </c>
      <c r="D455" s="1" t="s">
        <v>20</v>
      </c>
      <c r="E455" s="1" t="s">
        <v>2</v>
      </c>
      <c r="F455" s="18">
        <v>2164</v>
      </c>
      <c r="G455" s="18">
        <v>22</v>
      </c>
      <c r="H455" s="5">
        <v>20</v>
      </c>
      <c r="I455" s="1">
        <v>123</v>
      </c>
      <c r="J455" s="4" t="s">
        <v>3271</v>
      </c>
      <c r="L455" t="str">
        <f t="shared" si="7"/>
        <v>http://www.badatelna.eu/reprodukce/?fondId=1073&amp;zaznamId=1108951&amp;reproId=3778736</v>
      </c>
      <c r="M455">
        <f>VLOOKUP(F455,Sheet2!$B$1:$E$19,2,FALSE)</f>
        <v>1073</v>
      </c>
      <c r="N455">
        <f>VLOOKUP(F455,Sheet2!$B$1:$E$19,3,FALSE)</f>
        <v>1108951</v>
      </c>
      <c r="O455">
        <f>IF(G455="Not available","",VLOOKUP(F455,Sheet2!$B$1:$E$19,4,FALSE)+(G455-1))</f>
        <v>3778736</v>
      </c>
    </row>
    <row r="456" spans="1:15" s="1" customFormat="1" ht="15" customHeight="1" x14ac:dyDescent="0.25">
      <c r="A456" s="18" t="s">
        <v>35</v>
      </c>
      <c r="B456" s="18" t="s">
        <v>81</v>
      </c>
      <c r="C456" s="5">
        <v>1807</v>
      </c>
      <c r="E456" s="1" t="s">
        <v>2</v>
      </c>
      <c r="F456" s="18">
        <v>2173</v>
      </c>
      <c r="G456" s="18">
        <v>53</v>
      </c>
      <c r="H456" s="5">
        <v>100</v>
      </c>
      <c r="I456" s="1">
        <v>92</v>
      </c>
      <c r="J456" s="1">
        <v>190</v>
      </c>
      <c r="L456" t="str">
        <f t="shared" si="7"/>
        <v>http://www.badatelna.eu/reprodukce/?fondId=1073&amp;zaznamId=1108959&amp;reproId=3780046</v>
      </c>
      <c r="M456">
        <f>VLOOKUP(F456,Sheet2!$B$1:$E$19,2,FALSE)</f>
        <v>1073</v>
      </c>
      <c r="N456">
        <f>VLOOKUP(F456,Sheet2!$B$1:$E$19,3,FALSE)</f>
        <v>1108959</v>
      </c>
      <c r="O456">
        <f>IF(G456="Not available","",VLOOKUP(F456,Sheet2!$B$1:$E$19,4,FALSE)+(G456-1))</f>
        <v>3780046</v>
      </c>
    </row>
    <row r="457" spans="1:15" s="1" customFormat="1" ht="15" customHeight="1" x14ac:dyDescent="0.25">
      <c r="A457" s="18" t="s">
        <v>35</v>
      </c>
      <c r="B457" s="18" t="s">
        <v>81</v>
      </c>
      <c r="C457" s="5">
        <v>1824</v>
      </c>
      <c r="E457" s="1" t="s">
        <v>2</v>
      </c>
      <c r="F457" s="18">
        <v>2173</v>
      </c>
      <c r="G457" s="18">
        <v>77</v>
      </c>
      <c r="H457" s="5">
        <v>147</v>
      </c>
      <c r="I457" s="1">
        <v>93</v>
      </c>
      <c r="J457" s="1">
        <v>194</v>
      </c>
      <c r="L457" t="str">
        <f t="shared" si="7"/>
        <v>http://www.badatelna.eu/reprodukce/?fondId=1073&amp;zaznamId=1108959&amp;reproId=3780070</v>
      </c>
      <c r="M457">
        <f>VLOOKUP(F457,Sheet2!$B$1:$E$19,2,FALSE)</f>
        <v>1073</v>
      </c>
      <c r="N457">
        <f>VLOOKUP(F457,Sheet2!$B$1:$E$19,3,FALSE)</f>
        <v>1108959</v>
      </c>
      <c r="O457">
        <f>IF(G457="Not available","",VLOOKUP(F457,Sheet2!$B$1:$E$19,4,FALSE)+(G457-1))</f>
        <v>3780070</v>
      </c>
    </row>
    <row r="458" spans="1:15" s="1" customFormat="1" ht="15" customHeight="1" x14ac:dyDescent="0.25">
      <c r="A458" s="18" t="s">
        <v>35</v>
      </c>
      <c r="B458" s="18" t="s">
        <v>38</v>
      </c>
      <c r="C458" s="5">
        <v>1796</v>
      </c>
      <c r="D458" s="1" t="s">
        <v>84</v>
      </c>
      <c r="E458" s="1" t="s">
        <v>2</v>
      </c>
      <c r="F458" s="18">
        <v>2173</v>
      </c>
      <c r="G458" s="18">
        <v>34</v>
      </c>
      <c r="H458" s="5">
        <v>62</v>
      </c>
      <c r="I458" s="1">
        <v>92</v>
      </c>
      <c r="J458" s="1">
        <v>190</v>
      </c>
      <c r="L458" t="str">
        <f t="shared" si="7"/>
        <v>http://www.badatelna.eu/reprodukce/?fondId=1073&amp;zaznamId=1108959&amp;reproId=3780027</v>
      </c>
      <c r="M458">
        <f>VLOOKUP(F458,Sheet2!$B$1:$E$19,2,FALSE)</f>
        <v>1073</v>
      </c>
      <c r="N458">
        <f>VLOOKUP(F458,Sheet2!$B$1:$E$19,3,FALSE)</f>
        <v>1108959</v>
      </c>
      <c r="O458">
        <f>IF(G458="Not available","",VLOOKUP(F458,Sheet2!$B$1:$E$19,4,FALSE)+(G458-1))</f>
        <v>3780027</v>
      </c>
    </row>
    <row r="459" spans="1:15" s="1" customFormat="1" ht="15" customHeight="1" x14ac:dyDescent="0.25">
      <c r="A459" s="18" t="s">
        <v>35</v>
      </c>
      <c r="B459" s="18" t="s">
        <v>10</v>
      </c>
      <c r="C459" s="5">
        <v>1823</v>
      </c>
      <c r="E459" s="1" t="s">
        <v>2</v>
      </c>
      <c r="F459" s="18">
        <v>2173</v>
      </c>
      <c r="G459" s="18">
        <v>74</v>
      </c>
      <c r="H459" s="5">
        <v>140</v>
      </c>
      <c r="I459" s="1">
        <v>93</v>
      </c>
      <c r="J459" s="1">
        <v>194</v>
      </c>
      <c r="L459" t="str">
        <f t="shared" si="7"/>
        <v>http://www.badatelna.eu/reprodukce/?fondId=1073&amp;zaznamId=1108959&amp;reproId=3780067</v>
      </c>
      <c r="M459">
        <f>VLOOKUP(F459,Sheet2!$B$1:$E$19,2,FALSE)</f>
        <v>1073</v>
      </c>
      <c r="N459">
        <f>VLOOKUP(F459,Sheet2!$B$1:$E$19,3,FALSE)</f>
        <v>1108959</v>
      </c>
      <c r="O459">
        <f>IF(G459="Not available","",VLOOKUP(F459,Sheet2!$B$1:$E$19,4,FALSE)+(G459-1))</f>
        <v>3780067</v>
      </c>
    </row>
    <row r="460" spans="1:15" s="1" customFormat="1" ht="15" customHeight="1" x14ac:dyDescent="0.25">
      <c r="A460" s="18" t="s">
        <v>35</v>
      </c>
      <c r="B460" s="18" t="s">
        <v>943</v>
      </c>
      <c r="C460" s="5">
        <v>1864</v>
      </c>
      <c r="E460" s="1" t="s">
        <v>939</v>
      </c>
      <c r="F460" s="18">
        <v>999</v>
      </c>
      <c r="G460" s="18">
        <v>45</v>
      </c>
      <c r="H460" s="5">
        <v>43</v>
      </c>
      <c r="I460" s="1">
        <v>63</v>
      </c>
      <c r="J460" s="1">
        <v>96</v>
      </c>
      <c r="L460" t="str">
        <f t="shared" si="7"/>
        <v>http://www.badatelna.eu/reprodukce/?fondId=241&amp;zaznamId=1133739&amp;reproId=3885774</v>
      </c>
      <c r="M460">
        <f>VLOOKUP(F460,Sheet2!$B$1:$E$19,2,FALSE)</f>
        <v>241</v>
      </c>
      <c r="N460">
        <f>VLOOKUP(F460,Sheet2!$B$1:$E$19,3,FALSE)</f>
        <v>1133739</v>
      </c>
      <c r="O460">
        <f>IF(G460="Not available","",VLOOKUP(F460,Sheet2!$B$1:$E$19,4,FALSE)+(G460-1))</f>
        <v>3885774</v>
      </c>
    </row>
    <row r="461" spans="1:15" s="1" customFormat="1" ht="15" customHeight="1" x14ac:dyDescent="0.25">
      <c r="A461" s="18" t="s">
        <v>35</v>
      </c>
      <c r="B461" s="18" t="s">
        <v>924</v>
      </c>
      <c r="C461" s="5">
        <v>1865</v>
      </c>
      <c r="E461" s="1" t="s">
        <v>939</v>
      </c>
      <c r="F461" s="18">
        <v>999</v>
      </c>
      <c r="G461" s="18">
        <v>56</v>
      </c>
      <c r="H461" s="5">
        <v>54</v>
      </c>
      <c r="I461" s="1">
        <v>63</v>
      </c>
      <c r="J461" s="1">
        <v>96</v>
      </c>
      <c r="L461" t="str">
        <f t="shared" si="7"/>
        <v>http://www.badatelna.eu/reprodukce/?fondId=241&amp;zaznamId=1133739&amp;reproId=3885785</v>
      </c>
      <c r="M461">
        <f>VLOOKUP(F461,Sheet2!$B$1:$E$19,2,FALSE)</f>
        <v>241</v>
      </c>
      <c r="N461">
        <f>VLOOKUP(F461,Sheet2!$B$1:$E$19,3,FALSE)</f>
        <v>1133739</v>
      </c>
      <c r="O461">
        <f>IF(G461="Not available","",VLOOKUP(F461,Sheet2!$B$1:$E$19,4,FALSE)+(G461-1))</f>
        <v>3885785</v>
      </c>
    </row>
    <row r="462" spans="1:15" s="1" customFormat="1" ht="15" customHeight="1" x14ac:dyDescent="0.25">
      <c r="A462" s="18" t="s">
        <v>35</v>
      </c>
      <c r="B462" s="18" t="s">
        <v>924</v>
      </c>
      <c r="C462" s="5" t="s">
        <v>1295</v>
      </c>
      <c r="D462" s="4" t="s">
        <v>1003</v>
      </c>
      <c r="E462" s="1" t="s">
        <v>2</v>
      </c>
      <c r="F462" s="18">
        <v>2165</v>
      </c>
      <c r="G462" s="18">
        <v>9</v>
      </c>
      <c r="H462" s="5">
        <v>6</v>
      </c>
      <c r="I462" s="1">
        <v>80</v>
      </c>
      <c r="J462" s="1" t="s">
        <v>3271</v>
      </c>
      <c r="L462" t="str">
        <f t="shared" si="7"/>
        <v>http://www.badatelna.eu/reprodukce/?fondId=1073&amp;zaznamId=1108952&amp;reproId=3778870</v>
      </c>
      <c r="M462">
        <f>VLOOKUP(F462,Sheet2!$B$1:$E$19,2,FALSE)</f>
        <v>1073</v>
      </c>
      <c r="N462">
        <f>VLOOKUP(F462,Sheet2!$B$1:$E$19,3,FALSE)</f>
        <v>1108952</v>
      </c>
      <c r="O462">
        <f>IF(G462="Not available","",VLOOKUP(F462,Sheet2!$B$1:$E$19,4,FALSE)+(G462-1))</f>
        <v>3778870</v>
      </c>
    </row>
    <row r="463" spans="1:15" s="1" customFormat="1" ht="15" customHeight="1" x14ac:dyDescent="0.25">
      <c r="A463" s="18" t="s">
        <v>35</v>
      </c>
      <c r="B463" s="18" t="s">
        <v>304</v>
      </c>
      <c r="C463" s="5">
        <v>1839</v>
      </c>
      <c r="D463" s="1" t="s">
        <v>627</v>
      </c>
      <c r="E463" s="1" t="s">
        <v>2</v>
      </c>
      <c r="F463" s="18">
        <v>2174</v>
      </c>
      <c r="G463" s="18">
        <v>103</v>
      </c>
      <c r="H463" s="6" t="s">
        <v>3172</v>
      </c>
      <c r="I463" s="1">
        <v>181</v>
      </c>
      <c r="J463" s="1">
        <v>205</v>
      </c>
      <c r="L463" t="str">
        <f t="shared" si="7"/>
        <v>http://www.badatelna.eu/reprodukce/?fondId=1073&amp;zaznamId=1108960&amp;reproId=3780327</v>
      </c>
      <c r="M463">
        <f>VLOOKUP(F463,Sheet2!$B$1:$E$19,2,FALSE)</f>
        <v>1073</v>
      </c>
      <c r="N463">
        <f>VLOOKUP(F463,Sheet2!$B$1:$E$19,3,FALSE)</f>
        <v>1108960</v>
      </c>
      <c r="O463">
        <f>IF(G463="Not available","",VLOOKUP(F463,Sheet2!$B$1:$E$19,4,FALSE)+(G463-1))</f>
        <v>3780327</v>
      </c>
    </row>
    <row r="464" spans="1:15" s="1" customFormat="1" ht="15" customHeight="1" x14ac:dyDescent="0.25">
      <c r="A464" s="18" t="s">
        <v>35</v>
      </c>
      <c r="B464" s="18" t="s">
        <v>304</v>
      </c>
      <c r="C464" s="5">
        <v>1842</v>
      </c>
      <c r="D464" s="1" t="s">
        <v>626</v>
      </c>
      <c r="E464" s="1" t="s">
        <v>2</v>
      </c>
      <c r="F464" s="18">
        <v>2174</v>
      </c>
      <c r="G464" s="18">
        <v>126</v>
      </c>
      <c r="H464" s="6" t="s">
        <v>3196</v>
      </c>
      <c r="I464" s="1">
        <v>181</v>
      </c>
      <c r="J464" s="1">
        <v>205</v>
      </c>
      <c r="L464" t="str">
        <f t="shared" si="7"/>
        <v>http://www.badatelna.eu/reprodukce/?fondId=1073&amp;zaznamId=1108960&amp;reproId=3780350</v>
      </c>
      <c r="M464">
        <f>VLOOKUP(F464,Sheet2!$B$1:$E$19,2,FALSE)</f>
        <v>1073</v>
      </c>
      <c r="N464">
        <f>VLOOKUP(F464,Sheet2!$B$1:$E$19,3,FALSE)</f>
        <v>1108960</v>
      </c>
      <c r="O464">
        <f>IF(G464="Not available","",VLOOKUP(F464,Sheet2!$B$1:$E$19,4,FALSE)+(G464-1))</f>
        <v>3780350</v>
      </c>
    </row>
    <row r="465" spans="1:15" s="1" customFormat="1" ht="15" customHeight="1" x14ac:dyDescent="0.25">
      <c r="A465" s="18" t="s">
        <v>35</v>
      </c>
      <c r="B465" s="18" t="s">
        <v>304</v>
      </c>
      <c r="C465" s="5">
        <v>1860</v>
      </c>
      <c r="E465" s="1" t="s">
        <v>939</v>
      </c>
      <c r="F465" s="18">
        <v>999</v>
      </c>
      <c r="G465" s="18">
        <v>22</v>
      </c>
      <c r="H465" s="5">
        <v>20</v>
      </c>
      <c r="I465" s="1">
        <v>63</v>
      </c>
      <c r="J465" s="1">
        <v>96</v>
      </c>
      <c r="L465" t="str">
        <f t="shared" si="7"/>
        <v>http://www.badatelna.eu/reprodukce/?fondId=241&amp;zaznamId=1133739&amp;reproId=3885751</v>
      </c>
      <c r="M465">
        <f>VLOOKUP(F465,Sheet2!$B$1:$E$19,2,FALSE)</f>
        <v>241</v>
      </c>
      <c r="N465">
        <f>VLOOKUP(F465,Sheet2!$B$1:$E$19,3,FALSE)</f>
        <v>1133739</v>
      </c>
      <c r="O465">
        <f>IF(G465="Not available","",VLOOKUP(F465,Sheet2!$B$1:$E$19,4,FALSE)+(G465-1))</f>
        <v>3885751</v>
      </c>
    </row>
    <row r="466" spans="1:15" s="1" customFormat="1" ht="15" customHeight="1" x14ac:dyDescent="0.25">
      <c r="A466" s="18" t="s">
        <v>35</v>
      </c>
      <c r="B466" s="18" t="s">
        <v>58</v>
      </c>
      <c r="C466" s="5">
        <v>1814</v>
      </c>
      <c r="E466" s="1" t="s">
        <v>2</v>
      </c>
      <c r="F466" s="18">
        <v>2173</v>
      </c>
      <c r="G466" s="18">
        <v>63</v>
      </c>
      <c r="H466" s="5">
        <v>120</v>
      </c>
      <c r="I466" s="1">
        <v>92</v>
      </c>
      <c r="J466" s="1">
        <v>190</v>
      </c>
      <c r="L466" t="str">
        <f t="shared" si="7"/>
        <v>http://www.badatelna.eu/reprodukce/?fondId=1073&amp;zaznamId=1108959&amp;reproId=3780056</v>
      </c>
      <c r="M466">
        <f>VLOOKUP(F466,Sheet2!$B$1:$E$19,2,FALSE)</f>
        <v>1073</v>
      </c>
      <c r="N466">
        <f>VLOOKUP(F466,Sheet2!$B$1:$E$19,3,FALSE)</f>
        <v>1108959</v>
      </c>
      <c r="O466">
        <f>IF(G466="Not available","",VLOOKUP(F466,Sheet2!$B$1:$E$19,4,FALSE)+(G466-1))</f>
        <v>3780056</v>
      </c>
    </row>
    <row r="467" spans="1:15" s="1" customFormat="1" ht="15" customHeight="1" x14ac:dyDescent="0.25">
      <c r="A467" s="18" t="s">
        <v>35</v>
      </c>
      <c r="B467" s="18" t="s">
        <v>58</v>
      </c>
      <c r="C467" s="5">
        <v>1842</v>
      </c>
      <c r="D467" s="1" t="s">
        <v>627</v>
      </c>
      <c r="E467" s="1" t="s">
        <v>2</v>
      </c>
      <c r="F467" s="18">
        <v>2174</v>
      </c>
      <c r="G467" s="18">
        <v>127</v>
      </c>
      <c r="H467" s="6" t="s">
        <v>3190</v>
      </c>
      <c r="I467" s="1">
        <v>181</v>
      </c>
      <c r="J467" s="1">
        <v>205</v>
      </c>
      <c r="L467" t="str">
        <f t="shared" si="7"/>
        <v>http://www.badatelna.eu/reprodukce/?fondId=1073&amp;zaznamId=1108960&amp;reproId=3780351</v>
      </c>
      <c r="M467">
        <f>VLOOKUP(F467,Sheet2!$B$1:$E$19,2,FALSE)</f>
        <v>1073</v>
      </c>
      <c r="N467">
        <f>VLOOKUP(F467,Sheet2!$B$1:$E$19,3,FALSE)</f>
        <v>1108960</v>
      </c>
      <c r="O467">
        <f>IF(G467="Not available","",VLOOKUP(F467,Sheet2!$B$1:$E$19,4,FALSE)+(G467-1))</f>
        <v>3780351</v>
      </c>
    </row>
    <row r="468" spans="1:15" s="1" customFormat="1" ht="15" customHeight="1" x14ac:dyDescent="0.25">
      <c r="A468" s="18" t="s">
        <v>35</v>
      </c>
      <c r="B468" s="18" t="s">
        <v>58</v>
      </c>
      <c r="C468" s="5">
        <v>1817</v>
      </c>
      <c r="E468" s="1" t="s">
        <v>2</v>
      </c>
      <c r="F468" s="18">
        <v>2173</v>
      </c>
      <c r="G468" s="18">
        <v>67</v>
      </c>
      <c r="H468" s="6" t="s">
        <v>338</v>
      </c>
      <c r="I468" s="1">
        <v>93</v>
      </c>
      <c r="J468" s="1">
        <v>194</v>
      </c>
      <c r="L468" t="str">
        <f t="shared" si="7"/>
        <v>http://www.badatelna.eu/reprodukce/?fondId=1073&amp;zaznamId=1108959&amp;reproId=3780060</v>
      </c>
      <c r="M468">
        <f>VLOOKUP(F468,Sheet2!$B$1:$E$19,2,FALSE)</f>
        <v>1073</v>
      </c>
      <c r="N468">
        <f>VLOOKUP(F468,Sheet2!$B$1:$E$19,3,FALSE)</f>
        <v>1108959</v>
      </c>
      <c r="O468">
        <f>IF(G468="Not available","",VLOOKUP(F468,Sheet2!$B$1:$E$19,4,FALSE)+(G468-1))</f>
        <v>3780060</v>
      </c>
    </row>
    <row r="469" spans="1:15" s="1" customFormat="1" ht="15" customHeight="1" x14ac:dyDescent="0.25">
      <c r="A469" s="18" t="s">
        <v>35</v>
      </c>
      <c r="B469" s="18" t="s">
        <v>465</v>
      </c>
      <c r="C469" s="5">
        <v>1834</v>
      </c>
      <c r="D469" s="1" t="s">
        <v>612</v>
      </c>
      <c r="E469" s="1" t="s">
        <v>2</v>
      </c>
      <c r="F469" s="18">
        <v>2174</v>
      </c>
      <c r="G469" s="18">
        <v>77</v>
      </c>
      <c r="H469" s="6" t="s">
        <v>3143</v>
      </c>
      <c r="I469" s="1">
        <v>180</v>
      </c>
      <c r="J469" s="1">
        <v>204</v>
      </c>
      <c r="L469" t="str">
        <f t="shared" si="7"/>
        <v>http://www.badatelna.eu/reprodukce/?fondId=1073&amp;zaznamId=1108960&amp;reproId=3780301</v>
      </c>
      <c r="M469">
        <f>VLOOKUP(F469,Sheet2!$B$1:$E$19,2,FALSE)</f>
        <v>1073</v>
      </c>
      <c r="N469">
        <f>VLOOKUP(F469,Sheet2!$B$1:$E$19,3,FALSE)</f>
        <v>1108960</v>
      </c>
      <c r="O469">
        <f>IF(G469="Not available","",VLOOKUP(F469,Sheet2!$B$1:$E$19,4,FALSE)+(G469-1))</f>
        <v>3780301</v>
      </c>
    </row>
    <row r="470" spans="1:15" s="1" customFormat="1" ht="15" customHeight="1" x14ac:dyDescent="0.25">
      <c r="A470" s="18" t="s">
        <v>35</v>
      </c>
      <c r="B470" s="18" t="s">
        <v>108</v>
      </c>
      <c r="C470" s="5">
        <v>1804</v>
      </c>
      <c r="E470" s="1" t="s">
        <v>2</v>
      </c>
      <c r="F470" s="18">
        <v>2173</v>
      </c>
      <c r="G470" s="18">
        <v>48</v>
      </c>
      <c r="H470" s="14" t="s">
        <v>3029</v>
      </c>
      <c r="I470" s="1">
        <v>92</v>
      </c>
      <c r="J470" s="1">
        <v>190</v>
      </c>
      <c r="L470" t="str">
        <f t="shared" si="7"/>
        <v>http://www.badatelna.eu/reprodukce/?fondId=1073&amp;zaznamId=1108959&amp;reproId=3780041</v>
      </c>
      <c r="M470">
        <f>VLOOKUP(F470,Sheet2!$B$1:$E$19,2,FALSE)</f>
        <v>1073</v>
      </c>
      <c r="N470">
        <f>VLOOKUP(F470,Sheet2!$B$1:$E$19,3,FALSE)</f>
        <v>1108959</v>
      </c>
      <c r="O470">
        <f>IF(G470="Not available","",VLOOKUP(F470,Sheet2!$B$1:$E$19,4,FALSE)+(G470-1))</f>
        <v>3780041</v>
      </c>
    </row>
    <row r="471" spans="1:15" s="1" customFormat="1" ht="15" customHeight="1" x14ac:dyDescent="0.25">
      <c r="A471" s="18" t="s">
        <v>35</v>
      </c>
      <c r="B471" s="18" t="s">
        <v>76</v>
      </c>
      <c r="C471" s="5">
        <v>1807</v>
      </c>
      <c r="E471" s="1" t="s">
        <v>2</v>
      </c>
      <c r="F471" s="18">
        <v>2173</v>
      </c>
      <c r="G471" s="18">
        <v>52</v>
      </c>
      <c r="H471" s="5">
        <v>98</v>
      </c>
      <c r="I471" s="1">
        <v>92</v>
      </c>
      <c r="J471" s="1">
        <v>190</v>
      </c>
      <c r="L471" t="str">
        <f t="shared" si="7"/>
        <v>http://www.badatelna.eu/reprodukce/?fondId=1073&amp;zaznamId=1108959&amp;reproId=3780045</v>
      </c>
      <c r="M471">
        <f>VLOOKUP(F471,Sheet2!$B$1:$E$19,2,FALSE)</f>
        <v>1073</v>
      </c>
      <c r="N471">
        <f>VLOOKUP(F471,Sheet2!$B$1:$E$19,3,FALSE)</f>
        <v>1108959</v>
      </c>
      <c r="O471">
        <f>IF(G471="Not available","",VLOOKUP(F471,Sheet2!$B$1:$E$19,4,FALSE)+(G471-1))</f>
        <v>3780045</v>
      </c>
    </row>
    <row r="472" spans="1:15" s="1" customFormat="1" ht="15" customHeight="1" x14ac:dyDescent="0.25">
      <c r="A472" s="18" t="s">
        <v>35</v>
      </c>
      <c r="B472" s="18" t="s">
        <v>93</v>
      </c>
      <c r="C472" s="5">
        <v>1798</v>
      </c>
      <c r="D472" s="1" t="s">
        <v>94</v>
      </c>
      <c r="E472" s="1" t="s">
        <v>2</v>
      </c>
      <c r="F472" s="18">
        <v>2173</v>
      </c>
      <c r="G472" s="18">
        <v>36</v>
      </c>
      <c r="H472" s="5">
        <v>67</v>
      </c>
      <c r="I472" s="1">
        <v>92</v>
      </c>
      <c r="J472" s="1">
        <v>190</v>
      </c>
      <c r="L472" t="str">
        <f t="shared" si="7"/>
        <v>http://www.badatelna.eu/reprodukce/?fondId=1073&amp;zaznamId=1108959&amp;reproId=3780029</v>
      </c>
      <c r="M472">
        <f>VLOOKUP(F472,Sheet2!$B$1:$E$19,2,FALSE)</f>
        <v>1073</v>
      </c>
      <c r="N472">
        <f>VLOOKUP(F472,Sheet2!$B$1:$E$19,3,FALSE)</f>
        <v>1108959</v>
      </c>
      <c r="O472">
        <f>IF(G472="Not available","",VLOOKUP(F472,Sheet2!$B$1:$E$19,4,FALSE)+(G472-1))</f>
        <v>3780029</v>
      </c>
    </row>
    <row r="473" spans="1:15" s="1" customFormat="1" ht="15" customHeight="1" x14ac:dyDescent="0.25">
      <c r="A473" s="21" t="s">
        <v>35</v>
      </c>
      <c r="B473" s="21" t="s">
        <v>62</v>
      </c>
      <c r="C473" s="7">
        <v>1792</v>
      </c>
      <c r="D473" s="2" t="s">
        <v>49</v>
      </c>
      <c r="E473" s="1" t="s">
        <v>2</v>
      </c>
      <c r="F473" s="18">
        <v>2173</v>
      </c>
      <c r="G473" s="21">
        <v>26</v>
      </c>
      <c r="H473" s="7">
        <v>47</v>
      </c>
      <c r="I473" s="2">
        <v>91</v>
      </c>
      <c r="J473" s="2">
        <v>189</v>
      </c>
      <c r="K473" s="2"/>
      <c r="L473" t="str">
        <f t="shared" si="7"/>
        <v>http://www.badatelna.eu/reprodukce/?fondId=1073&amp;zaznamId=1108959&amp;reproId=3780019</v>
      </c>
      <c r="M473">
        <f>VLOOKUP(F473,Sheet2!$B$1:$E$19,2,FALSE)</f>
        <v>1073</v>
      </c>
      <c r="N473">
        <f>VLOOKUP(F473,Sheet2!$B$1:$E$19,3,FALSE)</f>
        <v>1108959</v>
      </c>
      <c r="O473">
        <f>IF(G473="Not available","",VLOOKUP(F473,Sheet2!$B$1:$E$19,4,FALSE)+(G473-1))</f>
        <v>3780019</v>
      </c>
    </row>
    <row r="474" spans="1:15" s="1" customFormat="1" ht="15" customHeight="1" x14ac:dyDescent="0.25">
      <c r="A474" s="21" t="s">
        <v>35</v>
      </c>
      <c r="B474" s="21" t="s">
        <v>39</v>
      </c>
      <c r="C474" s="7">
        <v>1785</v>
      </c>
      <c r="D474" s="2" t="s">
        <v>40</v>
      </c>
      <c r="E474" s="1" t="s">
        <v>2</v>
      </c>
      <c r="F474" s="18">
        <v>2173</v>
      </c>
      <c r="G474" s="21">
        <v>10</v>
      </c>
      <c r="H474" s="7">
        <v>15</v>
      </c>
      <c r="I474" s="2">
        <v>91</v>
      </c>
      <c r="J474" s="2">
        <v>189</v>
      </c>
      <c r="K474" s="2"/>
      <c r="L474" t="str">
        <f t="shared" si="7"/>
        <v>http://www.badatelna.eu/reprodukce/?fondId=1073&amp;zaznamId=1108959&amp;reproId=3780003</v>
      </c>
      <c r="M474">
        <f>VLOOKUP(F474,Sheet2!$B$1:$E$19,2,FALSE)</f>
        <v>1073</v>
      </c>
      <c r="N474">
        <f>VLOOKUP(F474,Sheet2!$B$1:$E$19,3,FALSE)</f>
        <v>1108959</v>
      </c>
      <c r="O474">
        <f>IF(G474="Not available","",VLOOKUP(F474,Sheet2!$B$1:$E$19,4,FALSE)+(G474-1))</f>
        <v>3780003</v>
      </c>
    </row>
    <row r="475" spans="1:15" s="1" customFormat="1" ht="15" customHeight="1" x14ac:dyDescent="0.25">
      <c r="A475" s="18" t="s">
        <v>817</v>
      </c>
      <c r="B475" s="18" t="s">
        <v>742</v>
      </c>
      <c r="C475" s="5">
        <v>1857</v>
      </c>
      <c r="D475" s="1" t="s">
        <v>818</v>
      </c>
      <c r="E475" s="1" t="s">
        <v>2</v>
      </c>
      <c r="F475" s="18">
        <v>2164</v>
      </c>
      <c r="G475" s="18">
        <v>116</v>
      </c>
      <c r="H475" s="5">
        <v>114</v>
      </c>
      <c r="I475" s="1">
        <v>124</v>
      </c>
      <c r="J475" s="4" t="s">
        <v>3271</v>
      </c>
      <c r="L475" t="str">
        <f t="shared" si="7"/>
        <v>http://www.badatelna.eu/reprodukce/?fondId=1073&amp;zaznamId=1108951&amp;reproId=3778830</v>
      </c>
      <c r="M475">
        <f>VLOOKUP(F475,Sheet2!$B$1:$E$19,2,FALSE)</f>
        <v>1073</v>
      </c>
      <c r="N475">
        <f>VLOOKUP(F475,Sheet2!$B$1:$E$19,3,FALSE)</f>
        <v>1108951</v>
      </c>
      <c r="O475">
        <f>IF(G475="Not available","",VLOOKUP(F475,Sheet2!$B$1:$E$19,4,FALSE)+(G475-1))</f>
        <v>3778830</v>
      </c>
    </row>
    <row r="476" spans="1:15" s="1" customFormat="1" ht="15" customHeight="1" x14ac:dyDescent="0.25">
      <c r="A476" s="18" t="s">
        <v>817</v>
      </c>
      <c r="B476" s="18" t="s">
        <v>674</v>
      </c>
      <c r="C476" s="6" t="s">
        <v>2860</v>
      </c>
      <c r="E476" s="1" t="s">
        <v>939</v>
      </c>
      <c r="F476" s="18">
        <v>999</v>
      </c>
      <c r="G476" s="18">
        <v>30</v>
      </c>
      <c r="H476" s="5">
        <v>28</v>
      </c>
      <c r="I476" s="1">
        <v>63</v>
      </c>
      <c r="J476" s="1">
        <v>96</v>
      </c>
      <c r="L476" t="str">
        <f t="shared" si="7"/>
        <v>http://www.badatelna.eu/reprodukce/?fondId=241&amp;zaznamId=1133739&amp;reproId=3885759</v>
      </c>
      <c r="M476">
        <f>VLOOKUP(F476,Sheet2!$B$1:$E$19,2,FALSE)</f>
        <v>241</v>
      </c>
      <c r="N476">
        <f>VLOOKUP(F476,Sheet2!$B$1:$E$19,3,FALSE)</f>
        <v>1133739</v>
      </c>
      <c r="O476">
        <f>IF(G476="Not available","",VLOOKUP(F476,Sheet2!$B$1:$E$19,4,FALSE)+(G476-1))</f>
        <v>3885759</v>
      </c>
    </row>
    <row r="477" spans="1:15" s="1" customFormat="1" ht="15" customHeight="1" x14ac:dyDescent="0.25">
      <c r="A477" s="18" t="s">
        <v>817</v>
      </c>
      <c r="B477" s="18" t="s">
        <v>984</v>
      </c>
      <c r="C477" s="5" t="s">
        <v>1743</v>
      </c>
      <c r="D477" s="1" t="s">
        <v>987</v>
      </c>
      <c r="E477" s="1" t="s">
        <v>2</v>
      </c>
      <c r="F477" s="18">
        <v>2165</v>
      </c>
      <c r="G477" s="18">
        <v>4</v>
      </c>
      <c r="H477" s="6" t="s">
        <v>3288</v>
      </c>
      <c r="I477" s="1">
        <v>80</v>
      </c>
      <c r="J477" s="1" t="s">
        <v>3271</v>
      </c>
      <c r="L477" t="str">
        <f t="shared" si="7"/>
        <v>http://www.badatelna.eu/reprodukce/?fondId=1073&amp;zaznamId=1108952&amp;reproId=3778865</v>
      </c>
      <c r="M477">
        <f>VLOOKUP(F477,Sheet2!$B$1:$E$19,2,FALSE)</f>
        <v>1073</v>
      </c>
      <c r="N477">
        <f>VLOOKUP(F477,Sheet2!$B$1:$E$19,3,FALSE)</f>
        <v>1108952</v>
      </c>
      <c r="O477">
        <f>IF(G477="Not available","",VLOOKUP(F477,Sheet2!$B$1:$E$19,4,FALSE)+(G477-1))</f>
        <v>3778865</v>
      </c>
    </row>
    <row r="478" spans="1:15" s="1" customFormat="1" ht="15" customHeight="1" x14ac:dyDescent="0.25">
      <c r="A478" s="18" t="s">
        <v>817</v>
      </c>
      <c r="B478" s="18" t="s">
        <v>1004</v>
      </c>
      <c r="C478" s="5">
        <v>1865</v>
      </c>
      <c r="E478" s="1" t="s">
        <v>939</v>
      </c>
      <c r="F478" s="18">
        <v>999</v>
      </c>
      <c r="G478" s="18">
        <v>52</v>
      </c>
      <c r="H478" s="5">
        <v>50</v>
      </c>
      <c r="I478" s="1">
        <v>63</v>
      </c>
      <c r="J478" s="1">
        <v>96</v>
      </c>
      <c r="L478" t="str">
        <f t="shared" si="7"/>
        <v>http://www.badatelna.eu/reprodukce/?fondId=241&amp;zaznamId=1133739&amp;reproId=3885781</v>
      </c>
      <c r="M478">
        <f>VLOOKUP(F478,Sheet2!$B$1:$E$19,2,FALSE)</f>
        <v>241</v>
      </c>
      <c r="N478">
        <f>VLOOKUP(F478,Sheet2!$B$1:$E$19,3,FALSE)</f>
        <v>1133739</v>
      </c>
      <c r="O478">
        <f>IF(G478="Not available","",VLOOKUP(F478,Sheet2!$B$1:$E$19,4,FALSE)+(G478-1))</f>
        <v>3885781</v>
      </c>
    </row>
    <row r="479" spans="1:15" s="1" customFormat="1" ht="15" customHeight="1" x14ac:dyDescent="0.25">
      <c r="A479" s="18" t="s">
        <v>817</v>
      </c>
      <c r="B479" s="18" t="s">
        <v>245</v>
      </c>
      <c r="C479" s="5">
        <v>1852</v>
      </c>
      <c r="D479" s="4" t="s">
        <v>818</v>
      </c>
      <c r="E479" s="1" t="s">
        <v>2</v>
      </c>
      <c r="F479" s="18">
        <v>2164</v>
      </c>
      <c r="G479" s="18">
        <v>84</v>
      </c>
      <c r="H479" s="5">
        <v>82</v>
      </c>
      <c r="I479" s="1">
        <v>123</v>
      </c>
      <c r="J479" s="4" t="s">
        <v>3271</v>
      </c>
      <c r="L479" t="str">
        <f t="shared" si="7"/>
        <v>http://www.badatelna.eu/reprodukce/?fondId=1073&amp;zaznamId=1108951&amp;reproId=3778798</v>
      </c>
      <c r="M479">
        <f>VLOOKUP(F479,Sheet2!$B$1:$E$19,2,FALSE)</f>
        <v>1073</v>
      </c>
      <c r="N479">
        <f>VLOOKUP(F479,Sheet2!$B$1:$E$19,3,FALSE)</f>
        <v>1108951</v>
      </c>
      <c r="O479">
        <f>IF(G479="Not available","",VLOOKUP(F479,Sheet2!$B$1:$E$19,4,FALSE)+(G479-1))</f>
        <v>3778798</v>
      </c>
    </row>
    <row r="480" spans="1:15" s="1" customFormat="1" ht="15" customHeight="1" x14ac:dyDescent="0.25">
      <c r="A480" s="18" t="s">
        <v>817</v>
      </c>
      <c r="B480" s="18" t="s">
        <v>191</v>
      </c>
      <c r="C480" s="5">
        <v>1850</v>
      </c>
      <c r="D480" s="1" t="s">
        <v>818</v>
      </c>
      <c r="E480" s="1" t="s">
        <v>2</v>
      </c>
      <c r="F480" s="18">
        <v>2164</v>
      </c>
      <c r="G480" s="18">
        <v>76</v>
      </c>
      <c r="H480" s="5">
        <v>74</v>
      </c>
      <c r="I480" s="1">
        <v>123</v>
      </c>
      <c r="J480" s="4" t="s">
        <v>3271</v>
      </c>
      <c r="L480" t="str">
        <f t="shared" si="7"/>
        <v>http://www.badatelna.eu/reprodukce/?fondId=1073&amp;zaznamId=1108951&amp;reproId=3778790</v>
      </c>
      <c r="M480">
        <f>VLOOKUP(F480,Sheet2!$B$1:$E$19,2,FALSE)</f>
        <v>1073</v>
      </c>
      <c r="N480">
        <f>VLOOKUP(F480,Sheet2!$B$1:$E$19,3,FALSE)</f>
        <v>1108951</v>
      </c>
      <c r="O480">
        <f>IF(G480="Not available","",VLOOKUP(F480,Sheet2!$B$1:$E$19,4,FALSE)+(G480-1))</f>
        <v>3778790</v>
      </c>
    </row>
    <row r="481" spans="1:15" s="1" customFormat="1" ht="15" customHeight="1" x14ac:dyDescent="0.25">
      <c r="A481" s="18" t="s">
        <v>817</v>
      </c>
      <c r="B481" s="18" t="s">
        <v>774</v>
      </c>
      <c r="C481" s="5" t="s">
        <v>1314</v>
      </c>
      <c r="D481" s="1" t="s">
        <v>1000</v>
      </c>
      <c r="E481" s="1" t="s">
        <v>2</v>
      </c>
      <c r="F481" s="18">
        <v>2165</v>
      </c>
      <c r="G481" s="18">
        <v>34</v>
      </c>
      <c r="H481" s="5">
        <v>31</v>
      </c>
      <c r="I481" s="1">
        <v>81</v>
      </c>
      <c r="J481" s="1" t="s">
        <v>3271</v>
      </c>
      <c r="L481" t="str">
        <f t="shared" si="7"/>
        <v>http://www.badatelna.eu/reprodukce/?fondId=1073&amp;zaznamId=1108952&amp;reproId=3778895</v>
      </c>
      <c r="M481">
        <f>VLOOKUP(F481,Sheet2!$B$1:$E$19,2,FALSE)</f>
        <v>1073</v>
      </c>
      <c r="N481">
        <f>VLOOKUP(F481,Sheet2!$B$1:$E$19,3,FALSE)</f>
        <v>1108952</v>
      </c>
      <c r="O481">
        <f>IF(G481="Not available","",VLOOKUP(F481,Sheet2!$B$1:$E$19,4,FALSE)+(G481-1))</f>
        <v>3778895</v>
      </c>
    </row>
    <row r="482" spans="1:15" s="1" customFormat="1" ht="15" customHeight="1" x14ac:dyDescent="0.25">
      <c r="A482" s="18" t="s">
        <v>817</v>
      </c>
      <c r="B482" s="18" t="s">
        <v>434</v>
      </c>
      <c r="C482" s="5">
        <v>1855</v>
      </c>
      <c r="D482" s="1" t="s">
        <v>828</v>
      </c>
      <c r="E482" s="1" t="s">
        <v>2</v>
      </c>
      <c r="F482" s="18">
        <v>2164</v>
      </c>
      <c r="G482" s="18">
        <v>102</v>
      </c>
      <c r="H482" s="5">
        <v>100</v>
      </c>
      <c r="I482" s="1">
        <v>123</v>
      </c>
      <c r="J482" s="4" t="s">
        <v>3271</v>
      </c>
      <c r="L482" t="str">
        <f t="shared" si="7"/>
        <v>http://www.badatelna.eu/reprodukce/?fondId=1073&amp;zaznamId=1108951&amp;reproId=3778816</v>
      </c>
      <c r="M482">
        <f>VLOOKUP(F482,Sheet2!$B$1:$E$19,2,FALSE)</f>
        <v>1073</v>
      </c>
      <c r="N482">
        <f>VLOOKUP(F482,Sheet2!$B$1:$E$19,3,FALSE)</f>
        <v>1108951</v>
      </c>
      <c r="O482">
        <f>IF(G482="Not available","",VLOOKUP(F482,Sheet2!$B$1:$E$19,4,FALSE)+(G482-1))</f>
        <v>3778816</v>
      </c>
    </row>
    <row r="483" spans="1:15" s="1" customFormat="1" ht="15" customHeight="1" x14ac:dyDescent="0.25">
      <c r="A483" s="18" t="s">
        <v>79</v>
      </c>
      <c r="B483" s="18" t="s">
        <v>92</v>
      </c>
      <c r="C483" s="5">
        <v>1797</v>
      </c>
      <c r="D483" s="1" t="s">
        <v>4</v>
      </c>
      <c r="E483" s="1" t="s">
        <v>2</v>
      </c>
      <c r="F483" s="18">
        <v>2173</v>
      </c>
      <c r="G483" s="18">
        <v>35</v>
      </c>
      <c r="H483" s="5">
        <v>65</v>
      </c>
      <c r="I483" s="1">
        <v>92</v>
      </c>
      <c r="J483" s="1">
        <v>190</v>
      </c>
      <c r="L483" t="str">
        <f t="shared" si="7"/>
        <v>http://www.badatelna.eu/reprodukce/?fondId=1073&amp;zaznamId=1108959&amp;reproId=3780028</v>
      </c>
      <c r="M483">
        <f>VLOOKUP(F483,Sheet2!$B$1:$E$19,2,FALSE)</f>
        <v>1073</v>
      </c>
      <c r="N483">
        <f>VLOOKUP(F483,Sheet2!$B$1:$E$19,3,FALSE)</f>
        <v>1108959</v>
      </c>
      <c r="O483">
        <f>IF(G483="Not available","",VLOOKUP(F483,Sheet2!$B$1:$E$19,4,FALSE)+(G483-1))</f>
        <v>3780028</v>
      </c>
    </row>
    <row r="484" spans="1:15" s="1" customFormat="1" ht="15" customHeight="1" x14ac:dyDescent="0.25">
      <c r="A484" s="18" t="s">
        <v>79</v>
      </c>
      <c r="B484" s="18" t="s">
        <v>1977</v>
      </c>
      <c r="C484" s="6" t="s">
        <v>1969</v>
      </c>
      <c r="D484" s="4" t="s">
        <v>1978</v>
      </c>
      <c r="E484" s="4" t="s">
        <v>2</v>
      </c>
      <c r="F484" s="18">
        <v>2176</v>
      </c>
      <c r="G484" s="18" t="s">
        <v>3271</v>
      </c>
      <c r="H484" s="6" t="s">
        <v>1979</v>
      </c>
      <c r="I484" s="1">
        <v>4</v>
      </c>
      <c r="J484" s="1" t="s">
        <v>3271</v>
      </c>
      <c r="L484" t="str">
        <f t="shared" si="7"/>
        <v/>
      </c>
      <c r="M484">
        <f>VLOOKUP(F484,Sheet2!$B$1:$E$19,2,FALSE)</f>
        <v>1073</v>
      </c>
      <c r="N484">
        <f>VLOOKUP(F484,Sheet2!$B$1:$E$19,3,FALSE)</f>
        <v>1108963</v>
      </c>
      <c r="O484" t="str">
        <f>IF(G484="Not available","",VLOOKUP(F484,Sheet2!$B$1:$E$19,4,FALSE)+(G484-1))</f>
        <v/>
      </c>
    </row>
    <row r="485" spans="1:15" s="1" customFormat="1" ht="15" customHeight="1" x14ac:dyDescent="0.25">
      <c r="A485" s="18" t="s">
        <v>79</v>
      </c>
      <c r="B485" s="19" t="s">
        <v>3091</v>
      </c>
      <c r="C485" s="5">
        <v>1801</v>
      </c>
      <c r="E485" s="1" t="s">
        <v>2</v>
      </c>
      <c r="F485" s="18">
        <v>2173</v>
      </c>
      <c r="G485" s="18">
        <v>43</v>
      </c>
      <c r="H485" s="14" t="s">
        <v>3059</v>
      </c>
      <c r="I485" s="1">
        <v>92</v>
      </c>
      <c r="J485" s="1">
        <v>190</v>
      </c>
      <c r="L485" t="str">
        <f t="shared" si="7"/>
        <v>http://www.badatelna.eu/reprodukce/?fondId=1073&amp;zaznamId=1108959&amp;reproId=3780036</v>
      </c>
      <c r="M485">
        <f>VLOOKUP(F485,Sheet2!$B$1:$E$19,2,FALSE)</f>
        <v>1073</v>
      </c>
      <c r="N485">
        <f>VLOOKUP(F485,Sheet2!$B$1:$E$19,3,FALSE)</f>
        <v>1108959</v>
      </c>
      <c r="O485">
        <f>IF(G485="Not available","",VLOOKUP(F485,Sheet2!$B$1:$E$19,4,FALSE)+(G485-1))</f>
        <v>3780036</v>
      </c>
    </row>
    <row r="486" spans="1:15" s="1" customFormat="1" ht="15" customHeight="1" x14ac:dyDescent="0.25">
      <c r="A486" s="18" t="s">
        <v>79</v>
      </c>
      <c r="B486" s="18" t="s">
        <v>482</v>
      </c>
      <c r="C486" s="5">
        <v>1843</v>
      </c>
      <c r="D486" s="1" t="s">
        <v>58</v>
      </c>
      <c r="E486" s="1" t="s">
        <v>2</v>
      </c>
      <c r="F486" s="18">
        <v>2174</v>
      </c>
      <c r="G486" s="18">
        <v>132</v>
      </c>
      <c r="H486" s="6" t="s">
        <v>3200</v>
      </c>
      <c r="I486" s="1">
        <v>181</v>
      </c>
      <c r="J486" s="1">
        <v>205</v>
      </c>
      <c r="L486" t="str">
        <f t="shared" si="7"/>
        <v>http://www.badatelna.eu/reprodukce/?fondId=1073&amp;zaznamId=1108960&amp;reproId=3780356</v>
      </c>
      <c r="M486">
        <f>VLOOKUP(F486,Sheet2!$B$1:$E$19,2,FALSE)</f>
        <v>1073</v>
      </c>
      <c r="N486">
        <f>VLOOKUP(F486,Sheet2!$B$1:$E$19,3,FALSE)</f>
        <v>1108960</v>
      </c>
      <c r="O486">
        <f>IF(G486="Not available","",VLOOKUP(F486,Sheet2!$B$1:$E$19,4,FALSE)+(G486-1))</f>
        <v>3780356</v>
      </c>
    </row>
    <row r="487" spans="1:15" s="1" customFormat="1" ht="15" customHeight="1" x14ac:dyDescent="0.25">
      <c r="A487" s="18" t="s">
        <v>79</v>
      </c>
      <c r="B487" s="18" t="s">
        <v>59</v>
      </c>
      <c r="C487" s="5">
        <v>1826</v>
      </c>
      <c r="E487" s="1" t="s">
        <v>2</v>
      </c>
      <c r="F487" s="18">
        <v>2173</v>
      </c>
      <c r="G487" s="18">
        <v>80</v>
      </c>
      <c r="H487" s="5">
        <v>153</v>
      </c>
      <c r="I487" s="1">
        <v>93</v>
      </c>
      <c r="J487" s="1">
        <v>194</v>
      </c>
      <c r="L487" t="str">
        <f t="shared" si="7"/>
        <v>http://www.badatelna.eu/reprodukce/?fondId=1073&amp;zaznamId=1108959&amp;reproId=3780073</v>
      </c>
      <c r="M487">
        <f>VLOOKUP(F487,Sheet2!$B$1:$E$19,2,FALSE)</f>
        <v>1073</v>
      </c>
      <c r="N487">
        <f>VLOOKUP(F487,Sheet2!$B$1:$E$19,3,FALSE)</f>
        <v>1108959</v>
      </c>
      <c r="O487">
        <f>IF(G487="Not available","",VLOOKUP(F487,Sheet2!$B$1:$E$19,4,FALSE)+(G487-1))</f>
        <v>3780073</v>
      </c>
    </row>
    <row r="488" spans="1:15" s="1" customFormat="1" ht="15" customHeight="1" x14ac:dyDescent="0.25">
      <c r="A488" s="18" t="s">
        <v>79</v>
      </c>
      <c r="B488" s="18" t="s">
        <v>34</v>
      </c>
      <c r="C488" s="5">
        <v>1803</v>
      </c>
      <c r="E488" s="1" t="s">
        <v>2</v>
      </c>
      <c r="F488" s="18">
        <v>2173</v>
      </c>
      <c r="G488" s="18">
        <v>47</v>
      </c>
      <c r="H488" s="14" t="s">
        <v>3020</v>
      </c>
      <c r="I488" s="1">
        <v>92</v>
      </c>
      <c r="J488" s="1">
        <v>190</v>
      </c>
      <c r="L488" t="str">
        <f t="shared" si="7"/>
        <v>http://www.badatelna.eu/reprodukce/?fondId=1073&amp;zaznamId=1108959&amp;reproId=3780040</v>
      </c>
      <c r="M488">
        <f>VLOOKUP(F488,Sheet2!$B$1:$E$19,2,FALSE)</f>
        <v>1073</v>
      </c>
      <c r="N488">
        <f>VLOOKUP(F488,Sheet2!$B$1:$E$19,3,FALSE)</f>
        <v>1108959</v>
      </c>
      <c r="O488">
        <f>IF(G488="Not available","",VLOOKUP(F488,Sheet2!$B$1:$E$19,4,FALSE)+(G488-1))</f>
        <v>3780040</v>
      </c>
    </row>
    <row r="489" spans="1:15" s="1" customFormat="1" ht="15" customHeight="1" x14ac:dyDescent="0.25">
      <c r="A489" s="18" t="s">
        <v>79</v>
      </c>
      <c r="B489" s="18" t="s">
        <v>12</v>
      </c>
      <c r="C489" s="5">
        <v>1845</v>
      </c>
      <c r="D489" s="1" t="s">
        <v>58</v>
      </c>
      <c r="E489" s="1" t="s">
        <v>2</v>
      </c>
      <c r="F489" s="18">
        <v>2174</v>
      </c>
      <c r="G489" s="18">
        <v>151</v>
      </c>
      <c r="H489" s="6" t="s">
        <v>3218</v>
      </c>
      <c r="I489" s="1">
        <v>181</v>
      </c>
      <c r="J489" s="1">
        <v>206</v>
      </c>
      <c r="L489" t="str">
        <f t="shared" si="7"/>
        <v>http://www.badatelna.eu/reprodukce/?fondId=1073&amp;zaznamId=1108960&amp;reproId=3780375</v>
      </c>
      <c r="M489">
        <f>VLOOKUP(F489,Sheet2!$B$1:$E$19,2,FALSE)</f>
        <v>1073</v>
      </c>
      <c r="N489">
        <f>VLOOKUP(F489,Sheet2!$B$1:$E$19,3,FALSE)</f>
        <v>1108960</v>
      </c>
      <c r="O489">
        <f>IF(G489="Not available","",VLOOKUP(F489,Sheet2!$B$1:$E$19,4,FALSE)+(G489-1))</f>
        <v>3780375</v>
      </c>
    </row>
    <row r="490" spans="1:15" s="1" customFormat="1" ht="15" customHeight="1" x14ac:dyDescent="0.25">
      <c r="A490" s="18" t="s">
        <v>79</v>
      </c>
      <c r="B490" s="18" t="s">
        <v>40</v>
      </c>
      <c r="C490" s="5">
        <v>1819</v>
      </c>
      <c r="E490" s="1" t="s">
        <v>2</v>
      </c>
      <c r="F490" s="18">
        <v>2173</v>
      </c>
      <c r="G490" s="18">
        <v>70</v>
      </c>
      <c r="H490" s="5">
        <v>133</v>
      </c>
      <c r="I490" s="1">
        <v>93</v>
      </c>
      <c r="J490" s="1">
        <v>194</v>
      </c>
      <c r="L490" t="str">
        <f t="shared" si="7"/>
        <v>http://www.badatelna.eu/reprodukce/?fondId=1073&amp;zaznamId=1108959&amp;reproId=3780063</v>
      </c>
      <c r="M490">
        <f>VLOOKUP(F490,Sheet2!$B$1:$E$19,2,FALSE)</f>
        <v>1073</v>
      </c>
      <c r="N490">
        <f>VLOOKUP(F490,Sheet2!$B$1:$E$19,3,FALSE)</f>
        <v>1108959</v>
      </c>
      <c r="O490">
        <f>IF(G490="Not available","",VLOOKUP(F490,Sheet2!$B$1:$E$19,4,FALSE)+(G490-1))</f>
        <v>3780063</v>
      </c>
    </row>
    <row r="491" spans="1:15" s="1" customFormat="1" ht="15" customHeight="1" x14ac:dyDescent="0.25">
      <c r="A491" s="18" t="s">
        <v>79</v>
      </c>
      <c r="B491" s="18" t="s">
        <v>78</v>
      </c>
      <c r="C491" s="5">
        <v>1795</v>
      </c>
      <c r="D491" s="1" t="s">
        <v>4</v>
      </c>
      <c r="E491" s="1" t="s">
        <v>2</v>
      </c>
      <c r="F491" s="18">
        <v>2173</v>
      </c>
      <c r="G491" s="18">
        <v>32</v>
      </c>
      <c r="H491" s="5">
        <v>59</v>
      </c>
      <c r="I491" s="1">
        <v>92</v>
      </c>
      <c r="J491" s="1">
        <v>190</v>
      </c>
      <c r="L491" t="str">
        <f t="shared" si="7"/>
        <v>http://www.badatelna.eu/reprodukce/?fondId=1073&amp;zaznamId=1108959&amp;reproId=3780025</v>
      </c>
      <c r="M491">
        <f>VLOOKUP(F491,Sheet2!$B$1:$E$19,2,FALSE)</f>
        <v>1073</v>
      </c>
      <c r="N491">
        <f>VLOOKUP(F491,Sheet2!$B$1:$E$19,3,FALSE)</f>
        <v>1108959</v>
      </c>
      <c r="O491">
        <f>IF(G491="Not available","",VLOOKUP(F491,Sheet2!$B$1:$E$19,4,FALSE)+(G491-1))</f>
        <v>3780025</v>
      </c>
    </row>
    <row r="492" spans="1:15" s="1" customFormat="1" ht="15" customHeight="1" x14ac:dyDescent="0.25">
      <c r="A492" s="18" t="s">
        <v>79</v>
      </c>
      <c r="B492" s="18" t="s">
        <v>19</v>
      </c>
      <c r="C492" s="5">
        <v>1816</v>
      </c>
      <c r="E492" s="1" t="s">
        <v>2</v>
      </c>
      <c r="F492" s="18">
        <v>2173</v>
      </c>
      <c r="G492" s="18">
        <v>66</v>
      </c>
      <c r="H492" s="5">
        <v>127</v>
      </c>
      <c r="I492" s="1">
        <v>93</v>
      </c>
      <c r="J492" s="1">
        <v>194</v>
      </c>
      <c r="L492" t="str">
        <f t="shared" si="7"/>
        <v>http://www.badatelna.eu/reprodukce/?fondId=1073&amp;zaznamId=1108959&amp;reproId=3780059</v>
      </c>
      <c r="M492">
        <f>VLOOKUP(F492,Sheet2!$B$1:$E$19,2,FALSE)</f>
        <v>1073</v>
      </c>
      <c r="N492">
        <f>VLOOKUP(F492,Sheet2!$B$1:$E$19,3,FALSE)</f>
        <v>1108959</v>
      </c>
      <c r="O492">
        <f>IF(G492="Not available","",VLOOKUP(F492,Sheet2!$B$1:$E$19,4,FALSE)+(G492-1))</f>
        <v>3780059</v>
      </c>
    </row>
    <row r="493" spans="1:15" s="1" customFormat="1" ht="15" customHeight="1" x14ac:dyDescent="0.25">
      <c r="A493" s="18" t="s">
        <v>79</v>
      </c>
      <c r="B493" s="18" t="s">
        <v>11</v>
      </c>
      <c r="C493" s="5">
        <v>1830</v>
      </c>
      <c r="E493" s="1" t="s">
        <v>2</v>
      </c>
      <c r="F493" s="18">
        <v>2173</v>
      </c>
      <c r="G493" s="18">
        <v>87</v>
      </c>
      <c r="H493" s="6" t="s">
        <v>3334</v>
      </c>
      <c r="I493" s="1">
        <v>93</v>
      </c>
      <c r="J493" s="1">
        <v>194</v>
      </c>
      <c r="L493" t="str">
        <f t="shared" si="7"/>
        <v>http://www.badatelna.eu/reprodukce/?fondId=1073&amp;zaznamId=1108959&amp;reproId=3780080</v>
      </c>
      <c r="M493">
        <f>VLOOKUP(F493,Sheet2!$B$1:$E$19,2,FALSE)</f>
        <v>1073</v>
      </c>
      <c r="N493">
        <f>VLOOKUP(F493,Sheet2!$B$1:$E$19,3,FALSE)</f>
        <v>1108959</v>
      </c>
      <c r="O493">
        <f>IF(G493="Not available","",VLOOKUP(F493,Sheet2!$B$1:$E$19,4,FALSE)+(G493-1))</f>
        <v>3780080</v>
      </c>
    </row>
    <row r="494" spans="1:15" s="1" customFormat="1" ht="15" customHeight="1" x14ac:dyDescent="0.25">
      <c r="A494" s="18" t="s">
        <v>79</v>
      </c>
      <c r="B494" s="18" t="s">
        <v>145</v>
      </c>
      <c r="C494" s="5">
        <v>1822</v>
      </c>
      <c r="E494" s="1" t="s">
        <v>2</v>
      </c>
      <c r="F494" s="18">
        <v>2173</v>
      </c>
      <c r="G494" s="18">
        <v>67</v>
      </c>
      <c r="H494" s="5">
        <v>128</v>
      </c>
      <c r="I494" s="1">
        <v>93</v>
      </c>
      <c r="J494" s="1">
        <v>194</v>
      </c>
      <c r="L494" t="str">
        <f t="shared" si="7"/>
        <v>http://www.badatelna.eu/reprodukce/?fondId=1073&amp;zaznamId=1108959&amp;reproId=3780060</v>
      </c>
      <c r="M494">
        <f>VLOOKUP(F494,Sheet2!$B$1:$E$19,2,FALSE)</f>
        <v>1073</v>
      </c>
      <c r="N494">
        <f>VLOOKUP(F494,Sheet2!$B$1:$E$19,3,FALSE)</f>
        <v>1108959</v>
      </c>
      <c r="O494">
        <f>IF(G494="Not available","",VLOOKUP(F494,Sheet2!$B$1:$E$19,4,FALSE)+(G494-1))</f>
        <v>3780060</v>
      </c>
    </row>
    <row r="495" spans="1:15" s="1" customFormat="1" ht="15" customHeight="1" x14ac:dyDescent="0.25">
      <c r="A495" s="18" t="s">
        <v>79</v>
      </c>
      <c r="B495" s="18" t="s">
        <v>44</v>
      </c>
      <c r="C495" s="5">
        <v>1798</v>
      </c>
      <c r="D495" s="1" t="s">
        <v>4</v>
      </c>
      <c r="E495" s="1" t="s">
        <v>2</v>
      </c>
      <c r="F495" s="18">
        <v>2173</v>
      </c>
      <c r="G495" s="18">
        <v>38</v>
      </c>
      <c r="H495" s="5">
        <v>71</v>
      </c>
      <c r="I495" s="1">
        <v>92</v>
      </c>
      <c r="J495" s="1">
        <v>190</v>
      </c>
      <c r="L495" t="str">
        <f t="shared" si="7"/>
        <v>http://www.badatelna.eu/reprodukce/?fondId=1073&amp;zaznamId=1108959&amp;reproId=3780031</v>
      </c>
      <c r="M495">
        <f>VLOOKUP(F495,Sheet2!$B$1:$E$19,2,FALSE)</f>
        <v>1073</v>
      </c>
      <c r="N495">
        <f>VLOOKUP(F495,Sheet2!$B$1:$E$19,3,FALSE)</f>
        <v>1108959</v>
      </c>
      <c r="O495">
        <f>IF(G495="Not available","",VLOOKUP(F495,Sheet2!$B$1:$E$19,4,FALSE)+(G495-1))</f>
        <v>3780031</v>
      </c>
    </row>
    <row r="496" spans="1:15" s="1" customFormat="1" ht="15" customHeight="1" x14ac:dyDescent="0.25">
      <c r="A496" s="18" t="s">
        <v>79</v>
      </c>
      <c r="B496" s="18" t="s">
        <v>924</v>
      </c>
      <c r="C496" s="5" t="s">
        <v>1329</v>
      </c>
      <c r="D496" s="1" t="s">
        <v>1006</v>
      </c>
      <c r="E496" s="1" t="s">
        <v>2</v>
      </c>
      <c r="F496" s="18">
        <v>2165</v>
      </c>
      <c r="G496" s="18">
        <v>55</v>
      </c>
      <c r="H496" s="5">
        <v>52</v>
      </c>
      <c r="I496" s="1">
        <v>81</v>
      </c>
      <c r="J496" s="1" t="s">
        <v>3271</v>
      </c>
      <c r="L496" t="str">
        <f t="shared" si="7"/>
        <v>http://www.badatelna.eu/reprodukce/?fondId=1073&amp;zaznamId=1108952&amp;reproId=3778916</v>
      </c>
      <c r="M496">
        <f>VLOOKUP(F496,Sheet2!$B$1:$E$19,2,FALSE)</f>
        <v>1073</v>
      </c>
      <c r="N496">
        <f>VLOOKUP(F496,Sheet2!$B$1:$E$19,3,FALSE)</f>
        <v>1108952</v>
      </c>
      <c r="O496">
        <f>IF(G496="Not available","",VLOOKUP(F496,Sheet2!$B$1:$E$19,4,FALSE)+(G496-1))</f>
        <v>3778916</v>
      </c>
    </row>
    <row r="497" spans="1:15" s="1" customFormat="1" ht="15" customHeight="1" x14ac:dyDescent="0.25">
      <c r="A497" s="18" t="s">
        <v>79</v>
      </c>
      <c r="B497" s="18" t="s">
        <v>76</v>
      </c>
      <c r="C497" s="5">
        <v>1813</v>
      </c>
      <c r="E497" s="1" t="s">
        <v>2</v>
      </c>
      <c r="F497" s="18">
        <v>2173</v>
      </c>
      <c r="G497" s="18">
        <v>62</v>
      </c>
      <c r="H497" s="5">
        <v>118</v>
      </c>
      <c r="I497" s="1">
        <v>92</v>
      </c>
      <c r="J497" s="1">
        <v>190</v>
      </c>
      <c r="L497" t="str">
        <f t="shared" si="7"/>
        <v>http://www.badatelna.eu/reprodukce/?fondId=1073&amp;zaznamId=1108959&amp;reproId=3780055</v>
      </c>
      <c r="M497">
        <f>VLOOKUP(F497,Sheet2!$B$1:$E$19,2,FALSE)</f>
        <v>1073</v>
      </c>
      <c r="N497">
        <f>VLOOKUP(F497,Sheet2!$B$1:$E$19,3,FALSE)</f>
        <v>1108959</v>
      </c>
      <c r="O497">
        <f>IF(G497="Not available","",VLOOKUP(F497,Sheet2!$B$1:$E$19,4,FALSE)+(G497-1))</f>
        <v>3780055</v>
      </c>
    </row>
    <row r="498" spans="1:15" s="1" customFormat="1" ht="15" customHeight="1" x14ac:dyDescent="0.25">
      <c r="A498" s="18" t="s">
        <v>805</v>
      </c>
      <c r="B498" s="18" t="s">
        <v>12</v>
      </c>
      <c r="C498" s="5">
        <v>1849</v>
      </c>
      <c r="D498" s="1" t="s">
        <v>233</v>
      </c>
      <c r="E498" s="1" t="s">
        <v>2</v>
      </c>
      <c r="F498" s="18">
        <v>2164</v>
      </c>
      <c r="G498" s="18">
        <v>53</v>
      </c>
      <c r="H498" s="5">
        <v>51</v>
      </c>
      <c r="I498" s="1">
        <v>123</v>
      </c>
      <c r="J498" s="4" t="s">
        <v>3271</v>
      </c>
      <c r="L498" t="str">
        <f t="shared" si="7"/>
        <v>http://www.badatelna.eu/reprodukce/?fondId=1073&amp;zaznamId=1108951&amp;reproId=3778767</v>
      </c>
      <c r="M498">
        <f>VLOOKUP(F498,Sheet2!$B$1:$E$19,2,FALSE)</f>
        <v>1073</v>
      </c>
      <c r="N498">
        <f>VLOOKUP(F498,Sheet2!$B$1:$E$19,3,FALSE)</f>
        <v>1108951</v>
      </c>
      <c r="O498">
        <f>IF(G498="Not available","",VLOOKUP(F498,Sheet2!$B$1:$E$19,4,FALSE)+(G498-1))</f>
        <v>3778767</v>
      </c>
    </row>
    <row r="499" spans="1:15" s="1" customFormat="1" ht="15" customHeight="1" x14ac:dyDescent="0.25">
      <c r="A499" s="18" t="s">
        <v>95</v>
      </c>
      <c r="B499" s="18" t="s">
        <v>819</v>
      </c>
      <c r="C499" s="5">
        <v>1850</v>
      </c>
      <c r="D499" s="1" t="s">
        <v>477</v>
      </c>
      <c r="E499" s="1" t="s">
        <v>2</v>
      </c>
      <c r="F499" s="18">
        <v>2164</v>
      </c>
      <c r="G499" s="18">
        <v>78</v>
      </c>
      <c r="H499" s="5">
        <v>76</v>
      </c>
      <c r="I499" s="1">
        <v>123</v>
      </c>
      <c r="J499" s="4" t="s">
        <v>3271</v>
      </c>
      <c r="L499" t="str">
        <f t="shared" si="7"/>
        <v>http://www.badatelna.eu/reprodukce/?fondId=1073&amp;zaznamId=1108951&amp;reproId=3778792</v>
      </c>
      <c r="M499">
        <f>VLOOKUP(F499,Sheet2!$B$1:$E$19,2,FALSE)</f>
        <v>1073</v>
      </c>
      <c r="N499">
        <f>VLOOKUP(F499,Sheet2!$B$1:$E$19,3,FALSE)</f>
        <v>1108951</v>
      </c>
      <c r="O499">
        <f>IF(G499="Not available","",VLOOKUP(F499,Sheet2!$B$1:$E$19,4,FALSE)+(G499-1))</f>
        <v>3778792</v>
      </c>
    </row>
    <row r="500" spans="1:15" s="1" customFormat="1" ht="15" customHeight="1" x14ac:dyDescent="0.25">
      <c r="A500" s="18" t="s">
        <v>95</v>
      </c>
      <c r="B500" s="18" t="s">
        <v>819</v>
      </c>
      <c r="C500" s="5">
        <v>1852</v>
      </c>
      <c r="D500" s="1" t="s">
        <v>821</v>
      </c>
      <c r="E500" s="1" t="s">
        <v>2</v>
      </c>
      <c r="F500" s="18">
        <v>2164</v>
      </c>
      <c r="G500" s="18">
        <v>83</v>
      </c>
      <c r="H500" s="5">
        <v>81</v>
      </c>
      <c r="I500" s="1">
        <v>123</v>
      </c>
      <c r="J500" s="4" t="s">
        <v>3271</v>
      </c>
      <c r="L500" t="str">
        <f t="shared" si="7"/>
        <v>http://www.badatelna.eu/reprodukce/?fondId=1073&amp;zaznamId=1108951&amp;reproId=3778797</v>
      </c>
      <c r="M500">
        <f>VLOOKUP(F500,Sheet2!$B$1:$E$19,2,FALSE)</f>
        <v>1073</v>
      </c>
      <c r="N500">
        <f>VLOOKUP(F500,Sheet2!$B$1:$E$19,3,FALSE)</f>
        <v>1108951</v>
      </c>
      <c r="O500">
        <f>IF(G500="Not available","",VLOOKUP(F500,Sheet2!$B$1:$E$19,4,FALSE)+(G500-1))</f>
        <v>3778797</v>
      </c>
    </row>
    <row r="501" spans="1:15" s="1" customFormat="1" ht="15" customHeight="1" x14ac:dyDescent="0.25">
      <c r="A501" s="18" t="s">
        <v>95</v>
      </c>
      <c r="B501" s="18" t="s">
        <v>74</v>
      </c>
      <c r="C501" s="5">
        <v>1823</v>
      </c>
      <c r="E501" s="1" t="s">
        <v>2</v>
      </c>
      <c r="F501" s="18">
        <v>2173</v>
      </c>
      <c r="G501" s="18">
        <v>74</v>
      </c>
      <c r="H501" s="5">
        <v>140</v>
      </c>
      <c r="I501" s="1">
        <v>93</v>
      </c>
      <c r="J501" s="1">
        <v>194</v>
      </c>
      <c r="L501" t="str">
        <f t="shared" si="7"/>
        <v>http://www.badatelna.eu/reprodukce/?fondId=1073&amp;zaznamId=1108959&amp;reproId=3780067</v>
      </c>
      <c r="M501">
        <f>VLOOKUP(F501,Sheet2!$B$1:$E$19,2,FALSE)</f>
        <v>1073</v>
      </c>
      <c r="N501">
        <f>VLOOKUP(F501,Sheet2!$B$1:$E$19,3,FALSE)</f>
        <v>1108959</v>
      </c>
      <c r="O501">
        <f>IF(G501="Not available","",VLOOKUP(F501,Sheet2!$B$1:$E$19,4,FALSE)+(G501-1))</f>
        <v>3780067</v>
      </c>
    </row>
    <row r="502" spans="1:15" s="1" customFormat="1" ht="15" customHeight="1" x14ac:dyDescent="0.25">
      <c r="A502" s="18" t="s">
        <v>95</v>
      </c>
      <c r="B502" s="18" t="s">
        <v>482</v>
      </c>
      <c r="C502" s="5">
        <v>1854</v>
      </c>
      <c r="D502" s="1" t="s">
        <v>827</v>
      </c>
      <c r="E502" s="1" t="s">
        <v>2</v>
      </c>
      <c r="F502" s="18">
        <v>2164</v>
      </c>
      <c r="G502" s="18">
        <v>98</v>
      </c>
      <c r="H502" s="5">
        <v>96</v>
      </c>
      <c r="I502" s="1">
        <v>123</v>
      </c>
      <c r="J502" s="4" t="s">
        <v>3271</v>
      </c>
      <c r="L502" t="str">
        <f t="shared" si="7"/>
        <v>http://www.badatelna.eu/reprodukce/?fondId=1073&amp;zaznamId=1108951&amp;reproId=3778812</v>
      </c>
      <c r="M502">
        <f>VLOOKUP(F502,Sheet2!$B$1:$E$19,2,FALSE)</f>
        <v>1073</v>
      </c>
      <c r="N502">
        <f>VLOOKUP(F502,Sheet2!$B$1:$E$19,3,FALSE)</f>
        <v>1108951</v>
      </c>
      <c r="O502">
        <f>IF(G502="Not available","",VLOOKUP(F502,Sheet2!$B$1:$E$19,4,FALSE)+(G502-1))</f>
        <v>3778812</v>
      </c>
    </row>
    <row r="503" spans="1:15" s="1" customFormat="1" ht="15" customHeight="1" x14ac:dyDescent="0.25">
      <c r="A503" s="18" t="s">
        <v>95</v>
      </c>
      <c r="B503" s="18" t="s">
        <v>546</v>
      </c>
      <c r="C503" s="5">
        <v>1847</v>
      </c>
      <c r="D503" s="1" t="s">
        <v>800</v>
      </c>
      <c r="E503" s="1" t="s">
        <v>2</v>
      </c>
      <c r="F503" s="18">
        <v>2164</v>
      </c>
      <c r="G503" s="18">
        <v>13</v>
      </c>
      <c r="H503" s="5">
        <v>11</v>
      </c>
      <c r="I503" s="1">
        <v>123</v>
      </c>
      <c r="J503" s="4" t="s">
        <v>3271</v>
      </c>
      <c r="L503" t="str">
        <f t="shared" si="7"/>
        <v>http://www.badatelna.eu/reprodukce/?fondId=1073&amp;zaznamId=1108951&amp;reproId=3778727</v>
      </c>
      <c r="M503">
        <f>VLOOKUP(F503,Sheet2!$B$1:$E$19,2,FALSE)</f>
        <v>1073</v>
      </c>
      <c r="N503">
        <f>VLOOKUP(F503,Sheet2!$B$1:$E$19,3,FALSE)</f>
        <v>1108951</v>
      </c>
      <c r="O503">
        <f>IF(G503="Not available","",VLOOKUP(F503,Sheet2!$B$1:$E$19,4,FALSE)+(G503-1))</f>
        <v>3778727</v>
      </c>
    </row>
    <row r="504" spans="1:15" s="1" customFormat="1" ht="15" customHeight="1" x14ac:dyDescent="0.25">
      <c r="A504" s="18" t="s">
        <v>95</v>
      </c>
      <c r="B504" s="18" t="s">
        <v>991</v>
      </c>
      <c r="C504" s="5" t="s">
        <v>1300</v>
      </c>
      <c r="D504" s="4" t="s">
        <v>2846</v>
      </c>
      <c r="E504" s="1" t="s">
        <v>2</v>
      </c>
      <c r="F504" s="18">
        <v>2165</v>
      </c>
      <c r="G504" s="18">
        <v>15</v>
      </c>
      <c r="H504" s="5">
        <v>12</v>
      </c>
      <c r="I504" s="1">
        <v>80</v>
      </c>
      <c r="J504" s="1" t="s">
        <v>3271</v>
      </c>
      <c r="L504" t="str">
        <f t="shared" si="7"/>
        <v>http://www.badatelna.eu/reprodukce/?fondId=1073&amp;zaznamId=1108952&amp;reproId=3778876</v>
      </c>
      <c r="M504">
        <f>VLOOKUP(F504,Sheet2!$B$1:$E$19,2,FALSE)</f>
        <v>1073</v>
      </c>
      <c r="N504">
        <f>VLOOKUP(F504,Sheet2!$B$1:$E$19,3,FALSE)</f>
        <v>1108952</v>
      </c>
      <c r="O504">
        <f>IF(G504="Not available","",VLOOKUP(F504,Sheet2!$B$1:$E$19,4,FALSE)+(G504-1))</f>
        <v>3778876</v>
      </c>
    </row>
    <row r="505" spans="1:15" s="1" customFormat="1" ht="15" customHeight="1" x14ac:dyDescent="0.25">
      <c r="A505" s="18" t="s">
        <v>95</v>
      </c>
      <c r="B505" s="19" t="s">
        <v>3320</v>
      </c>
      <c r="C505" s="5">
        <v>1866</v>
      </c>
      <c r="D505" s="4" t="s">
        <v>58</v>
      </c>
      <c r="E505" s="1" t="s">
        <v>939</v>
      </c>
      <c r="F505" s="18">
        <v>999</v>
      </c>
      <c r="G505" s="18">
        <v>61</v>
      </c>
      <c r="H505" s="5">
        <v>59</v>
      </c>
      <c r="I505" s="1">
        <v>63</v>
      </c>
      <c r="J505" s="1">
        <v>96</v>
      </c>
      <c r="L505" t="str">
        <f t="shared" si="7"/>
        <v>http://www.badatelna.eu/reprodukce/?fondId=241&amp;zaznamId=1133739&amp;reproId=3885790</v>
      </c>
      <c r="M505">
        <f>VLOOKUP(F505,Sheet2!$B$1:$E$19,2,FALSE)</f>
        <v>241</v>
      </c>
      <c r="N505">
        <f>VLOOKUP(F505,Sheet2!$B$1:$E$19,3,FALSE)</f>
        <v>1133739</v>
      </c>
      <c r="O505">
        <f>IF(G505="Not available","",VLOOKUP(F505,Sheet2!$B$1:$E$19,4,FALSE)+(G505-1))</f>
        <v>3885790</v>
      </c>
    </row>
    <row r="506" spans="1:15" s="1" customFormat="1" ht="15" customHeight="1" x14ac:dyDescent="0.25">
      <c r="A506" s="18" t="s">
        <v>95</v>
      </c>
      <c r="B506" s="18" t="s">
        <v>59</v>
      </c>
      <c r="C506" s="5">
        <v>1829</v>
      </c>
      <c r="E506" s="1" t="s">
        <v>2</v>
      </c>
      <c r="F506" s="18">
        <v>2173</v>
      </c>
      <c r="G506" s="18">
        <v>82</v>
      </c>
      <c r="H506" s="5">
        <v>156</v>
      </c>
      <c r="I506" s="1">
        <v>93</v>
      </c>
      <c r="J506" s="1">
        <v>194</v>
      </c>
      <c r="L506" t="str">
        <f t="shared" si="7"/>
        <v>http://www.badatelna.eu/reprodukce/?fondId=1073&amp;zaznamId=1108959&amp;reproId=3780075</v>
      </c>
      <c r="M506">
        <f>VLOOKUP(F506,Sheet2!$B$1:$E$19,2,FALSE)</f>
        <v>1073</v>
      </c>
      <c r="N506">
        <f>VLOOKUP(F506,Sheet2!$B$1:$E$19,3,FALSE)</f>
        <v>1108959</v>
      </c>
      <c r="O506">
        <f>IF(G506="Not available","",VLOOKUP(F506,Sheet2!$B$1:$E$19,4,FALSE)+(G506-1))</f>
        <v>3780075</v>
      </c>
    </row>
    <row r="507" spans="1:15" s="1" customFormat="1" ht="15" customHeight="1" x14ac:dyDescent="0.25">
      <c r="A507" s="18" t="s">
        <v>95</v>
      </c>
      <c r="B507" s="18" t="s">
        <v>889</v>
      </c>
      <c r="C507" s="5">
        <v>1863</v>
      </c>
      <c r="E507" s="1" t="s">
        <v>939</v>
      </c>
      <c r="F507" s="18">
        <v>999</v>
      </c>
      <c r="G507" s="18">
        <v>42</v>
      </c>
      <c r="H507" s="5">
        <v>40</v>
      </c>
      <c r="I507" s="1">
        <v>63</v>
      </c>
      <c r="J507" s="1">
        <v>96</v>
      </c>
      <c r="K507" s="4" t="s">
        <v>363</v>
      </c>
      <c r="L507" t="str">
        <f t="shared" si="7"/>
        <v>http://www.badatelna.eu/reprodukce/?fondId=241&amp;zaznamId=1133739&amp;reproId=3885771</v>
      </c>
      <c r="M507">
        <f>VLOOKUP(F507,Sheet2!$B$1:$E$19,2,FALSE)</f>
        <v>241</v>
      </c>
      <c r="N507">
        <f>VLOOKUP(F507,Sheet2!$B$1:$E$19,3,FALSE)</f>
        <v>1133739</v>
      </c>
      <c r="O507">
        <f>IF(G507="Not available","",VLOOKUP(F507,Sheet2!$B$1:$E$19,4,FALSE)+(G507-1))</f>
        <v>3885771</v>
      </c>
    </row>
    <row r="508" spans="1:15" s="1" customFormat="1" ht="15" customHeight="1" x14ac:dyDescent="0.25">
      <c r="A508" s="18" t="s">
        <v>95</v>
      </c>
      <c r="B508" s="18" t="s">
        <v>484</v>
      </c>
      <c r="C508" s="5" t="s">
        <v>1311</v>
      </c>
      <c r="D508" s="1" t="s">
        <v>58</v>
      </c>
      <c r="E508" s="1" t="s">
        <v>2</v>
      </c>
      <c r="F508" s="18">
        <v>2165</v>
      </c>
      <c r="G508" s="18">
        <v>31</v>
      </c>
      <c r="H508" s="5">
        <v>28</v>
      </c>
      <c r="I508" s="1">
        <v>81</v>
      </c>
      <c r="J508" s="1" t="s">
        <v>3271</v>
      </c>
      <c r="L508" t="str">
        <f t="shared" si="7"/>
        <v>http://www.badatelna.eu/reprodukce/?fondId=1073&amp;zaznamId=1108952&amp;reproId=3778892</v>
      </c>
      <c r="M508">
        <f>VLOOKUP(F508,Sheet2!$B$1:$E$19,2,FALSE)</f>
        <v>1073</v>
      </c>
      <c r="N508">
        <f>VLOOKUP(F508,Sheet2!$B$1:$E$19,3,FALSE)</f>
        <v>1108952</v>
      </c>
      <c r="O508">
        <f>IF(G508="Not available","",VLOOKUP(F508,Sheet2!$B$1:$E$19,4,FALSE)+(G508-1))</f>
        <v>3778892</v>
      </c>
    </row>
    <row r="509" spans="1:15" s="1" customFormat="1" ht="15" customHeight="1" x14ac:dyDescent="0.25">
      <c r="A509" s="18" t="s">
        <v>95</v>
      </c>
      <c r="B509" s="18" t="s">
        <v>495</v>
      </c>
      <c r="C509" s="5">
        <v>1835</v>
      </c>
      <c r="D509" s="1" t="s">
        <v>615</v>
      </c>
      <c r="E509" s="1" t="s">
        <v>2</v>
      </c>
      <c r="F509" s="18">
        <v>2174</v>
      </c>
      <c r="G509" s="18">
        <v>83</v>
      </c>
      <c r="H509" s="6" t="s">
        <v>3147</v>
      </c>
      <c r="I509" s="1">
        <v>180</v>
      </c>
      <c r="J509" s="1">
        <v>204</v>
      </c>
      <c r="L509" t="str">
        <f t="shared" si="7"/>
        <v>http://www.badatelna.eu/reprodukce/?fondId=1073&amp;zaznamId=1108960&amp;reproId=3780307</v>
      </c>
      <c r="M509">
        <f>VLOOKUP(F509,Sheet2!$B$1:$E$19,2,FALSE)</f>
        <v>1073</v>
      </c>
      <c r="N509">
        <f>VLOOKUP(F509,Sheet2!$B$1:$E$19,3,FALSE)</f>
        <v>1108960</v>
      </c>
      <c r="O509">
        <f>IF(G509="Not available","",VLOOKUP(F509,Sheet2!$B$1:$E$19,4,FALSE)+(G509-1))</f>
        <v>3780307</v>
      </c>
    </row>
    <row r="510" spans="1:15" s="1" customFormat="1" ht="15" customHeight="1" x14ac:dyDescent="0.25">
      <c r="A510" s="18" t="s">
        <v>95</v>
      </c>
      <c r="B510" s="18" t="s">
        <v>75</v>
      </c>
      <c r="C510" s="5">
        <v>1798</v>
      </c>
      <c r="D510" s="1" t="s">
        <v>74</v>
      </c>
      <c r="E510" s="1" t="s">
        <v>2</v>
      </c>
      <c r="F510" s="18">
        <v>2173</v>
      </c>
      <c r="G510" s="18">
        <v>37</v>
      </c>
      <c r="H510" s="5">
        <v>69</v>
      </c>
      <c r="I510" s="1">
        <v>92</v>
      </c>
      <c r="J510" s="1">
        <v>190</v>
      </c>
      <c r="L510" t="str">
        <f t="shared" si="7"/>
        <v>http://www.badatelna.eu/reprodukce/?fondId=1073&amp;zaznamId=1108959&amp;reproId=3780030</v>
      </c>
      <c r="M510">
        <f>VLOOKUP(F510,Sheet2!$B$1:$E$19,2,FALSE)</f>
        <v>1073</v>
      </c>
      <c r="N510">
        <f>VLOOKUP(F510,Sheet2!$B$1:$E$19,3,FALSE)</f>
        <v>1108959</v>
      </c>
      <c r="O510">
        <f>IF(G510="Not available","",VLOOKUP(F510,Sheet2!$B$1:$E$19,4,FALSE)+(G510-1))</f>
        <v>3780030</v>
      </c>
    </row>
    <row r="511" spans="1:15" s="1" customFormat="1" ht="15" customHeight="1" x14ac:dyDescent="0.25">
      <c r="A511" s="18" t="s">
        <v>95</v>
      </c>
      <c r="B511" s="18" t="s">
        <v>370</v>
      </c>
      <c r="C511" s="5">
        <v>1852</v>
      </c>
      <c r="D511" s="1" t="s">
        <v>481</v>
      </c>
      <c r="E511" s="1" t="s">
        <v>2</v>
      </c>
      <c r="F511" s="18">
        <v>2164</v>
      </c>
      <c r="G511" s="18">
        <v>86</v>
      </c>
      <c r="H511" s="5">
        <v>84</v>
      </c>
      <c r="I511" s="1">
        <v>123</v>
      </c>
      <c r="J511" s="4" t="s">
        <v>3271</v>
      </c>
      <c r="L511" t="str">
        <f t="shared" si="7"/>
        <v>http://www.badatelna.eu/reprodukce/?fondId=1073&amp;zaznamId=1108951&amp;reproId=3778800</v>
      </c>
      <c r="M511">
        <f>VLOOKUP(F511,Sheet2!$B$1:$E$19,2,FALSE)</f>
        <v>1073</v>
      </c>
      <c r="N511">
        <f>VLOOKUP(F511,Sheet2!$B$1:$E$19,3,FALSE)</f>
        <v>1108951</v>
      </c>
      <c r="O511">
        <f>IF(G511="Not available","",VLOOKUP(F511,Sheet2!$B$1:$E$19,4,FALSE)+(G511-1))</f>
        <v>3778800</v>
      </c>
    </row>
    <row r="512" spans="1:15" s="1" customFormat="1" ht="15" customHeight="1" x14ac:dyDescent="0.25">
      <c r="A512" s="18" t="s">
        <v>95</v>
      </c>
      <c r="B512" s="18" t="s">
        <v>831</v>
      </c>
      <c r="C512" s="5">
        <v>1856</v>
      </c>
      <c r="D512" s="1" t="s">
        <v>832</v>
      </c>
      <c r="E512" s="1" t="s">
        <v>2</v>
      </c>
      <c r="F512" s="18">
        <v>2164</v>
      </c>
      <c r="G512" s="18">
        <v>110</v>
      </c>
      <c r="H512" s="5">
        <v>108</v>
      </c>
      <c r="I512" s="1">
        <v>124</v>
      </c>
      <c r="J512" s="4" t="s">
        <v>3271</v>
      </c>
      <c r="L512" t="str">
        <f t="shared" si="7"/>
        <v>http://www.badatelna.eu/reprodukce/?fondId=1073&amp;zaznamId=1108951&amp;reproId=3778824</v>
      </c>
      <c r="M512">
        <f>VLOOKUP(F512,Sheet2!$B$1:$E$19,2,FALSE)</f>
        <v>1073</v>
      </c>
      <c r="N512">
        <f>VLOOKUP(F512,Sheet2!$B$1:$E$19,3,FALSE)</f>
        <v>1108951</v>
      </c>
      <c r="O512">
        <f>IF(G512="Not available","",VLOOKUP(F512,Sheet2!$B$1:$E$19,4,FALSE)+(G512-1))</f>
        <v>3778824</v>
      </c>
    </row>
    <row r="513" spans="1:15" s="1" customFormat="1" ht="15" customHeight="1" x14ac:dyDescent="0.25">
      <c r="A513" s="18" t="s">
        <v>95</v>
      </c>
      <c r="B513" s="18" t="s">
        <v>431</v>
      </c>
      <c r="C513" s="5">
        <v>1858</v>
      </c>
      <c r="E513" s="1" t="s">
        <v>939</v>
      </c>
      <c r="F513" s="18">
        <v>999</v>
      </c>
      <c r="G513" s="18">
        <v>6</v>
      </c>
      <c r="H513" s="5">
        <v>4</v>
      </c>
      <c r="I513" s="1">
        <v>63</v>
      </c>
      <c r="J513" s="1">
        <v>96</v>
      </c>
      <c r="L513" t="str">
        <f t="shared" si="7"/>
        <v>http://www.badatelna.eu/reprodukce/?fondId=241&amp;zaznamId=1133739&amp;reproId=3885735</v>
      </c>
      <c r="M513">
        <f>VLOOKUP(F513,Sheet2!$B$1:$E$19,2,FALSE)</f>
        <v>241</v>
      </c>
      <c r="N513">
        <f>VLOOKUP(F513,Sheet2!$B$1:$E$19,3,FALSE)</f>
        <v>1133739</v>
      </c>
      <c r="O513">
        <f>IF(G513="Not available","",VLOOKUP(F513,Sheet2!$B$1:$E$19,4,FALSE)+(G513-1))</f>
        <v>3885735</v>
      </c>
    </row>
    <row r="514" spans="1:15" s="1" customFormat="1" ht="15" customHeight="1" x14ac:dyDescent="0.25">
      <c r="A514" s="18" t="s">
        <v>95</v>
      </c>
      <c r="B514" s="18" t="s">
        <v>51</v>
      </c>
      <c r="C514" s="5">
        <v>1852</v>
      </c>
      <c r="D514" s="1" t="s">
        <v>58</v>
      </c>
      <c r="E514" s="1" t="s">
        <v>2</v>
      </c>
      <c r="F514" s="18">
        <v>2164</v>
      </c>
      <c r="G514" s="18">
        <v>89</v>
      </c>
      <c r="H514" s="5">
        <v>87</v>
      </c>
      <c r="I514" s="1">
        <v>123</v>
      </c>
      <c r="J514" s="4" t="s">
        <v>3271</v>
      </c>
      <c r="L514" t="str">
        <f t="shared" si="7"/>
        <v>http://www.badatelna.eu/reprodukce/?fondId=1073&amp;zaznamId=1108951&amp;reproId=3778803</v>
      </c>
      <c r="M514">
        <f>VLOOKUP(F514,Sheet2!$B$1:$E$19,2,FALSE)</f>
        <v>1073</v>
      </c>
      <c r="N514">
        <f>VLOOKUP(F514,Sheet2!$B$1:$E$19,3,FALSE)</f>
        <v>1108951</v>
      </c>
      <c r="O514">
        <f>IF(G514="Not available","",VLOOKUP(F514,Sheet2!$B$1:$E$19,4,FALSE)+(G514-1))</f>
        <v>3778803</v>
      </c>
    </row>
    <row r="515" spans="1:15" s="1" customFormat="1" ht="15" customHeight="1" x14ac:dyDescent="0.25">
      <c r="A515" s="18" t="s">
        <v>95</v>
      </c>
      <c r="B515" s="18" t="s">
        <v>51</v>
      </c>
      <c r="C515" s="5">
        <v>1855</v>
      </c>
      <c r="D515" s="1" t="s">
        <v>495</v>
      </c>
      <c r="E515" s="1" t="s">
        <v>2</v>
      </c>
      <c r="F515" s="18">
        <v>2164</v>
      </c>
      <c r="G515" s="18">
        <v>101</v>
      </c>
      <c r="H515" s="5">
        <v>99</v>
      </c>
      <c r="I515" s="1">
        <v>123</v>
      </c>
      <c r="J515" s="4" t="s">
        <v>3271</v>
      </c>
      <c r="L515" t="str">
        <f t="shared" ref="L515:L578" si="8">IF(G515="Not available","","http://www.badatelna.eu/reprodukce/?fondId="&amp;M515&amp;"&amp;zaznamId="&amp;N515&amp;"&amp;reproId="&amp;O515)</f>
        <v>http://www.badatelna.eu/reprodukce/?fondId=1073&amp;zaznamId=1108951&amp;reproId=3778815</v>
      </c>
      <c r="M515">
        <f>VLOOKUP(F515,Sheet2!$B$1:$E$19,2,FALSE)</f>
        <v>1073</v>
      </c>
      <c r="N515">
        <f>VLOOKUP(F515,Sheet2!$B$1:$E$19,3,FALSE)</f>
        <v>1108951</v>
      </c>
      <c r="O515">
        <f>IF(G515="Not available","",VLOOKUP(F515,Sheet2!$B$1:$E$19,4,FALSE)+(G515-1))</f>
        <v>3778815</v>
      </c>
    </row>
    <row r="516" spans="1:15" s="1" customFormat="1" ht="15" customHeight="1" x14ac:dyDescent="0.25">
      <c r="A516" s="18" t="s">
        <v>95</v>
      </c>
      <c r="B516" s="18" t="s">
        <v>239</v>
      </c>
      <c r="C516" s="5">
        <v>1859</v>
      </c>
      <c r="E516" s="1" t="s">
        <v>939</v>
      </c>
      <c r="F516" s="18">
        <v>999</v>
      </c>
      <c r="G516" s="18">
        <v>16</v>
      </c>
      <c r="H516" s="5">
        <v>14</v>
      </c>
      <c r="I516" s="1">
        <v>63</v>
      </c>
      <c r="J516" s="1">
        <v>96</v>
      </c>
      <c r="L516" t="str">
        <f t="shared" si="8"/>
        <v>http://www.badatelna.eu/reprodukce/?fondId=241&amp;zaznamId=1133739&amp;reproId=3885745</v>
      </c>
      <c r="M516">
        <f>VLOOKUP(F516,Sheet2!$B$1:$E$19,2,FALSE)</f>
        <v>241</v>
      </c>
      <c r="N516">
        <f>VLOOKUP(F516,Sheet2!$B$1:$E$19,3,FALSE)</f>
        <v>1133739</v>
      </c>
      <c r="O516">
        <f>IF(G516="Not available","",VLOOKUP(F516,Sheet2!$B$1:$E$19,4,FALSE)+(G516-1))</f>
        <v>3885745</v>
      </c>
    </row>
    <row r="517" spans="1:15" s="1" customFormat="1" ht="15" customHeight="1" x14ac:dyDescent="0.25">
      <c r="A517" s="18" t="s">
        <v>95</v>
      </c>
      <c r="B517" s="18" t="s">
        <v>1011</v>
      </c>
      <c r="C517" s="6" t="s">
        <v>2036</v>
      </c>
      <c r="D517" s="4" t="s">
        <v>2039</v>
      </c>
      <c r="E517" s="4" t="s">
        <v>2</v>
      </c>
      <c r="F517" s="18">
        <v>2176</v>
      </c>
      <c r="G517" s="18" t="s">
        <v>3271</v>
      </c>
      <c r="H517" s="6" t="s">
        <v>2040</v>
      </c>
      <c r="I517" s="1">
        <v>5</v>
      </c>
      <c r="J517" s="1" t="s">
        <v>3271</v>
      </c>
      <c r="K517" s="3"/>
      <c r="L517" t="str">
        <f t="shared" si="8"/>
        <v/>
      </c>
      <c r="M517">
        <f>VLOOKUP(F517,Sheet2!$B$1:$E$19,2,FALSE)</f>
        <v>1073</v>
      </c>
      <c r="N517">
        <f>VLOOKUP(F517,Sheet2!$B$1:$E$19,3,FALSE)</f>
        <v>1108963</v>
      </c>
      <c r="O517" t="str">
        <f>IF(G517="Not available","",VLOOKUP(F517,Sheet2!$B$1:$E$19,4,FALSE)+(G517-1))</f>
        <v/>
      </c>
    </row>
    <row r="518" spans="1:15" s="1" customFormat="1" ht="15" customHeight="1" x14ac:dyDescent="0.25">
      <c r="A518" s="18" t="s">
        <v>95</v>
      </c>
      <c r="B518" s="18" t="s">
        <v>842</v>
      </c>
      <c r="C518" s="5">
        <v>1883</v>
      </c>
      <c r="D518" s="1" t="s">
        <v>434</v>
      </c>
      <c r="E518" s="1" t="s">
        <v>2</v>
      </c>
      <c r="F518" s="18">
        <v>2165</v>
      </c>
      <c r="G518" s="18">
        <v>188</v>
      </c>
      <c r="H518" s="5">
        <v>4</v>
      </c>
      <c r="I518" s="1">
        <v>190</v>
      </c>
      <c r="J518" s="1">
        <v>167</v>
      </c>
      <c r="L518" t="str">
        <f t="shared" si="8"/>
        <v>http://www.badatelna.eu/reprodukce/?fondId=1073&amp;zaznamId=1108952&amp;reproId=3779049</v>
      </c>
      <c r="M518">
        <f>VLOOKUP(F518,Sheet2!$B$1:$E$19,2,FALSE)</f>
        <v>1073</v>
      </c>
      <c r="N518">
        <f>VLOOKUP(F518,Sheet2!$B$1:$E$19,3,FALSE)</f>
        <v>1108952</v>
      </c>
      <c r="O518">
        <f>IF(G518="Not available","",VLOOKUP(F518,Sheet2!$B$1:$E$19,4,FALSE)+(G518-1))</f>
        <v>3779049</v>
      </c>
    </row>
    <row r="519" spans="1:15" s="1" customFormat="1" ht="15" customHeight="1" x14ac:dyDescent="0.25">
      <c r="A519" s="18" t="s">
        <v>95</v>
      </c>
      <c r="B519" s="18" t="s">
        <v>26</v>
      </c>
      <c r="C519" s="5">
        <v>1849</v>
      </c>
      <c r="D519" s="1" t="s">
        <v>58</v>
      </c>
      <c r="E519" s="1" t="s">
        <v>2</v>
      </c>
      <c r="F519" s="18">
        <v>2164</v>
      </c>
      <c r="G519" s="18">
        <v>50</v>
      </c>
      <c r="H519" s="5">
        <v>48</v>
      </c>
      <c r="I519" s="1">
        <v>123</v>
      </c>
      <c r="J519" s="4" t="s">
        <v>3271</v>
      </c>
      <c r="L519" t="str">
        <f t="shared" si="8"/>
        <v>http://www.badatelna.eu/reprodukce/?fondId=1073&amp;zaznamId=1108951&amp;reproId=3778764</v>
      </c>
      <c r="M519">
        <f>VLOOKUP(F519,Sheet2!$B$1:$E$19,2,FALSE)</f>
        <v>1073</v>
      </c>
      <c r="N519">
        <f>VLOOKUP(F519,Sheet2!$B$1:$E$19,3,FALSE)</f>
        <v>1108951</v>
      </c>
      <c r="O519">
        <f>IF(G519="Not available","",VLOOKUP(F519,Sheet2!$B$1:$E$19,4,FALSE)+(G519-1))</f>
        <v>3778764</v>
      </c>
    </row>
    <row r="520" spans="1:15" s="1" customFormat="1" ht="15" customHeight="1" x14ac:dyDescent="0.25">
      <c r="A520" s="18" t="s">
        <v>95</v>
      </c>
      <c r="B520" s="18" t="s">
        <v>26</v>
      </c>
      <c r="C520" s="5">
        <v>1856</v>
      </c>
      <c r="D520" s="1" t="s">
        <v>58</v>
      </c>
      <c r="E520" s="1" t="s">
        <v>2</v>
      </c>
      <c r="F520" s="18">
        <v>2164</v>
      </c>
      <c r="G520" s="18">
        <v>112</v>
      </c>
      <c r="H520" s="5">
        <v>110</v>
      </c>
      <c r="I520" s="1">
        <v>124</v>
      </c>
      <c r="J520" s="4" t="s">
        <v>3271</v>
      </c>
      <c r="L520" t="str">
        <f t="shared" si="8"/>
        <v>http://www.badatelna.eu/reprodukce/?fondId=1073&amp;zaznamId=1108951&amp;reproId=3778826</v>
      </c>
      <c r="M520">
        <f>VLOOKUP(F520,Sheet2!$B$1:$E$19,2,FALSE)</f>
        <v>1073</v>
      </c>
      <c r="N520">
        <f>VLOOKUP(F520,Sheet2!$B$1:$E$19,3,FALSE)</f>
        <v>1108951</v>
      </c>
      <c r="O520">
        <f>IF(G520="Not available","",VLOOKUP(F520,Sheet2!$B$1:$E$19,4,FALSE)+(G520-1))</f>
        <v>3778826</v>
      </c>
    </row>
    <row r="521" spans="1:15" s="1" customFormat="1" ht="15" customHeight="1" x14ac:dyDescent="0.25">
      <c r="A521" s="18" t="s">
        <v>95</v>
      </c>
      <c r="B521" s="18" t="s">
        <v>133</v>
      </c>
      <c r="C521" s="5">
        <v>1818</v>
      </c>
      <c r="E521" s="1" t="s">
        <v>2</v>
      </c>
      <c r="F521" s="18">
        <v>2173</v>
      </c>
      <c r="G521" s="18">
        <v>66</v>
      </c>
      <c r="H521" s="5">
        <v>127</v>
      </c>
      <c r="I521" s="1">
        <v>93</v>
      </c>
      <c r="J521" s="1">
        <v>194</v>
      </c>
      <c r="L521" t="str">
        <f t="shared" si="8"/>
        <v>http://www.badatelna.eu/reprodukce/?fondId=1073&amp;zaznamId=1108959&amp;reproId=3780059</v>
      </c>
      <c r="M521">
        <f>VLOOKUP(F521,Sheet2!$B$1:$E$19,2,FALSE)</f>
        <v>1073</v>
      </c>
      <c r="N521">
        <f>VLOOKUP(F521,Sheet2!$B$1:$E$19,3,FALSE)</f>
        <v>1108959</v>
      </c>
      <c r="O521">
        <f>IF(G521="Not available","",VLOOKUP(F521,Sheet2!$B$1:$E$19,4,FALSE)+(G521-1))</f>
        <v>3780059</v>
      </c>
    </row>
    <row r="522" spans="1:15" s="1" customFormat="1" ht="15" customHeight="1" x14ac:dyDescent="0.25">
      <c r="A522" s="18" t="s">
        <v>95</v>
      </c>
      <c r="B522" s="18" t="s">
        <v>602</v>
      </c>
      <c r="C522" s="5">
        <v>1850</v>
      </c>
      <c r="D522" s="1" t="s">
        <v>58</v>
      </c>
      <c r="E522" s="1" t="s">
        <v>2</v>
      </c>
      <c r="F522" s="18">
        <v>2164</v>
      </c>
      <c r="G522" s="18">
        <v>67</v>
      </c>
      <c r="H522" s="5">
        <v>65</v>
      </c>
      <c r="I522" s="1">
        <v>123</v>
      </c>
      <c r="J522" s="4" t="s">
        <v>3271</v>
      </c>
      <c r="L522" t="str">
        <f t="shared" si="8"/>
        <v>http://www.badatelna.eu/reprodukce/?fondId=1073&amp;zaznamId=1108951&amp;reproId=3778781</v>
      </c>
      <c r="M522">
        <f>VLOOKUP(F522,Sheet2!$B$1:$E$19,2,FALSE)</f>
        <v>1073</v>
      </c>
      <c r="N522">
        <f>VLOOKUP(F522,Sheet2!$B$1:$E$19,3,FALSE)</f>
        <v>1108951</v>
      </c>
      <c r="O522">
        <f>IF(G522="Not available","",VLOOKUP(F522,Sheet2!$B$1:$E$19,4,FALSE)+(G522-1))</f>
        <v>3778781</v>
      </c>
    </row>
    <row r="523" spans="1:15" s="1" customFormat="1" ht="15" customHeight="1" x14ac:dyDescent="0.25">
      <c r="A523" s="18" t="s">
        <v>95</v>
      </c>
      <c r="B523" s="19" t="s">
        <v>847</v>
      </c>
      <c r="C523" s="5">
        <v>1854</v>
      </c>
      <c r="D523" s="1" t="s">
        <v>58</v>
      </c>
      <c r="E523" s="1" t="s">
        <v>2</v>
      </c>
      <c r="F523" s="18">
        <v>2164</v>
      </c>
      <c r="G523" s="18">
        <v>100</v>
      </c>
      <c r="H523" s="5">
        <v>98</v>
      </c>
      <c r="I523" s="1">
        <v>123</v>
      </c>
      <c r="J523" s="4" t="s">
        <v>3271</v>
      </c>
      <c r="L523" t="str">
        <f t="shared" si="8"/>
        <v>http://www.badatelna.eu/reprodukce/?fondId=1073&amp;zaznamId=1108951&amp;reproId=3778814</v>
      </c>
      <c r="M523">
        <f>VLOOKUP(F523,Sheet2!$B$1:$E$19,2,FALSE)</f>
        <v>1073</v>
      </c>
      <c r="N523">
        <f>VLOOKUP(F523,Sheet2!$B$1:$E$19,3,FALSE)</f>
        <v>1108951</v>
      </c>
      <c r="O523">
        <f>IF(G523="Not available","",VLOOKUP(F523,Sheet2!$B$1:$E$19,4,FALSE)+(G523-1))</f>
        <v>3778814</v>
      </c>
    </row>
    <row r="524" spans="1:15" s="1" customFormat="1" ht="15" customHeight="1" x14ac:dyDescent="0.25">
      <c r="A524" s="18" t="s">
        <v>95</v>
      </c>
      <c r="B524" s="18" t="s">
        <v>172</v>
      </c>
      <c r="C524" s="6" t="s">
        <v>2072</v>
      </c>
      <c r="D524" s="4" t="s">
        <v>2039</v>
      </c>
      <c r="E524" s="4" t="s">
        <v>2</v>
      </c>
      <c r="F524" s="18">
        <v>2176</v>
      </c>
      <c r="G524" s="18" t="s">
        <v>3271</v>
      </c>
      <c r="H524" s="6" t="s">
        <v>2063</v>
      </c>
      <c r="I524" s="1">
        <v>5</v>
      </c>
      <c r="J524" s="1" t="s">
        <v>3271</v>
      </c>
      <c r="K524" s="3"/>
      <c r="L524" t="str">
        <f t="shared" si="8"/>
        <v/>
      </c>
      <c r="M524">
        <f>VLOOKUP(F524,Sheet2!$B$1:$E$19,2,FALSE)</f>
        <v>1073</v>
      </c>
      <c r="N524">
        <f>VLOOKUP(F524,Sheet2!$B$1:$E$19,3,FALSE)</f>
        <v>1108963</v>
      </c>
      <c r="O524" t="str">
        <f>IF(G524="Not available","",VLOOKUP(F524,Sheet2!$B$1:$E$19,4,FALSE)+(G524-1))</f>
        <v/>
      </c>
    </row>
    <row r="525" spans="1:15" s="1" customFormat="1" ht="15" customHeight="1" x14ac:dyDescent="0.25">
      <c r="A525" s="18" t="s">
        <v>95</v>
      </c>
      <c r="B525" s="18" t="s">
        <v>540</v>
      </c>
      <c r="C525" s="5" t="s">
        <v>1746</v>
      </c>
      <c r="D525" s="1" t="s">
        <v>1115</v>
      </c>
      <c r="E525" s="1" t="s">
        <v>2</v>
      </c>
      <c r="F525" s="18">
        <v>2165</v>
      </c>
      <c r="G525" s="18">
        <v>230</v>
      </c>
      <c r="H525" s="5">
        <v>3</v>
      </c>
      <c r="I525" s="1">
        <v>231</v>
      </c>
      <c r="J525" s="1">
        <v>207</v>
      </c>
      <c r="L525" t="str">
        <f t="shared" si="8"/>
        <v>http://www.badatelna.eu/reprodukce/?fondId=1073&amp;zaznamId=1108952&amp;reproId=3779091</v>
      </c>
      <c r="M525">
        <f>VLOOKUP(F525,Sheet2!$B$1:$E$19,2,FALSE)</f>
        <v>1073</v>
      </c>
      <c r="N525">
        <f>VLOOKUP(F525,Sheet2!$B$1:$E$19,3,FALSE)</f>
        <v>1108952</v>
      </c>
      <c r="O525">
        <f>IF(G525="Not available","",VLOOKUP(F525,Sheet2!$B$1:$E$19,4,FALSE)+(G525-1))</f>
        <v>3779091</v>
      </c>
    </row>
    <row r="526" spans="1:15" s="1" customFormat="1" ht="15" customHeight="1" x14ac:dyDescent="0.25">
      <c r="A526" s="18" t="s">
        <v>95</v>
      </c>
      <c r="B526" s="18" t="s">
        <v>237</v>
      </c>
      <c r="C526" s="5">
        <v>1847</v>
      </c>
      <c r="D526" s="1" t="s">
        <v>495</v>
      </c>
      <c r="E526" s="1" t="s">
        <v>2</v>
      </c>
      <c r="F526" s="18">
        <v>2174</v>
      </c>
      <c r="G526" s="18">
        <v>173</v>
      </c>
      <c r="H526" s="6" t="s">
        <v>3237</v>
      </c>
      <c r="I526" s="1">
        <v>181</v>
      </c>
      <c r="J526" s="1">
        <v>206</v>
      </c>
      <c r="L526" t="str">
        <f t="shared" si="8"/>
        <v>http://www.badatelna.eu/reprodukce/?fondId=1073&amp;zaznamId=1108960&amp;reproId=3780397</v>
      </c>
      <c r="M526">
        <f>VLOOKUP(F526,Sheet2!$B$1:$E$19,2,FALSE)</f>
        <v>1073</v>
      </c>
      <c r="N526">
        <f>VLOOKUP(F526,Sheet2!$B$1:$E$19,3,FALSE)</f>
        <v>1108960</v>
      </c>
      <c r="O526">
        <f>IF(G526="Not available","",VLOOKUP(F526,Sheet2!$B$1:$E$19,4,FALSE)+(G526-1))</f>
        <v>3780397</v>
      </c>
    </row>
    <row r="527" spans="1:15" s="1" customFormat="1" ht="15" customHeight="1" x14ac:dyDescent="0.25">
      <c r="A527" s="18" t="s">
        <v>95</v>
      </c>
      <c r="B527" s="18" t="s">
        <v>2107</v>
      </c>
      <c r="C527" s="6" t="s">
        <v>2106</v>
      </c>
      <c r="D527" s="4" t="s">
        <v>2108</v>
      </c>
      <c r="E527" s="4" t="s">
        <v>2</v>
      </c>
      <c r="F527" s="18">
        <v>2176</v>
      </c>
      <c r="G527" s="18" t="s">
        <v>3271</v>
      </c>
      <c r="H527" s="6" t="s">
        <v>2094</v>
      </c>
      <c r="I527" s="1">
        <v>6</v>
      </c>
      <c r="J527" s="1" t="s">
        <v>3271</v>
      </c>
      <c r="K527" s="3"/>
      <c r="L527" t="str">
        <f t="shared" si="8"/>
        <v/>
      </c>
      <c r="M527">
        <f>VLOOKUP(F527,Sheet2!$B$1:$E$19,2,FALSE)</f>
        <v>1073</v>
      </c>
      <c r="N527">
        <f>VLOOKUP(F527,Sheet2!$B$1:$E$19,3,FALSE)</f>
        <v>1108963</v>
      </c>
      <c r="O527" t="str">
        <f>IF(G527="Not available","",VLOOKUP(F527,Sheet2!$B$1:$E$19,4,FALSE)+(G527-1))</f>
        <v/>
      </c>
    </row>
    <row r="528" spans="1:15" s="1" customFormat="1" ht="15" customHeight="1" x14ac:dyDescent="0.25">
      <c r="A528" s="18" t="s">
        <v>95</v>
      </c>
      <c r="B528" s="18" t="s">
        <v>233</v>
      </c>
      <c r="C528" s="6" t="s">
        <v>2005</v>
      </c>
      <c r="D528" s="4" t="s">
        <v>2008</v>
      </c>
      <c r="E528" s="4" t="s">
        <v>2</v>
      </c>
      <c r="F528" s="18">
        <v>2176</v>
      </c>
      <c r="G528" s="18" t="s">
        <v>3271</v>
      </c>
      <c r="H528" s="6" t="s">
        <v>2009</v>
      </c>
      <c r="I528" s="1">
        <v>4</v>
      </c>
      <c r="J528" s="1" t="s">
        <v>3271</v>
      </c>
      <c r="L528" t="str">
        <f t="shared" si="8"/>
        <v/>
      </c>
      <c r="M528">
        <f>VLOOKUP(F528,Sheet2!$B$1:$E$19,2,FALSE)</f>
        <v>1073</v>
      </c>
      <c r="N528">
        <f>VLOOKUP(F528,Sheet2!$B$1:$E$19,3,FALSE)</f>
        <v>1108963</v>
      </c>
      <c r="O528" t="str">
        <f>IF(G528="Not available","",VLOOKUP(F528,Sheet2!$B$1:$E$19,4,FALSE)+(G528-1))</f>
        <v/>
      </c>
    </row>
    <row r="529" spans="1:15" s="1" customFormat="1" ht="15" customHeight="1" x14ac:dyDescent="0.25">
      <c r="A529" s="18" t="s">
        <v>95</v>
      </c>
      <c r="B529" s="18" t="s">
        <v>937</v>
      </c>
      <c r="C529" s="5">
        <v>1865</v>
      </c>
      <c r="E529" s="1" t="s">
        <v>939</v>
      </c>
      <c r="F529" s="18">
        <v>999</v>
      </c>
      <c r="G529" s="18">
        <v>53</v>
      </c>
      <c r="H529" s="5">
        <v>51</v>
      </c>
      <c r="I529" s="1">
        <v>63</v>
      </c>
      <c r="J529" s="1">
        <v>96</v>
      </c>
      <c r="L529" t="str">
        <f t="shared" si="8"/>
        <v>http://www.badatelna.eu/reprodukce/?fondId=241&amp;zaznamId=1133739&amp;reproId=3885782</v>
      </c>
      <c r="M529">
        <f>VLOOKUP(F529,Sheet2!$B$1:$E$19,2,FALSE)</f>
        <v>241</v>
      </c>
      <c r="N529">
        <f>VLOOKUP(F529,Sheet2!$B$1:$E$19,3,FALSE)</f>
        <v>1133739</v>
      </c>
      <c r="O529">
        <f>IF(G529="Not available","",VLOOKUP(F529,Sheet2!$B$1:$E$19,4,FALSE)+(G529-1))</f>
        <v>3885782</v>
      </c>
    </row>
    <row r="530" spans="1:15" s="1" customFormat="1" ht="15" customHeight="1" x14ac:dyDescent="0.25">
      <c r="A530" s="18" t="s">
        <v>95</v>
      </c>
      <c r="B530" s="18" t="s">
        <v>937</v>
      </c>
      <c r="C530" s="5" t="s">
        <v>1290</v>
      </c>
      <c r="D530" s="1" t="s">
        <v>986</v>
      </c>
      <c r="E530" s="1" t="s">
        <v>2</v>
      </c>
      <c r="F530" s="18">
        <v>2165</v>
      </c>
      <c r="G530" s="18">
        <v>5</v>
      </c>
      <c r="H530" s="5">
        <v>2</v>
      </c>
      <c r="I530" s="1">
        <v>80</v>
      </c>
      <c r="J530" s="1" t="s">
        <v>3271</v>
      </c>
      <c r="L530" t="str">
        <f t="shared" si="8"/>
        <v>http://www.badatelna.eu/reprodukce/?fondId=1073&amp;zaznamId=1108952&amp;reproId=3778866</v>
      </c>
      <c r="M530">
        <f>VLOOKUP(F530,Sheet2!$B$1:$E$19,2,FALSE)</f>
        <v>1073</v>
      </c>
      <c r="N530">
        <f>VLOOKUP(F530,Sheet2!$B$1:$E$19,3,FALSE)</f>
        <v>1108952</v>
      </c>
      <c r="O530">
        <f>IF(G530="Not available","",VLOOKUP(F530,Sheet2!$B$1:$E$19,4,FALSE)+(G530-1))</f>
        <v>3778866</v>
      </c>
    </row>
    <row r="531" spans="1:15" s="1" customFormat="1" ht="15" customHeight="1" x14ac:dyDescent="0.25">
      <c r="A531" s="18" t="s">
        <v>95</v>
      </c>
      <c r="B531" s="18" t="s">
        <v>432</v>
      </c>
      <c r="C531" s="5">
        <v>1863</v>
      </c>
      <c r="E531" s="1" t="s">
        <v>939</v>
      </c>
      <c r="F531" s="18">
        <v>999</v>
      </c>
      <c r="G531" s="18">
        <v>42</v>
      </c>
      <c r="H531" s="5">
        <v>40</v>
      </c>
      <c r="I531" s="1">
        <v>63</v>
      </c>
      <c r="J531" s="1">
        <v>96</v>
      </c>
      <c r="K531" s="4" t="s">
        <v>363</v>
      </c>
      <c r="L531" t="str">
        <f t="shared" si="8"/>
        <v>http://www.badatelna.eu/reprodukce/?fondId=241&amp;zaznamId=1133739&amp;reproId=3885771</v>
      </c>
      <c r="M531">
        <f>VLOOKUP(F531,Sheet2!$B$1:$E$19,2,FALSE)</f>
        <v>241</v>
      </c>
      <c r="N531">
        <f>VLOOKUP(F531,Sheet2!$B$1:$E$19,3,FALSE)</f>
        <v>1133739</v>
      </c>
      <c r="O531">
        <f>IF(G531="Not available","",VLOOKUP(F531,Sheet2!$B$1:$E$19,4,FALSE)+(G531-1))</f>
        <v>3885771</v>
      </c>
    </row>
    <row r="532" spans="1:15" s="1" customFormat="1" ht="15" customHeight="1" x14ac:dyDescent="0.25">
      <c r="A532" s="18" t="s">
        <v>95</v>
      </c>
      <c r="B532" s="18" t="s">
        <v>434</v>
      </c>
      <c r="C532" s="5">
        <v>1843</v>
      </c>
      <c r="D532" s="1" t="s">
        <v>495</v>
      </c>
      <c r="E532" s="1" t="s">
        <v>2</v>
      </c>
      <c r="F532" s="18">
        <v>2174</v>
      </c>
      <c r="G532" s="18">
        <v>135</v>
      </c>
      <c r="H532" s="6" t="s">
        <v>3192</v>
      </c>
      <c r="I532" s="1">
        <v>181</v>
      </c>
      <c r="J532" s="1">
        <v>206</v>
      </c>
      <c r="L532" t="str">
        <f t="shared" si="8"/>
        <v>http://www.badatelna.eu/reprodukce/?fondId=1073&amp;zaznamId=1108960&amp;reproId=3780359</v>
      </c>
      <c r="M532">
        <f>VLOOKUP(F532,Sheet2!$B$1:$E$19,2,FALSE)</f>
        <v>1073</v>
      </c>
      <c r="N532">
        <f>VLOOKUP(F532,Sheet2!$B$1:$E$19,3,FALSE)</f>
        <v>1108960</v>
      </c>
      <c r="O532">
        <f>IF(G532="Not available","",VLOOKUP(F532,Sheet2!$B$1:$E$19,4,FALSE)+(G532-1))</f>
        <v>3780359</v>
      </c>
    </row>
    <row r="533" spans="1:15" s="1" customFormat="1" ht="15" customHeight="1" x14ac:dyDescent="0.25">
      <c r="A533" s="18" t="s">
        <v>95</v>
      </c>
      <c r="B533" s="18" t="s">
        <v>434</v>
      </c>
      <c r="C533" s="5">
        <v>1850</v>
      </c>
      <c r="D533" s="1" t="s">
        <v>811</v>
      </c>
      <c r="E533" s="1" t="s">
        <v>2</v>
      </c>
      <c r="F533" s="18">
        <v>2164</v>
      </c>
      <c r="G533" s="18">
        <v>69</v>
      </c>
      <c r="H533" s="5">
        <v>67</v>
      </c>
      <c r="I533" s="1">
        <v>123</v>
      </c>
      <c r="J533" s="4" t="s">
        <v>3271</v>
      </c>
      <c r="L533" t="str">
        <f t="shared" si="8"/>
        <v>http://www.badatelna.eu/reprodukce/?fondId=1073&amp;zaznamId=1108951&amp;reproId=3778783</v>
      </c>
      <c r="M533">
        <f>VLOOKUP(F533,Sheet2!$B$1:$E$19,2,FALSE)</f>
        <v>1073</v>
      </c>
      <c r="N533">
        <f>VLOOKUP(F533,Sheet2!$B$1:$E$19,3,FALSE)</f>
        <v>1108951</v>
      </c>
      <c r="O533">
        <f>IF(G533="Not available","",VLOOKUP(F533,Sheet2!$B$1:$E$19,4,FALSE)+(G533-1))</f>
        <v>3778783</v>
      </c>
    </row>
    <row r="534" spans="1:15" s="1" customFormat="1" ht="15" customHeight="1" x14ac:dyDescent="0.25">
      <c r="A534" s="18" t="s">
        <v>95</v>
      </c>
      <c r="B534" s="18" t="s">
        <v>434</v>
      </c>
      <c r="C534" s="5">
        <v>1852</v>
      </c>
      <c r="D534" s="1" t="s">
        <v>58</v>
      </c>
      <c r="E534" s="1" t="s">
        <v>2</v>
      </c>
      <c r="F534" s="18">
        <v>2164</v>
      </c>
      <c r="G534" s="18">
        <v>81</v>
      </c>
      <c r="H534" s="5">
        <v>79</v>
      </c>
      <c r="I534" s="1">
        <v>123</v>
      </c>
      <c r="J534" s="4" t="s">
        <v>3271</v>
      </c>
      <c r="L534" t="str">
        <f t="shared" si="8"/>
        <v>http://www.badatelna.eu/reprodukce/?fondId=1073&amp;zaznamId=1108951&amp;reproId=3778795</v>
      </c>
      <c r="M534">
        <f>VLOOKUP(F534,Sheet2!$B$1:$E$19,2,FALSE)</f>
        <v>1073</v>
      </c>
      <c r="N534">
        <f>VLOOKUP(F534,Sheet2!$B$1:$E$19,3,FALSE)</f>
        <v>1108951</v>
      </c>
      <c r="O534">
        <f>IF(G534="Not available","",VLOOKUP(F534,Sheet2!$B$1:$E$19,4,FALSE)+(G534-1))</f>
        <v>3778795</v>
      </c>
    </row>
    <row r="535" spans="1:15" s="1" customFormat="1" ht="15" customHeight="1" x14ac:dyDescent="0.25">
      <c r="A535" s="18" t="s">
        <v>95</v>
      </c>
      <c r="B535" s="18" t="s">
        <v>143</v>
      </c>
      <c r="C535" s="5">
        <v>1845</v>
      </c>
      <c r="D535" s="1" t="s">
        <v>495</v>
      </c>
      <c r="E535" s="1" t="s">
        <v>2</v>
      </c>
      <c r="F535" s="18">
        <v>2174</v>
      </c>
      <c r="G535" s="18">
        <v>151</v>
      </c>
      <c r="H535" s="6" t="s">
        <v>3218</v>
      </c>
      <c r="I535" s="1">
        <v>181</v>
      </c>
      <c r="J535" s="1">
        <v>206</v>
      </c>
      <c r="L535" t="str">
        <f t="shared" si="8"/>
        <v>http://www.badatelna.eu/reprodukce/?fondId=1073&amp;zaznamId=1108960&amp;reproId=3780375</v>
      </c>
      <c r="M535">
        <f>VLOOKUP(F535,Sheet2!$B$1:$E$19,2,FALSE)</f>
        <v>1073</v>
      </c>
      <c r="N535">
        <f>VLOOKUP(F535,Sheet2!$B$1:$E$19,3,FALSE)</f>
        <v>1108960</v>
      </c>
      <c r="O535">
        <f>IF(G535="Not available","",VLOOKUP(F535,Sheet2!$B$1:$E$19,4,FALSE)+(G535-1))</f>
        <v>3780375</v>
      </c>
    </row>
    <row r="536" spans="1:15" s="1" customFormat="1" ht="15" customHeight="1" x14ac:dyDescent="0.25">
      <c r="A536" s="18" t="s">
        <v>95</v>
      </c>
      <c r="B536" s="18" t="s">
        <v>143</v>
      </c>
      <c r="C536" s="5">
        <v>1859</v>
      </c>
      <c r="E536" s="1" t="s">
        <v>939</v>
      </c>
      <c r="F536" s="18">
        <v>999</v>
      </c>
      <c r="G536" s="18">
        <v>12</v>
      </c>
      <c r="H536" s="5">
        <v>10</v>
      </c>
      <c r="I536" s="1">
        <v>63</v>
      </c>
      <c r="J536" s="1">
        <v>96</v>
      </c>
      <c r="L536" t="str">
        <f t="shared" si="8"/>
        <v>http://www.badatelna.eu/reprodukce/?fondId=241&amp;zaznamId=1133739&amp;reproId=3885741</v>
      </c>
      <c r="M536">
        <f>VLOOKUP(F536,Sheet2!$B$1:$E$19,2,FALSE)</f>
        <v>241</v>
      </c>
      <c r="N536">
        <f>VLOOKUP(F536,Sheet2!$B$1:$E$19,3,FALSE)</f>
        <v>1133739</v>
      </c>
      <c r="O536">
        <f>IF(G536="Not available","",VLOOKUP(F536,Sheet2!$B$1:$E$19,4,FALSE)+(G536-1))</f>
        <v>3885741</v>
      </c>
    </row>
    <row r="537" spans="1:15" s="1" customFormat="1" ht="15" customHeight="1" x14ac:dyDescent="0.25">
      <c r="A537" s="18" t="s">
        <v>95</v>
      </c>
      <c r="B537" s="18" t="s">
        <v>150</v>
      </c>
      <c r="C537" s="5">
        <v>1826</v>
      </c>
      <c r="E537" s="1" t="s">
        <v>2</v>
      </c>
      <c r="F537" s="18">
        <v>2173</v>
      </c>
      <c r="G537" s="18">
        <v>78</v>
      </c>
      <c r="H537" s="5">
        <v>149</v>
      </c>
      <c r="I537" s="1">
        <v>93</v>
      </c>
      <c r="J537" s="1">
        <v>194</v>
      </c>
      <c r="L537" t="str">
        <f t="shared" si="8"/>
        <v>http://www.badatelna.eu/reprodukce/?fondId=1073&amp;zaznamId=1108959&amp;reproId=3780071</v>
      </c>
      <c r="M537">
        <f>VLOOKUP(F537,Sheet2!$B$1:$E$19,2,FALSE)</f>
        <v>1073</v>
      </c>
      <c r="N537">
        <f>VLOOKUP(F537,Sheet2!$B$1:$E$19,3,FALSE)</f>
        <v>1108959</v>
      </c>
      <c r="O537">
        <f>IF(G537="Not available","",VLOOKUP(F537,Sheet2!$B$1:$E$19,4,FALSE)+(G537-1))</f>
        <v>3780071</v>
      </c>
    </row>
    <row r="538" spans="1:15" s="1" customFormat="1" ht="15" customHeight="1" x14ac:dyDescent="0.25">
      <c r="A538" s="18" t="s">
        <v>95</v>
      </c>
      <c r="B538" s="18" t="s">
        <v>900</v>
      </c>
      <c r="C538" s="5">
        <v>1885</v>
      </c>
      <c r="D538" s="1" t="s">
        <v>1163</v>
      </c>
      <c r="E538" s="1" t="s">
        <v>2</v>
      </c>
      <c r="F538" s="18">
        <v>2165</v>
      </c>
      <c r="G538" s="18">
        <v>201</v>
      </c>
      <c r="H538" s="5">
        <v>3</v>
      </c>
      <c r="I538" s="1">
        <v>204</v>
      </c>
      <c r="J538" s="1">
        <v>187</v>
      </c>
      <c r="L538" t="str">
        <f t="shared" si="8"/>
        <v>http://www.badatelna.eu/reprodukce/?fondId=1073&amp;zaznamId=1108952&amp;reproId=3779062</v>
      </c>
      <c r="M538">
        <f>VLOOKUP(F538,Sheet2!$B$1:$E$19,2,FALSE)</f>
        <v>1073</v>
      </c>
      <c r="N538">
        <f>VLOOKUP(F538,Sheet2!$B$1:$E$19,3,FALSE)</f>
        <v>1108952</v>
      </c>
      <c r="O538">
        <f>IF(G538="Not available","",VLOOKUP(F538,Sheet2!$B$1:$E$19,4,FALSE)+(G538-1))</f>
        <v>3779062</v>
      </c>
    </row>
    <row r="539" spans="1:15" s="1" customFormat="1" ht="15" customHeight="1" x14ac:dyDescent="0.25">
      <c r="A539" s="18" t="s">
        <v>95</v>
      </c>
      <c r="B539" s="18" t="s">
        <v>900</v>
      </c>
      <c r="C539" s="6" t="s">
        <v>2043</v>
      </c>
      <c r="D539" s="4" t="s">
        <v>2045</v>
      </c>
      <c r="E539" s="4" t="s">
        <v>2</v>
      </c>
      <c r="F539" s="18">
        <v>2176</v>
      </c>
      <c r="G539" s="18" t="s">
        <v>3271</v>
      </c>
      <c r="H539" s="6" t="s">
        <v>2046</v>
      </c>
      <c r="I539" s="1">
        <v>5</v>
      </c>
      <c r="J539" s="1" t="s">
        <v>3271</v>
      </c>
      <c r="K539" s="3"/>
      <c r="L539" t="str">
        <f t="shared" si="8"/>
        <v/>
      </c>
      <c r="M539">
        <f>VLOOKUP(F539,Sheet2!$B$1:$E$19,2,FALSE)</f>
        <v>1073</v>
      </c>
      <c r="N539">
        <f>VLOOKUP(F539,Sheet2!$B$1:$E$19,3,FALSE)</f>
        <v>1108963</v>
      </c>
      <c r="O539" t="str">
        <f>IF(G539="Not available","",VLOOKUP(F539,Sheet2!$B$1:$E$19,4,FALSE)+(G539-1))</f>
        <v/>
      </c>
    </row>
    <row r="540" spans="1:15" s="1" customFormat="1" ht="15" customHeight="1" x14ac:dyDescent="0.25">
      <c r="A540" s="18" t="s">
        <v>95</v>
      </c>
      <c r="B540" s="18" t="s">
        <v>134</v>
      </c>
      <c r="C540" s="5">
        <v>1846</v>
      </c>
      <c r="D540" s="1" t="s">
        <v>58</v>
      </c>
      <c r="E540" s="1" t="s">
        <v>2</v>
      </c>
      <c r="F540" s="18">
        <v>2174</v>
      </c>
      <c r="G540" s="18">
        <v>162</v>
      </c>
      <c r="H540" s="6" t="s">
        <v>3232</v>
      </c>
      <c r="I540" s="1">
        <v>181</v>
      </c>
      <c r="J540" s="1">
        <v>206</v>
      </c>
      <c r="L540" t="str">
        <f t="shared" si="8"/>
        <v>http://www.badatelna.eu/reprodukce/?fondId=1073&amp;zaznamId=1108960&amp;reproId=3780386</v>
      </c>
      <c r="M540">
        <f>VLOOKUP(F540,Sheet2!$B$1:$E$19,2,FALSE)</f>
        <v>1073</v>
      </c>
      <c r="N540">
        <f>VLOOKUP(F540,Sheet2!$B$1:$E$19,3,FALSE)</f>
        <v>1108960</v>
      </c>
      <c r="O540">
        <f>IF(G540="Not available","",VLOOKUP(F540,Sheet2!$B$1:$E$19,4,FALSE)+(G540-1))</f>
        <v>3780386</v>
      </c>
    </row>
    <row r="541" spans="1:15" s="1" customFormat="1" ht="15" customHeight="1" x14ac:dyDescent="0.25">
      <c r="A541" s="18" t="s">
        <v>95</v>
      </c>
      <c r="B541" s="18" t="s">
        <v>24</v>
      </c>
      <c r="C541" s="5">
        <v>1849</v>
      </c>
      <c r="D541" s="1" t="s">
        <v>495</v>
      </c>
      <c r="E541" s="1" t="s">
        <v>2</v>
      </c>
      <c r="F541" s="18">
        <v>2164</v>
      </c>
      <c r="G541" s="18">
        <v>57</v>
      </c>
      <c r="H541" s="5">
        <v>55</v>
      </c>
      <c r="I541" s="1">
        <v>123</v>
      </c>
      <c r="J541" s="4" t="s">
        <v>3271</v>
      </c>
      <c r="L541" t="str">
        <f t="shared" si="8"/>
        <v>http://www.badatelna.eu/reprodukce/?fondId=1073&amp;zaznamId=1108951&amp;reproId=3778771</v>
      </c>
      <c r="M541">
        <f>VLOOKUP(F541,Sheet2!$B$1:$E$19,2,FALSE)</f>
        <v>1073</v>
      </c>
      <c r="N541">
        <f>VLOOKUP(F541,Sheet2!$B$1:$E$19,3,FALSE)</f>
        <v>1108951</v>
      </c>
      <c r="O541">
        <f>IF(G541="Not available","",VLOOKUP(F541,Sheet2!$B$1:$E$19,4,FALSE)+(G541-1))</f>
        <v>3778771</v>
      </c>
    </row>
    <row r="542" spans="1:15" s="1" customFormat="1" ht="15" customHeight="1" x14ac:dyDescent="0.25">
      <c r="A542" s="18" t="s">
        <v>95</v>
      </c>
      <c r="B542" s="18" t="s">
        <v>23</v>
      </c>
      <c r="C542" s="5">
        <v>1811</v>
      </c>
      <c r="E542" s="1" t="s">
        <v>2</v>
      </c>
      <c r="F542" s="18">
        <v>2173</v>
      </c>
      <c r="G542" s="18">
        <v>58</v>
      </c>
      <c r="H542" s="5">
        <v>110</v>
      </c>
      <c r="I542" s="1">
        <v>92</v>
      </c>
      <c r="J542" s="1">
        <v>190</v>
      </c>
      <c r="L542" t="str">
        <f t="shared" si="8"/>
        <v>http://www.badatelna.eu/reprodukce/?fondId=1073&amp;zaznamId=1108959&amp;reproId=3780051</v>
      </c>
      <c r="M542">
        <f>VLOOKUP(F542,Sheet2!$B$1:$E$19,2,FALSE)</f>
        <v>1073</v>
      </c>
      <c r="N542">
        <f>VLOOKUP(F542,Sheet2!$B$1:$E$19,3,FALSE)</f>
        <v>1108959</v>
      </c>
      <c r="O542">
        <f>IF(G542="Not available","",VLOOKUP(F542,Sheet2!$B$1:$E$19,4,FALSE)+(G542-1))</f>
        <v>3780051</v>
      </c>
    </row>
    <row r="543" spans="1:15" s="1" customFormat="1" ht="15" customHeight="1" x14ac:dyDescent="0.25">
      <c r="A543" s="18" t="s">
        <v>95</v>
      </c>
      <c r="B543" s="18" t="s">
        <v>2022</v>
      </c>
      <c r="C543" s="6" t="s">
        <v>2015</v>
      </c>
      <c r="D543" s="4" t="s">
        <v>2023</v>
      </c>
      <c r="E543" s="4" t="s">
        <v>2</v>
      </c>
      <c r="F543" s="18">
        <v>2176</v>
      </c>
      <c r="G543" s="18" t="s">
        <v>3271</v>
      </c>
      <c r="H543" s="5"/>
      <c r="I543" s="1">
        <v>4</v>
      </c>
      <c r="J543" s="1" t="s">
        <v>3271</v>
      </c>
      <c r="K543" s="3"/>
      <c r="L543" t="str">
        <f t="shared" si="8"/>
        <v/>
      </c>
      <c r="M543">
        <f>VLOOKUP(F543,Sheet2!$B$1:$E$19,2,FALSE)</f>
        <v>1073</v>
      </c>
      <c r="N543">
        <f>VLOOKUP(F543,Sheet2!$B$1:$E$19,3,FALSE)</f>
        <v>1108963</v>
      </c>
      <c r="O543" t="str">
        <f>IF(G543="Not available","",VLOOKUP(F543,Sheet2!$B$1:$E$19,4,FALSE)+(G543-1))</f>
        <v/>
      </c>
    </row>
    <row r="544" spans="1:15" s="1" customFormat="1" ht="15" customHeight="1" x14ac:dyDescent="0.25">
      <c r="A544" s="18" t="s">
        <v>113</v>
      </c>
      <c r="B544" s="18" t="s">
        <v>981</v>
      </c>
      <c r="C544" s="5" t="s">
        <v>1334</v>
      </c>
      <c r="D544" s="1" t="s">
        <v>40</v>
      </c>
      <c r="E544" s="1" t="s">
        <v>2</v>
      </c>
      <c r="F544" s="18">
        <v>2165</v>
      </c>
      <c r="G544" s="18">
        <v>64</v>
      </c>
      <c r="H544" s="5">
        <v>61</v>
      </c>
      <c r="I544" s="1">
        <v>81</v>
      </c>
      <c r="J544" s="1" t="s">
        <v>3271</v>
      </c>
      <c r="L544" t="str">
        <f t="shared" si="8"/>
        <v>http://www.badatelna.eu/reprodukce/?fondId=1073&amp;zaznamId=1108952&amp;reproId=3778925</v>
      </c>
      <c r="M544">
        <f>VLOOKUP(F544,Sheet2!$B$1:$E$19,2,FALSE)</f>
        <v>1073</v>
      </c>
      <c r="N544">
        <f>VLOOKUP(F544,Sheet2!$B$1:$E$19,3,FALSE)</f>
        <v>1108952</v>
      </c>
      <c r="O544">
        <f>IF(G544="Not available","",VLOOKUP(F544,Sheet2!$B$1:$E$19,4,FALSE)+(G544-1))</f>
        <v>3778925</v>
      </c>
    </row>
    <row r="545" spans="1:15" s="1" customFormat="1" ht="15" customHeight="1" x14ac:dyDescent="0.25">
      <c r="A545" s="18" t="s">
        <v>113</v>
      </c>
      <c r="B545" s="18" t="s">
        <v>40</v>
      </c>
      <c r="C545" s="5">
        <v>1810</v>
      </c>
      <c r="E545" s="1" t="s">
        <v>2</v>
      </c>
      <c r="F545" s="18">
        <v>2173</v>
      </c>
      <c r="G545" s="18">
        <v>57</v>
      </c>
      <c r="H545" s="5">
        <v>108</v>
      </c>
      <c r="I545" s="1">
        <v>92</v>
      </c>
      <c r="J545" s="1">
        <v>190</v>
      </c>
      <c r="L545" t="str">
        <f t="shared" si="8"/>
        <v>http://www.badatelna.eu/reprodukce/?fondId=1073&amp;zaznamId=1108959&amp;reproId=3780050</v>
      </c>
      <c r="M545">
        <f>VLOOKUP(F545,Sheet2!$B$1:$E$19,2,FALSE)</f>
        <v>1073</v>
      </c>
      <c r="N545">
        <f>VLOOKUP(F545,Sheet2!$B$1:$E$19,3,FALSE)</f>
        <v>1108959</v>
      </c>
      <c r="O545">
        <f>IF(G545="Not available","",VLOOKUP(F545,Sheet2!$B$1:$E$19,4,FALSE)+(G545-1))</f>
        <v>3780050</v>
      </c>
    </row>
    <row r="546" spans="1:15" s="1" customFormat="1" ht="15" customHeight="1" x14ac:dyDescent="0.25">
      <c r="A546" s="18" t="s">
        <v>113</v>
      </c>
      <c r="B546" s="18" t="s">
        <v>120</v>
      </c>
      <c r="C546" s="5">
        <v>1815</v>
      </c>
      <c r="E546" s="1" t="s">
        <v>2</v>
      </c>
      <c r="F546" s="18">
        <v>2173</v>
      </c>
      <c r="G546" s="18">
        <v>64</v>
      </c>
      <c r="H546" s="5">
        <v>123</v>
      </c>
      <c r="I546" s="1">
        <v>92</v>
      </c>
      <c r="J546" s="1">
        <v>190</v>
      </c>
      <c r="L546" t="str">
        <f t="shared" si="8"/>
        <v>http://www.badatelna.eu/reprodukce/?fondId=1073&amp;zaznamId=1108959&amp;reproId=3780057</v>
      </c>
      <c r="M546">
        <f>VLOOKUP(F546,Sheet2!$B$1:$E$19,2,FALSE)</f>
        <v>1073</v>
      </c>
      <c r="N546">
        <f>VLOOKUP(F546,Sheet2!$B$1:$E$19,3,FALSE)</f>
        <v>1108959</v>
      </c>
      <c r="O546">
        <f>IF(G546="Not available","",VLOOKUP(F546,Sheet2!$B$1:$E$19,4,FALSE)+(G546-1))</f>
        <v>3780057</v>
      </c>
    </row>
    <row r="547" spans="1:15" s="1" customFormat="1" ht="15" customHeight="1" x14ac:dyDescent="0.25">
      <c r="A547" s="18" t="s">
        <v>113</v>
      </c>
      <c r="B547" s="18" t="s">
        <v>4</v>
      </c>
      <c r="C547" s="5">
        <v>1808</v>
      </c>
      <c r="E547" s="1" t="s">
        <v>2</v>
      </c>
      <c r="F547" s="18">
        <v>2173</v>
      </c>
      <c r="G547" s="18">
        <v>53</v>
      </c>
      <c r="H547" s="5">
        <v>101</v>
      </c>
      <c r="I547" s="1">
        <v>92</v>
      </c>
      <c r="J547" s="1">
        <v>190</v>
      </c>
      <c r="L547" t="str">
        <f t="shared" si="8"/>
        <v>http://www.badatelna.eu/reprodukce/?fondId=1073&amp;zaznamId=1108959&amp;reproId=3780046</v>
      </c>
      <c r="M547">
        <f>VLOOKUP(F547,Sheet2!$B$1:$E$19,2,FALSE)</f>
        <v>1073</v>
      </c>
      <c r="N547">
        <f>VLOOKUP(F547,Sheet2!$B$1:$E$19,3,FALSE)</f>
        <v>1108959</v>
      </c>
      <c r="O547">
        <f>IF(G547="Not available","",VLOOKUP(F547,Sheet2!$B$1:$E$19,4,FALSE)+(G547-1))</f>
        <v>3780046</v>
      </c>
    </row>
    <row r="548" spans="1:15" s="1" customFormat="1" ht="15" customHeight="1" x14ac:dyDescent="0.25">
      <c r="A548" s="18" t="s">
        <v>113</v>
      </c>
      <c r="B548" s="18" t="s">
        <v>115</v>
      </c>
      <c r="C548" s="5">
        <v>1813</v>
      </c>
      <c r="E548" s="1" t="s">
        <v>2</v>
      </c>
      <c r="F548" s="18">
        <v>2173</v>
      </c>
      <c r="G548" s="18">
        <v>61</v>
      </c>
      <c r="H548" s="5">
        <v>116</v>
      </c>
      <c r="I548" s="1">
        <v>92</v>
      </c>
      <c r="J548" s="1">
        <v>190</v>
      </c>
      <c r="L548" t="str">
        <f t="shared" si="8"/>
        <v>http://www.badatelna.eu/reprodukce/?fondId=1073&amp;zaznamId=1108959&amp;reproId=3780054</v>
      </c>
      <c r="M548">
        <f>VLOOKUP(F548,Sheet2!$B$1:$E$19,2,FALSE)</f>
        <v>1073</v>
      </c>
      <c r="N548">
        <f>VLOOKUP(F548,Sheet2!$B$1:$E$19,3,FALSE)</f>
        <v>1108959</v>
      </c>
      <c r="O548">
        <f>IF(G548="Not available","",VLOOKUP(F548,Sheet2!$B$1:$E$19,4,FALSE)+(G548-1))</f>
        <v>3780054</v>
      </c>
    </row>
    <row r="549" spans="1:15" s="1" customFormat="1" ht="15" customHeight="1" x14ac:dyDescent="0.25">
      <c r="A549" s="18" t="s">
        <v>113</v>
      </c>
      <c r="B549" s="18" t="s">
        <v>432</v>
      </c>
      <c r="C549" s="5" t="s">
        <v>1341</v>
      </c>
      <c r="D549" s="1" t="s">
        <v>40</v>
      </c>
      <c r="E549" s="1" t="s">
        <v>2</v>
      </c>
      <c r="F549" s="18">
        <v>2165</v>
      </c>
      <c r="G549" s="18">
        <v>74</v>
      </c>
      <c r="H549" s="5">
        <v>71</v>
      </c>
      <c r="I549" s="1">
        <v>81</v>
      </c>
      <c r="J549" s="1" t="s">
        <v>3271</v>
      </c>
      <c r="L549" t="str">
        <f t="shared" si="8"/>
        <v>http://www.badatelna.eu/reprodukce/?fondId=1073&amp;zaznamId=1108952&amp;reproId=3778935</v>
      </c>
      <c r="M549">
        <f>VLOOKUP(F549,Sheet2!$B$1:$E$19,2,FALSE)</f>
        <v>1073</v>
      </c>
      <c r="N549">
        <f>VLOOKUP(F549,Sheet2!$B$1:$E$19,3,FALSE)</f>
        <v>1108952</v>
      </c>
      <c r="O549">
        <f>IF(G549="Not available","",VLOOKUP(F549,Sheet2!$B$1:$E$19,4,FALSE)+(G549-1))</f>
        <v>3778935</v>
      </c>
    </row>
    <row r="550" spans="1:15" s="1" customFormat="1" ht="15" customHeight="1" x14ac:dyDescent="0.25">
      <c r="A550" s="18" t="s">
        <v>113</v>
      </c>
      <c r="B550" s="18" t="s">
        <v>114</v>
      </c>
      <c r="C550" s="5">
        <v>1808</v>
      </c>
      <c r="E550" s="1" t="s">
        <v>2</v>
      </c>
      <c r="F550" s="18">
        <v>2173</v>
      </c>
      <c r="G550" s="18">
        <v>53</v>
      </c>
      <c r="H550" s="5">
        <v>101</v>
      </c>
      <c r="I550" s="1">
        <v>92</v>
      </c>
      <c r="J550" s="1">
        <v>190</v>
      </c>
      <c r="L550" t="str">
        <f t="shared" si="8"/>
        <v>http://www.badatelna.eu/reprodukce/?fondId=1073&amp;zaznamId=1108959&amp;reproId=3780046</v>
      </c>
      <c r="M550">
        <f>VLOOKUP(F550,Sheet2!$B$1:$E$19,2,FALSE)</f>
        <v>1073</v>
      </c>
      <c r="N550">
        <f>VLOOKUP(F550,Sheet2!$B$1:$E$19,3,FALSE)</f>
        <v>1108959</v>
      </c>
      <c r="O550">
        <f>IF(G550="Not available","",VLOOKUP(F550,Sheet2!$B$1:$E$19,4,FALSE)+(G550-1))</f>
        <v>3780046</v>
      </c>
    </row>
    <row r="551" spans="1:15" s="1" customFormat="1" ht="15" customHeight="1" x14ac:dyDescent="0.25">
      <c r="A551" s="21" t="s">
        <v>41</v>
      </c>
      <c r="B551" s="20" t="s">
        <v>42</v>
      </c>
      <c r="C551" s="7">
        <v>1786</v>
      </c>
      <c r="D551" s="2" t="s">
        <v>4</v>
      </c>
      <c r="E551" s="1" t="s">
        <v>2</v>
      </c>
      <c r="F551" s="18">
        <v>2173</v>
      </c>
      <c r="G551" s="21">
        <v>11</v>
      </c>
      <c r="H551" s="7">
        <v>17</v>
      </c>
      <c r="I551" s="2">
        <v>91</v>
      </c>
      <c r="J551" s="2">
        <v>189</v>
      </c>
      <c r="K551" s="2"/>
      <c r="L551" t="str">
        <f t="shared" si="8"/>
        <v>http://www.badatelna.eu/reprodukce/?fondId=1073&amp;zaznamId=1108959&amp;reproId=3780004</v>
      </c>
      <c r="M551">
        <f>VLOOKUP(F551,Sheet2!$B$1:$E$19,2,FALSE)</f>
        <v>1073</v>
      </c>
      <c r="N551">
        <f>VLOOKUP(F551,Sheet2!$B$1:$E$19,3,FALSE)</f>
        <v>1108959</v>
      </c>
      <c r="O551">
        <f>IF(G551="Not available","",VLOOKUP(F551,Sheet2!$B$1:$E$19,4,FALSE)+(G551-1))</f>
        <v>3780004</v>
      </c>
    </row>
    <row r="552" spans="1:15" s="1" customFormat="1" ht="15" customHeight="1" x14ac:dyDescent="0.25">
      <c r="A552" s="21" t="s">
        <v>32</v>
      </c>
      <c r="B552" s="20" t="s">
        <v>3287</v>
      </c>
      <c r="C552" s="7"/>
      <c r="D552" s="2"/>
      <c r="F552" s="18"/>
      <c r="G552" s="21"/>
      <c r="H552" s="7"/>
      <c r="I552" s="2"/>
      <c r="J552" s="2"/>
      <c r="K552" s="2"/>
      <c r="L552" t="e">
        <f t="shared" si="8"/>
        <v>#N/A</v>
      </c>
      <c r="M552" t="e">
        <f>VLOOKUP(F552,Sheet2!$B$1:$E$19,2,FALSE)</f>
        <v>#N/A</v>
      </c>
      <c r="N552" t="e">
        <f>VLOOKUP(F552,Sheet2!$B$1:$E$19,3,FALSE)</f>
        <v>#N/A</v>
      </c>
      <c r="O552" t="e">
        <f>IF(G552="Not available","",VLOOKUP(F552,Sheet2!$B$1:$E$19,4,FALSE)+(G552-1))</f>
        <v>#N/A</v>
      </c>
    </row>
    <row r="553" spans="1:15" s="1" customFormat="1" ht="15" customHeight="1" x14ac:dyDescent="0.25">
      <c r="A553" s="19" t="s">
        <v>3086</v>
      </c>
      <c r="B553" s="19" t="s">
        <v>166</v>
      </c>
      <c r="C553" s="5">
        <v>1798</v>
      </c>
      <c r="D553" s="1" t="s">
        <v>17</v>
      </c>
      <c r="E553" s="1" t="s">
        <v>2</v>
      </c>
      <c r="F553" s="18">
        <v>2173</v>
      </c>
      <c r="G553" s="18">
        <v>37</v>
      </c>
      <c r="H553" s="5">
        <v>67</v>
      </c>
      <c r="I553" s="1">
        <v>92</v>
      </c>
      <c r="J553" s="1">
        <v>190</v>
      </c>
      <c r="L553" t="str">
        <f t="shared" si="8"/>
        <v>http://www.badatelna.eu/reprodukce/?fondId=1073&amp;zaznamId=1108959&amp;reproId=3780030</v>
      </c>
      <c r="M553">
        <f>VLOOKUP(F553,Sheet2!$B$1:$E$19,2,FALSE)</f>
        <v>1073</v>
      </c>
      <c r="N553">
        <f>VLOOKUP(F553,Sheet2!$B$1:$E$19,3,FALSE)</f>
        <v>1108959</v>
      </c>
      <c r="O553">
        <f>IF(G553="Not available","",VLOOKUP(F553,Sheet2!$B$1:$E$19,4,FALSE)+(G553-1))</f>
        <v>3780030</v>
      </c>
    </row>
    <row r="554" spans="1:15" s="1" customFormat="1" ht="15" customHeight="1" x14ac:dyDescent="0.25">
      <c r="A554" s="18" t="s">
        <v>802</v>
      </c>
      <c r="B554" s="18" t="s">
        <v>475</v>
      </c>
      <c r="C554" s="5">
        <v>1848</v>
      </c>
      <c r="D554" s="1" t="s">
        <v>635</v>
      </c>
      <c r="E554" s="1" t="s">
        <v>2</v>
      </c>
      <c r="F554" s="18">
        <v>2164</v>
      </c>
      <c r="G554" s="18">
        <v>19</v>
      </c>
      <c r="H554" s="5">
        <v>17</v>
      </c>
      <c r="I554" s="1">
        <v>123</v>
      </c>
      <c r="J554" s="4" t="s">
        <v>3271</v>
      </c>
      <c r="L554" t="str">
        <f t="shared" si="8"/>
        <v>http://www.badatelna.eu/reprodukce/?fondId=1073&amp;zaznamId=1108951&amp;reproId=3778733</v>
      </c>
      <c r="M554">
        <f>VLOOKUP(F554,Sheet2!$B$1:$E$19,2,FALSE)</f>
        <v>1073</v>
      </c>
      <c r="N554">
        <f>VLOOKUP(F554,Sheet2!$B$1:$E$19,3,FALSE)</f>
        <v>1108951</v>
      </c>
      <c r="O554">
        <f>IF(G554="Not available","",VLOOKUP(F554,Sheet2!$B$1:$E$19,4,FALSE)+(G554-1))</f>
        <v>3778733</v>
      </c>
    </row>
    <row r="555" spans="1:15" s="1" customFormat="1" ht="15" customHeight="1" x14ac:dyDescent="0.25">
      <c r="A555" s="18" t="s">
        <v>2123</v>
      </c>
      <c r="B555" s="18" t="s">
        <v>2129</v>
      </c>
      <c r="C555" s="6" t="s">
        <v>2128</v>
      </c>
      <c r="D555" s="4" t="s">
        <v>2130</v>
      </c>
      <c r="E555" s="4" t="s">
        <v>2</v>
      </c>
      <c r="F555" s="18">
        <v>2176</v>
      </c>
      <c r="G555" s="18" t="s">
        <v>3271</v>
      </c>
      <c r="H555" s="6" t="s">
        <v>1954</v>
      </c>
      <c r="I555" s="1">
        <v>6</v>
      </c>
      <c r="J555" s="1" t="s">
        <v>3271</v>
      </c>
      <c r="K555" s="3"/>
      <c r="L555" t="str">
        <f t="shared" si="8"/>
        <v/>
      </c>
      <c r="M555">
        <f>VLOOKUP(F555,Sheet2!$B$1:$E$19,2,FALSE)</f>
        <v>1073</v>
      </c>
      <c r="N555">
        <f>VLOOKUP(F555,Sheet2!$B$1:$E$19,3,FALSE)</f>
        <v>1108963</v>
      </c>
      <c r="O555" t="str">
        <f>IF(G555="Not available","",VLOOKUP(F555,Sheet2!$B$1:$E$19,4,FALSE)+(G555-1))</f>
        <v/>
      </c>
    </row>
    <row r="556" spans="1:15" s="1" customFormat="1" ht="15" customHeight="1" x14ac:dyDescent="0.25">
      <c r="A556" s="18" t="s">
        <v>2123</v>
      </c>
      <c r="B556" s="18" t="s">
        <v>2007</v>
      </c>
      <c r="C556" s="6" t="s">
        <v>2122</v>
      </c>
      <c r="D556" s="4" t="s">
        <v>2124</v>
      </c>
      <c r="E556" s="4" t="s">
        <v>2</v>
      </c>
      <c r="F556" s="18">
        <v>2176</v>
      </c>
      <c r="G556" s="18" t="s">
        <v>3271</v>
      </c>
      <c r="H556" s="6" t="s">
        <v>2083</v>
      </c>
      <c r="I556" s="1">
        <v>6</v>
      </c>
      <c r="J556" s="1" t="s">
        <v>3271</v>
      </c>
      <c r="K556" s="3"/>
      <c r="L556" t="str">
        <f t="shared" si="8"/>
        <v/>
      </c>
      <c r="M556">
        <f>VLOOKUP(F556,Sheet2!$B$1:$E$19,2,FALSE)</f>
        <v>1073</v>
      </c>
      <c r="N556">
        <f>VLOOKUP(F556,Sheet2!$B$1:$E$19,3,FALSE)</f>
        <v>1108963</v>
      </c>
      <c r="O556" t="str">
        <f>IF(G556="Not available","",VLOOKUP(F556,Sheet2!$B$1:$E$19,4,FALSE)+(G556-1))</f>
        <v/>
      </c>
    </row>
    <row r="557" spans="1:15" s="1" customFormat="1" ht="15" customHeight="1" x14ac:dyDescent="0.25">
      <c r="A557" s="18" t="s">
        <v>1001</v>
      </c>
      <c r="B557" s="18" t="s">
        <v>477</v>
      </c>
      <c r="C557" s="6" t="s">
        <v>2102</v>
      </c>
      <c r="D557" s="4" t="s">
        <v>2101</v>
      </c>
      <c r="E557" s="4" t="s">
        <v>2</v>
      </c>
      <c r="F557" s="18">
        <v>2176</v>
      </c>
      <c r="G557" s="18" t="s">
        <v>3271</v>
      </c>
      <c r="H557" s="6" t="s">
        <v>1976</v>
      </c>
      <c r="I557" s="1">
        <v>6</v>
      </c>
      <c r="J557" s="1" t="s">
        <v>3271</v>
      </c>
      <c r="K557" s="3"/>
      <c r="L557" t="str">
        <f t="shared" si="8"/>
        <v/>
      </c>
      <c r="M557">
        <f>VLOOKUP(F557,Sheet2!$B$1:$E$19,2,FALSE)</f>
        <v>1073</v>
      </c>
      <c r="N557">
        <f>VLOOKUP(F557,Sheet2!$B$1:$E$19,3,FALSE)</f>
        <v>1108963</v>
      </c>
      <c r="O557" t="str">
        <f>IF(G557="Not available","",VLOOKUP(F557,Sheet2!$B$1:$E$19,4,FALSE)+(G557-1))</f>
        <v/>
      </c>
    </row>
    <row r="558" spans="1:15" s="1" customFormat="1" ht="15" customHeight="1" x14ac:dyDescent="0.25">
      <c r="A558" s="18" t="s">
        <v>1001</v>
      </c>
      <c r="B558" s="18" t="s">
        <v>1968</v>
      </c>
      <c r="C558" s="6" t="s">
        <v>2095</v>
      </c>
      <c r="D558" s="4" t="s">
        <v>2848</v>
      </c>
      <c r="E558" s="4" t="s">
        <v>2</v>
      </c>
      <c r="F558" s="18">
        <v>2176</v>
      </c>
      <c r="G558" s="18" t="s">
        <v>3271</v>
      </c>
      <c r="H558" s="6" t="s">
        <v>2080</v>
      </c>
      <c r="I558" s="1">
        <v>5</v>
      </c>
      <c r="J558" s="1" t="s">
        <v>3271</v>
      </c>
      <c r="K558" s="3"/>
      <c r="L558" t="str">
        <f t="shared" si="8"/>
        <v/>
      </c>
      <c r="M558">
        <f>VLOOKUP(F558,Sheet2!$B$1:$E$19,2,FALSE)</f>
        <v>1073</v>
      </c>
      <c r="N558">
        <f>VLOOKUP(F558,Sheet2!$B$1:$E$19,3,FALSE)</f>
        <v>1108963</v>
      </c>
      <c r="O558" t="str">
        <f>IF(G558="Not available","",VLOOKUP(F558,Sheet2!$B$1:$E$19,4,FALSE)+(G558-1))</f>
        <v/>
      </c>
    </row>
    <row r="559" spans="1:15" s="1" customFormat="1" ht="15" customHeight="1" x14ac:dyDescent="0.25">
      <c r="A559" s="18" t="s">
        <v>1001</v>
      </c>
      <c r="B559" s="18" t="s">
        <v>2099</v>
      </c>
      <c r="C559" s="6" t="s">
        <v>2098</v>
      </c>
      <c r="D559" s="4" t="s">
        <v>2101</v>
      </c>
      <c r="E559" s="4" t="s">
        <v>2</v>
      </c>
      <c r="F559" s="18">
        <v>2176</v>
      </c>
      <c r="G559" s="18" t="s">
        <v>3271</v>
      </c>
      <c r="H559" s="6" t="s">
        <v>1974</v>
      </c>
      <c r="I559" s="1">
        <v>5</v>
      </c>
      <c r="J559" s="1" t="s">
        <v>3271</v>
      </c>
      <c r="K559" s="3"/>
      <c r="L559" t="str">
        <f t="shared" si="8"/>
        <v/>
      </c>
      <c r="M559">
        <f>VLOOKUP(F559,Sheet2!$B$1:$E$19,2,FALSE)</f>
        <v>1073</v>
      </c>
      <c r="N559">
        <f>VLOOKUP(F559,Sheet2!$B$1:$E$19,3,FALSE)</f>
        <v>1108963</v>
      </c>
      <c r="O559" t="str">
        <f>IF(G559="Not available","",VLOOKUP(F559,Sheet2!$B$1:$E$19,4,FALSE)+(G559-1))</f>
        <v/>
      </c>
    </row>
    <row r="560" spans="1:15" s="1" customFormat="1" ht="15" customHeight="1" x14ac:dyDescent="0.25">
      <c r="A560" s="18" t="s">
        <v>1001</v>
      </c>
      <c r="B560" s="18" t="s">
        <v>2096</v>
      </c>
      <c r="C560" s="6" t="s">
        <v>2095</v>
      </c>
      <c r="D560" s="4" t="s">
        <v>2064</v>
      </c>
      <c r="E560" s="4" t="s">
        <v>2</v>
      </c>
      <c r="F560" s="18">
        <v>2176</v>
      </c>
      <c r="G560" s="18" t="s">
        <v>3271</v>
      </c>
      <c r="H560" s="6" t="s">
        <v>2075</v>
      </c>
      <c r="I560" s="1">
        <v>5</v>
      </c>
      <c r="J560" s="1" t="s">
        <v>3271</v>
      </c>
      <c r="K560" s="3"/>
      <c r="L560" t="str">
        <f t="shared" si="8"/>
        <v/>
      </c>
      <c r="M560">
        <f>VLOOKUP(F560,Sheet2!$B$1:$E$19,2,FALSE)</f>
        <v>1073</v>
      </c>
      <c r="N560">
        <f>VLOOKUP(F560,Sheet2!$B$1:$E$19,3,FALSE)</f>
        <v>1108963</v>
      </c>
      <c r="O560" t="str">
        <f>IF(G560="Not available","",VLOOKUP(F560,Sheet2!$B$1:$E$19,4,FALSE)+(G560-1))</f>
        <v/>
      </c>
    </row>
    <row r="561" spans="1:15" s="1" customFormat="1" ht="15" customHeight="1" x14ac:dyDescent="0.25">
      <c r="A561" s="18" t="s">
        <v>1001</v>
      </c>
      <c r="B561" s="18" t="s">
        <v>1126</v>
      </c>
      <c r="C561" s="6" t="s">
        <v>2074</v>
      </c>
      <c r="D561" s="4" t="s">
        <v>2064</v>
      </c>
      <c r="E561" s="4" t="s">
        <v>2</v>
      </c>
      <c r="F561" s="18">
        <v>2176</v>
      </c>
      <c r="G561" s="18" t="s">
        <v>3271</v>
      </c>
      <c r="H561" s="6" t="s">
        <v>2075</v>
      </c>
      <c r="I561" s="1">
        <v>5</v>
      </c>
      <c r="J561" s="1" t="s">
        <v>3271</v>
      </c>
      <c r="K561" s="3"/>
      <c r="L561" t="str">
        <f t="shared" si="8"/>
        <v/>
      </c>
      <c r="M561">
        <f>VLOOKUP(F561,Sheet2!$B$1:$E$19,2,FALSE)</f>
        <v>1073</v>
      </c>
      <c r="N561">
        <f>VLOOKUP(F561,Sheet2!$B$1:$E$19,3,FALSE)</f>
        <v>1108963</v>
      </c>
      <c r="O561" t="str">
        <f>IF(G561="Not available","",VLOOKUP(F561,Sheet2!$B$1:$E$19,4,FALSE)+(G561-1))</f>
        <v/>
      </c>
    </row>
    <row r="562" spans="1:15" s="1" customFormat="1" ht="15" customHeight="1" x14ac:dyDescent="0.25">
      <c r="A562" s="18" t="s">
        <v>1001</v>
      </c>
      <c r="B562" s="18" t="s">
        <v>1126</v>
      </c>
      <c r="C562" s="5" t="s">
        <v>1766</v>
      </c>
      <c r="D562" s="1" t="s">
        <v>58</v>
      </c>
      <c r="E562" s="1" t="s">
        <v>2</v>
      </c>
      <c r="F562" s="18">
        <v>2165</v>
      </c>
      <c r="G562" s="18">
        <v>234</v>
      </c>
      <c r="H562" s="5">
        <v>1</v>
      </c>
      <c r="I562" s="1">
        <v>237</v>
      </c>
      <c r="J562" s="1">
        <v>213</v>
      </c>
      <c r="L562" t="str">
        <f t="shared" si="8"/>
        <v>http://www.badatelna.eu/reprodukce/?fondId=1073&amp;zaznamId=1108952&amp;reproId=3779095</v>
      </c>
      <c r="M562">
        <f>VLOOKUP(F562,Sheet2!$B$1:$E$19,2,FALSE)</f>
        <v>1073</v>
      </c>
      <c r="N562">
        <f>VLOOKUP(F562,Sheet2!$B$1:$E$19,3,FALSE)</f>
        <v>1108952</v>
      </c>
      <c r="O562">
        <f>IF(G562="Not available","",VLOOKUP(F562,Sheet2!$B$1:$E$19,4,FALSE)+(G562-1))</f>
        <v>3779095</v>
      </c>
    </row>
    <row r="563" spans="1:15" s="1" customFormat="1" ht="15" customHeight="1" x14ac:dyDescent="0.25">
      <c r="A563" s="18" t="s">
        <v>1001</v>
      </c>
      <c r="B563" s="18" t="s">
        <v>769</v>
      </c>
      <c r="C563" s="6" t="s">
        <v>2092</v>
      </c>
      <c r="D563" s="4" t="s">
        <v>2849</v>
      </c>
      <c r="E563" s="4" t="s">
        <v>2</v>
      </c>
      <c r="F563" s="18">
        <v>2176</v>
      </c>
      <c r="G563" s="18" t="s">
        <v>3271</v>
      </c>
      <c r="H563" s="6" t="s">
        <v>1954</v>
      </c>
      <c r="I563" s="1">
        <v>5</v>
      </c>
      <c r="J563" s="1" t="s">
        <v>3271</v>
      </c>
      <c r="K563" s="3"/>
      <c r="L563" t="str">
        <f t="shared" si="8"/>
        <v/>
      </c>
      <c r="M563">
        <f>VLOOKUP(F563,Sheet2!$B$1:$E$19,2,FALSE)</f>
        <v>1073</v>
      </c>
      <c r="N563">
        <f>VLOOKUP(F563,Sheet2!$B$1:$E$19,3,FALSE)</f>
        <v>1108963</v>
      </c>
      <c r="O563" t="str">
        <f>IF(G563="Not available","",VLOOKUP(F563,Sheet2!$B$1:$E$19,4,FALSE)+(G563-1))</f>
        <v/>
      </c>
    </row>
    <row r="564" spans="1:15" s="1" customFormat="1" ht="15" customHeight="1" x14ac:dyDescent="0.25">
      <c r="A564" s="18" t="s">
        <v>1001</v>
      </c>
      <c r="B564" s="18" t="s">
        <v>769</v>
      </c>
      <c r="C564" s="5" t="s">
        <v>1886</v>
      </c>
      <c r="D564" s="1" t="s">
        <v>1238</v>
      </c>
      <c r="E564" s="1" t="s">
        <v>2</v>
      </c>
      <c r="F564" s="18">
        <v>2165</v>
      </c>
      <c r="G564" s="18">
        <v>269</v>
      </c>
      <c r="H564" s="5">
        <v>1</v>
      </c>
      <c r="I564" s="1">
        <v>272</v>
      </c>
      <c r="J564" s="1">
        <v>246</v>
      </c>
      <c r="L564" t="str">
        <f t="shared" si="8"/>
        <v>http://www.badatelna.eu/reprodukce/?fondId=1073&amp;zaznamId=1108952&amp;reproId=3779130</v>
      </c>
      <c r="M564">
        <f>VLOOKUP(F564,Sheet2!$B$1:$E$19,2,FALSE)</f>
        <v>1073</v>
      </c>
      <c r="N564">
        <f>VLOOKUP(F564,Sheet2!$B$1:$E$19,3,FALSE)</f>
        <v>1108952</v>
      </c>
      <c r="O564">
        <f>IF(G564="Not available","",VLOOKUP(F564,Sheet2!$B$1:$E$19,4,FALSE)+(G564-1))</f>
        <v>3779130</v>
      </c>
    </row>
    <row r="565" spans="1:15" s="1" customFormat="1" ht="15" customHeight="1" x14ac:dyDescent="0.25">
      <c r="A565" s="18" t="s">
        <v>1001</v>
      </c>
      <c r="B565" s="18" t="s">
        <v>1051</v>
      </c>
      <c r="C565" s="14" t="s">
        <v>2893</v>
      </c>
      <c r="D565" s="1" t="s">
        <v>1238</v>
      </c>
      <c r="E565" s="1" t="s">
        <v>2</v>
      </c>
      <c r="F565" s="18">
        <v>2165</v>
      </c>
      <c r="G565" s="18">
        <v>290</v>
      </c>
      <c r="H565" s="5">
        <v>3</v>
      </c>
      <c r="I565" s="1">
        <v>286</v>
      </c>
      <c r="J565" s="1">
        <v>260</v>
      </c>
      <c r="L565" t="str">
        <f t="shared" si="8"/>
        <v>http://www.badatelna.eu/reprodukce/?fondId=1073&amp;zaznamId=1108952&amp;reproId=3779151</v>
      </c>
      <c r="M565">
        <f>VLOOKUP(F565,Sheet2!$B$1:$E$19,2,FALSE)</f>
        <v>1073</v>
      </c>
      <c r="N565">
        <f>VLOOKUP(F565,Sheet2!$B$1:$E$19,3,FALSE)</f>
        <v>1108952</v>
      </c>
      <c r="O565">
        <f>IF(G565="Not available","",VLOOKUP(F565,Sheet2!$B$1:$E$19,4,FALSE)+(G565-1))</f>
        <v>3779151</v>
      </c>
    </row>
    <row r="566" spans="1:15" s="1" customFormat="1" ht="15" customHeight="1" x14ac:dyDescent="0.25">
      <c r="A566" s="18" t="s">
        <v>1001</v>
      </c>
      <c r="B566" s="18" t="s">
        <v>1209</v>
      </c>
      <c r="C566" s="14" t="s">
        <v>2892</v>
      </c>
      <c r="D566" s="1" t="s">
        <v>58</v>
      </c>
      <c r="E566" s="1" t="s">
        <v>2</v>
      </c>
      <c r="F566" s="18">
        <v>2165</v>
      </c>
      <c r="G566" s="18">
        <v>288</v>
      </c>
      <c r="H566" s="5">
        <v>1</v>
      </c>
      <c r="I566" s="1">
        <v>286</v>
      </c>
      <c r="J566" s="1">
        <v>260</v>
      </c>
      <c r="L566" t="str">
        <f t="shared" si="8"/>
        <v>http://www.badatelna.eu/reprodukce/?fondId=1073&amp;zaznamId=1108952&amp;reproId=3779149</v>
      </c>
      <c r="M566">
        <f>VLOOKUP(F566,Sheet2!$B$1:$E$19,2,FALSE)</f>
        <v>1073</v>
      </c>
      <c r="N566">
        <f>VLOOKUP(F566,Sheet2!$B$1:$E$19,3,FALSE)</f>
        <v>1108952</v>
      </c>
      <c r="O566">
        <f>IF(G566="Not available","",VLOOKUP(F566,Sheet2!$B$1:$E$19,4,FALSE)+(G566-1))</f>
        <v>3779149</v>
      </c>
    </row>
    <row r="567" spans="1:15" s="1" customFormat="1" ht="15" customHeight="1" x14ac:dyDescent="0.25">
      <c r="A567" s="18" t="s">
        <v>1001</v>
      </c>
      <c r="B567" s="18" t="s">
        <v>1209</v>
      </c>
      <c r="C567" s="14" t="s">
        <v>2098</v>
      </c>
      <c r="D567" s="4" t="s">
        <v>9</v>
      </c>
      <c r="E567" s="1" t="s">
        <v>2</v>
      </c>
      <c r="F567" s="18">
        <v>2165</v>
      </c>
      <c r="G567" s="18">
        <v>303</v>
      </c>
      <c r="H567" s="5">
        <v>2</v>
      </c>
      <c r="I567" s="1">
        <v>305</v>
      </c>
      <c r="J567" s="1">
        <v>278</v>
      </c>
      <c r="L567" t="str">
        <f t="shared" si="8"/>
        <v>http://www.badatelna.eu/reprodukce/?fondId=1073&amp;zaznamId=1108952&amp;reproId=3779164</v>
      </c>
      <c r="M567">
        <f>VLOOKUP(F567,Sheet2!$B$1:$E$19,2,FALSE)</f>
        <v>1073</v>
      </c>
      <c r="N567">
        <f>VLOOKUP(F567,Sheet2!$B$1:$E$19,3,FALSE)</f>
        <v>1108952</v>
      </c>
      <c r="O567">
        <f>IF(G567="Not available","",VLOOKUP(F567,Sheet2!$B$1:$E$19,4,FALSE)+(G567-1))</f>
        <v>3779164</v>
      </c>
    </row>
    <row r="568" spans="1:15" s="1" customFormat="1" ht="15" customHeight="1" x14ac:dyDescent="0.25">
      <c r="A568" s="18" t="s">
        <v>1001</v>
      </c>
      <c r="B568" s="18" t="s">
        <v>2112</v>
      </c>
      <c r="C568" s="6" t="s">
        <v>2111</v>
      </c>
      <c r="D568" s="4" t="s">
        <v>2101</v>
      </c>
      <c r="E568" s="4" t="s">
        <v>2</v>
      </c>
      <c r="F568" s="18">
        <v>2176</v>
      </c>
      <c r="G568" s="18" t="s">
        <v>3271</v>
      </c>
      <c r="H568" s="6" t="s">
        <v>1955</v>
      </c>
      <c r="I568" s="1">
        <v>6</v>
      </c>
      <c r="J568" s="1" t="s">
        <v>3271</v>
      </c>
      <c r="K568" s="3"/>
      <c r="L568" t="str">
        <f t="shared" si="8"/>
        <v/>
      </c>
      <c r="M568">
        <f>VLOOKUP(F568,Sheet2!$B$1:$E$19,2,FALSE)</f>
        <v>1073</v>
      </c>
      <c r="N568">
        <f>VLOOKUP(F568,Sheet2!$B$1:$E$19,3,FALSE)</f>
        <v>1108963</v>
      </c>
      <c r="O568" t="str">
        <f>IF(G568="Not available","",VLOOKUP(F568,Sheet2!$B$1:$E$19,4,FALSE)+(G568-1))</f>
        <v/>
      </c>
    </row>
    <row r="569" spans="1:15" s="1" customFormat="1" ht="15" customHeight="1" x14ac:dyDescent="0.25">
      <c r="A569" s="18" t="s">
        <v>1001</v>
      </c>
      <c r="B569" s="18" t="s">
        <v>90</v>
      </c>
      <c r="C569" s="6" t="s">
        <v>2036</v>
      </c>
      <c r="D569" s="4" t="s">
        <v>2048</v>
      </c>
      <c r="E569" s="4" t="s">
        <v>2</v>
      </c>
      <c r="F569" s="18">
        <v>2176</v>
      </c>
      <c r="G569" s="18" t="s">
        <v>3271</v>
      </c>
      <c r="H569" s="6" t="s">
        <v>2038</v>
      </c>
      <c r="I569" s="1">
        <v>5</v>
      </c>
      <c r="J569" s="1" t="s">
        <v>3271</v>
      </c>
      <c r="K569" s="3"/>
      <c r="L569" t="str">
        <f t="shared" si="8"/>
        <v/>
      </c>
      <c r="M569">
        <f>VLOOKUP(F569,Sheet2!$B$1:$E$19,2,FALSE)</f>
        <v>1073</v>
      </c>
      <c r="N569">
        <f>VLOOKUP(F569,Sheet2!$B$1:$E$19,3,FALSE)</f>
        <v>1108963</v>
      </c>
      <c r="O569" t="str">
        <f>IF(G569="Not available","",VLOOKUP(F569,Sheet2!$B$1:$E$19,4,FALSE)+(G569-1))</f>
        <v/>
      </c>
    </row>
    <row r="570" spans="1:15" s="1" customFormat="1" ht="15" customHeight="1" x14ac:dyDescent="0.25">
      <c r="A570" s="18" t="s">
        <v>1001</v>
      </c>
      <c r="B570" s="18" t="s">
        <v>129</v>
      </c>
      <c r="C570" s="5">
        <v>1883</v>
      </c>
      <c r="D570" s="1" t="s">
        <v>49</v>
      </c>
      <c r="E570" s="1" t="s">
        <v>2</v>
      </c>
      <c r="F570" s="18">
        <v>2165</v>
      </c>
      <c r="G570" s="18">
        <v>188</v>
      </c>
      <c r="H570" s="5">
        <v>4</v>
      </c>
      <c r="I570" s="1">
        <v>190</v>
      </c>
      <c r="J570" s="1">
        <v>167</v>
      </c>
      <c r="L570" t="str">
        <f t="shared" si="8"/>
        <v>http://www.badatelna.eu/reprodukce/?fondId=1073&amp;zaznamId=1108952&amp;reproId=3779049</v>
      </c>
      <c r="M570">
        <f>VLOOKUP(F570,Sheet2!$B$1:$E$19,2,FALSE)</f>
        <v>1073</v>
      </c>
      <c r="N570">
        <f>VLOOKUP(F570,Sheet2!$B$1:$E$19,3,FALSE)</f>
        <v>1108952</v>
      </c>
      <c r="O570">
        <f>IF(G570="Not available","",VLOOKUP(F570,Sheet2!$B$1:$E$19,4,FALSE)+(G570-1))</f>
        <v>3779049</v>
      </c>
    </row>
    <row r="571" spans="1:15" s="1" customFormat="1" ht="15" customHeight="1" x14ac:dyDescent="0.25">
      <c r="A571" s="18" t="s">
        <v>1001</v>
      </c>
      <c r="B571" s="18" t="s">
        <v>90</v>
      </c>
      <c r="C571" s="6" t="s">
        <v>2087</v>
      </c>
      <c r="D571" s="4" t="s">
        <v>2064</v>
      </c>
      <c r="E571" s="4" t="s">
        <v>2</v>
      </c>
      <c r="F571" s="18">
        <v>2176</v>
      </c>
      <c r="G571" s="18" t="s">
        <v>3271</v>
      </c>
      <c r="H571" s="6" t="s">
        <v>2088</v>
      </c>
      <c r="I571" s="1">
        <v>5</v>
      </c>
      <c r="J571" s="1" t="s">
        <v>3271</v>
      </c>
      <c r="K571" s="3"/>
      <c r="L571" t="str">
        <f t="shared" si="8"/>
        <v/>
      </c>
      <c r="M571">
        <f>VLOOKUP(F571,Sheet2!$B$1:$E$19,2,FALSE)</f>
        <v>1073</v>
      </c>
      <c r="N571">
        <f>VLOOKUP(F571,Sheet2!$B$1:$E$19,3,FALSE)</f>
        <v>1108963</v>
      </c>
      <c r="O571" t="str">
        <f>IF(G571="Not available","",VLOOKUP(F571,Sheet2!$B$1:$E$19,4,FALSE)+(G571-1))</f>
        <v/>
      </c>
    </row>
    <row r="572" spans="1:15" s="1" customFormat="1" ht="15" customHeight="1" x14ac:dyDescent="0.25">
      <c r="A572" s="18" t="s">
        <v>1001</v>
      </c>
      <c r="B572" s="18" t="s">
        <v>129</v>
      </c>
      <c r="C572" s="5" t="s">
        <v>1860</v>
      </c>
      <c r="D572" s="1" t="s">
        <v>58</v>
      </c>
      <c r="E572" s="1" t="s">
        <v>2</v>
      </c>
      <c r="F572" s="18">
        <v>2165</v>
      </c>
      <c r="G572" s="18">
        <v>260</v>
      </c>
      <c r="H572" s="5">
        <v>1</v>
      </c>
      <c r="I572" s="1">
        <v>265</v>
      </c>
      <c r="J572" s="1">
        <v>239</v>
      </c>
      <c r="L572" t="str">
        <f t="shared" si="8"/>
        <v>http://www.badatelna.eu/reprodukce/?fondId=1073&amp;zaznamId=1108952&amp;reproId=3779121</v>
      </c>
      <c r="M572">
        <f>VLOOKUP(F572,Sheet2!$B$1:$E$19,2,FALSE)</f>
        <v>1073</v>
      </c>
      <c r="N572">
        <f>VLOOKUP(F572,Sheet2!$B$1:$E$19,3,FALSE)</f>
        <v>1108952</v>
      </c>
      <c r="O572">
        <f>IF(G572="Not available","",VLOOKUP(F572,Sheet2!$B$1:$E$19,4,FALSE)+(G572-1))</f>
        <v>3779121</v>
      </c>
    </row>
    <row r="573" spans="1:15" s="1" customFormat="1" ht="15" customHeight="1" x14ac:dyDescent="0.25">
      <c r="A573" s="18" t="s">
        <v>1001</v>
      </c>
      <c r="B573" s="18" t="s">
        <v>1052</v>
      </c>
      <c r="C573" s="14" t="s">
        <v>2098</v>
      </c>
      <c r="D573" s="4" t="s">
        <v>1238</v>
      </c>
      <c r="E573" s="1" t="s">
        <v>2</v>
      </c>
      <c r="F573" s="18">
        <v>2165</v>
      </c>
      <c r="G573" s="18">
        <v>302</v>
      </c>
      <c r="H573" s="5">
        <v>1</v>
      </c>
      <c r="I573" s="1">
        <v>305</v>
      </c>
      <c r="J573" s="1">
        <v>278</v>
      </c>
      <c r="L573" t="str">
        <f t="shared" si="8"/>
        <v>http://www.badatelna.eu/reprodukce/?fondId=1073&amp;zaznamId=1108952&amp;reproId=3779163</v>
      </c>
      <c r="M573">
        <f>VLOOKUP(F573,Sheet2!$B$1:$E$19,2,FALSE)</f>
        <v>1073</v>
      </c>
      <c r="N573">
        <f>VLOOKUP(F573,Sheet2!$B$1:$E$19,3,FALSE)</f>
        <v>1108952</v>
      </c>
      <c r="O573">
        <f>IF(G573="Not available","",VLOOKUP(F573,Sheet2!$B$1:$E$19,4,FALSE)+(G573-1))</f>
        <v>3779163</v>
      </c>
    </row>
    <row r="574" spans="1:15" s="1" customFormat="1" ht="15" customHeight="1" x14ac:dyDescent="0.25">
      <c r="A574" s="18" t="s">
        <v>1001</v>
      </c>
      <c r="B574" s="18" t="s">
        <v>1052</v>
      </c>
      <c r="C574" s="6" t="s">
        <v>2098</v>
      </c>
      <c r="D574" s="4" t="s">
        <v>2849</v>
      </c>
      <c r="E574" s="4" t="s">
        <v>2</v>
      </c>
      <c r="F574" s="18">
        <v>2176</v>
      </c>
      <c r="G574" s="18" t="s">
        <v>3271</v>
      </c>
      <c r="H574" s="6" t="s">
        <v>2088</v>
      </c>
      <c r="I574" s="1">
        <v>5</v>
      </c>
      <c r="J574" s="1" t="s">
        <v>3271</v>
      </c>
      <c r="K574" s="3"/>
      <c r="L574" t="str">
        <f t="shared" si="8"/>
        <v/>
      </c>
      <c r="M574">
        <f>VLOOKUP(F574,Sheet2!$B$1:$E$19,2,FALSE)</f>
        <v>1073</v>
      </c>
      <c r="N574">
        <f>VLOOKUP(F574,Sheet2!$B$1:$E$19,3,FALSE)</f>
        <v>1108963</v>
      </c>
      <c r="O574" t="str">
        <f>IF(G574="Not available","",VLOOKUP(F574,Sheet2!$B$1:$E$19,4,FALSE)+(G574-1))</f>
        <v/>
      </c>
    </row>
    <row r="575" spans="1:15" s="1" customFormat="1" ht="15" customHeight="1" x14ac:dyDescent="0.25">
      <c r="A575" s="18" t="s">
        <v>1001</v>
      </c>
      <c r="B575" s="18" t="s">
        <v>1052</v>
      </c>
      <c r="C575" s="6" t="s">
        <v>2109</v>
      </c>
      <c r="D575" s="4" t="s">
        <v>2101</v>
      </c>
      <c r="E575" s="4" t="s">
        <v>2</v>
      </c>
      <c r="F575" s="18">
        <v>2176</v>
      </c>
      <c r="G575" s="18" t="s">
        <v>3271</v>
      </c>
      <c r="H575" s="6" t="s">
        <v>1955</v>
      </c>
      <c r="I575" s="1">
        <v>6</v>
      </c>
      <c r="J575" s="1" t="s">
        <v>3271</v>
      </c>
      <c r="K575" s="3"/>
      <c r="L575" t="str">
        <f t="shared" si="8"/>
        <v/>
      </c>
      <c r="M575">
        <f>VLOOKUP(F575,Sheet2!$B$1:$E$19,2,FALSE)</f>
        <v>1073</v>
      </c>
      <c r="N575">
        <f>VLOOKUP(F575,Sheet2!$B$1:$E$19,3,FALSE)</f>
        <v>1108963</v>
      </c>
      <c r="O575" t="str">
        <f>IF(G575="Not available","",VLOOKUP(F575,Sheet2!$B$1:$E$19,4,FALSE)+(G575-1))</f>
        <v/>
      </c>
    </row>
    <row r="576" spans="1:15" s="1" customFormat="1" ht="15" customHeight="1" x14ac:dyDescent="0.25">
      <c r="A576" s="18" t="s">
        <v>1001</v>
      </c>
      <c r="B576" s="18" t="s">
        <v>2027</v>
      </c>
      <c r="C576" s="6" t="s">
        <v>2043</v>
      </c>
      <c r="D576" s="4" t="s">
        <v>2048</v>
      </c>
      <c r="E576" s="4" t="s">
        <v>2</v>
      </c>
      <c r="F576" s="18">
        <v>2176</v>
      </c>
      <c r="G576" s="18" t="s">
        <v>3271</v>
      </c>
      <c r="H576" s="6" t="s">
        <v>2049</v>
      </c>
      <c r="I576" s="1">
        <v>5</v>
      </c>
      <c r="J576" s="1" t="s">
        <v>3271</v>
      </c>
      <c r="K576" s="3"/>
      <c r="L576" t="str">
        <f t="shared" si="8"/>
        <v/>
      </c>
      <c r="M576">
        <f>VLOOKUP(F576,Sheet2!$B$1:$E$19,2,FALSE)</f>
        <v>1073</v>
      </c>
      <c r="N576">
        <f>VLOOKUP(F576,Sheet2!$B$1:$E$19,3,FALSE)</f>
        <v>1108963</v>
      </c>
      <c r="O576" t="str">
        <f>IF(G576="Not available","",VLOOKUP(F576,Sheet2!$B$1:$E$19,4,FALSE)+(G576-1))</f>
        <v/>
      </c>
    </row>
    <row r="577" spans="1:15" s="1" customFormat="1" ht="15" customHeight="1" x14ac:dyDescent="0.25">
      <c r="A577" s="18" t="s">
        <v>1001</v>
      </c>
      <c r="B577" s="18" t="s">
        <v>847</v>
      </c>
      <c r="C577" s="5">
        <v>1885</v>
      </c>
      <c r="D577" s="1" t="s">
        <v>49</v>
      </c>
      <c r="E577" s="1" t="s">
        <v>2</v>
      </c>
      <c r="F577" s="18">
        <v>2165</v>
      </c>
      <c r="G577" s="18">
        <v>203</v>
      </c>
      <c r="H577" s="5">
        <v>5</v>
      </c>
      <c r="I577" s="1">
        <v>204</v>
      </c>
      <c r="J577" s="1">
        <v>187</v>
      </c>
      <c r="L577" t="str">
        <f t="shared" si="8"/>
        <v>http://www.badatelna.eu/reprodukce/?fondId=1073&amp;zaznamId=1108952&amp;reproId=3779064</v>
      </c>
      <c r="M577">
        <f>VLOOKUP(F577,Sheet2!$B$1:$E$19,2,FALSE)</f>
        <v>1073</v>
      </c>
      <c r="N577">
        <f>VLOOKUP(F577,Sheet2!$B$1:$E$19,3,FALSE)</f>
        <v>1108952</v>
      </c>
      <c r="O577">
        <f>IF(G577="Not available","",VLOOKUP(F577,Sheet2!$B$1:$E$19,4,FALSE)+(G577-1))</f>
        <v>3779064</v>
      </c>
    </row>
    <row r="578" spans="1:15" s="1" customFormat="1" ht="15" customHeight="1" x14ac:dyDescent="0.25">
      <c r="A578" s="18" t="s">
        <v>1001</v>
      </c>
      <c r="B578" s="18" t="s">
        <v>2066</v>
      </c>
      <c r="C578" s="6" t="s">
        <v>1949</v>
      </c>
      <c r="D578" s="4" t="s">
        <v>2067</v>
      </c>
      <c r="E578" s="4" t="s">
        <v>2</v>
      </c>
      <c r="F578" s="18">
        <v>2176</v>
      </c>
      <c r="G578" s="18" t="s">
        <v>3271</v>
      </c>
      <c r="H578" s="6" t="s">
        <v>2053</v>
      </c>
      <c r="I578" s="1">
        <v>5</v>
      </c>
      <c r="J578" s="1" t="s">
        <v>3271</v>
      </c>
      <c r="K578" s="3"/>
      <c r="L578" t="str">
        <f t="shared" si="8"/>
        <v/>
      </c>
      <c r="M578">
        <f>VLOOKUP(F578,Sheet2!$B$1:$E$19,2,FALSE)</f>
        <v>1073</v>
      </c>
      <c r="N578">
        <f>VLOOKUP(F578,Sheet2!$B$1:$E$19,3,FALSE)</f>
        <v>1108963</v>
      </c>
      <c r="O578" t="str">
        <f>IF(G578="Not available","",VLOOKUP(F578,Sheet2!$B$1:$E$19,4,FALSE)+(G578-1))</f>
        <v/>
      </c>
    </row>
    <row r="579" spans="1:15" s="1" customFormat="1" ht="15" customHeight="1" x14ac:dyDescent="0.25">
      <c r="A579" s="18" t="s">
        <v>1001</v>
      </c>
      <c r="B579" s="18" t="s">
        <v>1007</v>
      </c>
      <c r="C579" s="6" t="s">
        <v>2079</v>
      </c>
      <c r="D579" s="4" t="s">
        <v>2067</v>
      </c>
      <c r="E579" s="4" t="s">
        <v>2</v>
      </c>
      <c r="F579" s="18">
        <v>2176</v>
      </c>
      <c r="G579" s="18" t="s">
        <v>3271</v>
      </c>
      <c r="H579" s="6" t="s">
        <v>2080</v>
      </c>
      <c r="I579" s="1">
        <v>5</v>
      </c>
      <c r="J579" s="1" t="s">
        <v>3271</v>
      </c>
      <c r="K579" s="3"/>
      <c r="L579" t="str">
        <f t="shared" ref="L579:L642" si="9">IF(G579="Not available","","http://www.badatelna.eu/reprodukce/?fondId="&amp;M579&amp;"&amp;zaznamId="&amp;N579&amp;"&amp;reproId="&amp;O579)</f>
        <v/>
      </c>
      <c r="M579">
        <f>VLOOKUP(F579,Sheet2!$B$1:$E$19,2,FALSE)</f>
        <v>1073</v>
      </c>
      <c r="N579">
        <f>VLOOKUP(F579,Sheet2!$B$1:$E$19,3,FALSE)</f>
        <v>1108963</v>
      </c>
      <c r="O579" t="str">
        <f>IF(G579="Not available","",VLOOKUP(F579,Sheet2!$B$1:$E$19,4,FALSE)+(G579-1))</f>
        <v/>
      </c>
    </row>
    <row r="580" spans="1:15" s="1" customFormat="1" ht="15" customHeight="1" x14ac:dyDescent="0.25">
      <c r="A580" s="18" t="s">
        <v>1001</v>
      </c>
      <c r="B580" s="18" t="s">
        <v>1007</v>
      </c>
      <c r="C580" s="5" t="s">
        <v>1794</v>
      </c>
      <c r="D580" s="1" t="s">
        <v>49</v>
      </c>
      <c r="E580" s="1" t="s">
        <v>2</v>
      </c>
      <c r="F580" s="18">
        <v>2165</v>
      </c>
      <c r="G580" s="18">
        <v>243</v>
      </c>
      <c r="H580" s="5">
        <v>3</v>
      </c>
      <c r="I580" s="1">
        <v>244</v>
      </c>
      <c r="J580" s="1">
        <v>220</v>
      </c>
      <c r="L580" t="str">
        <f t="shared" si="9"/>
        <v>http://www.badatelna.eu/reprodukce/?fondId=1073&amp;zaznamId=1108952&amp;reproId=3779104</v>
      </c>
      <c r="M580">
        <f>VLOOKUP(F580,Sheet2!$B$1:$E$19,2,FALSE)</f>
        <v>1073</v>
      </c>
      <c r="N580">
        <f>VLOOKUP(F580,Sheet2!$B$1:$E$19,3,FALSE)</f>
        <v>1108952</v>
      </c>
      <c r="O580">
        <f>IF(G580="Not available","",VLOOKUP(F580,Sheet2!$B$1:$E$19,4,FALSE)+(G580-1))</f>
        <v>3779104</v>
      </c>
    </row>
    <row r="581" spans="1:15" s="1" customFormat="1" ht="15" customHeight="1" x14ac:dyDescent="0.25">
      <c r="A581" s="18" t="s">
        <v>1001</v>
      </c>
      <c r="B581" s="18" t="s">
        <v>593</v>
      </c>
      <c r="C581" s="6" t="s">
        <v>2093</v>
      </c>
      <c r="D581" s="4" t="s">
        <v>2064</v>
      </c>
      <c r="E581" s="4" t="s">
        <v>2</v>
      </c>
      <c r="F581" s="18">
        <v>2176</v>
      </c>
      <c r="G581" s="18" t="s">
        <v>3271</v>
      </c>
      <c r="H581" s="6" t="s">
        <v>2094</v>
      </c>
      <c r="I581" s="1">
        <v>5</v>
      </c>
      <c r="J581" s="1" t="s">
        <v>3271</v>
      </c>
      <c r="K581" s="3"/>
      <c r="L581" t="str">
        <f t="shared" si="9"/>
        <v/>
      </c>
      <c r="M581">
        <f>VLOOKUP(F581,Sheet2!$B$1:$E$19,2,FALSE)</f>
        <v>1073</v>
      </c>
      <c r="N581">
        <f>VLOOKUP(F581,Sheet2!$B$1:$E$19,3,FALSE)</f>
        <v>1108963</v>
      </c>
      <c r="O581" t="str">
        <f>IF(G581="Not available","",VLOOKUP(F581,Sheet2!$B$1:$E$19,4,FALSE)+(G581-1))</f>
        <v/>
      </c>
    </row>
    <row r="582" spans="1:15" s="1" customFormat="1" ht="15" customHeight="1" x14ac:dyDescent="0.25">
      <c r="A582" s="18" t="s">
        <v>1001</v>
      </c>
      <c r="B582" s="18" t="s">
        <v>593</v>
      </c>
      <c r="C582" s="5" t="s">
        <v>1905</v>
      </c>
      <c r="D582" s="1" t="s">
        <v>58</v>
      </c>
      <c r="E582" s="1" t="s">
        <v>2</v>
      </c>
      <c r="F582" s="18">
        <v>2165</v>
      </c>
      <c r="G582" s="18">
        <v>276</v>
      </c>
      <c r="H582" s="5">
        <v>2</v>
      </c>
      <c r="I582" s="1">
        <v>278</v>
      </c>
      <c r="J582" s="1">
        <v>252</v>
      </c>
      <c r="L582" t="str">
        <f t="shared" si="9"/>
        <v>http://www.badatelna.eu/reprodukce/?fondId=1073&amp;zaznamId=1108952&amp;reproId=3779137</v>
      </c>
      <c r="M582">
        <f>VLOOKUP(F582,Sheet2!$B$1:$E$19,2,FALSE)</f>
        <v>1073</v>
      </c>
      <c r="N582">
        <f>VLOOKUP(F582,Sheet2!$B$1:$E$19,3,FALSE)</f>
        <v>1108952</v>
      </c>
      <c r="O582">
        <f>IF(G582="Not available","",VLOOKUP(F582,Sheet2!$B$1:$E$19,4,FALSE)+(G582-1))</f>
        <v>3779137</v>
      </c>
    </row>
    <row r="583" spans="1:15" s="1" customFormat="1" ht="15" customHeight="1" x14ac:dyDescent="0.25">
      <c r="A583" s="18" t="s">
        <v>1001</v>
      </c>
      <c r="B583" s="18" t="s">
        <v>44</v>
      </c>
      <c r="C583" s="5" t="s">
        <v>1315</v>
      </c>
      <c r="D583" s="1" t="s">
        <v>40</v>
      </c>
      <c r="E583" s="1" t="s">
        <v>2</v>
      </c>
      <c r="F583" s="18">
        <v>2165</v>
      </c>
      <c r="G583" s="18">
        <v>36</v>
      </c>
      <c r="H583" s="5">
        <v>33</v>
      </c>
      <c r="I583" s="1">
        <v>81</v>
      </c>
      <c r="J583" s="1" t="s">
        <v>3271</v>
      </c>
      <c r="L583" t="str">
        <f t="shared" si="9"/>
        <v>http://www.badatelna.eu/reprodukce/?fondId=1073&amp;zaznamId=1108952&amp;reproId=3778897</v>
      </c>
      <c r="M583">
        <f>VLOOKUP(F583,Sheet2!$B$1:$E$19,2,FALSE)</f>
        <v>1073</v>
      </c>
      <c r="N583">
        <f>VLOOKUP(F583,Sheet2!$B$1:$E$19,3,FALSE)</f>
        <v>1108952</v>
      </c>
      <c r="O583">
        <f>IF(G583="Not available","",VLOOKUP(F583,Sheet2!$B$1:$E$19,4,FALSE)+(G583-1))</f>
        <v>3778897</v>
      </c>
    </row>
    <row r="584" spans="1:15" s="1" customFormat="1" ht="15" customHeight="1" x14ac:dyDescent="0.25">
      <c r="A584" s="18" t="s">
        <v>1001</v>
      </c>
      <c r="B584" s="18" t="s">
        <v>924</v>
      </c>
      <c r="C584" s="5" t="s">
        <v>1810</v>
      </c>
      <c r="D584" s="1" t="s">
        <v>58</v>
      </c>
      <c r="E584" s="1" t="s">
        <v>2</v>
      </c>
      <c r="F584" s="18">
        <v>2165</v>
      </c>
      <c r="G584" s="18">
        <v>247</v>
      </c>
      <c r="H584" s="5">
        <v>1</v>
      </c>
      <c r="I584" s="1">
        <v>250</v>
      </c>
      <c r="J584" s="1">
        <v>226</v>
      </c>
      <c r="L584" t="str">
        <f t="shared" si="9"/>
        <v>http://www.badatelna.eu/reprodukce/?fondId=1073&amp;zaznamId=1108952&amp;reproId=3779108</v>
      </c>
      <c r="M584">
        <f>VLOOKUP(F584,Sheet2!$B$1:$E$19,2,FALSE)</f>
        <v>1073</v>
      </c>
      <c r="N584">
        <f>VLOOKUP(F584,Sheet2!$B$1:$E$19,3,FALSE)</f>
        <v>1108952</v>
      </c>
      <c r="O584">
        <f>IF(G584="Not available","",VLOOKUP(F584,Sheet2!$B$1:$E$19,4,FALSE)+(G584-1))</f>
        <v>3779108</v>
      </c>
    </row>
    <row r="585" spans="1:15" s="1" customFormat="1" ht="15" customHeight="1" x14ac:dyDescent="0.25">
      <c r="A585" s="18" t="s">
        <v>1001</v>
      </c>
      <c r="B585" s="18" t="s">
        <v>998</v>
      </c>
      <c r="C585" s="6" t="s">
        <v>2100</v>
      </c>
      <c r="D585" s="4" t="s">
        <v>9</v>
      </c>
      <c r="E585" s="1" t="s">
        <v>2</v>
      </c>
      <c r="F585" s="18">
        <v>2165</v>
      </c>
      <c r="G585" s="18">
        <v>310</v>
      </c>
      <c r="H585" s="5">
        <v>3</v>
      </c>
      <c r="I585" s="1">
        <v>311</v>
      </c>
      <c r="J585" s="1">
        <v>284</v>
      </c>
      <c r="L585" t="str">
        <f t="shared" si="9"/>
        <v>http://www.badatelna.eu/reprodukce/?fondId=1073&amp;zaznamId=1108952&amp;reproId=3779171</v>
      </c>
      <c r="M585">
        <f>VLOOKUP(F585,Sheet2!$B$1:$E$19,2,FALSE)</f>
        <v>1073</v>
      </c>
      <c r="N585">
        <f>VLOOKUP(F585,Sheet2!$B$1:$E$19,3,FALSE)</f>
        <v>1108952</v>
      </c>
      <c r="O585">
        <f>IF(G585="Not available","",VLOOKUP(F585,Sheet2!$B$1:$E$19,4,FALSE)+(G585-1))</f>
        <v>3779171</v>
      </c>
    </row>
    <row r="586" spans="1:15" s="1" customFormat="1" ht="15" customHeight="1" x14ac:dyDescent="0.25">
      <c r="A586" s="18" t="s">
        <v>1001</v>
      </c>
      <c r="B586" s="18" t="s">
        <v>2082</v>
      </c>
      <c r="C586" s="6" t="s">
        <v>2081</v>
      </c>
      <c r="D586" s="4" t="s">
        <v>2064</v>
      </c>
      <c r="E586" s="4" t="s">
        <v>2</v>
      </c>
      <c r="F586" s="18">
        <v>2176</v>
      </c>
      <c r="G586" s="18" t="s">
        <v>3271</v>
      </c>
      <c r="H586" s="6" t="s">
        <v>2083</v>
      </c>
      <c r="I586" s="1">
        <v>5</v>
      </c>
      <c r="J586" s="1" t="s">
        <v>3271</v>
      </c>
      <c r="K586" s="3"/>
      <c r="L586" t="str">
        <f t="shared" si="9"/>
        <v/>
      </c>
      <c r="M586">
        <f>VLOOKUP(F586,Sheet2!$B$1:$E$19,2,FALSE)</f>
        <v>1073</v>
      </c>
      <c r="N586">
        <f>VLOOKUP(F586,Sheet2!$B$1:$E$19,3,FALSE)</f>
        <v>1108963</v>
      </c>
      <c r="O586" t="str">
        <f>IF(G586="Not available","",VLOOKUP(F586,Sheet2!$B$1:$E$19,4,FALSE)+(G586-1))</f>
        <v/>
      </c>
    </row>
    <row r="587" spans="1:15" s="1" customFormat="1" ht="15" customHeight="1" x14ac:dyDescent="0.25">
      <c r="A587" s="18" t="s">
        <v>1001</v>
      </c>
      <c r="B587" s="18" t="s">
        <v>1972</v>
      </c>
      <c r="C587" s="6" t="s">
        <v>2100</v>
      </c>
      <c r="D587" s="4" t="s">
        <v>2101</v>
      </c>
      <c r="E587" s="4" t="s">
        <v>2</v>
      </c>
      <c r="F587" s="18">
        <v>2176</v>
      </c>
      <c r="G587" s="18" t="s">
        <v>3271</v>
      </c>
      <c r="H587" s="6" t="s">
        <v>2080</v>
      </c>
      <c r="I587" s="1">
        <v>6</v>
      </c>
      <c r="J587" s="1" t="s">
        <v>3271</v>
      </c>
      <c r="K587" s="3"/>
      <c r="L587" t="str">
        <f t="shared" si="9"/>
        <v/>
      </c>
      <c r="M587">
        <f>VLOOKUP(F587,Sheet2!$B$1:$E$19,2,FALSE)</f>
        <v>1073</v>
      </c>
      <c r="N587">
        <f>VLOOKUP(F587,Sheet2!$B$1:$E$19,3,FALSE)</f>
        <v>1108963</v>
      </c>
      <c r="O587" t="str">
        <f>IF(G587="Not available","",VLOOKUP(F587,Sheet2!$B$1:$E$19,4,FALSE)+(G587-1))</f>
        <v/>
      </c>
    </row>
    <row r="588" spans="1:15" s="1" customFormat="1" ht="15" customHeight="1" x14ac:dyDescent="0.25">
      <c r="A588" s="19" t="s">
        <v>3127</v>
      </c>
      <c r="B588" s="18" t="s">
        <v>2126</v>
      </c>
      <c r="C588" s="6" t="s">
        <v>2125</v>
      </c>
      <c r="D588" s="4" t="s">
        <v>2127</v>
      </c>
      <c r="E588" s="4" t="s">
        <v>2</v>
      </c>
      <c r="F588" s="18">
        <v>2176</v>
      </c>
      <c r="G588" s="18" t="s">
        <v>3271</v>
      </c>
      <c r="H588" s="6" t="s">
        <v>1955</v>
      </c>
      <c r="I588" s="1">
        <v>6</v>
      </c>
      <c r="J588" s="1" t="s">
        <v>3271</v>
      </c>
      <c r="K588" s="3"/>
      <c r="L588" t="str">
        <f t="shared" si="9"/>
        <v/>
      </c>
      <c r="M588">
        <f>VLOOKUP(F588,Sheet2!$B$1:$E$19,2,FALSE)</f>
        <v>1073</v>
      </c>
      <c r="N588">
        <f>VLOOKUP(F588,Sheet2!$B$1:$E$19,3,FALSE)</f>
        <v>1108963</v>
      </c>
      <c r="O588" t="str">
        <f>IF(G588="Not available","",VLOOKUP(F588,Sheet2!$B$1:$E$19,4,FALSE)+(G588-1))</f>
        <v/>
      </c>
    </row>
    <row r="589" spans="1:15" s="1" customFormat="1" ht="15" customHeight="1" x14ac:dyDescent="0.25">
      <c r="A589" s="18" t="s">
        <v>2062</v>
      </c>
      <c r="B589" s="18" t="s">
        <v>1136</v>
      </c>
      <c r="C589" s="6" t="s">
        <v>1949</v>
      </c>
      <c r="D589" s="4" t="s">
        <v>2064</v>
      </c>
      <c r="E589" s="4" t="s">
        <v>2</v>
      </c>
      <c r="F589" s="18">
        <v>2176</v>
      </c>
      <c r="G589" s="18" t="s">
        <v>3271</v>
      </c>
      <c r="H589" s="6" t="s">
        <v>2063</v>
      </c>
      <c r="I589" s="1">
        <v>5</v>
      </c>
      <c r="J589" s="1" t="s">
        <v>3271</v>
      </c>
      <c r="K589" s="3"/>
      <c r="L589" t="str">
        <f t="shared" si="9"/>
        <v/>
      </c>
      <c r="M589">
        <f>VLOOKUP(F589,Sheet2!$B$1:$E$19,2,FALSE)</f>
        <v>1073</v>
      </c>
      <c r="N589">
        <f>VLOOKUP(F589,Sheet2!$B$1:$E$19,3,FALSE)</f>
        <v>1108963</v>
      </c>
      <c r="O589" t="str">
        <f>IF(G589="Not available","",VLOOKUP(F589,Sheet2!$B$1:$E$19,4,FALSE)+(G589-1))</f>
        <v/>
      </c>
    </row>
    <row r="590" spans="1:15" s="1" customFormat="1" ht="15" customHeight="1" x14ac:dyDescent="0.25">
      <c r="A590" s="18" t="s">
        <v>69</v>
      </c>
      <c r="B590" s="18" t="s">
        <v>68</v>
      </c>
      <c r="C590" s="5">
        <v>1794</v>
      </c>
      <c r="D590" s="1" t="s">
        <v>70</v>
      </c>
      <c r="E590" s="1" t="s">
        <v>2</v>
      </c>
      <c r="F590" s="18">
        <v>2173</v>
      </c>
      <c r="G590" s="18">
        <v>31</v>
      </c>
      <c r="H590" s="5">
        <v>57</v>
      </c>
      <c r="I590" s="2">
        <v>91</v>
      </c>
      <c r="J590" s="2">
        <v>189</v>
      </c>
      <c r="L590" t="str">
        <f t="shared" si="9"/>
        <v>http://www.badatelna.eu/reprodukce/?fondId=1073&amp;zaznamId=1108959&amp;reproId=3780024</v>
      </c>
      <c r="M590">
        <f>VLOOKUP(F590,Sheet2!$B$1:$E$19,2,FALSE)</f>
        <v>1073</v>
      </c>
      <c r="N590">
        <f>VLOOKUP(F590,Sheet2!$B$1:$E$19,3,FALSE)</f>
        <v>1108959</v>
      </c>
      <c r="O590">
        <f>IF(G590="Not available","",VLOOKUP(F590,Sheet2!$B$1:$E$19,4,FALSE)+(G590-1))</f>
        <v>3780024</v>
      </c>
    </row>
    <row r="591" spans="1:15" s="1" customFormat="1" ht="15" customHeight="1" x14ac:dyDescent="0.25">
      <c r="A591" s="18" t="s">
        <v>31</v>
      </c>
      <c r="B591" s="18" t="s">
        <v>774</v>
      </c>
      <c r="C591" s="6" t="s">
        <v>2860</v>
      </c>
      <c r="E591" s="1" t="s">
        <v>939</v>
      </c>
      <c r="F591" s="18">
        <v>999</v>
      </c>
      <c r="G591" s="18">
        <v>29</v>
      </c>
      <c r="H591" s="5">
        <v>27</v>
      </c>
      <c r="I591" s="1">
        <v>63</v>
      </c>
      <c r="J591" s="1">
        <v>96</v>
      </c>
      <c r="L591" t="str">
        <f t="shared" si="9"/>
        <v>http://www.badatelna.eu/reprodukce/?fondId=241&amp;zaznamId=1133739&amp;reproId=3885758</v>
      </c>
      <c r="M591">
        <f>VLOOKUP(F591,Sheet2!$B$1:$E$19,2,FALSE)</f>
        <v>241</v>
      </c>
      <c r="N591">
        <f>VLOOKUP(F591,Sheet2!$B$1:$E$19,3,FALSE)</f>
        <v>1133739</v>
      </c>
      <c r="O591">
        <f>IF(G591="Not available","",VLOOKUP(F591,Sheet2!$B$1:$E$19,4,FALSE)+(G591-1))</f>
        <v>3885758</v>
      </c>
    </row>
    <row r="592" spans="1:15" s="1" customFormat="1" ht="15" customHeight="1" x14ac:dyDescent="0.25">
      <c r="A592" s="18" t="s">
        <v>124</v>
      </c>
      <c r="B592" s="18" t="s">
        <v>123</v>
      </c>
      <c r="C592" s="5">
        <v>1809</v>
      </c>
      <c r="E592" s="1" t="s">
        <v>2</v>
      </c>
      <c r="F592" s="18">
        <v>2173</v>
      </c>
      <c r="G592" s="18">
        <v>55</v>
      </c>
      <c r="H592" s="5">
        <v>104</v>
      </c>
      <c r="I592" s="1">
        <v>92</v>
      </c>
      <c r="J592" s="1">
        <v>190</v>
      </c>
      <c r="L592" t="str">
        <f t="shared" si="9"/>
        <v>http://www.badatelna.eu/reprodukce/?fondId=1073&amp;zaznamId=1108959&amp;reproId=3780048</v>
      </c>
      <c r="M592">
        <f>VLOOKUP(F592,Sheet2!$B$1:$E$19,2,FALSE)</f>
        <v>1073</v>
      </c>
      <c r="N592">
        <f>VLOOKUP(F592,Sheet2!$B$1:$E$19,3,FALSE)</f>
        <v>1108959</v>
      </c>
      <c r="O592">
        <f>IF(G592="Not available","",VLOOKUP(F592,Sheet2!$B$1:$E$19,4,FALSE)+(G592-1))</f>
        <v>3780048</v>
      </c>
    </row>
    <row r="593" spans="1:15" s="1" customFormat="1" ht="15" customHeight="1" x14ac:dyDescent="0.25">
      <c r="A593" s="18" t="s">
        <v>124</v>
      </c>
      <c r="B593" s="18" t="s">
        <v>370</v>
      </c>
      <c r="C593" s="5">
        <v>1852</v>
      </c>
      <c r="D593" s="1" t="s">
        <v>503</v>
      </c>
      <c r="E593" s="1" t="s">
        <v>2</v>
      </c>
      <c r="F593" s="18">
        <v>2164</v>
      </c>
      <c r="G593" s="18">
        <v>82</v>
      </c>
      <c r="H593" s="5">
        <v>80</v>
      </c>
      <c r="I593" s="1">
        <v>123</v>
      </c>
      <c r="J593" s="4" t="s">
        <v>3271</v>
      </c>
      <c r="L593" t="str">
        <f t="shared" si="9"/>
        <v>http://www.badatelna.eu/reprodukce/?fondId=1073&amp;zaznamId=1108951&amp;reproId=3778796</v>
      </c>
      <c r="M593">
        <f>VLOOKUP(F593,Sheet2!$B$1:$E$19,2,FALSE)</f>
        <v>1073</v>
      </c>
      <c r="N593">
        <f>VLOOKUP(F593,Sheet2!$B$1:$E$19,3,FALSE)</f>
        <v>1108951</v>
      </c>
      <c r="O593">
        <f>IF(G593="Not available","",VLOOKUP(F593,Sheet2!$B$1:$E$19,4,FALSE)+(G593-1))</f>
        <v>3778796</v>
      </c>
    </row>
    <row r="594" spans="1:15" s="1" customFormat="1" ht="15" customHeight="1" x14ac:dyDescent="0.25">
      <c r="A594" s="18" t="s">
        <v>124</v>
      </c>
      <c r="B594" s="18" t="s">
        <v>120</v>
      </c>
      <c r="C594" s="5">
        <v>1811</v>
      </c>
      <c r="E594" s="1" t="s">
        <v>2</v>
      </c>
      <c r="F594" s="18">
        <v>2173</v>
      </c>
      <c r="G594" s="18">
        <v>58</v>
      </c>
      <c r="H594" s="5">
        <v>111</v>
      </c>
      <c r="I594" s="1">
        <v>92</v>
      </c>
      <c r="J594" s="1">
        <v>190</v>
      </c>
      <c r="L594" t="str">
        <f t="shared" si="9"/>
        <v>http://www.badatelna.eu/reprodukce/?fondId=1073&amp;zaznamId=1108959&amp;reproId=3780051</v>
      </c>
      <c r="M594">
        <f>VLOOKUP(F594,Sheet2!$B$1:$E$19,2,FALSE)</f>
        <v>1073</v>
      </c>
      <c r="N594">
        <f>VLOOKUP(F594,Sheet2!$B$1:$E$19,3,FALSE)</f>
        <v>1108959</v>
      </c>
      <c r="O594">
        <f>IF(G594="Not available","",VLOOKUP(F594,Sheet2!$B$1:$E$19,4,FALSE)+(G594-1))</f>
        <v>3780051</v>
      </c>
    </row>
    <row r="595" spans="1:15" s="1" customFormat="1" ht="15" customHeight="1" x14ac:dyDescent="0.25">
      <c r="A595" s="18" t="s">
        <v>124</v>
      </c>
      <c r="B595" s="18" t="s">
        <v>137</v>
      </c>
      <c r="C595" s="5">
        <v>1821</v>
      </c>
      <c r="E595" s="1" t="s">
        <v>2</v>
      </c>
      <c r="F595" s="18">
        <v>2173</v>
      </c>
      <c r="G595" s="18">
        <v>72</v>
      </c>
      <c r="H595" s="5">
        <v>136</v>
      </c>
      <c r="I595" s="1">
        <v>93</v>
      </c>
      <c r="J595" s="1">
        <v>194</v>
      </c>
      <c r="L595" t="str">
        <f t="shared" si="9"/>
        <v>http://www.badatelna.eu/reprodukce/?fondId=1073&amp;zaznamId=1108959&amp;reproId=3780065</v>
      </c>
      <c r="M595">
        <f>VLOOKUP(F595,Sheet2!$B$1:$E$19,2,FALSE)</f>
        <v>1073</v>
      </c>
      <c r="N595">
        <f>VLOOKUP(F595,Sheet2!$B$1:$E$19,3,FALSE)</f>
        <v>1108959</v>
      </c>
      <c r="O595">
        <f>IF(G595="Not available","",VLOOKUP(F595,Sheet2!$B$1:$E$19,4,FALSE)+(G595-1))</f>
        <v>3780065</v>
      </c>
    </row>
    <row r="596" spans="1:15" s="1" customFormat="1" ht="15" customHeight="1" x14ac:dyDescent="0.25">
      <c r="A596" s="18" t="s">
        <v>124</v>
      </c>
      <c r="B596" s="18" t="s">
        <v>142</v>
      </c>
      <c r="C596" s="5">
        <v>1819</v>
      </c>
      <c r="E596" s="1" t="s">
        <v>2</v>
      </c>
      <c r="F596" s="18">
        <v>2173</v>
      </c>
      <c r="G596" s="18">
        <v>69</v>
      </c>
      <c r="H596" s="5">
        <v>131</v>
      </c>
      <c r="I596" s="1">
        <v>93</v>
      </c>
      <c r="J596" s="1">
        <v>194</v>
      </c>
      <c r="L596" t="str">
        <f t="shared" si="9"/>
        <v>http://www.badatelna.eu/reprodukce/?fondId=1073&amp;zaznamId=1108959&amp;reproId=3780062</v>
      </c>
      <c r="M596">
        <f>VLOOKUP(F596,Sheet2!$B$1:$E$19,2,FALSE)</f>
        <v>1073</v>
      </c>
      <c r="N596">
        <f>VLOOKUP(F596,Sheet2!$B$1:$E$19,3,FALSE)</f>
        <v>1108959</v>
      </c>
      <c r="O596">
        <f>IF(G596="Not available","",VLOOKUP(F596,Sheet2!$B$1:$E$19,4,FALSE)+(G596-1))</f>
        <v>3780062</v>
      </c>
    </row>
    <row r="597" spans="1:15" s="1" customFormat="1" ht="15" customHeight="1" x14ac:dyDescent="0.25">
      <c r="A597" s="18" t="s">
        <v>124</v>
      </c>
      <c r="B597" s="18" t="s">
        <v>23</v>
      </c>
      <c r="C597" s="5">
        <v>1815</v>
      </c>
      <c r="E597" s="1" t="s">
        <v>2</v>
      </c>
      <c r="F597" s="18">
        <v>2173</v>
      </c>
      <c r="G597" s="18">
        <v>64</v>
      </c>
      <c r="H597" s="5">
        <v>123</v>
      </c>
      <c r="I597" s="1">
        <v>92</v>
      </c>
      <c r="J597" s="1">
        <v>190</v>
      </c>
      <c r="L597" t="str">
        <f t="shared" si="9"/>
        <v>http://www.badatelna.eu/reprodukce/?fondId=1073&amp;zaznamId=1108959&amp;reproId=3780057</v>
      </c>
      <c r="M597">
        <f>VLOOKUP(F597,Sheet2!$B$1:$E$19,2,FALSE)</f>
        <v>1073</v>
      </c>
      <c r="N597">
        <f>VLOOKUP(F597,Sheet2!$B$1:$E$19,3,FALSE)</f>
        <v>1108959</v>
      </c>
      <c r="O597">
        <f>IF(G597="Not available","",VLOOKUP(F597,Sheet2!$B$1:$E$19,4,FALSE)+(G597-1))</f>
        <v>3780057</v>
      </c>
    </row>
    <row r="598" spans="1:15" s="1" customFormat="1" ht="15" customHeight="1" x14ac:dyDescent="0.25">
      <c r="A598" s="18" t="s">
        <v>124</v>
      </c>
      <c r="B598" s="18" t="s">
        <v>545</v>
      </c>
      <c r="C598" s="5" t="s">
        <v>1294</v>
      </c>
      <c r="D598" s="1" t="s">
        <v>489</v>
      </c>
      <c r="E598" s="1" t="s">
        <v>2</v>
      </c>
      <c r="F598" s="18">
        <v>2165</v>
      </c>
      <c r="G598" s="18">
        <v>9</v>
      </c>
      <c r="H598" s="5">
        <v>6</v>
      </c>
      <c r="I598" s="1">
        <v>80</v>
      </c>
      <c r="J598" s="1" t="s">
        <v>3271</v>
      </c>
      <c r="L598" t="str">
        <f t="shared" si="9"/>
        <v>http://www.badatelna.eu/reprodukce/?fondId=1073&amp;zaznamId=1108952&amp;reproId=3778870</v>
      </c>
      <c r="M598">
        <f>VLOOKUP(F598,Sheet2!$B$1:$E$19,2,FALSE)</f>
        <v>1073</v>
      </c>
      <c r="N598">
        <f>VLOOKUP(F598,Sheet2!$B$1:$E$19,3,FALSE)</f>
        <v>1108952</v>
      </c>
      <c r="O598">
        <f>IF(G598="Not available","",VLOOKUP(F598,Sheet2!$B$1:$E$19,4,FALSE)+(G598-1))</f>
        <v>3778870</v>
      </c>
    </row>
    <row r="599" spans="1:15" s="1" customFormat="1" ht="15" customHeight="1" x14ac:dyDescent="0.25">
      <c r="A599" s="18" t="s">
        <v>57</v>
      </c>
      <c r="B599" s="18" t="s">
        <v>86</v>
      </c>
      <c r="C599" s="5">
        <v>1796</v>
      </c>
      <c r="D599" s="1" t="s">
        <v>4</v>
      </c>
      <c r="E599" s="1" t="s">
        <v>2</v>
      </c>
      <c r="F599" s="18">
        <v>2173</v>
      </c>
      <c r="G599" s="18">
        <v>34</v>
      </c>
      <c r="H599" s="5">
        <v>63</v>
      </c>
      <c r="I599" s="1">
        <v>92</v>
      </c>
      <c r="J599" s="1">
        <v>190</v>
      </c>
      <c r="L599" t="str">
        <f t="shared" si="9"/>
        <v>http://www.badatelna.eu/reprodukce/?fondId=1073&amp;zaznamId=1108959&amp;reproId=3780027</v>
      </c>
      <c r="M599">
        <f>VLOOKUP(F599,Sheet2!$B$1:$E$19,2,FALSE)</f>
        <v>1073</v>
      </c>
      <c r="N599">
        <f>VLOOKUP(F599,Sheet2!$B$1:$E$19,3,FALSE)</f>
        <v>1108959</v>
      </c>
      <c r="O599">
        <f>IF(G599="Not available","",VLOOKUP(F599,Sheet2!$B$1:$E$19,4,FALSE)+(G599-1))</f>
        <v>3780027</v>
      </c>
    </row>
    <row r="600" spans="1:15" s="1" customFormat="1" ht="15" customHeight="1" x14ac:dyDescent="0.25">
      <c r="A600" s="18" t="s">
        <v>57</v>
      </c>
      <c r="B600" s="18" t="s">
        <v>104</v>
      </c>
      <c r="C600" s="5">
        <v>1802</v>
      </c>
      <c r="D600" s="4" t="s">
        <v>4</v>
      </c>
      <c r="E600" s="1" t="s">
        <v>2</v>
      </c>
      <c r="F600" s="18">
        <v>2173</v>
      </c>
      <c r="G600" s="18">
        <v>45</v>
      </c>
      <c r="H600" s="14" t="s">
        <v>3094</v>
      </c>
      <c r="I600" s="1">
        <v>92</v>
      </c>
      <c r="J600" s="1">
        <v>190</v>
      </c>
      <c r="L600" t="str">
        <f t="shared" si="9"/>
        <v>http://www.badatelna.eu/reprodukce/?fondId=1073&amp;zaznamId=1108959&amp;reproId=3780038</v>
      </c>
      <c r="M600">
        <f>VLOOKUP(F600,Sheet2!$B$1:$E$19,2,FALSE)</f>
        <v>1073</v>
      </c>
      <c r="N600">
        <f>VLOOKUP(F600,Sheet2!$B$1:$E$19,3,FALSE)</f>
        <v>1108959</v>
      </c>
      <c r="O600">
        <f>IF(G600="Not available","",VLOOKUP(F600,Sheet2!$B$1:$E$19,4,FALSE)+(G600-1))</f>
        <v>3780038</v>
      </c>
    </row>
    <row r="601" spans="1:15" s="1" customFormat="1" ht="15" customHeight="1" x14ac:dyDescent="0.25">
      <c r="A601" s="18" t="s">
        <v>57</v>
      </c>
      <c r="B601" s="18" t="s">
        <v>104</v>
      </c>
      <c r="C601" s="5">
        <v>1813</v>
      </c>
      <c r="E601" s="1" t="s">
        <v>2</v>
      </c>
      <c r="F601" s="18">
        <v>2173</v>
      </c>
      <c r="G601" s="18">
        <v>60</v>
      </c>
      <c r="H601" s="5">
        <v>114</v>
      </c>
      <c r="I601" s="1">
        <v>92</v>
      </c>
      <c r="J601" s="1">
        <v>190</v>
      </c>
      <c r="L601" t="str">
        <f t="shared" si="9"/>
        <v>http://www.badatelna.eu/reprodukce/?fondId=1073&amp;zaznamId=1108959&amp;reproId=3780053</v>
      </c>
      <c r="M601">
        <f>VLOOKUP(F601,Sheet2!$B$1:$E$19,2,FALSE)</f>
        <v>1073</v>
      </c>
      <c r="N601">
        <f>VLOOKUP(F601,Sheet2!$B$1:$E$19,3,FALSE)</f>
        <v>1108959</v>
      </c>
      <c r="O601">
        <f>IF(G601="Not available","",VLOOKUP(F601,Sheet2!$B$1:$E$19,4,FALSE)+(G601-1))</f>
        <v>3780053</v>
      </c>
    </row>
    <row r="602" spans="1:15" s="1" customFormat="1" ht="15" customHeight="1" x14ac:dyDescent="0.25">
      <c r="A602" s="18" t="s">
        <v>57</v>
      </c>
      <c r="B602" s="19" t="s">
        <v>2921</v>
      </c>
      <c r="C602" s="7">
        <v>1793</v>
      </c>
      <c r="D602" s="1" t="s">
        <v>4</v>
      </c>
      <c r="E602" s="1" t="s">
        <v>2</v>
      </c>
      <c r="F602" s="18">
        <v>2173</v>
      </c>
      <c r="G602" s="18">
        <v>29</v>
      </c>
      <c r="H602" s="5">
        <v>53</v>
      </c>
      <c r="I602" s="2">
        <v>91</v>
      </c>
      <c r="J602" s="2">
        <v>189</v>
      </c>
      <c r="L602" t="str">
        <f t="shared" si="9"/>
        <v>http://www.badatelna.eu/reprodukce/?fondId=1073&amp;zaznamId=1108959&amp;reproId=3780022</v>
      </c>
      <c r="M602">
        <f>VLOOKUP(F602,Sheet2!$B$1:$E$19,2,FALSE)</f>
        <v>1073</v>
      </c>
      <c r="N602">
        <f>VLOOKUP(F602,Sheet2!$B$1:$E$19,3,FALSE)</f>
        <v>1108959</v>
      </c>
      <c r="O602">
        <f>IF(G602="Not available","",VLOOKUP(F602,Sheet2!$B$1:$E$19,4,FALSE)+(G602-1))</f>
        <v>3780022</v>
      </c>
    </row>
    <row r="603" spans="1:15" s="1" customFormat="1" ht="15" customHeight="1" x14ac:dyDescent="0.25">
      <c r="A603" s="18" t="s">
        <v>57</v>
      </c>
      <c r="B603" s="18" t="s">
        <v>99</v>
      </c>
      <c r="C603" s="5">
        <v>1798</v>
      </c>
      <c r="D603" s="1" t="s">
        <v>4</v>
      </c>
      <c r="E603" s="1" t="s">
        <v>2</v>
      </c>
      <c r="F603" s="18">
        <v>2173</v>
      </c>
      <c r="G603" s="18">
        <v>39</v>
      </c>
      <c r="H603" s="5">
        <v>72</v>
      </c>
      <c r="I603" s="1">
        <v>92</v>
      </c>
      <c r="J603" s="1">
        <v>190</v>
      </c>
      <c r="L603" t="str">
        <f t="shared" si="9"/>
        <v>http://www.badatelna.eu/reprodukce/?fondId=1073&amp;zaznamId=1108959&amp;reproId=3780032</v>
      </c>
      <c r="M603">
        <f>VLOOKUP(F603,Sheet2!$B$1:$E$19,2,FALSE)</f>
        <v>1073</v>
      </c>
      <c r="N603">
        <f>VLOOKUP(F603,Sheet2!$B$1:$E$19,3,FALSE)</f>
        <v>1108959</v>
      </c>
      <c r="O603">
        <f>IF(G603="Not available","",VLOOKUP(F603,Sheet2!$B$1:$E$19,4,FALSE)+(G603-1))</f>
        <v>3780032</v>
      </c>
    </row>
    <row r="604" spans="1:15" s="1" customFormat="1" ht="15" customHeight="1" x14ac:dyDescent="0.25">
      <c r="A604" s="20" t="s">
        <v>57</v>
      </c>
      <c r="B604" s="20" t="s">
        <v>2920</v>
      </c>
      <c r="C604" s="7">
        <v>1784</v>
      </c>
      <c r="D604" s="2"/>
      <c r="E604" s="1" t="s">
        <v>2</v>
      </c>
      <c r="F604" s="18">
        <v>2173</v>
      </c>
      <c r="G604" s="21">
        <v>3</v>
      </c>
      <c r="H604" s="7">
        <v>1</v>
      </c>
      <c r="I604" s="2">
        <v>91</v>
      </c>
      <c r="J604" s="2">
        <v>189</v>
      </c>
      <c r="K604" s="2"/>
      <c r="L604" t="str">
        <f t="shared" si="9"/>
        <v>http://www.badatelna.eu/reprodukce/?fondId=1073&amp;zaznamId=1108959&amp;reproId=3779996</v>
      </c>
      <c r="M604">
        <f>VLOOKUP(F604,Sheet2!$B$1:$E$19,2,FALSE)</f>
        <v>1073</v>
      </c>
      <c r="N604">
        <f>VLOOKUP(F604,Sheet2!$B$1:$E$19,3,FALSE)</f>
        <v>1108959</v>
      </c>
      <c r="O604">
        <f>IF(G604="Not available","",VLOOKUP(F604,Sheet2!$B$1:$E$19,4,FALSE)+(G604-1))</f>
        <v>3779996</v>
      </c>
    </row>
    <row r="605" spans="1:15" s="1" customFormat="1" ht="15" customHeight="1" x14ac:dyDescent="0.25">
      <c r="A605" s="18" t="s">
        <v>57</v>
      </c>
      <c r="B605" s="18" t="s">
        <v>34</v>
      </c>
      <c r="C605" s="5">
        <v>1818</v>
      </c>
      <c r="E605" s="1" t="s">
        <v>2</v>
      </c>
      <c r="F605" s="18">
        <v>2173</v>
      </c>
      <c r="G605" s="18">
        <v>68</v>
      </c>
      <c r="H605" s="5">
        <v>128</v>
      </c>
      <c r="I605" s="1">
        <v>93</v>
      </c>
      <c r="J605" s="1">
        <v>194</v>
      </c>
      <c r="L605" t="str">
        <f t="shared" si="9"/>
        <v>http://www.badatelna.eu/reprodukce/?fondId=1073&amp;zaznamId=1108959&amp;reproId=3780061</v>
      </c>
      <c r="M605">
        <f>VLOOKUP(F605,Sheet2!$B$1:$E$19,2,FALSE)</f>
        <v>1073</v>
      </c>
      <c r="N605">
        <f>VLOOKUP(F605,Sheet2!$B$1:$E$19,3,FALSE)</f>
        <v>1108959</v>
      </c>
      <c r="O605">
        <f>IF(G605="Not available","",VLOOKUP(F605,Sheet2!$B$1:$E$19,4,FALSE)+(G605-1))</f>
        <v>3780061</v>
      </c>
    </row>
    <row r="606" spans="1:15" s="1" customFormat="1" ht="15" customHeight="1" x14ac:dyDescent="0.25">
      <c r="A606" s="18" t="s">
        <v>57</v>
      </c>
      <c r="B606" s="18" t="s">
        <v>11</v>
      </c>
      <c r="C606" s="5">
        <v>1816</v>
      </c>
      <c r="E606" s="1" t="s">
        <v>2</v>
      </c>
      <c r="F606" s="18">
        <v>2173</v>
      </c>
      <c r="G606" s="18">
        <v>65</v>
      </c>
      <c r="H606" s="5">
        <v>125</v>
      </c>
      <c r="I606" s="1">
        <v>92</v>
      </c>
      <c r="J606" s="1">
        <v>190</v>
      </c>
      <c r="L606" t="str">
        <f t="shared" si="9"/>
        <v>http://www.badatelna.eu/reprodukce/?fondId=1073&amp;zaznamId=1108959&amp;reproId=3780058</v>
      </c>
      <c r="M606">
        <f>VLOOKUP(F606,Sheet2!$B$1:$E$19,2,FALSE)</f>
        <v>1073</v>
      </c>
      <c r="N606">
        <f>VLOOKUP(F606,Sheet2!$B$1:$E$19,3,FALSE)</f>
        <v>1108959</v>
      </c>
      <c r="O606">
        <f>IF(G606="Not available","",VLOOKUP(F606,Sheet2!$B$1:$E$19,4,FALSE)+(G606-1))</f>
        <v>3780058</v>
      </c>
    </row>
    <row r="607" spans="1:15" s="1" customFormat="1" ht="15" customHeight="1" x14ac:dyDescent="0.25">
      <c r="A607" s="18" t="s">
        <v>57</v>
      </c>
      <c r="B607" s="18" t="s">
        <v>23</v>
      </c>
      <c r="C607" s="5">
        <v>1819</v>
      </c>
      <c r="E607" s="1" t="s">
        <v>2</v>
      </c>
      <c r="F607" s="18">
        <v>2173</v>
      </c>
      <c r="G607" s="18">
        <v>71</v>
      </c>
      <c r="H607" s="5">
        <v>134</v>
      </c>
      <c r="I607" s="1">
        <v>93</v>
      </c>
      <c r="J607" s="1">
        <v>194</v>
      </c>
      <c r="L607" t="str">
        <f t="shared" si="9"/>
        <v>http://www.badatelna.eu/reprodukce/?fondId=1073&amp;zaznamId=1108959&amp;reproId=3780064</v>
      </c>
      <c r="M607">
        <f>VLOOKUP(F607,Sheet2!$B$1:$E$19,2,FALSE)</f>
        <v>1073</v>
      </c>
      <c r="N607">
        <f>VLOOKUP(F607,Sheet2!$B$1:$E$19,3,FALSE)</f>
        <v>1108959</v>
      </c>
      <c r="O607">
        <f>IF(G607="Not available","",VLOOKUP(F607,Sheet2!$B$1:$E$19,4,FALSE)+(G607-1))</f>
        <v>3780064</v>
      </c>
    </row>
    <row r="608" spans="1:15" s="1" customFormat="1" ht="15" customHeight="1" x14ac:dyDescent="0.25">
      <c r="A608" s="21" t="s">
        <v>57</v>
      </c>
      <c r="B608" s="21" t="s">
        <v>58</v>
      </c>
      <c r="C608" s="7">
        <v>1788</v>
      </c>
      <c r="D608" s="2" t="s">
        <v>4</v>
      </c>
      <c r="E608" s="1" t="s">
        <v>2</v>
      </c>
      <c r="F608" s="18">
        <v>2173</v>
      </c>
      <c r="G608" s="21">
        <v>22</v>
      </c>
      <c r="H608" s="7">
        <v>38</v>
      </c>
      <c r="I608" s="2">
        <v>91</v>
      </c>
      <c r="J608" s="2">
        <v>189</v>
      </c>
      <c r="K608" s="2"/>
      <c r="L608" t="str">
        <f t="shared" si="9"/>
        <v>http://www.badatelna.eu/reprodukce/?fondId=1073&amp;zaznamId=1108959&amp;reproId=3780015</v>
      </c>
      <c r="M608">
        <f>VLOOKUP(F608,Sheet2!$B$1:$E$19,2,FALSE)</f>
        <v>1073</v>
      </c>
      <c r="N608">
        <f>VLOOKUP(F608,Sheet2!$B$1:$E$19,3,FALSE)</f>
        <v>1108959</v>
      </c>
      <c r="O608">
        <f>IF(G608="Not available","",VLOOKUP(F608,Sheet2!$B$1:$E$19,4,FALSE)+(G608-1))</f>
        <v>3780015</v>
      </c>
    </row>
    <row r="609" spans="1:15" s="1" customFormat="1" ht="15" customHeight="1" x14ac:dyDescent="0.25">
      <c r="A609" s="18" t="s">
        <v>621</v>
      </c>
      <c r="B609" s="18" t="s">
        <v>803</v>
      </c>
      <c r="C609" s="5">
        <v>1848</v>
      </c>
      <c r="D609" s="1" t="s">
        <v>622</v>
      </c>
      <c r="E609" s="1" t="s">
        <v>2</v>
      </c>
      <c r="F609" s="18">
        <v>2164</v>
      </c>
      <c r="G609" s="18">
        <v>28</v>
      </c>
      <c r="H609" s="5">
        <v>26</v>
      </c>
      <c r="I609" s="1">
        <v>123</v>
      </c>
      <c r="J609" s="4" t="s">
        <v>3271</v>
      </c>
      <c r="L609" t="str">
        <f t="shared" si="9"/>
        <v>http://www.badatelna.eu/reprodukce/?fondId=1073&amp;zaznamId=1108951&amp;reproId=3778742</v>
      </c>
      <c r="M609">
        <f>VLOOKUP(F609,Sheet2!$B$1:$E$19,2,FALSE)</f>
        <v>1073</v>
      </c>
      <c r="N609">
        <f>VLOOKUP(F609,Sheet2!$B$1:$E$19,3,FALSE)</f>
        <v>1108951</v>
      </c>
      <c r="O609">
        <f>IF(G609="Not available","",VLOOKUP(F609,Sheet2!$B$1:$E$19,4,FALSE)+(G609-1))</f>
        <v>3778742</v>
      </c>
    </row>
    <row r="610" spans="1:15" s="1" customFormat="1" ht="15" customHeight="1" x14ac:dyDescent="0.25">
      <c r="A610" s="18" t="s">
        <v>621</v>
      </c>
      <c r="B610" s="18" t="s">
        <v>674</v>
      </c>
      <c r="C610" s="5">
        <v>1855</v>
      </c>
      <c r="D610" s="1" t="s">
        <v>622</v>
      </c>
      <c r="E610" s="1" t="s">
        <v>2</v>
      </c>
      <c r="F610" s="18">
        <v>2164</v>
      </c>
      <c r="G610" s="18">
        <v>100</v>
      </c>
      <c r="H610" s="5">
        <v>98</v>
      </c>
      <c r="I610" s="1">
        <v>123</v>
      </c>
      <c r="J610" s="4" t="s">
        <v>3271</v>
      </c>
      <c r="L610" t="str">
        <f t="shared" si="9"/>
        <v>http://www.badatelna.eu/reprodukce/?fondId=1073&amp;zaznamId=1108951&amp;reproId=3778814</v>
      </c>
      <c r="M610">
        <f>VLOOKUP(F610,Sheet2!$B$1:$E$19,2,FALSE)</f>
        <v>1073</v>
      </c>
      <c r="N610">
        <f>VLOOKUP(F610,Sheet2!$B$1:$E$19,3,FALSE)</f>
        <v>1108951</v>
      </c>
      <c r="O610">
        <f>IF(G610="Not available","",VLOOKUP(F610,Sheet2!$B$1:$E$19,4,FALSE)+(G610-1))</f>
        <v>3778814</v>
      </c>
    </row>
    <row r="611" spans="1:15" s="1" customFormat="1" ht="15" customHeight="1" x14ac:dyDescent="0.25">
      <c r="A611" s="18" t="s">
        <v>621</v>
      </c>
      <c r="B611" s="18" t="s">
        <v>428</v>
      </c>
      <c r="C611" s="5">
        <v>1841</v>
      </c>
      <c r="D611" s="1" t="s">
        <v>622</v>
      </c>
      <c r="E611" s="1" t="s">
        <v>2</v>
      </c>
      <c r="F611" s="18">
        <v>2174</v>
      </c>
      <c r="G611" s="18">
        <v>115</v>
      </c>
      <c r="H611" s="6" t="s">
        <v>3184</v>
      </c>
      <c r="I611" s="1">
        <v>181</v>
      </c>
      <c r="J611" s="1">
        <v>205</v>
      </c>
      <c r="L611" t="str">
        <f t="shared" si="9"/>
        <v>http://www.badatelna.eu/reprodukce/?fondId=1073&amp;zaznamId=1108960&amp;reproId=3780339</v>
      </c>
      <c r="M611">
        <f>VLOOKUP(F611,Sheet2!$B$1:$E$19,2,FALSE)</f>
        <v>1073</v>
      </c>
      <c r="N611">
        <f>VLOOKUP(F611,Sheet2!$B$1:$E$19,3,FALSE)</f>
        <v>1108960</v>
      </c>
      <c r="O611">
        <f>IF(G611="Not available","",VLOOKUP(F611,Sheet2!$B$1:$E$19,4,FALSE)+(G611-1))</f>
        <v>3780339</v>
      </c>
    </row>
    <row r="612" spans="1:15" s="1" customFormat="1" ht="15" customHeight="1" x14ac:dyDescent="0.25">
      <c r="A612" s="18" t="s">
        <v>621</v>
      </c>
      <c r="B612" s="18" t="s">
        <v>624</v>
      </c>
      <c r="C612" s="5">
        <v>1840</v>
      </c>
      <c r="D612" s="1" t="s">
        <v>58</v>
      </c>
      <c r="E612" s="1" t="s">
        <v>2</v>
      </c>
      <c r="F612" s="18">
        <v>2174</v>
      </c>
      <c r="G612" s="18">
        <v>113</v>
      </c>
      <c r="H612" s="6" t="s">
        <v>3179</v>
      </c>
      <c r="I612" s="1">
        <v>181</v>
      </c>
      <c r="J612" s="1">
        <v>205</v>
      </c>
      <c r="L612" t="str">
        <f t="shared" si="9"/>
        <v>http://www.badatelna.eu/reprodukce/?fondId=1073&amp;zaznamId=1108960&amp;reproId=3780337</v>
      </c>
      <c r="M612">
        <f>VLOOKUP(F612,Sheet2!$B$1:$E$19,2,FALSE)</f>
        <v>1073</v>
      </c>
      <c r="N612">
        <f>VLOOKUP(F612,Sheet2!$B$1:$E$19,3,FALSE)</f>
        <v>1108960</v>
      </c>
      <c r="O612">
        <f>IF(G612="Not available","",VLOOKUP(F612,Sheet2!$B$1:$E$19,4,FALSE)+(G612-1))</f>
        <v>3780337</v>
      </c>
    </row>
    <row r="613" spans="1:15" s="1" customFormat="1" ht="15" customHeight="1" x14ac:dyDescent="0.25">
      <c r="A613" s="18" t="s">
        <v>621</v>
      </c>
      <c r="B613" s="18" t="s">
        <v>233</v>
      </c>
      <c r="C613" s="5">
        <v>1843</v>
      </c>
      <c r="D613" s="1" t="s">
        <v>622</v>
      </c>
      <c r="E613" s="1" t="s">
        <v>2</v>
      </c>
      <c r="F613" s="18">
        <v>2174</v>
      </c>
      <c r="G613" s="18">
        <v>131</v>
      </c>
      <c r="H613" s="6" t="s">
        <v>3193</v>
      </c>
      <c r="I613" s="1">
        <v>181</v>
      </c>
      <c r="J613" s="1">
        <v>205</v>
      </c>
      <c r="L613" t="str">
        <f t="shared" si="9"/>
        <v>http://www.badatelna.eu/reprodukce/?fondId=1073&amp;zaznamId=1108960&amp;reproId=3780355</v>
      </c>
      <c r="M613">
        <f>VLOOKUP(F613,Sheet2!$B$1:$E$19,2,FALSE)</f>
        <v>1073</v>
      </c>
      <c r="N613">
        <f>VLOOKUP(F613,Sheet2!$B$1:$E$19,3,FALSE)</f>
        <v>1108960</v>
      </c>
      <c r="O613">
        <f>IF(G613="Not available","",VLOOKUP(F613,Sheet2!$B$1:$E$19,4,FALSE)+(G613-1))</f>
        <v>3780355</v>
      </c>
    </row>
    <row r="614" spans="1:15" s="1" customFormat="1" ht="15" customHeight="1" x14ac:dyDescent="0.25">
      <c r="A614" s="18" t="s">
        <v>621</v>
      </c>
      <c r="B614" s="18" t="s">
        <v>544</v>
      </c>
      <c r="C614" s="5">
        <v>1850</v>
      </c>
      <c r="D614" s="1" t="s">
        <v>622</v>
      </c>
      <c r="E614" s="1" t="s">
        <v>2</v>
      </c>
      <c r="F614" s="18">
        <v>2164</v>
      </c>
      <c r="G614" s="18">
        <v>85</v>
      </c>
      <c r="H614" s="5">
        <v>63</v>
      </c>
      <c r="I614" s="1">
        <v>123</v>
      </c>
      <c r="J614" s="4" t="s">
        <v>3271</v>
      </c>
      <c r="L614" t="str">
        <f t="shared" si="9"/>
        <v>http://www.badatelna.eu/reprodukce/?fondId=1073&amp;zaznamId=1108951&amp;reproId=3778799</v>
      </c>
      <c r="M614">
        <f>VLOOKUP(F614,Sheet2!$B$1:$E$19,2,FALSE)</f>
        <v>1073</v>
      </c>
      <c r="N614">
        <f>VLOOKUP(F614,Sheet2!$B$1:$E$19,3,FALSE)</f>
        <v>1108951</v>
      </c>
      <c r="O614">
        <f>IF(G614="Not available","",VLOOKUP(F614,Sheet2!$B$1:$E$19,4,FALSE)+(G614-1))</f>
        <v>3778799</v>
      </c>
    </row>
    <row r="615" spans="1:15" s="1" customFormat="1" ht="15" customHeight="1" x14ac:dyDescent="0.25">
      <c r="A615" s="18" t="s">
        <v>621</v>
      </c>
      <c r="B615" s="18" t="s">
        <v>434</v>
      </c>
      <c r="C615" s="5">
        <v>1842</v>
      </c>
      <c r="D615" s="1" t="s">
        <v>58</v>
      </c>
      <c r="E615" s="1" t="s">
        <v>2</v>
      </c>
      <c r="F615" s="18">
        <v>2174</v>
      </c>
      <c r="G615" s="18">
        <v>127</v>
      </c>
      <c r="H615" s="6" t="s">
        <v>3190</v>
      </c>
      <c r="I615" s="1">
        <v>181</v>
      </c>
      <c r="J615" s="1">
        <v>205</v>
      </c>
      <c r="L615" t="str">
        <f t="shared" si="9"/>
        <v>http://www.badatelna.eu/reprodukce/?fondId=1073&amp;zaznamId=1108960&amp;reproId=3780351</v>
      </c>
      <c r="M615">
        <f>VLOOKUP(F615,Sheet2!$B$1:$E$19,2,FALSE)</f>
        <v>1073</v>
      </c>
      <c r="N615">
        <f>VLOOKUP(F615,Sheet2!$B$1:$E$19,3,FALSE)</f>
        <v>1108960</v>
      </c>
      <c r="O615">
        <f>IF(G615="Not available","",VLOOKUP(F615,Sheet2!$B$1:$E$19,4,FALSE)+(G615-1))</f>
        <v>3780351</v>
      </c>
    </row>
    <row r="616" spans="1:15" s="1" customFormat="1" ht="15" customHeight="1" x14ac:dyDescent="0.25">
      <c r="A616" s="18" t="s">
        <v>621</v>
      </c>
      <c r="B616" s="18" t="s">
        <v>434</v>
      </c>
      <c r="C616" s="5">
        <v>1852</v>
      </c>
      <c r="D616" s="1" t="s">
        <v>622</v>
      </c>
      <c r="E616" s="1" t="s">
        <v>2</v>
      </c>
      <c r="F616" s="18">
        <v>2164</v>
      </c>
      <c r="G616" s="18">
        <v>79</v>
      </c>
      <c r="H616" s="5">
        <v>77</v>
      </c>
      <c r="I616" s="1">
        <v>123</v>
      </c>
      <c r="J616" s="4" t="s">
        <v>3271</v>
      </c>
      <c r="L616" t="str">
        <f t="shared" si="9"/>
        <v>http://www.badatelna.eu/reprodukce/?fondId=1073&amp;zaznamId=1108951&amp;reproId=3778793</v>
      </c>
      <c r="M616">
        <f>VLOOKUP(F616,Sheet2!$B$1:$E$19,2,FALSE)</f>
        <v>1073</v>
      </c>
      <c r="N616">
        <f>VLOOKUP(F616,Sheet2!$B$1:$E$19,3,FALSE)</f>
        <v>1108951</v>
      </c>
      <c r="O616">
        <f>IF(G616="Not available","",VLOOKUP(F616,Sheet2!$B$1:$E$19,4,FALSE)+(G616-1))</f>
        <v>3778793</v>
      </c>
    </row>
    <row r="617" spans="1:15" s="1" customFormat="1" ht="15" customHeight="1" x14ac:dyDescent="0.25">
      <c r="A617" s="18" t="s">
        <v>621</v>
      </c>
      <c r="B617" s="18" t="s">
        <v>398</v>
      </c>
      <c r="C617" s="5">
        <v>1839</v>
      </c>
      <c r="D617" s="1" t="s">
        <v>58</v>
      </c>
      <c r="E617" s="1" t="s">
        <v>2</v>
      </c>
      <c r="F617" s="18">
        <v>2174</v>
      </c>
      <c r="G617" s="18">
        <v>104</v>
      </c>
      <c r="H617" s="6" t="s">
        <v>3174</v>
      </c>
      <c r="I617" s="1">
        <v>181</v>
      </c>
      <c r="J617" s="1">
        <v>205</v>
      </c>
      <c r="L617" t="str">
        <f t="shared" si="9"/>
        <v>http://www.badatelna.eu/reprodukce/?fondId=1073&amp;zaznamId=1108960&amp;reproId=3780328</v>
      </c>
      <c r="M617">
        <f>VLOOKUP(F617,Sheet2!$B$1:$E$19,2,FALSE)</f>
        <v>1073</v>
      </c>
      <c r="N617">
        <f>VLOOKUP(F617,Sheet2!$B$1:$E$19,3,FALSE)</f>
        <v>1108960</v>
      </c>
      <c r="O617">
        <f>IF(G617="Not available","",VLOOKUP(F617,Sheet2!$B$1:$E$19,4,FALSE)+(G617-1))</f>
        <v>3780328</v>
      </c>
    </row>
    <row r="618" spans="1:15" s="1" customFormat="1" ht="15" customHeight="1" x14ac:dyDescent="0.25">
      <c r="A618" s="18" t="s">
        <v>621</v>
      </c>
      <c r="B618" s="18" t="s">
        <v>593</v>
      </c>
      <c r="C618" s="5">
        <v>1839</v>
      </c>
      <c r="D618" s="1" t="s">
        <v>622</v>
      </c>
      <c r="E618" s="1" t="s">
        <v>2</v>
      </c>
      <c r="F618" s="18">
        <v>2174</v>
      </c>
      <c r="G618" s="18">
        <v>106</v>
      </c>
      <c r="H618" s="6" t="s">
        <v>3173</v>
      </c>
      <c r="I618" s="1">
        <v>181</v>
      </c>
      <c r="J618" s="1">
        <v>205</v>
      </c>
      <c r="L618" t="str">
        <f t="shared" si="9"/>
        <v>http://www.badatelna.eu/reprodukce/?fondId=1073&amp;zaznamId=1108960&amp;reproId=3780330</v>
      </c>
      <c r="M618">
        <f>VLOOKUP(F618,Sheet2!$B$1:$E$19,2,FALSE)</f>
        <v>1073</v>
      </c>
      <c r="N618">
        <f>VLOOKUP(F618,Sheet2!$B$1:$E$19,3,FALSE)</f>
        <v>1108960</v>
      </c>
      <c r="O618">
        <f>IF(G618="Not available","",VLOOKUP(F618,Sheet2!$B$1:$E$19,4,FALSE)+(G618-1))</f>
        <v>3780330</v>
      </c>
    </row>
    <row r="619" spans="1:15" s="1" customFormat="1" ht="15" customHeight="1" x14ac:dyDescent="0.25">
      <c r="A619" s="18" t="s">
        <v>153</v>
      </c>
      <c r="B619" s="18" t="s">
        <v>154</v>
      </c>
      <c r="C619" s="5">
        <v>1826</v>
      </c>
      <c r="E619" s="1" t="s">
        <v>2</v>
      </c>
      <c r="F619" s="18">
        <v>2173</v>
      </c>
      <c r="G619" s="18">
        <v>80</v>
      </c>
      <c r="H619" s="5">
        <v>155</v>
      </c>
      <c r="I619" s="1">
        <v>93</v>
      </c>
      <c r="J619" s="1">
        <v>194</v>
      </c>
      <c r="L619" t="str">
        <f t="shared" si="9"/>
        <v>http://www.badatelna.eu/reprodukce/?fondId=1073&amp;zaznamId=1108959&amp;reproId=3780073</v>
      </c>
      <c r="M619">
        <f>VLOOKUP(F619,Sheet2!$B$1:$E$19,2,FALSE)</f>
        <v>1073</v>
      </c>
      <c r="N619">
        <f>VLOOKUP(F619,Sheet2!$B$1:$E$19,3,FALSE)</f>
        <v>1108959</v>
      </c>
      <c r="O619">
        <f>IF(G619="Not available","",VLOOKUP(F619,Sheet2!$B$1:$E$19,4,FALSE)+(G619-1))</f>
        <v>3780073</v>
      </c>
    </row>
    <row r="620" spans="1:15" s="1" customFormat="1" ht="15" customHeight="1" x14ac:dyDescent="0.25">
      <c r="A620" s="18" t="s">
        <v>47</v>
      </c>
      <c r="B620" s="18" t="s">
        <v>482</v>
      </c>
      <c r="C620" s="5">
        <v>1835</v>
      </c>
      <c r="D620" s="1" t="s">
        <v>466</v>
      </c>
      <c r="E620" s="1" t="s">
        <v>2</v>
      </c>
      <c r="F620" s="18">
        <v>2174</v>
      </c>
      <c r="G620" s="18">
        <v>81</v>
      </c>
      <c r="H620" s="6" t="s">
        <v>3148</v>
      </c>
      <c r="I620" s="1">
        <v>180</v>
      </c>
      <c r="J620" s="1">
        <v>204</v>
      </c>
      <c r="L620" t="str">
        <f t="shared" si="9"/>
        <v>http://www.badatelna.eu/reprodukce/?fondId=1073&amp;zaznamId=1108960&amp;reproId=3780305</v>
      </c>
      <c r="M620">
        <f>VLOOKUP(F620,Sheet2!$B$1:$E$19,2,FALSE)</f>
        <v>1073</v>
      </c>
      <c r="N620">
        <f>VLOOKUP(F620,Sheet2!$B$1:$E$19,3,FALSE)</f>
        <v>1108960</v>
      </c>
      <c r="O620">
        <f>IF(G620="Not available","",VLOOKUP(F620,Sheet2!$B$1:$E$19,4,FALSE)+(G620-1))</f>
        <v>3780305</v>
      </c>
    </row>
    <row r="621" spans="1:15" s="1" customFormat="1" ht="15" customHeight="1" x14ac:dyDescent="0.25">
      <c r="A621" s="21" t="s">
        <v>47</v>
      </c>
      <c r="B621" s="21" t="s">
        <v>46</v>
      </c>
      <c r="C621" s="7">
        <v>1786</v>
      </c>
      <c r="D621" s="2" t="s">
        <v>17</v>
      </c>
      <c r="E621" s="1" t="s">
        <v>2</v>
      </c>
      <c r="F621" s="18">
        <v>2173</v>
      </c>
      <c r="G621" s="21">
        <v>13</v>
      </c>
      <c r="H621" s="7">
        <v>20</v>
      </c>
      <c r="I621" s="2">
        <v>91</v>
      </c>
      <c r="J621" s="2">
        <v>189</v>
      </c>
      <c r="K621" s="2"/>
      <c r="L621" t="str">
        <f t="shared" si="9"/>
        <v>http://www.badatelna.eu/reprodukce/?fondId=1073&amp;zaznamId=1108959&amp;reproId=3780006</v>
      </c>
      <c r="M621">
        <f>VLOOKUP(F621,Sheet2!$B$1:$E$19,2,FALSE)</f>
        <v>1073</v>
      </c>
      <c r="N621">
        <f>VLOOKUP(F621,Sheet2!$B$1:$E$19,3,FALSE)</f>
        <v>1108959</v>
      </c>
      <c r="O621">
        <f>IF(G621="Not available","",VLOOKUP(F621,Sheet2!$B$1:$E$19,4,FALSE)+(G621-1))</f>
        <v>3780006</v>
      </c>
    </row>
    <row r="622" spans="1:15" s="1" customFormat="1" ht="15" customHeight="1" x14ac:dyDescent="0.25">
      <c r="A622" s="18" t="s">
        <v>47</v>
      </c>
      <c r="B622" s="18" t="s">
        <v>434</v>
      </c>
      <c r="C622" s="5">
        <v>1836</v>
      </c>
      <c r="D622" s="1" t="s">
        <v>466</v>
      </c>
      <c r="E622" s="1" t="s">
        <v>2</v>
      </c>
      <c r="F622" s="18">
        <v>2174</v>
      </c>
      <c r="G622" s="18">
        <v>86</v>
      </c>
      <c r="H622" s="6" t="s">
        <v>3153</v>
      </c>
      <c r="I622" s="1">
        <v>180</v>
      </c>
      <c r="J622" s="1">
        <v>204</v>
      </c>
      <c r="L622" t="str">
        <f t="shared" si="9"/>
        <v>http://www.badatelna.eu/reprodukce/?fondId=1073&amp;zaznamId=1108960&amp;reproId=3780310</v>
      </c>
      <c r="M622">
        <f>VLOOKUP(F622,Sheet2!$B$1:$E$19,2,FALSE)</f>
        <v>1073</v>
      </c>
      <c r="N622">
        <f>VLOOKUP(F622,Sheet2!$B$1:$E$19,3,FALSE)</f>
        <v>1108960</v>
      </c>
      <c r="O622">
        <f>IF(G622="Not available","",VLOOKUP(F622,Sheet2!$B$1:$E$19,4,FALSE)+(G622-1))</f>
        <v>3780310</v>
      </c>
    </row>
    <row r="623" spans="1:15" s="1" customFormat="1" ht="15" customHeight="1" x14ac:dyDescent="0.25">
      <c r="A623" s="18" t="s">
        <v>824</v>
      </c>
      <c r="B623" s="18" t="s">
        <v>486</v>
      </c>
      <c r="C623" s="5">
        <v>1852</v>
      </c>
      <c r="D623" s="1" t="s">
        <v>150</v>
      </c>
      <c r="E623" s="1" t="s">
        <v>2</v>
      </c>
      <c r="F623" s="18">
        <v>2164</v>
      </c>
      <c r="G623" s="18">
        <v>88</v>
      </c>
      <c r="H623" s="5">
        <v>86</v>
      </c>
      <c r="I623" s="1">
        <v>123</v>
      </c>
      <c r="J623" s="4" t="s">
        <v>3271</v>
      </c>
      <c r="L623" t="str">
        <f t="shared" si="9"/>
        <v>http://www.badatelna.eu/reprodukce/?fondId=1073&amp;zaznamId=1108951&amp;reproId=3778802</v>
      </c>
      <c r="M623">
        <f>VLOOKUP(F623,Sheet2!$B$1:$E$19,2,FALSE)</f>
        <v>1073</v>
      </c>
      <c r="N623">
        <f>VLOOKUP(F623,Sheet2!$B$1:$E$19,3,FALSE)</f>
        <v>1108951</v>
      </c>
      <c r="O623">
        <f>IF(G623="Not available","",VLOOKUP(F623,Sheet2!$B$1:$E$19,4,FALSE)+(G623-1))</f>
        <v>3778802</v>
      </c>
    </row>
    <row r="624" spans="1:15" s="1" customFormat="1" ht="15" customHeight="1" x14ac:dyDescent="0.25">
      <c r="A624" s="18" t="s">
        <v>824</v>
      </c>
      <c r="B624" s="18" t="s">
        <v>478</v>
      </c>
      <c r="C624" s="5">
        <v>1855</v>
      </c>
      <c r="D624" s="1" t="s">
        <v>680</v>
      </c>
      <c r="E624" s="1" t="s">
        <v>2</v>
      </c>
      <c r="F624" s="18">
        <v>2164</v>
      </c>
      <c r="G624" s="18">
        <v>105</v>
      </c>
      <c r="H624" s="5">
        <v>103</v>
      </c>
      <c r="I624" s="1">
        <v>123</v>
      </c>
      <c r="J624" s="4" t="s">
        <v>3271</v>
      </c>
      <c r="L624" t="str">
        <f t="shared" si="9"/>
        <v>http://www.badatelna.eu/reprodukce/?fondId=1073&amp;zaznamId=1108951&amp;reproId=3778819</v>
      </c>
      <c r="M624">
        <f>VLOOKUP(F624,Sheet2!$B$1:$E$19,2,FALSE)</f>
        <v>1073</v>
      </c>
      <c r="N624">
        <f>VLOOKUP(F624,Sheet2!$B$1:$E$19,3,FALSE)</f>
        <v>1108951</v>
      </c>
      <c r="O624">
        <f>IF(G624="Not available","",VLOOKUP(F624,Sheet2!$B$1:$E$19,4,FALSE)+(G624-1))</f>
        <v>3778819</v>
      </c>
    </row>
    <row r="625" spans="1:15" s="1" customFormat="1" ht="15" customHeight="1" x14ac:dyDescent="0.25">
      <c r="A625" s="18" t="s">
        <v>824</v>
      </c>
      <c r="B625" s="18" t="s">
        <v>137</v>
      </c>
      <c r="C625" s="5">
        <v>1858</v>
      </c>
      <c r="D625" s="1" t="s">
        <v>836</v>
      </c>
      <c r="E625" s="1" t="s">
        <v>2</v>
      </c>
      <c r="F625" s="18">
        <v>2164</v>
      </c>
      <c r="G625" s="18">
        <v>121</v>
      </c>
      <c r="H625" s="5">
        <v>119</v>
      </c>
      <c r="I625" s="1">
        <v>124</v>
      </c>
      <c r="J625" s="4" t="s">
        <v>3271</v>
      </c>
      <c r="L625" t="str">
        <f t="shared" si="9"/>
        <v>http://www.badatelna.eu/reprodukce/?fondId=1073&amp;zaznamId=1108951&amp;reproId=3778835</v>
      </c>
      <c r="M625">
        <f>VLOOKUP(F625,Sheet2!$B$1:$E$19,2,FALSE)</f>
        <v>1073</v>
      </c>
      <c r="N625">
        <f>VLOOKUP(F625,Sheet2!$B$1:$E$19,3,FALSE)</f>
        <v>1108951</v>
      </c>
      <c r="O625">
        <f>IF(G625="Not available","",VLOOKUP(F625,Sheet2!$B$1:$E$19,4,FALSE)+(G625-1))</f>
        <v>3778835</v>
      </c>
    </row>
    <row r="626" spans="1:15" s="1" customFormat="1" ht="15" customHeight="1" x14ac:dyDescent="0.25">
      <c r="A626" s="18" t="s">
        <v>824</v>
      </c>
      <c r="B626" s="18" t="s">
        <v>58</v>
      </c>
      <c r="C626" s="5">
        <v>1859</v>
      </c>
      <c r="E626" s="1" t="s">
        <v>939</v>
      </c>
      <c r="F626" s="18">
        <v>999</v>
      </c>
      <c r="G626" s="18">
        <v>13</v>
      </c>
      <c r="H626" s="5">
        <v>11</v>
      </c>
      <c r="I626" s="1">
        <v>63</v>
      </c>
      <c r="J626" s="1">
        <v>96</v>
      </c>
      <c r="L626" t="str">
        <f t="shared" si="9"/>
        <v>http://www.badatelna.eu/reprodukce/?fondId=241&amp;zaznamId=1133739&amp;reproId=3885742</v>
      </c>
      <c r="M626">
        <f>VLOOKUP(F626,Sheet2!$B$1:$E$19,2,FALSE)</f>
        <v>241</v>
      </c>
      <c r="N626">
        <f>VLOOKUP(F626,Sheet2!$B$1:$E$19,3,FALSE)</f>
        <v>1133739</v>
      </c>
      <c r="O626">
        <f>IF(G626="Not available","",VLOOKUP(F626,Sheet2!$B$1:$E$19,4,FALSE)+(G626-1))</f>
        <v>3885742</v>
      </c>
    </row>
    <row r="627" spans="1:15" s="1" customFormat="1" ht="15" customHeight="1" x14ac:dyDescent="0.25">
      <c r="A627" s="19" t="s">
        <v>837</v>
      </c>
      <c r="B627" s="18" t="s">
        <v>146</v>
      </c>
      <c r="C627" s="5">
        <v>1850</v>
      </c>
      <c r="D627" s="1" t="s">
        <v>680</v>
      </c>
      <c r="E627" s="1" t="s">
        <v>2</v>
      </c>
      <c r="F627" s="18">
        <v>2164</v>
      </c>
      <c r="G627" s="18">
        <v>72</v>
      </c>
      <c r="H627" s="5">
        <v>70</v>
      </c>
      <c r="I627" s="1">
        <v>123</v>
      </c>
      <c r="J627" s="4" t="s">
        <v>3271</v>
      </c>
      <c r="L627" t="str">
        <f t="shared" si="9"/>
        <v>http://www.badatelna.eu/reprodukce/?fondId=1073&amp;zaznamId=1108951&amp;reproId=3778786</v>
      </c>
      <c r="M627">
        <f>VLOOKUP(F627,Sheet2!$B$1:$E$19,2,FALSE)</f>
        <v>1073</v>
      </c>
      <c r="N627">
        <f>VLOOKUP(F627,Sheet2!$B$1:$E$19,3,FALSE)</f>
        <v>1108951</v>
      </c>
      <c r="O627">
        <f>IF(G627="Not available","",VLOOKUP(F627,Sheet2!$B$1:$E$19,4,FALSE)+(G627-1))</f>
        <v>3778786</v>
      </c>
    </row>
    <row r="628" spans="1:15" s="1" customFormat="1" ht="15" customHeight="1" x14ac:dyDescent="0.25">
      <c r="A628" s="18" t="s">
        <v>611</v>
      </c>
      <c r="B628" s="18" t="s">
        <v>815</v>
      </c>
      <c r="C628" s="5">
        <v>1850</v>
      </c>
      <c r="D628" s="1" t="s">
        <v>628</v>
      </c>
      <c r="E628" s="1" t="s">
        <v>2</v>
      </c>
      <c r="F628" s="18">
        <v>2164</v>
      </c>
      <c r="G628" s="18">
        <v>74</v>
      </c>
      <c r="H628" s="5">
        <v>72</v>
      </c>
      <c r="I628" s="1">
        <v>123</v>
      </c>
      <c r="J628" s="4" t="s">
        <v>3271</v>
      </c>
      <c r="L628" t="str">
        <f t="shared" si="9"/>
        <v>http://www.badatelna.eu/reprodukce/?fondId=1073&amp;zaznamId=1108951&amp;reproId=3778788</v>
      </c>
      <c r="M628">
        <f>VLOOKUP(F628,Sheet2!$B$1:$E$19,2,FALSE)</f>
        <v>1073</v>
      </c>
      <c r="N628">
        <f>VLOOKUP(F628,Sheet2!$B$1:$E$19,3,FALSE)</f>
        <v>1108951</v>
      </c>
      <c r="O628">
        <f>IF(G628="Not available","",VLOOKUP(F628,Sheet2!$B$1:$E$19,4,FALSE)+(G628-1))</f>
        <v>3778788</v>
      </c>
    </row>
    <row r="629" spans="1:15" s="1" customFormat="1" ht="15" customHeight="1" x14ac:dyDescent="0.25">
      <c r="A629" s="18" t="s">
        <v>611</v>
      </c>
      <c r="B629" s="18" t="s">
        <v>602</v>
      </c>
      <c r="C629" s="5">
        <v>1835</v>
      </c>
      <c r="D629" s="1" t="s">
        <v>613</v>
      </c>
      <c r="E629" s="1" t="s">
        <v>2</v>
      </c>
      <c r="F629" s="18">
        <v>2174</v>
      </c>
      <c r="G629" s="18">
        <v>83</v>
      </c>
      <c r="H629" s="6" t="s">
        <v>3147</v>
      </c>
      <c r="I629" s="1">
        <v>180</v>
      </c>
      <c r="J629" s="1">
        <v>204</v>
      </c>
      <c r="L629" t="str">
        <f t="shared" si="9"/>
        <v>http://www.badatelna.eu/reprodukce/?fondId=1073&amp;zaznamId=1108960&amp;reproId=3780307</v>
      </c>
      <c r="M629">
        <f>VLOOKUP(F629,Sheet2!$B$1:$E$19,2,FALSE)</f>
        <v>1073</v>
      </c>
      <c r="N629">
        <f>VLOOKUP(F629,Sheet2!$B$1:$E$19,3,FALSE)</f>
        <v>1108960</v>
      </c>
      <c r="O629">
        <f>IF(G629="Not available","",VLOOKUP(F629,Sheet2!$B$1:$E$19,4,FALSE)+(G629-1))</f>
        <v>3780307</v>
      </c>
    </row>
    <row r="630" spans="1:15" s="1" customFormat="1" ht="15" customHeight="1" x14ac:dyDescent="0.25">
      <c r="A630" s="18" t="s">
        <v>611</v>
      </c>
      <c r="B630" s="18" t="s">
        <v>172</v>
      </c>
      <c r="C630" s="5">
        <v>1833</v>
      </c>
      <c r="D630" s="1" t="s">
        <v>613</v>
      </c>
      <c r="E630" s="1" t="s">
        <v>2</v>
      </c>
      <c r="F630" s="18">
        <v>2174</v>
      </c>
      <c r="G630" s="18">
        <v>73</v>
      </c>
      <c r="H630" s="6" t="s">
        <v>3138</v>
      </c>
      <c r="I630" s="1">
        <v>180</v>
      </c>
      <c r="J630" s="1">
        <v>204</v>
      </c>
      <c r="L630" t="str">
        <f t="shared" si="9"/>
        <v>http://www.badatelna.eu/reprodukce/?fondId=1073&amp;zaznamId=1108960&amp;reproId=3780297</v>
      </c>
      <c r="M630">
        <f>VLOOKUP(F630,Sheet2!$B$1:$E$19,2,FALSE)</f>
        <v>1073</v>
      </c>
      <c r="N630">
        <f>VLOOKUP(F630,Sheet2!$B$1:$E$19,3,FALSE)</f>
        <v>1108960</v>
      </c>
      <c r="O630">
        <f>IF(G630="Not available","",VLOOKUP(F630,Sheet2!$B$1:$E$19,4,FALSE)+(G630-1))</f>
        <v>3780297</v>
      </c>
    </row>
    <row r="631" spans="1:15" s="1" customFormat="1" ht="15" customHeight="1" x14ac:dyDescent="0.25">
      <c r="A631" s="18" t="s">
        <v>611</v>
      </c>
      <c r="B631" s="18" t="s">
        <v>233</v>
      </c>
      <c r="C631" s="5">
        <v>1836</v>
      </c>
      <c r="D631" s="1" t="s">
        <v>613</v>
      </c>
      <c r="E631" s="1" t="s">
        <v>2</v>
      </c>
      <c r="F631" s="18">
        <v>2174</v>
      </c>
      <c r="G631" s="18">
        <v>88</v>
      </c>
      <c r="H631" s="6" t="s">
        <v>3155</v>
      </c>
      <c r="I631" s="1">
        <v>180</v>
      </c>
      <c r="J631" s="1">
        <v>204</v>
      </c>
      <c r="L631" t="str">
        <f t="shared" si="9"/>
        <v>http://www.badatelna.eu/reprodukce/?fondId=1073&amp;zaznamId=1108960&amp;reproId=3780312</v>
      </c>
      <c r="M631">
        <f>VLOOKUP(F631,Sheet2!$B$1:$E$19,2,FALSE)</f>
        <v>1073</v>
      </c>
      <c r="N631">
        <f>VLOOKUP(F631,Sheet2!$B$1:$E$19,3,FALSE)</f>
        <v>1108960</v>
      </c>
      <c r="O631">
        <f>IF(G631="Not available","",VLOOKUP(F631,Sheet2!$B$1:$E$19,4,FALSE)+(G631-1))</f>
        <v>3780312</v>
      </c>
    </row>
    <row r="632" spans="1:15" s="1" customFormat="1" ht="15" customHeight="1" x14ac:dyDescent="0.25">
      <c r="A632" s="18" t="s">
        <v>611</v>
      </c>
      <c r="B632" s="18" t="s">
        <v>620</v>
      </c>
      <c r="C632" s="5">
        <v>1838</v>
      </c>
      <c r="D632" s="1" t="s">
        <v>613</v>
      </c>
      <c r="E632" s="1" t="s">
        <v>2</v>
      </c>
      <c r="F632" s="18">
        <v>2174</v>
      </c>
      <c r="G632" s="18">
        <v>100</v>
      </c>
      <c r="H632" s="6" t="s">
        <v>3168</v>
      </c>
      <c r="I632" s="1">
        <v>181</v>
      </c>
      <c r="J632" s="1">
        <v>205</v>
      </c>
      <c r="L632" t="str">
        <f t="shared" si="9"/>
        <v>http://www.badatelna.eu/reprodukce/?fondId=1073&amp;zaznamId=1108960&amp;reproId=3780324</v>
      </c>
      <c r="M632">
        <f>VLOOKUP(F632,Sheet2!$B$1:$E$19,2,FALSE)</f>
        <v>1073</v>
      </c>
      <c r="N632">
        <f>VLOOKUP(F632,Sheet2!$B$1:$E$19,3,FALSE)</f>
        <v>1108960</v>
      </c>
      <c r="O632">
        <f>IF(G632="Not available","",VLOOKUP(F632,Sheet2!$B$1:$E$19,4,FALSE)+(G632-1))</f>
        <v>3780324</v>
      </c>
    </row>
    <row r="633" spans="1:15" s="1" customFormat="1" ht="15" customHeight="1" x14ac:dyDescent="0.25">
      <c r="A633" s="18" t="s">
        <v>611</v>
      </c>
      <c r="B633" s="18" t="s">
        <v>629</v>
      </c>
      <c r="C633" s="5">
        <v>1843</v>
      </c>
      <c r="D633" s="4" t="s">
        <v>1943</v>
      </c>
      <c r="E633" s="1" t="s">
        <v>2</v>
      </c>
      <c r="F633" s="18">
        <v>2174</v>
      </c>
      <c r="G633" s="18">
        <v>136</v>
      </c>
      <c r="H633" s="6" t="s">
        <v>3202</v>
      </c>
      <c r="I633" s="1">
        <v>181</v>
      </c>
      <c r="J633" s="1">
        <v>206</v>
      </c>
      <c r="L633" t="str">
        <f t="shared" si="9"/>
        <v>http://www.badatelna.eu/reprodukce/?fondId=1073&amp;zaznamId=1108960&amp;reproId=3780360</v>
      </c>
      <c r="M633">
        <f>VLOOKUP(F633,Sheet2!$B$1:$E$19,2,FALSE)</f>
        <v>1073</v>
      </c>
      <c r="N633">
        <f>VLOOKUP(F633,Sheet2!$B$1:$E$19,3,FALSE)</f>
        <v>1108960</v>
      </c>
      <c r="O633">
        <f>IF(G633="Not available","",VLOOKUP(F633,Sheet2!$B$1:$E$19,4,FALSE)+(G633-1))</f>
        <v>3780360</v>
      </c>
    </row>
    <row r="634" spans="1:15" s="1" customFormat="1" ht="15" customHeight="1" x14ac:dyDescent="0.25">
      <c r="A634" s="18" t="s">
        <v>1191</v>
      </c>
      <c r="B634" s="18" t="s">
        <v>1977</v>
      </c>
      <c r="C634" s="6" t="s">
        <v>2068</v>
      </c>
      <c r="D634" s="4" t="s">
        <v>2070</v>
      </c>
      <c r="E634" s="4" t="s">
        <v>2</v>
      </c>
      <c r="F634" s="18">
        <v>2176</v>
      </c>
      <c r="G634" s="18" t="s">
        <v>3271</v>
      </c>
      <c r="H634" s="6" t="s">
        <v>1979</v>
      </c>
      <c r="I634" s="1">
        <v>5</v>
      </c>
      <c r="J634" s="1" t="s">
        <v>3271</v>
      </c>
      <c r="K634" s="3"/>
      <c r="L634" t="str">
        <f t="shared" si="9"/>
        <v/>
      </c>
      <c r="M634">
        <f>VLOOKUP(F634,Sheet2!$B$1:$E$19,2,FALSE)</f>
        <v>1073</v>
      </c>
      <c r="N634">
        <f>VLOOKUP(F634,Sheet2!$B$1:$E$19,3,FALSE)</f>
        <v>1108963</v>
      </c>
      <c r="O634" t="str">
        <f>IF(G634="Not available","",VLOOKUP(F634,Sheet2!$B$1:$E$19,4,FALSE)+(G634-1))</f>
        <v/>
      </c>
    </row>
    <row r="635" spans="1:15" s="1" customFormat="1" ht="15" customHeight="1" x14ac:dyDescent="0.25">
      <c r="A635" s="18" t="s">
        <v>1191</v>
      </c>
      <c r="B635" s="18" t="s">
        <v>774</v>
      </c>
      <c r="C635" s="5">
        <v>1889</v>
      </c>
      <c r="D635" s="1" t="s">
        <v>434</v>
      </c>
      <c r="E635" s="1" t="s">
        <v>2</v>
      </c>
      <c r="F635" s="18">
        <v>2165</v>
      </c>
      <c r="G635" s="18">
        <v>222</v>
      </c>
      <c r="H635" s="5">
        <v>2</v>
      </c>
      <c r="I635" s="1">
        <v>225</v>
      </c>
      <c r="J635" s="1">
        <v>201</v>
      </c>
      <c r="L635" t="str">
        <f t="shared" si="9"/>
        <v>http://www.badatelna.eu/reprodukce/?fondId=1073&amp;zaznamId=1108952&amp;reproId=3779083</v>
      </c>
      <c r="M635">
        <f>VLOOKUP(F635,Sheet2!$B$1:$E$19,2,FALSE)</f>
        <v>1073</v>
      </c>
      <c r="N635">
        <f>VLOOKUP(F635,Sheet2!$B$1:$E$19,3,FALSE)</f>
        <v>1108952</v>
      </c>
      <c r="O635">
        <f>IF(G635="Not available","",VLOOKUP(F635,Sheet2!$B$1:$E$19,4,FALSE)+(G635-1))</f>
        <v>3779083</v>
      </c>
    </row>
    <row r="636" spans="1:15" s="1" customFormat="1" ht="15" customHeight="1" x14ac:dyDescent="0.25">
      <c r="A636" s="18" t="s">
        <v>1189</v>
      </c>
      <c r="B636" s="18" t="s">
        <v>602</v>
      </c>
      <c r="C636" s="6" t="s">
        <v>2072</v>
      </c>
      <c r="D636" s="4" t="s">
        <v>2850</v>
      </c>
      <c r="E636" s="4" t="s">
        <v>2</v>
      </c>
      <c r="F636" s="18">
        <v>2176</v>
      </c>
      <c r="G636" s="18" t="s">
        <v>3271</v>
      </c>
      <c r="H636" s="6" t="s">
        <v>2073</v>
      </c>
      <c r="I636" s="1">
        <v>5</v>
      </c>
      <c r="J636" s="1" t="s">
        <v>3271</v>
      </c>
      <c r="K636" s="3"/>
      <c r="L636" t="str">
        <f t="shared" si="9"/>
        <v/>
      </c>
      <c r="M636">
        <f>VLOOKUP(F636,Sheet2!$B$1:$E$19,2,FALSE)</f>
        <v>1073</v>
      </c>
      <c r="N636">
        <f>VLOOKUP(F636,Sheet2!$B$1:$E$19,3,FALSE)</f>
        <v>1108963</v>
      </c>
      <c r="O636" t="str">
        <f>IF(G636="Not available","",VLOOKUP(F636,Sheet2!$B$1:$E$19,4,FALSE)+(G636-1))</f>
        <v/>
      </c>
    </row>
    <row r="637" spans="1:15" s="1" customFormat="1" ht="15" customHeight="1" x14ac:dyDescent="0.25">
      <c r="A637" s="18" t="s">
        <v>1189</v>
      </c>
      <c r="B637" s="18" t="s">
        <v>602</v>
      </c>
      <c r="C637" s="5" t="s">
        <v>1745</v>
      </c>
      <c r="D637" s="1" t="s">
        <v>1198</v>
      </c>
      <c r="E637" s="1" t="s">
        <v>2</v>
      </c>
      <c r="F637" s="18">
        <v>2165</v>
      </c>
      <c r="G637" s="18">
        <v>230</v>
      </c>
      <c r="H637" s="5">
        <v>3</v>
      </c>
      <c r="I637" s="1">
        <v>231</v>
      </c>
      <c r="J637" s="1">
        <v>207</v>
      </c>
      <c r="L637" t="str">
        <f t="shared" si="9"/>
        <v>http://www.badatelna.eu/reprodukce/?fondId=1073&amp;zaznamId=1108952&amp;reproId=3779091</v>
      </c>
      <c r="M637">
        <f>VLOOKUP(F637,Sheet2!$B$1:$E$19,2,FALSE)</f>
        <v>1073</v>
      </c>
      <c r="N637">
        <f>VLOOKUP(F637,Sheet2!$B$1:$E$19,3,FALSE)</f>
        <v>1108952</v>
      </c>
      <c r="O637">
        <f>IF(G637="Not available","",VLOOKUP(F637,Sheet2!$B$1:$E$19,4,FALSE)+(G637-1))</f>
        <v>3779091</v>
      </c>
    </row>
    <row r="638" spans="1:15" s="1" customFormat="1" ht="15" customHeight="1" x14ac:dyDescent="0.25">
      <c r="A638" s="18" t="s">
        <v>1189</v>
      </c>
      <c r="B638" s="18" t="s">
        <v>398</v>
      </c>
      <c r="C638" s="6" t="s">
        <v>2068</v>
      </c>
      <c r="D638" s="4" t="s">
        <v>2851</v>
      </c>
      <c r="E638" s="4" t="s">
        <v>2</v>
      </c>
      <c r="F638" s="18">
        <v>2176</v>
      </c>
      <c r="G638" s="18" t="s">
        <v>3271</v>
      </c>
      <c r="H638" s="6" t="s">
        <v>2069</v>
      </c>
      <c r="I638" s="1">
        <v>5</v>
      </c>
      <c r="J638" s="1" t="s">
        <v>3271</v>
      </c>
      <c r="K638" s="3"/>
      <c r="L638" t="str">
        <f t="shared" si="9"/>
        <v/>
      </c>
      <c r="M638">
        <f>VLOOKUP(F638,Sheet2!$B$1:$E$19,2,FALSE)</f>
        <v>1073</v>
      </c>
      <c r="N638">
        <f>VLOOKUP(F638,Sheet2!$B$1:$E$19,3,FALSE)</f>
        <v>1108963</v>
      </c>
      <c r="O638" t="str">
        <f>IF(G638="Not available","",VLOOKUP(F638,Sheet2!$B$1:$E$19,4,FALSE)+(G638-1))</f>
        <v/>
      </c>
    </row>
    <row r="639" spans="1:15" s="1" customFormat="1" ht="15" customHeight="1" x14ac:dyDescent="0.25">
      <c r="A639" s="18" t="s">
        <v>1189</v>
      </c>
      <c r="B639" s="18" t="s">
        <v>949</v>
      </c>
      <c r="C639" s="5">
        <v>1889</v>
      </c>
      <c r="D639" s="1" t="s">
        <v>1190</v>
      </c>
      <c r="E639" s="1" t="s">
        <v>2</v>
      </c>
      <c r="F639" s="18">
        <v>2165</v>
      </c>
      <c r="G639" s="18">
        <v>221</v>
      </c>
      <c r="H639" s="5">
        <v>1</v>
      </c>
      <c r="I639" s="1">
        <v>225</v>
      </c>
      <c r="J639" s="1">
        <v>201</v>
      </c>
      <c r="L639" t="str">
        <f t="shared" si="9"/>
        <v>http://www.badatelna.eu/reprodukce/?fondId=1073&amp;zaznamId=1108952&amp;reproId=3779082</v>
      </c>
      <c r="M639">
        <f>VLOOKUP(F639,Sheet2!$B$1:$E$19,2,FALSE)</f>
        <v>1073</v>
      </c>
      <c r="N639">
        <f>VLOOKUP(F639,Sheet2!$B$1:$E$19,3,FALSE)</f>
        <v>1108952</v>
      </c>
      <c r="O639">
        <f>IF(G639="Not available","",VLOOKUP(F639,Sheet2!$B$1:$E$19,4,FALSE)+(G639-1))</f>
        <v>3779082</v>
      </c>
    </row>
    <row r="640" spans="1:15" s="1" customFormat="1" ht="15" customHeight="1" x14ac:dyDescent="0.25">
      <c r="A640" s="18" t="s">
        <v>2059</v>
      </c>
      <c r="B640" s="18" t="s">
        <v>670</v>
      </c>
      <c r="C640" s="6" t="s">
        <v>1949</v>
      </c>
      <c r="D640" s="4" t="s">
        <v>2060</v>
      </c>
      <c r="E640" s="4" t="s">
        <v>2</v>
      </c>
      <c r="F640" s="18">
        <v>2176</v>
      </c>
      <c r="G640" s="18" t="s">
        <v>3271</v>
      </c>
      <c r="H640" s="6" t="s">
        <v>2061</v>
      </c>
      <c r="I640" s="1">
        <v>5</v>
      </c>
      <c r="J640" s="1" t="s">
        <v>3271</v>
      </c>
      <c r="K640" s="3"/>
      <c r="L640" t="str">
        <f t="shared" si="9"/>
        <v/>
      </c>
      <c r="M640">
        <f>VLOOKUP(F640,Sheet2!$B$1:$E$19,2,FALSE)</f>
        <v>1073</v>
      </c>
      <c r="N640">
        <f>VLOOKUP(F640,Sheet2!$B$1:$E$19,3,FALSE)</f>
        <v>1108963</v>
      </c>
      <c r="O640" t="str">
        <f>IF(G640="Not available","",VLOOKUP(F640,Sheet2!$B$1:$E$19,4,FALSE)+(G640-1))</f>
        <v/>
      </c>
    </row>
    <row r="641" spans="1:15" s="1" customFormat="1" ht="15" customHeight="1" x14ac:dyDescent="0.25">
      <c r="A641" s="18" t="s">
        <v>941</v>
      </c>
      <c r="B641" s="18" t="s">
        <v>910</v>
      </c>
      <c r="C641" s="5" t="s">
        <v>1343</v>
      </c>
      <c r="D641" s="1" t="s">
        <v>24</v>
      </c>
      <c r="E641" s="1" t="s">
        <v>2</v>
      </c>
      <c r="F641" s="18">
        <v>2165</v>
      </c>
      <c r="G641" s="18">
        <v>26</v>
      </c>
      <c r="H641" s="5">
        <v>23</v>
      </c>
      <c r="I641" s="1">
        <v>81</v>
      </c>
      <c r="J641" s="1" t="s">
        <v>3271</v>
      </c>
      <c r="L641" t="str">
        <f t="shared" si="9"/>
        <v>http://www.badatelna.eu/reprodukce/?fondId=1073&amp;zaznamId=1108952&amp;reproId=3778887</v>
      </c>
      <c r="M641">
        <f>VLOOKUP(F641,Sheet2!$B$1:$E$19,2,FALSE)</f>
        <v>1073</v>
      </c>
      <c r="N641">
        <f>VLOOKUP(F641,Sheet2!$B$1:$E$19,3,FALSE)</f>
        <v>1108952</v>
      </c>
      <c r="O641">
        <f>IF(G641="Not available","",VLOOKUP(F641,Sheet2!$B$1:$E$19,4,FALSE)+(G641-1))</f>
        <v>3778887</v>
      </c>
    </row>
    <row r="642" spans="1:15" s="1" customFormat="1" ht="15" customHeight="1" x14ac:dyDescent="0.25">
      <c r="A642" s="18" t="s">
        <v>941</v>
      </c>
      <c r="B642" s="18" t="s">
        <v>654</v>
      </c>
      <c r="C642" s="5" t="s">
        <v>1345</v>
      </c>
      <c r="D642" s="1" t="s">
        <v>24</v>
      </c>
      <c r="E642" s="1" t="s">
        <v>2</v>
      </c>
      <c r="F642" s="18">
        <v>2165</v>
      </c>
      <c r="G642" s="18">
        <v>50</v>
      </c>
      <c r="H642" s="5">
        <v>47</v>
      </c>
      <c r="I642" s="1">
        <v>81</v>
      </c>
      <c r="J642" s="1" t="s">
        <v>3271</v>
      </c>
      <c r="L642" t="str">
        <f t="shared" si="9"/>
        <v>http://www.badatelna.eu/reprodukce/?fondId=1073&amp;zaznamId=1108952&amp;reproId=3778911</v>
      </c>
      <c r="M642">
        <f>VLOOKUP(F642,Sheet2!$B$1:$E$19,2,FALSE)</f>
        <v>1073</v>
      </c>
      <c r="N642">
        <f>VLOOKUP(F642,Sheet2!$B$1:$E$19,3,FALSE)</f>
        <v>1108952</v>
      </c>
      <c r="O642">
        <f>IF(G642="Not available","",VLOOKUP(F642,Sheet2!$B$1:$E$19,4,FALSE)+(G642-1))</f>
        <v>3778911</v>
      </c>
    </row>
    <row r="643" spans="1:15" s="1" customFormat="1" ht="15" customHeight="1" x14ac:dyDescent="0.25">
      <c r="A643" s="18" t="s">
        <v>941</v>
      </c>
      <c r="B643" s="18" t="s">
        <v>1964</v>
      </c>
      <c r="C643" s="6" t="s">
        <v>2115</v>
      </c>
      <c r="D643" s="4" t="s">
        <v>2104</v>
      </c>
      <c r="E643" s="4" t="s">
        <v>2</v>
      </c>
      <c r="F643" s="18">
        <v>2176</v>
      </c>
      <c r="G643" s="18" t="s">
        <v>3271</v>
      </c>
      <c r="H643" s="6" t="s">
        <v>2083</v>
      </c>
      <c r="I643" s="1">
        <v>6</v>
      </c>
      <c r="J643" s="1" t="s">
        <v>3271</v>
      </c>
      <c r="K643" s="3"/>
      <c r="L643" t="str">
        <f t="shared" ref="L643:L706" si="10">IF(G643="Not available","","http://www.badatelna.eu/reprodukce/?fondId="&amp;M643&amp;"&amp;zaznamId="&amp;N643&amp;"&amp;reproId="&amp;O643)</f>
        <v/>
      </c>
      <c r="M643">
        <f>VLOOKUP(F643,Sheet2!$B$1:$E$19,2,FALSE)</f>
        <v>1073</v>
      </c>
      <c r="N643">
        <f>VLOOKUP(F643,Sheet2!$B$1:$E$19,3,FALSE)</f>
        <v>1108963</v>
      </c>
      <c r="O643" t="str">
        <f>IF(G643="Not available","",VLOOKUP(F643,Sheet2!$B$1:$E$19,4,FALSE)+(G643-1))</f>
        <v/>
      </c>
    </row>
    <row r="644" spans="1:15" s="1" customFormat="1" ht="15" customHeight="1" x14ac:dyDescent="0.25">
      <c r="A644" s="18" t="s">
        <v>941</v>
      </c>
      <c r="B644" s="18" t="s">
        <v>1009</v>
      </c>
      <c r="C644" s="5" t="s">
        <v>1344</v>
      </c>
      <c r="D644" s="1" t="s">
        <v>24</v>
      </c>
      <c r="E644" s="1" t="s">
        <v>2</v>
      </c>
      <c r="F644" s="18">
        <v>2165</v>
      </c>
      <c r="G644" s="18">
        <v>39</v>
      </c>
      <c r="H644" s="5">
        <v>36</v>
      </c>
      <c r="I644" s="1">
        <v>81</v>
      </c>
      <c r="J644" s="1" t="s">
        <v>3271</v>
      </c>
      <c r="L644" t="str">
        <f t="shared" si="10"/>
        <v>http://www.badatelna.eu/reprodukce/?fondId=1073&amp;zaznamId=1108952&amp;reproId=3778900</v>
      </c>
      <c r="M644">
        <f>VLOOKUP(F644,Sheet2!$B$1:$E$19,2,FALSE)</f>
        <v>1073</v>
      </c>
      <c r="N644">
        <f>VLOOKUP(F644,Sheet2!$B$1:$E$19,3,FALSE)</f>
        <v>1108952</v>
      </c>
      <c r="O644">
        <f>IF(G644="Not available","",VLOOKUP(F644,Sheet2!$B$1:$E$19,4,FALSE)+(G644-1))</f>
        <v>3778900</v>
      </c>
    </row>
    <row r="645" spans="1:15" s="1" customFormat="1" ht="15" customHeight="1" x14ac:dyDescent="0.25">
      <c r="A645" s="18" t="s">
        <v>941</v>
      </c>
      <c r="B645" s="18" t="s">
        <v>1208</v>
      </c>
      <c r="C645" s="6" t="s">
        <v>2103</v>
      </c>
      <c r="D645" s="4" t="s">
        <v>2104</v>
      </c>
      <c r="E645" s="4" t="s">
        <v>2</v>
      </c>
      <c r="F645" s="18">
        <v>2176</v>
      </c>
      <c r="G645" s="18" t="s">
        <v>3271</v>
      </c>
      <c r="H645" s="6" t="s">
        <v>2105</v>
      </c>
      <c r="I645" s="1">
        <v>6</v>
      </c>
      <c r="J645" s="1" t="s">
        <v>3271</v>
      </c>
      <c r="K645" s="3"/>
      <c r="L645" t="str">
        <f t="shared" si="10"/>
        <v/>
      </c>
      <c r="M645">
        <f>VLOOKUP(F645,Sheet2!$B$1:$E$19,2,FALSE)</f>
        <v>1073</v>
      </c>
      <c r="N645">
        <f>VLOOKUP(F645,Sheet2!$B$1:$E$19,3,FALSE)</f>
        <v>1108963</v>
      </c>
      <c r="O645" t="str">
        <f>IF(G645="Not available","",VLOOKUP(F645,Sheet2!$B$1:$E$19,4,FALSE)+(G645-1))</f>
        <v/>
      </c>
    </row>
    <row r="646" spans="1:15" s="1" customFormat="1" ht="15" customHeight="1" x14ac:dyDescent="0.25">
      <c r="A646" s="18" t="s">
        <v>941</v>
      </c>
      <c r="B646" s="18" t="s">
        <v>1152</v>
      </c>
      <c r="C646" s="6" t="s">
        <v>2110</v>
      </c>
      <c r="D646" s="4" t="s">
        <v>2104</v>
      </c>
      <c r="E646" s="4" t="s">
        <v>2</v>
      </c>
      <c r="F646" s="18">
        <v>2176</v>
      </c>
      <c r="G646" s="18" t="s">
        <v>3271</v>
      </c>
      <c r="H646" s="6" t="s">
        <v>2037</v>
      </c>
      <c r="I646" s="1">
        <v>6</v>
      </c>
      <c r="J646" s="1" t="s">
        <v>3271</v>
      </c>
      <c r="K646" s="3"/>
      <c r="L646" t="str">
        <f t="shared" si="10"/>
        <v/>
      </c>
      <c r="M646">
        <f>VLOOKUP(F646,Sheet2!$B$1:$E$19,2,FALSE)</f>
        <v>1073</v>
      </c>
      <c r="N646">
        <f>VLOOKUP(F646,Sheet2!$B$1:$E$19,3,FALSE)</f>
        <v>1108963</v>
      </c>
      <c r="O646" t="str">
        <f>IF(G646="Not available","",VLOOKUP(F646,Sheet2!$B$1:$E$19,4,FALSE)+(G646-1))</f>
        <v/>
      </c>
    </row>
    <row r="647" spans="1:15" s="1" customFormat="1" ht="15" customHeight="1" x14ac:dyDescent="0.25">
      <c r="A647" s="18" t="s">
        <v>941</v>
      </c>
      <c r="B647" s="18" t="s">
        <v>21</v>
      </c>
      <c r="C647" s="5" t="s">
        <v>1346</v>
      </c>
      <c r="D647" s="1" t="s">
        <v>24</v>
      </c>
      <c r="E647" s="1" t="s">
        <v>2</v>
      </c>
      <c r="F647" s="18">
        <v>2165</v>
      </c>
      <c r="G647" s="18">
        <v>57</v>
      </c>
      <c r="H647" s="5">
        <v>54</v>
      </c>
      <c r="I647" s="1">
        <v>81</v>
      </c>
      <c r="J647" s="1" t="s">
        <v>3271</v>
      </c>
      <c r="L647" t="str">
        <f t="shared" si="10"/>
        <v>http://www.badatelna.eu/reprodukce/?fondId=1073&amp;zaznamId=1108952&amp;reproId=3778918</v>
      </c>
      <c r="M647">
        <f>VLOOKUP(F647,Sheet2!$B$1:$E$19,2,FALSE)</f>
        <v>1073</v>
      </c>
      <c r="N647">
        <f>VLOOKUP(F647,Sheet2!$B$1:$E$19,3,FALSE)</f>
        <v>1108952</v>
      </c>
      <c r="O647">
        <f>IF(G647="Not available","",VLOOKUP(F647,Sheet2!$B$1:$E$19,4,FALSE)+(G647-1))</f>
        <v>3778918</v>
      </c>
    </row>
    <row r="648" spans="1:15" s="1" customFormat="1" ht="15" customHeight="1" x14ac:dyDescent="0.25">
      <c r="A648" s="18" t="s">
        <v>941</v>
      </c>
      <c r="B648" s="18" t="s">
        <v>432</v>
      </c>
      <c r="C648" s="5">
        <v>1862</v>
      </c>
      <c r="E648" s="1" t="s">
        <v>939</v>
      </c>
      <c r="F648" s="18">
        <v>999</v>
      </c>
      <c r="G648" s="18">
        <v>33</v>
      </c>
      <c r="H648" s="5">
        <v>31</v>
      </c>
      <c r="I648" s="1">
        <v>63</v>
      </c>
      <c r="J648" s="1">
        <v>96</v>
      </c>
      <c r="L648" t="str">
        <f t="shared" si="10"/>
        <v>http://www.badatelna.eu/reprodukce/?fondId=241&amp;zaznamId=1133739&amp;reproId=3885762</v>
      </c>
      <c r="M648">
        <f>VLOOKUP(F648,Sheet2!$B$1:$E$19,2,FALSE)</f>
        <v>241</v>
      </c>
      <c r="N648">
        <f>VLOOKUP(F648,Sheet2!$B$1:$E$19,3,FALSE)</f>
        <v>1133739</v>
      </c>
      <c r="O648">
        <f>IF(G648="Not available","",VLOOKUP(F648,Sheet2!$B$1:$E$19,4,FALSE)+(G648-1))</f>
        <v>3885762</v>
      </c>
    </row>
    <row r="649" spans="1:15" s="1" customFormat="1" ht="15" customHeight="1" x14ac:dyDescent="0.25">
      <c r="A649" s="18" t="s">
        <v>98</v>
      </c>
      <c r="B649" s="25" t="s">
        <v>33</v>
      </c>
      <c r="C649" s="5" t="s">
        <v>1323</v>
      </c>
      <c r="D649" s="1" t="s">
        <v>156</v>
      </c>
      <c r="E649" s="1" t="s">
        <v>2</v>
      </c>
      <c r="F649" s="18">
        <v>2165</v>
      </c>
      <c r="G649" s="18">
        <v>44</v>
      </c>
      <c r="H649" s="5">
        <v>41</v>
      </c>
      <c r="I649" s="1">
        <v>81</v>
      </c>
      <c r="J649" s="1" t="s">
        <v>3271</v>
      </c>
      <c r="L649" t="str">
        <f t="shared" si="10"/>
        <v>http://www.badatelna.eu/reprodukce/?fondId=1073&amp;zaznamId=1108952&amp;reproId=3778905</v>
      </c>
      <c r="M649">
        <f>VLOOKUP(F649,Sheet2!$B$1:$E$19,2,FALSE)</f>
        <v>1073</v>
      </c>
      <c r="N649">
        <f>VLOOKUP(F649,Sheet2!$B$1:$E$19,3,FALSE)</f>
        <v>1108952</v>
      </c>
      <c r="O649">
        <f>IF(G649="Not available","",VLOOKUP(F649,Sheet2!$B$1:$E$19,4,FALSE)+(G649-1))</f>
        <v>3778905</v>
      </c>
    </row>
    <row r="650" spans="1:15" s="1" customFormat="1" ht="15" customHeight="1" x14ac:dyDescent="0.25">
      <c r="A650" s="18" t="s">
        <v>98</v>
      </c>
      <c r="B650" s="19" t="s">
        <v>50</v>
      </c>
      <c r="C650" s="5">
        <v>1798</v>
      </c>
      <c r="D650" s="4" t="s">
        <v>12</v>
      </c>
      <c r="E650" s="1" t="s">
        <v>2</v>
      </c>
      <c r="F650" s="18">
        <v>2173</v>
      </c>
      <c r="G650" s="18">
        <v>38</v>
      </c>
      <c r="H650" s="5">
        <v>70</v>
      </c>
      <c r="I650" s="1">
        <v>92</v>
      </c>
      <c r="J650" s="1">
        <v>190</v>
      </c>
      <c r="L650" t="str">
        <f t="shared" si="10"/>
        <v>http://www.badatelna.eu/reprodukce/?fondId=1073&amp;zaznamId=1108959&amp;reproId=3780031</v>
      </c>
      <c r="M650">
        <f>VLOOKUP(F650,Sheet2!$B$1:$E$19,2,FALSE)</f>
        <v>1073</v>
      </c>
      <c r="N650">
        <f>VLOOKUP(F650,Sheet2!$B$1:$E$19,3,FALSE)</f>
        <v>1108959</v>
      </c>
      <c r="O650">
        <f>IF(G650="Not available","",VLOOKUP(F650,Sheet2!$B$1:$E$19,4,FALSE)+(G650-1))</f>
        <v>3780031</v>
      </c>
    </row>
    <row r="651" spans="1:15" s="1" customFormat="1" ht="15" customHeight="1" x14ac:dyDescent="0.25">
      <c r="A651" s="19" t="s">
        <v>98</v>
      </c>
      <c r="B651" s="18" t="s">
        <v>3085</v>
      </c>
      <c r="C651" s="5">
        <v>1796</v>
      </c>
      <c r="D651" s="1" t="s">
        <v>12</v>
      </c>
      <c r="E651" s="1" t="s">
        <v>2</v>
      </c>
      <c r="F651" s="18">
        <v>2173</v>
      </c>
      <c r="G651" s="18">
        <v>35</v>
      </c>
      <c r="H651" s="5">
        <v>64</v>
      </c>
      <c r="I651" s="1">
        <v>92</v>
      </c>
      <c r="J651" s="1">
        <v>190</v>
      </c>
      <c r="L651" t="str">
        <f t="shared" si="10"/>
        <v>http://www.badatelna.eu/reprodukce/?fondId=1073&amp;zaznamId=1108959&amp;reproId=3780028</v>
      </c>
      <c r="M651">
        <f>VLOOKUP(F651,Sheet2!$B$1:$E$19,2,FALSE)</f>
        <v>1073</v>
      </c>
      <c r="N651">
        <f>VLOOKUP(F651,Sheet2!$B$1:$E$19,3,FALSE)</f>
        <v>1108959</v>
      </c>
      <c r="O651">
        <f>IF(G651="Not available","",VLOOKUP(F651,Sheet2!$B$1:$E$19,4,FALSE)+(G651-1))</f>
        <v>3780028</v>
      </c>
    </row>
    <row r="652" spans="1:15" s="1" customFormat="1" ht="15" customHeight="1" x14ac:dyDescent="0.25">
      <c r="A652" s="18" t="s">
        <v>98</v>
      </c>
      <c r="B652" s="18" t="s">
        <v>40</v>
      </c>
      <c r="C652" s="5">
        <v>1801</v>
      </c>
      <c r="D652" s="4" t="s">
        <v>12</v>
      </c>
      <c r="E652" s="1" t="s">
        <v>2</v>
      </c>
      <c r="F652" s="18">
        <v>2173</v>
      </c>
      <c r="G652" s="18">
        <v>43</v>
      </c>
      <c r="H652" s="14" t="s">
        <v>3059</v>
      </c>
      <c r="I652" s="1">
        <v>92</v>
      </c>
      <c r="J652" s="1">
        <v>190</v>
      </c>
      <c r="L652" t="str">
        <f t="shared" si="10"/>
        <v>http://www.badatelna.eu/reprodukce/?fondId=1073&amp;zaznamId=1108959&amp;reproId=3780036</v>
      </c>
      <c r="M652">
        <f>VLOOKUP(F652,Sheet2!$B$1:$E$19,2,FALSE)</f>
        <v>1073</v>
      </c>
      <c r="N652">
        <f>VLOOKUP(F652,Sheet2!$B$1:$E$19,3,FALSE)</f>
        <v>1108959</v>
      </c>
      <c r="O652">
        <f>IF(G652="Not available","",VLOOKUP(F652,Sheet2!$B$1:$E$19,4,FALSE)+(G652-1))</f>
        <v>3780036</v>
      </c>
    </row>
    <row r="653" spans="1:15" s="1" customFormat="1" ht="15" customHeight="1" x14ac:dyDescent="0.25">
      <c r="A653" s="20" t="s">
        <v>2922</v>
      </c>
      <c r="B653" s="21" t="s">
        <v>59</v>
      </c>
      <c r="C653" s="7">
        <v>1791</v>
      </c>
      <c r="D653" s="2" t="s">
        <v>12</v>
      </c>
      <c r="E653" s="1" t="s">
        <v>2</v>
      </c>
      <c r="F653" s="18">
        <v>2173</v>
      </c>
      <c r="G653" s="21">
        <v>25</v>
      </c>
      <c r="H653" s="7">
        <v>45</v>
      </c>
      <c r="I653" s="2">
        <v>91</v>
      </c>
      <c r="J653" s="2">
        <v>189</v>
      </c>
      <c r="K653" s="2"/>
      <c r="L653" t="str">
        <f t="shared" si="10"/>
        <v>http://www.badatelna.eu/reprodukce/?fondId=1073&amp;zaznamId=1108959&amp;reproId=3780018</v>
      </c>
      <c r="M653">
        <f>VLOOKUP(F653,Sheet2!$B$1:$E$19,2,FALSE)</f>
        <v>1073</v>
      </c>
      <c r="N653">
        <f>VLOOKUP(F653,Sheet2!$B$1:$E$19,3,FALSE)</f>
        <v>1108959</v>
      </c>
      <c r="O653">
        <f>IF(G653="Not available","",VLOOKUP(F653,Sheet2!$B$1:$E$19,4,FALSE)+(G653-1))</f>
        <v>3780018</v>
      </c>
    </row>
    <row r="654" spans="1:15" s="1" customFormat="1" ht="15" customHeight="1" x14ac:dyDescent="0.25">
      <c r="A654" s="19" t="s">
        <v>3102</v>
      </c>
      <c r="B654" s="19" t="s">
        <v>237</v>
      </c>
      <c r="C654" s="5">
        <v>1826</v>
      </c>
      <c r="E654" s="1" t="s">
        <v>2</v>
      </c>
      <c r="F654" s="18">
        <v>2173</v>
      </c>
      <c r="G654" s="18">
        <v>80</v>
      </c>
      <c r="H654" s="5">
        <v>153</v>
      </c>
      <c r="I654" s="1">
        <v>93</v>
      </c>
      <c r="J654" s="1">
        <v>194</v>
      </c>
      <c r="L654" t="str">
        <f t="shared" si="10"/>
        <v>http://www.badatelna.eu/reprodukce/?fondId=1073&amp;zaznamId=1108959&amp;reproId=3780073</v>
      </c>
      <c r="M654">
        <f>VLOOKUP(F654,Sheet2!$B$1:$E$19,2,FALSE)</f>
        <v>1073</v>
      </c>
      <c r="N654">
        <f>VLOOKUP(F654,Sheet2!$B$1:$E$19,3,FALSE)</f>
        <v>1108959</v>
      </c>
      <c r="O654">
        <f>IF(G654="Not available","",VLOOKUP(F654,Sheet2!$B$1:$E$19,4,FALSE)+(G654-1))</f>
        <v>3780073</v>
      </c>
    </row>
    <row r="655" spans="1:15" s="1" customFormat="1" ht="15" customHeight="1" x14ac:dyDescent="0.25">
      <c r="A655" s="18" t="s">
        <v>820</v>
      </c>
      <c r="B655" s="18" t="s">
        <v>591</v>
      </c>
      <c r="C655" s="5">
        <v>1852</v>
      </c>
      <c r="D655" s="12" t="s">
        <v>6</v>
      </c>
      <c r="E655" s="1" t="s">
        <v>2</v>
      </c>
      <c r="F655" s="18">
        <v>2164</v>
      </c>
      <c r="G655" s="18">
        <v>82</v>
      </c>
      <c r="H655" s="5">
        <v>80</v>
      </c>
      <c r="I655" s="1">
        <v>123</v>
      </c>
      <c r="J655" s="4" t="s">
        <v>3271</v>
      </c>
      <c r="L655" t="str">
        <f t="shared" si="10"/>
        <v>http://www.badatelna.eu/reprodukce/?fondId=1073&amp;zaznamId=1108951&amp;reproId=3778796</v>
      </c>
      <c r="M655">
        <f>VLOOKUP(F655,Sheet2!$B$1:$E$19,2,FALSE)</f>
        <v>1073</v>
      </c>
      <c r="N655">
        <f>VLOOKUP(F655,Sheet2!$B$1:$E$19,3,FALSE)</f>
        <v>1108951</v>
      </c>
      <c r="O655">
        <f>IF(G655="Not available","",VLOOKUP(F655,Sheet2!$B$1:$E$19,4,FALSE)+(G655-1))</f>
        <v>3778796</v>
      </c>
    </row>
    <row r="656" spans="1:15" s="1" customFormat="1" ht="15" customHeight="1" x14ac:dyDescent="0.25">
      <c r="A656" s="21" t="s">
        <v>63</v>
      </c>
      <c r="B656" s="21" t="s">
        <v>4</v>
      </c>
      <c r="C656" s="7">
        <v>1792</v>
      </c>
      <c r="D656" s="2" t="s">
        <v>60</v>
      </c>
      <c r="E656" s="1" t="s">
        <v>2</v>
      </c>
      <c r="F656" s="18">
        <v>2173</v>
      </c>
      <c r="G656" s="21">
        <v>26</v>
      </c>
      <c r="H656" s="7">
        <v>47</v>
      </c>
      <c r="I656" s="2">
        <v>91</v>
      </c>
      <c r="J656" s="2">
        <v>189</v>
      </c>
      <c r="K656" s="2"/>
      <c r="L656" t="str">
        <f t="shared" si="10"/>
        <v>http://www.badatelna.eu/reprodukce/?fondId=1073&amp;zaznamId=1108959&amp;reproId=3780019</v>
      </c>
      <c r="M656">
        <f>VLOOKUP(F656,Sheet2!$B$1:$E$19,2,FALSE)</f>
        <v>1073</v>
      </c>
      <c r="N656">
        <f>VLOOKUP(F656,Sheet2!$B$1:$E$19,3,FALSE)</f>
        <v>1108959</v>
      </c>
      <c r="O656">
        <f>IF(G656="Not available","",VLOOKUP(F656,Sheet2!$B$1:$E$19,4,FALSE)+(G656-1))</f>
        <v>3780019</v>
      </c>
    </row>
    <row r="657" spans="1:15" s="1" customFormat="1" ht="15" customHeight="1" x14ac:dyDescent="0.25">
      <c r="A657" s="18" t="s">
        <v>82</v>
      </c>
      <c r="B657" s="18" t="s">
        <v>477</v>
      </c>
      <c r="C657" s="5">
        <v>1854</v>
      </c>
      <c r="D657" s="1" t="s">
        <v>233</v>
      </c>
      <c r="E657" s="1" t="s">
        <v>2</v>
      </c>
      <c r="F657" s="18">
        <v>2164</v>
      </c>
      <c r="G657" s="18">
        <v>98</v>
      </c>
      <c r="H657" s="5">
        <v>96</v>
      </c>
      <c r="I657" s="1">
        <v>123</v>
      </c>
      <c r="J657" s="4" t="s">
        <v>3271</v>
      </c>
      <c r="L657" t="str">
        <f t="shared" si="10"/>
        <v>http://www.badatelna.eu/reprodukce/?fondId=1073&amp;zaznamId=1108951&amp;reproId=3778812</v>
      </c>
      <c r="M657">
        <f>VLOOKUP(F657,Sheet2!$B$1:$E$19,2,FALSE)</f>
        <v>1073</v>
      </c>
      <c r="N657">
        <f>VLOOKUP(F657,Sheet2!$B$1:$E$19,3,FALSE)</f>
        <v>1108951</v>
      </c>
      <c r="O657">
        <f>IF(G657="Not available","",VLOOKUP(F657,Sheet2!$B$1:$E$19,4,FALSE)+(G657-1))</f>
        <v>3778812</v>
      </c>
    </row>
    <row r="658" spans="1:15" s="1" customFormat="1" ht="15" customHeight="1" x14ac:dyDescent="0.25">
      <c r="A658" s="18" t="s">
        <v>82</v>
      </c>
      <c r="B658" s="18" t="s">
        <v>482</v>
      </c>
      <c r="C658" s="5">
        <v>1854</v>
      </c>
      <c r="D658" s="1" t="s">
        <v>6</v>
      </c>
      <c r="E658" s="1" t="s">
        <v>2</v>
      </c>
      <c r="F658" s="18">
        <v>2164</v>
      </c>
      <c r="G658" s="18">
        <v>97</v>
      </c>
      <c r="H658" s="5">
        <v>95</v>
      </c>
      <c r="I658" s="1">
        <v>123</v>
      </c>
      <c r="J658" s="4" t="s">
        <v>3271</v>
      </c>
      <c r="L658" t="str">
        <f t="shared" si="10"/>
        <v>http://www.badatelna.eu/reprodukce/?fondId=1073&amp;zaznamId=1108951&amp;reproId=3778811</v>
      </c>
      <c r="M658">
        <f>VLOOKUP(F658,Sheet2!$B$1:$E$19,2,FALSE)</f>
        <v>1073</v>
      </c>
      <c r="N658">
        <f>VLOOKUP(F658,Sheet2!$B$1:$E$19,3,FALSE)</f>
        <v>1108951</v>
      </c>
      <c r="O658">
        <f>IF(G658="Not available","",VLOOKUP(F658,Sheet2!$B$1:$E$19,4,FALSE)+(G658-1))</f>
        <v>3778811</v>
      </c>
    </row>
    <row r="659" spans="1:15" s="1" customFormat="1" ht="15" customHeight="1" x14ac:dyDescent="0.25">
      <c r="A659" s="18" t="s">
        <v>82</v>
      </c>
      <c r="B659" s="18" t="s">
        <v>439</v>
      </c>
      <c r="C659" s="6" t="s">
        <v>2860</v>
      </c>
      <c r="E659" s="1" t="s">
        <v>939</v>
      </c>
      <c r="F659" s="18">
        <v>999</v>
      </c>
      <c r="G659" s="18">
        <v>29</v>
      </c>
      <c r="H659" s="5">
        <v>27</v>
      </c>
      <c r="I659" s="1">
        <v>63</v>
      </c>
      <c r="J659" s="1">
        <v>96</v>
      </c>
      <c r="L659" t="str">
        <f t="shared" si="10"/>
        <v>http://www.badatelna.eu/reprodukce/?fondId=241&amp;zaznamId=1133739&amp;reproId=3885758</v>
      </c>
      <c r="M659">
        <f>VLOOKUP(F659,Sheet2!$B$1:$E$19,2,FALSE)</f>
        <v>241</v>
      </c>
      <c r="N659">
        <f>VLOOKUP(F659,Sheet2!$B$1:$E$19,3,FALSE)</f>
        <v>1133739</v>
      </c>
      <c r="O659">
        <f>IF(G659="Not available","",VLOOKUP(F659,Sheet2!$B$1:$E$19,4,FALSE)+(G659-1))</f>
        <v>3885758</v>
      </c>
    </row>
    <row r="660" spans="1:15" s="1" customFormat="1" ht="15" customHeight="1" x14ac:dyDescent="0.25">
      <c r="A660" s="18" t="s">
        <v>82</v>
      </c>
      <c r="B660" s="18" t="s">
        <v>735</v>
      </c>
      <c r="C660" s="5">
        <v>1859</v>
      </c>
      <c r="E660" s="1" t="s">
        <v>939</v>
      </c>
      <c r="F660" s="18">
        <v>999</v>
      </c>
      <c r="G660" s="18">
        <v>18</v>
      </c>
      <c r="H660" s="5">
        <v>16</v>
      </c>
      <c r="I660" s="1">
        <v>63</v>
      </c>
      <c r="J660" s="1">
        <v>96</v>
      </c>
      <c r="L660" t="str">
        <f t="shared" si="10"/>
        <v>http://www.badatelna.eu/reprodukce/?fondId=241&amp;zaznamId=1133739&amp;reproId=3885747</v>
      </c>
      <c r="M660">
        <f>VLOOKUP(F660,Sheet2!$B$1:$E$19,2,FALSE)</f>
        <v>241</v>
      </c>
      <c r="N660">
        <f>VLOOKUP(F660,Sheet2!$B$1:$E$19,3,FALSE)</f>
        <v>1133739</v>
      </c>
      <c r="O660">
        <f>IF(G660="Not available","",VLOOKUP(F660,Sheet2!$B$1:$E$19,4,FALSE)+(G660-1))</f>
        <v>3885747</v>
      </c>
    </row>
    <row r="661" spans="1:15" s="1" customFormat="1" ht="15" customHeight="1" x14ac:dyDescent="0.25">
      <c r="A661" s="18" t="s">
        <v>82</v>
      </c>
      <c r="B661" s="18" t="s">
        <v>2862</v>
      </c>
      <c r="C661" s="5">
        <v>1858</v>
      </c>
      <c r="E661" s="1" t="s">
        <v>939</v>
      </c>
      <c r="F661" s="18">
        <v>999</v>
      </c>
      <c r="G661" s="18">
        <v>11</v>
      </c>
      <c r="H661" s="5">
        <v>9</v>
      </c>
      <c r="I661" s="1">
        <v>63</v>
      </c>
      <c r="J661" s="1">
        <v>96</v>
      </c>
      <c r="L661" t="str">
        <f t="shared" si="10"/>
        <v>http://www.badatelna.eu/reprodukce/?fondId=241&amp;zaznamId=1133739&amp;reproId=3885740</v>
      </c>
      <c r="M661">
        <f>VLOOKUP(F661,Sheet2!$B$1:$E$19,2,FALSE)</f>
        <v>241</v>
      </c>
      <c r="N661">
        <f>VLOOKUP(F661,Sheet2!$B$1:$E$19,3,FALSE)</f>
        <v>1133739</v>
      </c>
      <c r="O661">
        <f>IF(G661="Not available","",VLOOKUP(F661,Sheet2!$B$1:$E$19,4,FALSE)+(G661-1))</f>
        <v>3885740</v>
      </c>
    </row>
    <row r="662" spans="1:15" s="1" customFormat="1" ht="15" customHeight="1" x14ac:dyDescent="0.25">
      <c r="A662" s="18" t="s">
        <v>82</v>
      </c>
      <c r="B662" s="18" t="s">
        <v>548</v>
      </c>
      <c r="C662" s="5">
        <v>1856</v>
      </c>
      <c r="D662" s="1" t="s">
        <v>8</v>
      </c>
      <c r="E662" s="1" t="s">
        <v>2</v>
      </c>
      <c r="F662" s="18">
        <v>2164</v>
      </c>
      <c r="G662" s="18">
        <v>107</v>
      </c>
      <c r="H662" s="5">
        <v>109</v>
      </c>
      <c r="I662" s="1">
        <v>124</v>
      </c>
      <c r="J662" s="4" t="s">
        <v>3271</v>
      </c>
      <c r="L662" t="str">
        <f t="shared" si="10"/>
        <v>http://www.badatelna.eu/reprodukce/?fondId=1073&amp;zaznamId=1108951&amp;reproId=3778821</v>
      </c>
      <c r="M662">
        <f>VLOOKUP(F662,Sheet2!$B$1:$E$19,2,FALSE)</f>
        <v>1073</v>
      </c>
      <c r="N662">
        <f>VLOOKUP(F662,Sheet2!$B$1:$E$19,3,FALSE)</f>
        <v>1108951</v>
      </c>
      <c r="O662">
        <f>IF(G662="Not available","",VLOOKUP(F662,Sheet2!$B$1:$E$19,4,FALSE)+(G662-1))</f>
        <v>3778821</v>
      </c>
    </row>
    <row r="663" spans="1:15" s="1" customFormat="1" ht="15" customHeight="1" x14ac:dyDescent="0.25">
      <c r="A663" s="18" t="s">
        <v>82</v>
      </c>
      <c r="B663" s="18" t="s">
        <v>129</v>
      </c>
      <c r="C663" s="5">
        <v>1856</v>
      </c>
      <c r="D663" s="1" t="s">
        <v>6</v>
      </c>
      <c r="E663" s="1" t="s">
        <v>2</v>
      </c>
      <c r="F663" s="18">
        <v>2164</v>
      </c>
      <c r="G663" s="18">
        <v>109</v>
      </c>
      <c r="H663" s="5">
        <v>107</v>
      </c>
      <c r="I663" s="1">
        <v>124</v>
      </c>
      <c r="J663" s="4" t="s">
        <v>3271</v>
      </c>
      <c r="L663" t="str">
        <f t="shared" si="10"/>
        <v>http://www.badatelna.eu/reprodukce/?fondId=1073&amp;zaznamId=1108951&amp;reproId=3778823</v>
      </c>
      <c r="M663">
        <f>VLOOKUP(F663,Sheet2!$B$1:$E$19,2,FALSE)</f>
        <v>1073</v>
      </c>
      <c r="N663">
        <f>VLOOKUP(F663,Sheet2!$B$1:$E$19,3,FALSE)</f>
        <v>1108951</v>
      </c>
      <c r="O663">
        <f>IF(G663="Not available","",VLOOKUP(F663,Sheet2!$B$1:$E$19,4,FALSE)+(G663-1))</f>
        <v>3778823</v>
      </c>
    </row>
    <row r="664" spans="1:15" s="1" customFormat="1" ht="15" customHeight="1" x14ac:dyDescent="0.25">
      <c r="A664" s="18" t="s">
        <v>82</v>
      </c>
      <c r="B664" s="19" t="s">
        <v>858</v>
      </c>
      <c r="C664" s="5">
        <v>1795</v>
      </c>
      <c r="D664" s="1" t="s">
        <v>60</v>
      </c>
      <c r="E664" s="1" t="s">
        <v>2</v>
      </c>
      <c r="F664" s="18">
        <v>2173</v>
      </c>
      <c r="G664" s="18">
        <v>33</v>
      </c>
      <c r="H664" s="5">
        <v>61</v>
      </c>
      <c r="I664" s="1">
        <v>92</v>
      </c>
      <c r="J664" s="1">
        <v>190</v>
      </c>
      <c r="L664" t="str">
        <f t="shared" si="10"/>
        <v>http://www.badatelna.eu/reprodukce/?fondId=1073&amp;zaznamId=1108959&amp;reproId=3780026</v>
      </c>
      <c r="M664">
        <f>VLOOKUP(F664,Sheet2!$B$1:$E$19,2,FALSE)</f>
        <v>1073</v>
      </c>
      <c r="N664">
        <f>VLOOKUP(F664,Sheet2!$B$1:$E$19,3,FALSE)</f>
        <v>1108959</v>
      </c>
      <c r="O664">
        <f>IF(G664="Not available","",VLOOKUP(F664,Sheet2!$B$1:$E$19,4,FALSE)+(G664-1))</f>
        <v>3780026</v>
      </c>
    </row>
    <row r="665" spans="1:15" s="1" customFormat="1" ht="15" customHeight="1" x14ac:dyDescent="0.25">
      <c r="A665" s="18" t="s">
        <v>82</v>
      </c>
      <c r="B665" s="18" t="s">
        <v>398</v>
      </c>
      <c r="C665" s="5">
        <v>1856</v>
      </c>
      <c r="D665" s="1" t="s">
        <v>233</v>
      </c>
      <c r="E665" s="1" t="s">
        <v>2</v>
      </c>
      <c r="F665" s="18">
        <v>2164</v>
      </c>
      <c r="G665" s="18">
        <v>110</v>
      </c>
      <c r="H665" s="5">
        <v>108</v>
      </c>
      <c r="I665" s="1">
        <v>124</v>
      </c>
      <c r="J665" s="4" t="s">
        <v>3271</v>
      </c>
      <c r="L665" t="str">
        <f t="shared" si="10"/>
        <v>http://www.badatelna.eu/reprodukce/?fondId=1073&amp;zaznamId=1108951&amp;reproId=3778824</v>
      </c>
      <c r="M665">
        <f>VLOOKUP(F665,Sheet2!$B$1:$E$19,2,FALSE)</f>
        <v>1073</v>
      </c>
      <c r="N665">
        <f>VLOOKUP(F665,Sheet2!$B$1:$E$19,3,FALSE)</f>
        <v>1108951</v>
      </c>
      <c r="O665">
        <f>IF(G665="Not available","",VLOOKUP(F665,Sheet2!$B$1:$E$19,4,FALSE)+(G665-1))</f>
        <v>3778824</v>
      </c>
    </row>
    <row r="666" spans="1:15" s="1" customFormat="1" ht="15" customHeight="1" x14ac:dyDescent="0.25">
      <c r="A666" s="18" t="s">
        <v>82</v>
      </c>
      <c r="B666" s="18" t="s">
        <v>398</v>
      </c>
      <c r="C666" s="6" t="s">
        <v>2860</v>
      </c>
      <c r="E666" s="1" t="s">
        <v>939</v>
      </c>
      <c r="F666" s="18">
        <v>999</v>
      </c>
      <c r="G666" s="18">
        <v>29</v>
      </c>
      <c r="H666" s="5">
        <v>27</v>
      </c>
      <c r="I666" s="1">
        <v>63</v>
      </c>
      <c r="J666" s="1">
        <v>96</v>
      </c>
      <c r="L666" t="str">
        <f t="shared" si="10"/>
        <v>http://www.badatelna.eu/reprodukce/?fondId=241&amp;zaznamId=1133739&amp;reproId=3885758</v>
      </c>
      <c r="M666">
        <f>VLOOKUP(F666,Sheet2!$B$1:$E$19,2,FALSE)</f>
        <v>241</v>
      </c>
      <c r="N666">
        <f>VLOOKUP(F666,Sheet2!$B$1:$E$19,3,FALSE)</f>
        <v>1133739</v>
      </c>
      <c r="O666">
        <f>IF(G666="Not available","",VLOOKUP(F666,Sheet2!$B$1:$E$19,4,FALSE)+(G666-1))</f>
        <v>3885758</v>
      </c>
    </row>
    <row r="667" spans="1:15" s="1" customFormat="1" ht="15" customHeight="1" x14ac:dyDescent="0.25">
      <c r="A667" s="18" t="s">
        <v>82</v>
      </c>
      <c r="B667" s="18" t="s">
        <v>145</v>
      </c>
      <c r="C667" s="5">
        <v>1852</v>
      </c>
      <c r="D667" s="1" t="s">
        <v>233</v>
      </c>
      <c r="E667" s="1" t="s">
        <v>2</v>
      </c>
      <c r="F667" s="18">
        <v>2164</v>
      </c>
      <c r="G667" s="18">
        <v>81</v>
      </c>
      <c r="H667" s="5">
        <v>79</v>
      </c>
      <c r="I667" s="1">
        <v>123</v>
      </c>
      <c r="J667" s="3" t="s">
        <v>3271</v>
      </c>
      <c r="L667" t="str">
        <f t="shared" si="10"/>
        <v>http://www.badatelna.eu/reprodukce/?fondId=1073&amp;zaznamId=1108951&amp;reproId=3778795</v>
      </c>
      <c r="M667">
        <f>VLOOKUP(F667,Sheet2!$B$1:$E$19,2,FALSE)</f>
        <v>1073</v>
      </c>
      <c r="N667">
        <f>VLOOKUP(F667,Sheet2!$B$1:$E$19,3,FALSE)</f>
        <v>1108951</v>
      </c>
      <c r="O667">
        <f>IF(G667="Not available","",VLOOKUP(F667,Sheet2!$B$1:$E$19,4,FALSE)+(G667-1))</f>
        <v>3778795</v>
      </c>
    </row>
    <row r="668" spans="1:15" s="1" customFormat="1" ht="15" customHeight="1" x14ac:dyDescent="0.25">
      <c r="A668" s="18" t="s">
        <v>82</v>
      </c>
      <c r="B668" s="18" t="s">
        <v>924</v>
      </c>
      <c r="C668" s="5">
        <v>1858</v>
      </c>
      <c r="E668" s="1" t="s">
        <v>939</v>
      </c>
      <c r="F668" s="18">
        <v>999</v>
      </c>
      <c r="G668" s="18">
        <v>3</v>
      </c>
      <c r="H668" s="5">
        <v>1</v>
      </c>
      <c r="I668" s="1">
        <v>63</v>
      </c>
      <c r="J668" s="1">
        <v>96</v>
      </c>
      <c r="L668" t="str">
        <f t="shared" si="10"/>
        <v>http://www.badatelna.eu/reprodukce/?fondId=241&amp;zaznamId=1133739&amp;reproId=3885732</v>
      </c>
      <c r="M668">
        <f>VLOOKUP(F668,Sheet2!$B$1:$E$19,2,FALSE)</f>
        <v>241</v>
      </c>
      <c r="N668">
        <f>VLOOKUP(F668,Sheet2!$B$1:$E$19,3,FALSE)</f>
        <v>1133739</v>
      </c>
      <c r="O668">
        <f>IF(G668="Not available","",VLOOKUP(F668,Sheet2!$B$1:$E$19,4,FALSE)+(G668-1))</f>
        <v>3885732</v>
      </c>
    </row>
    <row r="669" spans="1:15" s="1" customFormat="1" ht="15" customHeight="1" x14ac:dyDescent="0.25">
      <c r="A669" s="18" t="s">
        <v>82</v>
      </c>
      <c r="B669" s="18" t="s">
        <v>435</v>
      </c>
      <c r="C669" s="5">
        <v>1858</v>
      </c>
      <c r="D669" s="1" t="s">
        <v>6</v>
      </c>
      <c r="E669" s="1" t="s">
        <v>2</v>
      </c>
      <c r="F669" s="18">
        <v>2164</v>
      </c>
      <c r="G669" s="18">
        <v>121</v>
      </c>
      <c r="H669" s="5">
        <v>119</v>
      </c>
      <c r="I669" s="1">
        <v>124</v>
      </c>
      <c r="J669" s="3" t="s">
        <v>3271</v>
      </c>
      <c r="L669" t="str">
        <f t="shared" si="10"/>
        <v>http://www.badatelna.eu/reprodukce/?fondId=1073&amp;zaznamId=1108951&amp;reproId=3778835</v>
      </c>
      <c r="M669">
        <f>VLOOKUP(F669,Sheet2!$B$1:$E$19,2,FALSE)</f>
        <v>1073</v>
      </c>
      <c r="N669">
        <f>VLOOKUP(F669,Sheet2!$B$1:$E$19,3,FALSE)</f>
        <v>1108951</v>
      </c>
      <c r="O669">
        <f>IF(G669="Not available","",VLOOKUP(F669,Sheet2!$B$1:$E$19,4,FALSE)+(G669-1))</f>
        <v>3778835</v>
      </c>
    </row>
    <row r="670" spans="1:15" s="1" customFormat="1" ht="15" customHeight="1" x14ac:dyDescent="0.25">
      <c r="A670" s="18" t="s">
        <v>82</v>
      </c>
      <c r="B670" s="18" t="s">
        <v>58</v>
      </c>
      <c r="C670" s="5">
        <v>1858</v>
      </c>
      <c r="E670" s="1" t="s">
        <v>939</v>
      </c>
      <c r="F670" s="18">
        <v>999</v>
      </c>
      <c r="G670" s="18">
        <v>4</v>
      </c>
      <c r="H670" s="5">
        <v>2</v>
      </c>
      <c r="I670" s="1">
        <v>63</v>
      </c>
      <c r="J670" s="1">
        <v>96</v>
      </c>
      <c r="L670" t="str">
        <f t="shared" si="10"/>
        <v>http://www.badatelna.eu/reprodukce/?fondId=241&amp;zaznamId=1133739&amp;reproId=3885733</v>
      </c>
      <c r="M670">
        <f>VLOOKUP(F670,Sheet2!$B$1:$E$19,2,FALSE)</f>
        <v>241</v>
      </c>
      <c r="N670">
        <f>VLOOKUP(F670,Sheet2!$B$1:$E$19,3,FALSE)</f>
        <v>1133739</v>
      </c>
      <c r="O670">
        <f>IF(G670="Not available","",VLOOKUP(F670,Sheet2!$B$1:$E$19,4,FALSE)+(G670-1))</f>
        <v>3885733</v>
      </c>
    </row>
    <row r="671" spans="1:15" s="1" customFormat="1" ht="15" customHeight="1" x14ac:dyDescent="0.25">
      <c r="A671" s="18" t="s">
        <v>82</v>
      </c>
      <c r="B671" s="18" t="s">
        <v>58</v>
      </c>
      <c r="C671" s="6" t="s">
        <v>2860</v>
      </c>
      <c r="E671" s="1" t="s">
        <v>939</v>
      </c>
      <c r="F671" s="18">
        <v>999</v>
      </c>
      <c r="G671" s="18">
        <v>31</v>
      </c>
      <c r="H671" s="5">
        <v>29</v>
      </c>
      <c r="I671" s="1">
        <v>63</v>
      </c>
      <c r="J671" s="1">
        <v>96</v>
      </c>
      <c r="L671" t="str">
        <f t="shared" si="10"/>
        <v>http://www.badatelna.eu/reprodukce/?fondId=241&amp;zaznamId=1133739&amp;reproId=3885760</v>
      </c>
      <c r="M671">
        <f>VLOOKUP(F671,Sheet2!$B$1:$E$19,2,FALSE)</f>
        <v>241</v>
      </c>
      <c r="N671">
        <f>VLOOKUP(F671,Sheet2!$B$1:$E$19,3,FALSE)</f>
        <v>1133739</v>
      </c>
      <c r="O671">
        <f>IF(G671="Not available","",VLOOKUP(F671,Sheet2!$B$1:$E$19,4,FALSE)+(G671-1))</f>
        <v>3885760</v>
      </c>
    </row>
    <row r="672" spans="1:15" s="1" customFormat="1" ht="15" customHeight="1" x14ac:dyDescent="0.25">
      <c r="A672" s="20" t="s">
        <v>2923</v>
      </c>
      <c r="B672" s="21" t="s">
        <v>58</v>
      </c>
      <c r="C672" s="7">
        <v>1790</v>
      </c>
      <c r="D672" s="2" t="s">
        <v>60</v>
      </c>
      <c r="E672" s="1" t="s">
        <v>2</v>
      </c>
      <c r="F672" s="18">
        <v>2173</v>
      </c>
      <c r="G672" s="21">
        <v>23</v>
      </c>
      <c r="H672" s="7">
        <v>40</v>
      </c>
      <c r="I672" s="2">
        <v>91</v>
      </c>
      <c r="J672" s="2">
        <v>189</v>
      </c>
      <c r="K672" s="2"/>
      <c r="L672" t="str">
        <f t="shared" si="10"/>
        <v>http://www.badatelna.eu/reprodukce/?fondId=1073&amp;zaznamId=1108959&amp;reproId=3780016</v>
      </c>
      <c r="M672">
        <f>VLOOKUP(F672,Sheet2!$B$1:$E$19,2,FALSE)</f>
        <v>1073</v>
      </c>
      <c r="N672">
        <f>VLOOKUP(F672,Sheet2!$B$1:$E$19,3,FALSE)</f>
        <v>1108959</v>
      </c>
      <c r="O672">
        <f>IF(G672="Not available","",VLOOKUP(F672,Sheet2!$B$1:$E$19,4,FALSE)+(G672-1))</f>
        <v>3780016</v>
      </c>
    </row>
    <row r="673" spans="1:15" s="1" customFormat="1" ht="15" customHeight="1" x14ac:dyDescent="0.25">
      <c r="A673" s="18" t="s">
        <v>106</v>
      </c>
      <c r="B673" s="18" t="s">
        <v>33</v>
      </c>
      <c r="C673" s="5">
        <v>1823</v>
      </c>
      <c r="E673" s="1" t="s">
        <v>2</v>
      </c>
      <c r="F673" s="18">
        <v>2173</v>
      </c>
      <c r="G673" s="18">
        <v>74</v>
      </c>
      <c r="H673" s="5">
        <v>141</v>
      </c>
      <c r="I673" s="1">
        <v>93</v>
      </c>
      <c r="J673" s="1">
        <v>194</v>
      </c>
      <c r="L673" t="str">
        <f t="shared" si="10"/>
        <v>http://www.badatelna.eu/reprodukce/?fondId=1073&amp;zaznamId=1108959&amp;reproId=3780067</v>
      </c>
      <c r="M673">
        <f>VLOOKUP(F673,Sheet2!$B$1:$E$19,2,FALSE)</f>
        <v>1073</v>
      </c>
      <c r="N673">
        <f>VLOOKUP(F673,Sheet2!$B$1:$E$19,3,FALSE)</f>
        <v>1108959</v>
      </c>
      <c r="O673">
        <f>IF(G673="Not available","",VLOOKUP(F673,Sheet2!$B$1:$E$19,4,FALSE)+(G673-1))</f>
        <v>3780067</v>
      </c>
    </row>
    <row r="674" spans="1:15" s="1" customFormat="1" ht="15" customHeight="1" x14ac:dyDescent="0.25">
      <c r="A674" s="18" t="s">
        <v>106</v>
      </c>
      <c r="B674" s="18" t="s">
        <v>50</v>
      </c>
      <c r="C674" s="5">
        <v>1819</v>
      </c>
      <c r="E674" s="1" t="s">
        <v>2</v>
      </c>
      <c r="F674" s="18">
        <v>2173</v>
      </c>
      <c r="G674" s="18">
        <v>70</v>
      </c>
      <c r="H674" s="5">
        <v>132</v>
      </c>
      <c r="I674" s="1">
        <v>92</v>
      </c>
      <c r="J674" s="1">
        <v>190</v>
      </c>
      <c r="L674" t="str">
        <f t="shared" si="10"/>
        <v>http://www.badatelna.eu/reprodukce/?fondId=1073&amp;zaznamId=1108959&amp;reproId=3780063</v>
      </c>
      <c r="M674">
        <f>VLOOKUP(F674,Sheet2!$B$1:$E$19,2,FALSE)</f>
        <v>1073</v>
      </c>
      <c r="N674">
        <f>VLOOKUP(F674,Sheet2!$B$1:$E$19,3,FALSE)</f>
        <v>1108959</v>
      </c>
      <c r="O674">
        <f>IF(G674="Not available","",VLOOKUP(F674,Sheet2!$B$1:$E$19,4,FALSE)+(G674-1))</f>
        <v>3780063</v>
      </c>
    </row>
    <row r="675" spans="1:15" s="1" customFormat="1" ht="15" customHeight="1" x14ac:dyDescent="0.25">
      <c r="A675" s="18" t="s">
        <v>106</v>
      </c>
      <c r="B675" s="18" t="s">
        <v>547</v>
      </c>
      <c r="C675" s="5">
        <v>1844</v>
      </c>
      <c r="D675" s="1" t="s">
        <v>6</v>
      </c>
      <c r="E675" s="1" t="s">
        <v>2</v>
      </c>
      <c r="F675" s="18">
        <v>2174</v>
      </c>
      <c r="G675" s="18">
        <v>148</v>
      </c>
      <c r="H675" s="6" t="s">
        <v>3214</v>
      </c>
      <c r="I675" s="1">
        <v>181</v>
      </c>
      <c r="J675" s="1">
        <v>206</v>
      </c>
      <c r="L675" t="str">
        <f t="shared" si="10"/>
        <v>http://www.badatelna.eu/reprodukce/?fondId=1073&amp;zaznamId=1108960&amp;reproId=3780372</v>
      </c>
      <c r="M675">
        <f>VLOOKUP(F675,Sheet2!$B$1:$E$19,2,FALSE)</f>
        <v>1073</v>
      </c>
      <c r="N675">
        <f>VLOOKUP(F675,Sheet2!$B$1:$E$19,3,FALSE)</f>
        <v>1108960</v>
      </c>
      <c r="O675">
        <f>IF(G675="Not available","",VLOOKUP(F675,Sheet2!$B$1:$E$19,4,FALSE)+(G675-1))</f>
        <v>3780372</v>
      </c>
    </row>
    <row r="676" spans="1:15" s="1" customFormat="1" ht="15" customHeight="1" x14ac:dyDescent="0.25">
      <c r="A676" s="18" t="s">
        <v>106</v>
      </c>
      <c r="B676" s="18" t="s">
        <v>6</v>
      </c>
      <c r="C676" s="5">
        <v>1818</v>
      </c>
      <c r="E676" s="1" t="s">
        <v>2</v>
      </c>
      <c r="F676" s="18">
        <v>2173</v>
      </c>
      <c r="G676" s="18">
        <v>67</v>
      </c>
      <c r="H676" s="6" t="s">
        <v>2999</v>
      </c>
      <c r="I676" s="1">
        <v>93</v>
      </c>
      <c r="J676" s="1">
        <v>194</v>
      </c>
      <c r="L676" t="str">
        <f t="shared" si="10"/>
        <v>http://www.badatelna.eu/reprodukce/?fondId=1073&amp;zaznamId=1108959&amp;reproId=3780060</v>
      </c>
      <c r="M676">
        <f>VLOOKUP(F676,Sheet2!$B$1:$E$19,2,FALSE)</f>
        <v>1073</v>
      </c>
      <c r="N676">
        <f>VLOOKUP(F676,Sheet2!$B$1:$E$19,3,FALSE)</f>
        <v>1108959</v>
      </c>
      <c r="O676">
        <f>IF(G676="Not available","",VLOOKUP(F676,Sheet2!$B$1:$E$19,4,FALSE)+(G676-1))</f>
        <v>3780060</v>
      </c>
    </row>
    <row r="677" spans="1:15" s="1" customFormat="1" ht="15" customHeight="1" x14ac:dyDescent="0.25">
      <c r="A677" s="18" t="s">
        <v>106</v>
      </c>
      <c r="B677" s="18" t="s">
        <v>735</v>
      </c>
      <c r="C677" s="5">
        <v>1849</v>
      </c>
      <c r="D677" s="1" t="s">
        <v>6</v>
      </c>
      <c r="E677" s="1" t="s">
        <v>2</v>
      </c>
      <c r="F677" s="18">
        <v>2164</v>
      </c>
      <c r="G677" s="18">
        <v>63</v>
      </c>
      <c r="H677" s="5">
        <v>61</v>
      </c>
      <c r="I677" s="1">
        <v>123</v>
      </c>
      <c r="J677" s="3" t="s">
        <v>3271</v>
      </c>
      <c r="L677" t="str">
        <f t="shared" si="10"/>
        <v>http://www.badatelna.eu/reprodukce/?fondId=1073&amp;zaznamId=1108951&amp;reproId=3778777</v>
      </c>
      <c r="M677">
        <f>VLOOKUP(F677,Sheet2!$B$1:$E$19,2,FALSE)</f>
        <v>1073</v>
      </c>
      <c r="N677">
        <f>VLOOKUP(F677,Sheet2!$B$1:$E$19,3,FALSE)</f>
        <v>1108951</v>
      </c>
      <c r="O677">
        <f>IF(G677="Not available","",VLOOKUP(F677,Sheet2!$B$1:$E$19,4,FALSE)+(G677-1))</f>
        <v>3778777</v>
      </c>
    </row>
    <row r="678" spans="1:15" s="1" customFormat="1" ht="15" customHeight="1" x14ac:dyDescent="0.25">
      <c r="A678" s="18" t="s">
        <v>106</v>
      </c>
      <c r="B678" s="18" t="s">
        <v>8</v>
      </c>
      <c r="C678" s="5">
        <v>1826</v>
      </c>
      <c r="E678" s="1" t="s">
        <v>2</v>
      </c>
      <c r="F678" s="18">
        <v>2173</v>
      </c>
      <c r="G678" s="18">
        <v>79</v>
      </c>
      <c r="H678" s="5">
        <v>151</v>
      </c>
      <c r="I678" s="1">
        <v>93</v>
      </c>
      <c r="J678" s="1">
        <v>194</v>
      </c>
      <c r="L678" t="str">
        <f t="shared" si="10"/>
        <v>http://www.badatelna.eu/reprodukce/?fondId=1073&amp;zaznamId=1108959&amp;reproId=3780072</v>
      </c>
      <c r="M678">
        <f>VLOOKUP(F678,Sheet2!$B$1:$E$19,2,FALSE)</f>
        <v>1073</v>
      </c>
      <c r="N678">
        <f>VLOOKUP(F678,Sheet2!$B$1:$E$19,3,FALSE)</f>
        <v>1108959</v>
      </c>
      <c r="O678">
        <f>IF(G678="Not available","",VLOOKUP(F678,Sheet2!$B$1:$E$19,4,FALSE)+(G678-1))</f>
        <v>3780072</v>
      </c>
    </row>
    <row r="679" spans="1:15" s="1" customFormat="1" ht="15" customHeight="1" x14ac:dyDescent="0.25">
      <c r="A679" s="18" t="s">
        <v>106</v>
      </c>
      <c r="B679" s="18" t="s">
        <v>700</v>
      </c>
      <c r="C679" s="5">
        <v>1847</v>
      </c>
      <c r="D679" s="1" t="s">
        <v>6</v>
      </c>
      <c r="E679" s="1" t="s">
        <v>2</v>
      </c>
      <c r="F679" s="18">
        <v>2164</v>
      </c>
      <c r="G679" s="18">
        <v>16</v>
      </c>
      <c r="H679" s="5">
        <v>14</v>
      </c>
      <c r="I679" s="1">
        <v>123</v>
      </c>
      <c r="J679" s="3" t="s">
        <v>3271</v>
      </c>
      <c r="L679" t="str">
        <f t="shared" si="10"/>
        <v>http://www.badatelna.eu/reprodukce/?fondId=1073&amp;zaznamId=1108951&amp;reproId=3778730</v>
      </c>
      <c r="M679">
        <f>VLOOKUP(F679,Sheet2!$B$1:$E$19,2,FALSE)</f>
        <v>1073</v>
      </c>
      <c r="N679">
        <f>VLOOKUP(F679,Sheet2!$B$1:$E$19,3,FALSE)</f>
        <v>1108951</v>
      </c>
      <c r="O679">
        <f>IF(G679="Not available","",VLOOKUP(F679,Sheet2!$B$1:$E$19,4,FALSE)+(G679-1))</f>
        <v>3778730</v>
      </c>
    </row>
    <row r="680" spans="1:15" s="1" customFormat="1" ht="15" customHeight="1" x14ac:dyDescent="0.25">
      <c r="A680" s="18" t="s">
        <v>106</v>
      </c>
      <c r="B680" s="19" t="s">
        <v>22</v>
      </c>
      <c r="C680" s="5">
        <v>1803</v>
      </c>
      <c r="E680" s="1" t="s">
        <v>2</v>
      </c>
      <c r="F680" s="18">
        <v>2173</v>
      </c>
      <c r="G680" s="18">
        <v>46</v>
      </c>
      <c r="H680" s="14" t="s">
        <v>3095</v>
      </c>
      <c r="I680" s="1">
        <v>92</v>
      </c>
      <c r="J680" s="1">
        <v>190</v>
      </c>
      <c r="L680" t="str">
        <f t="shared" si="10"/>
        <v>http://www.badatelna.eu/reprodukce/?fondId=1073&amp;zaznamId=1108959&amp;reproId=3780039</v>
      </c>
      <c r="M680">
        <f>VLOOKUP(F680,Sheet2!$B$1:$E$19,2,FALSE)</f>
        <v>1073</v>
      </c>
      <c r="N680">
        <f>VLOOKUP(F680,Sheet2!$B$1:$E$19,3,FALSE)</f>
        <v>1108959</v>
      </c>
      <c r="O680">
        <f>IF(G680="Not available","",VLOOKUP(F680,Sheet2!$B$1:$E$19,4,FALSE)+(G680-1))</f>
        <v>3780039</v>
      </c>
    </row>
    <row r="681" spans="1:15" s="1" customFormat="1" ht="15" customHeight="1" x14ac:dyDescent="0.25">
      <c r="A681" s="18" t="s">
        <v>106</v>
      </c>
      <c r="B681" s="18" t="s">
        <v>19</v>
      </c>
      <c r="C681" s="5">
        <v>1821</v>
      </c>
      <c r="E681" s="1" t="s">
        <v>2</v>
      </c>
      <c r="F681" s="18">
        <v>2173</v>
      </c>
      <c r="G681" s="18">
        <v>71</v>
      </c>
      <c r="H681" s="5">
        <v>135</v>
      </c>
      <c r="I681" s="1">
        <v>93</v>
      </c>
      <c r="J681" s="1">
        <v>194</v>
      </c>
      <c r="L681" t="str">
        <f t="shared" si="10"/>
        <v>http://www.badatelna.eu/reprodukce/?fondId=1073&amp;zaznamId=1108959&amp;reproId=3780064</v>
      </c>
      <c r="M681">
        <f>VLOOKUP(F681,Sheet2!$B$1:$E$19,2,FALSE)</f>
        <v>1073</v>
      </c>
      <c r="N681">
        <f>VLOOKUP(F681,Sheet2!$B$1:$E$19,3,FALSE)</f>
        <v>1108959</v>
      </c>
      <c r="O681">
        <f>IF(G681="Not available","",VLOOKUP(F681,Sheet2!$B$1:$E$19,4,FALSE)+(G681-1))</f>
        <v>3780064</v>
      </c>
    </row>
    <row r="682" spans="1:15" s="1" customFormat="1" ht="15" customHeight="1" x14ac:dyDescent="0.25">
      <c r="A682" s="18" t="s">
        <v>106</v>
      </c>
      <c r="B682" s="18" t="s">
        <v>18</v>
      </c>
      <c r="C682" s="5">
        <v>1833</v>
      </c>
      <c r="D682" s="1" t="s">
        <v>58</v>
      </c>
      <c r="E682" s="1" t="s">
        <v>2</v>
      </c>
      <c r="F682" s="18">
        <v>2174</v>
      </c>
      <c r="G682" s="18">
        <v>73</v>
      </c>
      <c r="H682" s="6" t="s">
        <v>3138</v>
      </c>
      <c r="I682" s="1">
        <v>180</v>
      </c>
      <c r="J682" s="1">
        <v>204</v>
      </c>
      <c r="L682" t="str">
        <f t="shared" si="10"/>
        <v>http://www.badatelna.eu/reprodukce/?fondId=1073&amp;zaznamId=1108960&amp;reproId=3780297</v>
      </c>
      <c r="M682">
        <f>VLOOKUP(F682,Sheet2!$B$1:$E$19,2,FALSE)</f>
        <v>1073</v>
      </c>
      <c r="N682">
        <f>VLOOKUP(F682,Sheet2!$B$1:$E$19,3,FALSE)</f>
        <v>1108960</v>
      </c>
      <c r="O682">
        <f>IF(G682="Not available","",VLOOKUP(F682,Sheet2!$B$1:$E$19,4,FALSE)+(G682-1))</f>
        <v>3780297</v>
      </c>
    </row>
    <row r="683" spans="1:15" s="1" customFormat="1" ht="15" customHeight="1" x14ac:dyDescent="0.25">
      <c r="A683" s="18" t="s">
        <v>106</v>
      </c>
      <c r="B683" s="18" t="s">
        <v>11</v>
      </c>
      <c r="C683" s="5">
        <v>1824</v>
      </c>
      <c r="E683" s="1" t="s">
        <v>2</v>
      </c>
      <c r="F683" s="18">
        <v>2173</v>
      </c>
      <c r="G683" s="18">
        <v>77</v>
      </c>
      <c r="H683" s="5">
        <v>146</v>
      </c>
      <c r="I683" s="1">
        <v>93</v>
      </c>
      <c r="J683" s="1">
        <v>194</v>
      </c>
      <c r="L683" t="str">
        <f t="shared" si="10"/>
        <v>http://www.badatelna.eu/reprodukce/?fondId=1073&amp;zaznamId=1108959&amp;reproId=3780070</v>
      </c>
      <c r="M683">
        <f>VLOOKUP(F683,Sheet2!$B$1:$E$19,2,FALSE)</f>
        <v>1073</v>
      </c>
      <c r="N683">
        <f>VLOOKUP(F683,Sheet2!$B$1:$E$19,3,FALSE)</f>
        <v>1108959</v>
      </c>
      <c r="O683">
        <f>IF(G683="Not available","",VLOOKUP(F683,Sheet2!$B$1:$E$19,4,FALSE)+(G683-1))</f>
        <v>3780070</v>
      </c>
    </row>
    <row r="684" spans="1:15" s="1" customFormat="1" ht="15" customHeight="1" x14ac:dyDescent="0.25">
      <c r="A684" s="18" t="s">
        <v>106</v>
      </c>
      <c r="B684" s="18" t="s">
        <v>145</v>
      </c>
      <c r="C684" s="5">
        <v>1846</v>
      </c>
      <c r="D684" s="1" t="s">
        <v>6</v>
      </c>
      <c r="E684" s="1" t="s">
        <v>2</v>
      </c>
      <c r="F684" s="18">
        <v>2174</v>
      </c>
      <c r="G684" s="18">
        <v>164</v>
      </c>
      <c r="H684" s="6" t="s">
        <v>3231</v>
      </c>
      <c r="I684" s="1">
        <v>181</v>
      </c>
      <c r="J684" s="1">
        <v>206</v>
      </c>
      <c r="L684" t="str">
        <f t="shared" si="10"/>
        <v>http://www.badatelna.eu/reprodukce/?fondId=1073&amp;zaznamId=1108960&amp;reproId=3780388</v>
      </c>
      <c r="M684">
        <f>VLOOKUP(F684,Sheet2!$B$1:$E$19,2,FALSE)</f>
        <v>1073</v>
      </c>
      <c r="N684">
        <f>VLOOKUP(F684,Sheet2!$B$1:$E$19,3,FALSE)</f>
        <v>1108960</v>
      </c>
      <c r="O684">
        <f>IF(G684="Not available","",VLOOKUP(F684,Sheet2!$B$1:$E$19,4,FALSE)+(G684-1))</f>
        <v>3780388</v>
      </c>
    </row>
    <row r="685" spans="1:15" s="1" customFormat="1" ht="15" customHeight="1" x14ac:dyDescent="0.25">
      <c r="A685" s="18" t="s">
        <v>106</v>
      </c>
      <c r="B685" s="18" t="s">
        <v>156</v>
      </c>
      <c r="C685" s="5">
        <v>1829</v>
      </c>
      <c r="E685" s="1" t="s">
        <v>2</v>
      </c>
      <c r="F685" s="18">
        <v>2173</v>
      </c>
      <c r="G685" s="18">
        <v>83</v>
      </c>
      <c r="H685" s="5">
        <v>158</v>
      </c>
      <c r="I685" s="1">
        <v>93</v>
      </c>
      <c r="J685" s="1">
        <v>194</v>
      </c>
      <c r="L685" t="str">
        <f t="shared" si="10"/>
        <v>http://www.badatelna.eu/reprodukce/?fondId=1073&amp;zaznamId=1108959&amp;reproId=3780076</v>
      </c>
      <c r="M685">
        <f>VLOOKUP(F685,Sheet2!$B$1:$E$19,2,FALSE)</f>
        <v>1073</v>
      </c>
      <c r="N685">
        <f>VLOOKUP(F685,Sheet2!$B$1:$E$19,3,FALSE)</f>
        <v>1108959</v>
      </c>
      <c r="O685">
        <f>IF(G685="Not available","",VLOOKUP(F685,Sheet2!$B$1:$E$19,4,FALSE)+(G685-1))</f>
        <v>3780076</v>
      </c>
    </row>
    <row r="686" spans="1:15" s="1" customFormat="1" ht="15" customHeight="1" x14ac:dyDescent="0.25">
      <c r="A686" s="18" t="s">
        <v>106</v>
      </c>
      <c r="B686" s="18" t="s">
        <v>44</v>
      </c>
      <c r="C686" s="5">
        <v>1850</v>
      </c>
      <c r="D686" s="1" t="s">
        <v>808</v>
      </c>
      <c r="E686" s="1" t="s">
        <v>2</v>
      </c>
      <c r="F686" s="18">
        <v>2164</v>
      </c>
      <c r="G686" s="18">
        <v>67</v>
      </c>
      <c r="H686" s="5">
        <v>65</v>
      </c>
      <c r="I686" s="1">
        <v>123</v>
      </c>
      <c r="J686" s="3" t="s">
        <v>3271</v>
      </c>
      <c r="L686" t="str">
        <f t="shared" si="10"/>
        <v>http://www.badatelna.eu/reprodukce/?fondId=1073&amp;zaznamId=1108951&amp;reproId=3778781</v>
      </c>
      <c r="M686">
        <f>VLOOKUP(F686,Sheet2!$B$1:$E$19,2,FALSE)</f>
        <v>1073</v>
      </c>
      <c r="N686">
        <f>VLOOKUP(F686,Sheet2!$B$1:$E$19,3,FALSE)</f>
        <v>1108951</v>
      </c>
      <c r="O686">
        <f>IF(G686="Not available","",VLOOKUP(F686,Sheet2!$B$1:$E$19,4,FALSE)+(G686-1))</f>
        <v>3778781</v>
      </c>
    </row>
    <row r="687" spans="1:15" s="1" customFormat="1" ht="15" customHeight="1" x14ac:dyDescent="0.25">
      <c r="A687" s="18" t="s">
        <v>106</v>
      </c>
      <c r="B687" s="18" t="s">
        <v>91</v>
      </c>
      <c r="C687" s="6" t="s">
        <v>2873</v>
      </c>
      <c r="D687" s="1" t="s">
        <v>377</v>
      </c>
      <c r="E687" s="1" t="s">
        <v>2</v>
      </c>
      <c r="F687" s="18">
        <v>2165</v>
      </c>
      <c r="G687" s="18">
        <v>177</v>
      </c>
      <c r="H687" s="5">
        <v>1</v>
      </c>
      <c r="I687" s="1">
        <v>182</v>
      </c>
      <c r="J687" s="1">
        <v>159</v>
      </c>
      <c r="L687" t="str">
        <f t="shared" si="10"/>
        <v>http://www.badatelna.eu/reprodukce/?fondId=1073&amp;zaznamId=1108952&amp;reproId=3779038</v>
      </c>
      <c r="M687">
        <f>VLOOKUP(F687,Sheet2!$B$1:$E$19,2,FALSE)</f>
        <v>1073</v>
      </c>
      <c r="N687">
        <f>VLOOKUP(F687,Sheet2!$B$1:$E$19,3,FALSE)</f>
        <v>1108952</v>
      </c>
      <c r="O687">
        <f>IF(G687="Not available","",VLOOKUP(F687,Sheet2!$B$1:$E$19,4,FALSE)+(G687-1))</f>
        <v>3779038</v>
      </c>
    </row>
    <row r="688" spans="1:15" s="1" customFormat="1" ht="15" customHeight="1" x14ac:dyDescent="0.25">
      <c r="A688" s="18" t="s">
        <v>106</v>
      </c>
      <c r="B688" s="18" t="s">
        <v>91</v>
      </c>
      <c r="C688" s="6" t="s">
        <v>1285</v>
      </c>
      <c r="D688" s="4" t="s">
        <v>2852</v>
      </c>
      <c r="E688" s="4" t="s">
        <v>2</v>
      </c>
      <c r="F688" s="18">
        <v>2176</v>
      </c>
      <c r="G688" s="18" t="s">
        <v>3271</v>
      </c>
      <c r="H688" s="6" t="s">
        <v>1955</v>
      </c>
      <c r="I688" s="1">
        <v>5</v>
      </c>
      <c r="J688" s="1" t="s">
        <v>3271</v>
      </c>
      <c r="K688" s="3"/>
      <c r="L688" t="str">
        <f t="shared" si="10"/>
        <v/>
      </c>
      <c r="M688">
        <f>VLOOKUP(F688,Sheet2!$B$1:$E$19,2,FALSE)</f>
        <v>1073</v>
      </c>
      <c r="N688">
        <f>VLOOKUP(F688,Sheet2!$B$1:$E$19,3,FALSE)</f>
        <v>1108963</v>
      </c>
      <c r="O688" t="str">
        <f>IF(G688="Not available","",VLOOKUP(F688,Sheet2!$B$1:$E$19,4,FALSE)+(G688-1))</f>
        <v/>
      </c>
    </row>
    <row r="689" spans="1:15" s="1" customFormat="1" ht="15" customHeight="1" x14ac:dyDescent="0.25">
      <c r="A689" s="18" t="s">
        <v>48</v>
      </c>
      <c r="B689" s="18" t="s">
        <v>547</v>
      </c>
      <c r="C689" s="5">
        <v>1852</v>
      </c>
      <c r="D689" s="1" t="s">
        <v>21</v>
      </c>
      <c r="E689" s="1" t="s">
        <v>2</v>
      </c>
      <c r="F689" s="18">
        <v>2164</v>
      </c>
      <c r="G689" s="18">
        <v>81</v>
      </c>
      <c r="H689" s="5">
        <v>79</v>
      </c>
      <c r="I689" s="1">
        <v>123</v>
      </c>
      <c r="J689" s="3" t="s">
        <v>3271</v>
      </c>
      <c r="L689" t="str">
        <f t="shared" si="10"/>
        <v>http://www.badatelna.eu/reprodukce/?fondId=1073&amp;zaznamId=1108951&amp;reproId=3778795</v>
      </c>
      <c r="M689">
        <f>VLOOKUP(F689,Sheet2!$B$1:$E$19,2,FALSE)</f>
        <v>1073</v>
      </c>
      <c r="N689">
        <f>VLOOKUP(F689,Sheet2!$B$1:$E$19,3,FALSE)</f>
        <v>1108951</v>
      </c>
      <c r="O689">
        <f>IF(G689="Not available","",VLOOKUP(F689,Sheet2!$B$1:$E$19,4,FALSE)+(G689-1))</f>
        <v>3778795</v>
      </c>
    </row>
    <row r="690" spans="1:15" s="1" customFormat="1" ht="15" customHeight="1" x14ac:dyDescent="0.25">
      <c r="A690" s="21" t="s">
        <v>48</v>
      </c>
      <c r="B690" s="21" t="s">
        <v>59</v>
      </c>
      <c r="C690" s="7">
        <v>1790</v>
      </c>
      <c r="D690" s="2" t="s">
        <v>49</v>
      </c>
      <c r="E690" s="1" t="s">
        <v>2</v>
      </c>
      <c r="F690" s="18">
        <v>2173</v>
      </c>
      <c r="G690" s="21">
        <v>22</v>
      </c>
      <c r="H690" s="7">
        <v>39</v>
      </c>
      <c r="I690" s="2">
        <v>91</v>
      </c>
      <c r="J690" s="2">
        <v>189</v>
      </c>
      <c r="K690" s="2"/>
      <c r="L690" t="str">
        <f t="shared" si="10"/>
        <v>http://www.badatelna.eu/reprodukce/?fondId=1073&amp;zaznamId=1108959&amp;reproId=3780015</v>
      </c>
      <c r="M690">
        <f>VLOOKUP(F690,Sheet2!$B$1:$E$19,2,FALSE)</f>
        <v>1073</v>
      </c>
      <c r="N690">
        <f>VLOOKUP(F690,Sheet2!$B$1:$E$19,3,FALSE)</f>
        <v>1108959</v>
      </c>
      <c r="O690">
        <f>IF(G690="Not available","",VLOOKUP(F690,Sheet2!$B$1:$E$19,4,FALSE)+(G690-1))</f>
        <v>3780015</v>
      </c>
    </row>
    <row r="691" spans="1:15" s="1" customFormat="1" ht="15" customHeight="1" x14ac:dyDescent="0.25">
      <c r="A691" s="18" t="s">
        <v>48</v>
      </c>
      <c r="B691" s="18" t="s">
        <v>428</v>
      </c>
      <c r="C691" s="5">
        <v>1844</v>
      </c>
      <c r="D691" s="1" t="s">
        <v>21</v>
      </c>
      <c r="E691" s="1" t="s">
        <v>2</v>
      </c>
      <c r="F691" s="18">
        <v>2174</v>
      </c>
      <c r="G691" s="18">
        <v>143</v>
      </c>
      <c r="H691" s="6" t="s">
        <v>3210</v>
      </c>
      <c r="I691" s="1">
        <v>181</v>
      </c>
      <c r="J691" s="1">
        <v>206</v>
      </c>
      <c r="L691" t="str">
        <f t="shared" si="10"/>
        <v>http://www.badatelna.eu/reprodukce/?fondId=1073&amp;zaznamId=1108960&amp;reproId=3780367</v>
      </c>
      <c r="M691">
        <f>VLOOKUP(F691,Sheet2!$B$1:$E$19,2,FALSE)</f>
        <v>1073</v>
      </c>
      <c r="N691">
        <f>VLOOKUP(F691,Sheet2!$B$1:$E$19,3,FALSE)</f>
        <v>1108960</v>
      </c>
      <c r="O691">
        <f>IF(G691="Not available","",VLOOKUP(F691,Sheet2!$B$1:$E$19,4,FALSE)+(G691-1))</f>
        <v>3780367</v>
      </c>
    </row>
    <row r="692" spans="1:15" s="1" customFormat="1" ht="15" customHeight="1" x14ac:dyDescent="0.25">
      <c r="A692" s="18" t="s">
        <v>48</v>
      </c>
      <c r="B692" s="18" t="s">
        <v>2089</v>
      </c>
      <c r="C692" s="6" t="s">
        <v>2087</v>
      </c>
      <c r="D692" s="4" t="s">
        <v>2090</v>
      </c>
      <c r="E692" s="4" t="s">
        <v>2</v>
      </c>
      <c r="F692" s="18">
        <v>2176</v>
      </c>
      <c r="G692" s="18" t="s">
        <v>3271</v>
      </c>
      <c r="H692" s="6" t="s">
        <v>2091</v>
      </c>
      <c r="I692" s="1">
        <v>5</v>
      </c>
      <c r="J692" s="1" t="s">
        <v>3271</v>
      </c>
      <c r="K692" s="3"/>
      <c r="L692" t="str">
        <f t="shared" si="10"/>
        <v/>
      </c>
      <c r="M692">
        <f>VLOOKUP(F692,Sheet2!$B$1:$E$19,2,FALSE)</f>
        <v>1073</v>
      </c>
      <c r="N692">
        <f>VLOOKUP(F692,Sheet2!$B$1:$E$19,3,FALSE)</f>
        <v>1108963</v>
      </c>
      <c r="O692" t="str">
        <f>IF(G692="Not available","",VLOOKUP(F692,Sheet2!$B$1:$E$19,4,FALSE)+(G692-1))</f>
        <v/>
      </c>
    </row>
    <row r="693" spans="1:15" s="1" customFormat="1" ht="15" customHeight="1" x14ac:dyDescent="0.25">
      <c r="A693" s="21" t="s">
        <v>48</v>
      </c>
      <c r="B693" s="20" t="s">
        <v>2924</v>
      </c>
      <c r="C693" s="7">
        <v>1788</v>
      </c>
      <c r="D693" s="2" t="s">
        <v>21</v>
      </c>
      <c r="E693" s="1" t="s">
        <v>2</v>
      </c>
      <c r="F693" s="18">
        <v>2173</v>
      </c>
      <c r="G693" s="21">
        <v>18</v>
      </c>
      <c r="H693" s="7">
        <v>30</v>
      </c>
      <c r="I693" s="2">
        <v>91</v>
      </c>
      <c r="J693" s="2">
        <v>189</v>
      </c>
      <c r="K693" s="2"/>
      <c r="L693" t="str">
        <f t="shared" si="10"/>
        <v>http://www.badatelna.eu/reprodukce/?fondId=1073&amp;zaznamId=1108959&amp;reproId=3780011</v>
      </c>
      <c r="M693">
        <f>VLOOKUP(F693,Sheet2!$B$1:$E$19,2,FALSE)</f>
        <v>1073</v>
      </c>
      <c r="N693">
        <f>VLOOKUP(F693,Sheet2!$B$1:$E$19,3,FALSE)</f>
        <v>1108959</v>
      </c>
      <c r="O693">
        <f>IF(G693="Not available","",VLOOKUP(F693,Sheet2!$B$1:$E$19,4,FALSE)+(G693-1))</f>
        <v>3780011</v>
      </c>
    </row>
    <row r="694" spans="1:15" s="1" customFormat="1" ht="15" customHeight="1" x14ac:dyDescent="0.25">
      <c r="A694" s="21" t="s">
        <v>48</v>
      </c>
      <c r="B694" s="21" t="s">
        <v>25</v>
      </c>
      <c r="C694" s="7">
        <v>1791</v>
      </c>
      <c r="D694" s="2" t="s">
        <v>21</v>
      </c>
      <c r="E694" s="1" t="s">
        <v>2</v>
      </c>
      <c r="F694" s="18">
        <v>2173</v>
      </c>
      <c r="G694" s="21">
        <v>25</v>
      </c>
      <c r="H694" s="7">
        <v>45</v>
      </c>
      <c r="I694" s="2">
        <v>91</v>
      </c>
      <c r="J694" s="2">
        <v>189</v>
      </c>
      <c r="K694" s="2"/>
      <c r="L694" t="str">
        <f t="shared" si="10"/>
        <v>http://www.badatelna.eu/reprodukce/?fondId=1073&amp;zaznamId=1108959&amp;reproId=3780018</v>
      </c>
      <c r="M694">
        <f>VLOOKUP(F694,Sheet2!$B$1:$E$19,2,FALSE)</f>
        <v>1073</v>
      </c>
      <c r="N694">
        <f>VLOOKUP(F694,Sheet2!$B$1:$E$19,3,FALSE)</f>
        <v>1108959</v>
      </c>
      <c r="O694">
        <f>IF(G694="Not available","",VLOOKUP(F694,Sheet2!$B$1:$E$19,4,FALSE)+(G694-1))</f>
        <v>3780018</v>
      </c>
    </row>
    <row r="695" spans="1:15" s="1" customFormat="1" ht="15" customHeight="1" x14ac:dyDescent="0.25">
      <c r="A695" s="20" t="s">
        <v>48</v>
      </c>
      <c r="B695" s="21" t="s">
        <v>21</v>
      </c>
      <c r="C695" s="7">
        <v>1792</v>
      </c>
      <c r="D695" s="2" t="s">
        <v>49</v>
      </c>
      <c r="E695" s="1" t="s">
        <v>2</v>
      </c>
      <c r="F695" s="18">
        <v>2173</v>
      </c>
      <c r="G695" s="21">
        <v>28</v>
      </c>
      <c r="H695" s="7">
        <v>50</v>
      </c>
      <c r="I695" s="2">
        <v>91</v>
      </c>
      <c r="J695" s="2">
        <v>189</v>
      </c>
      <c r="K695" s="2"/>
      <c r="L695" t="str">
        <f t="shared" si="10"/>
        <v>http://www.badatelna.eu/reprodukce/?fondId=1073&amp;zaznamId=1108959&amp;reproId=3780021</v>
      </c>
      <c r="M695">
        <f>VLOOKUP(F695,Sheet2!$B$1:$E$19,2,FALSE)</f>
        <v>1073</v>
      </c>
      <c r="N695">
        <f>VLOOKUP(F695,Sheet2!$B$1:$E$19,3,FALSE)</f>
        <v>1108959</v>
      </c>
      <c r="O695">
        <f>IF(G695="Not available","",VLOOKUP(F695,Sheet2!$B$1:$E$19,4,FALSE)+(G695-1))</f>
        <v>3780021</v>
      </c>
    </row>
    <row r="696" spans="1:15" s="1" customFormat="1" ht="15" customHeight="1" x14ac:dyDescent="0.25">
      <c r="A696" s="18" t="s">
        <v>48</v>
      </c>
      <c r="B696" s="18" t="s">
        <v>432</v>
      </c>
      <c r="C696" s="5">
        <v>1842</v>
      </c>
      <c r="D696" s="1" t="s">
        <v>21</v>
      </c>
      <c r="E696" s="1" t="s">
        <v>2</v>
      </c>
      <c r="F696" s="18">
        <v>2174</v>
      </c>
      <c r="G696" s="18">
        <v>126</v>
      </c>
      <c r="H696" s="6" t="s">
        <v>3196</v>
      </c>
      <c r="I696" s="1">
        <v>181</v>
      </c>
      <c r="J696" s="1">
        <v>205</v>
      </c>
      <c r="L696" t="str">
        <f t="shared" si="10"/>
        <v>http://www.badatelna.eu/reprodukce/?fondId=1073&amp;zaznamId=1108960&amp;reproId=3780350</v>
      </c>
      <c r="M696">
        <f>VLOOKUP(F696,Sheet2!$B$1:$E$19,2,FALSE)</f>
        <v>1073</v>
      </c>
      <c r="N696">
        <f>VLOOKUP(F696,Sheet2!$B$1:$E$19,3,FALSE)</f>
        <v>1108960</v>
      </c>
      <c r="O696">
        <f>IF(G696="Not available","",VLOOKUP(F696,Sheet2!$B$1:$E$19,4,FALSE)+(G696-1))</f>
        <v>3780350</v>
      </c>
    </row>
    <row r="697" spans="1:15" s="1" customFormat="1" ht="15" customHeight="1" x14ac:dyDescent="0.25">
      <c r="A697" s="18" t="s">
        <v>48</v>
      </c>
      <c r="B697" s="18" t="s">
        <v>432</v>
      </c>
      <c r="C697" s="5">
        <v>1855</v>
      </c>
      <c r="D697" s="1" t="s">
        <v>21</v>
      </c>
      <c r="E697" s="1" t="s">
        <v>2</v>
      </c>
      <c r="F697" s="18">
        <v>2164</v>
      </c>
      <c r="G697" s="18">
        <v>101</v>
      </c>
      <c r="H697" s="5">
        <v>99</v>
      </c>
      <c r="I697" s="1">
        <v>123</v>
      </c>
      <c r="J697" s="3" t="s">
        <v>3271</v>
      </c>
      <c r="L697" t="str">
        <f t="shared" si="10"/>
        <v>http://www.badatelna.eu/reprodukce/?fondId=1073&amp;zaznamId=1108951&amp;reproId=3778815</v>
      </c>
      <c r="M697">
        <f>VLOOKUP(F697,Sheet2!$B$1:$E$19,2,FALSE)</f>
        <v>1073</v>
      </c>
      <c r="N697">
        <f>VLOOKUP(F697,Sheet2!$B$1:$E$19,3,FALSE)</f>
        <v>1108951</v>
      </c>
      <c r="O697">
        <f>IF(G697="Not available","",VLOOKUP(F697,Sheet2!$B$1:$E$19,4,FALSE)+(G697-1))</f>
        <v>3778815</v>
      </c>
    </row>
    <row r="698" spans="1:15" s="1" customFormat="1" ht="15" customHeight="1" x14ac:dyDescent="0.25">
      <c r="A698" s="18" t="s">
        <v>48</v>
      </c>
      <c r="B698" s="18" t="s">
        <v>434</v>
      </c>
      <c r="C698" s="5">
        <v>1854</v>
      </c>
      <c r="D698" s="12" t="s">
        <v>16</v>
      </c>
      <c r="E698" s="1" t="s">
        <v>2</v>
      </c>
      <c r="F698" s="18">
        <v>2164</v>
      </c>
      <c r="G698" s="18">
        <v>98</v>
      </c>
      <c r="H698" s="5">
        <v>96</v>
      </c>
      <c r="I698" s="1">
        <v>123</v>
      </c>
      <c r="J698" s="3" t="s">
        <v>3271</v>
      </c>
      <c r="L698" t="str">
        <f t="shared" si="10"/>
        <v>http://www.badatelna.eu/reprodukce/?fondId=1073&amp;zaznamId=1108951&amp;reproId=3778812</v>
      </c>
      <c r="M698">
        <f>VLOOKUP(F698,Sheet2!$B$1:$E$19,2,FALSE)</f>
        <v>1073</v>
      </c>
      <c r="N698">
        <f>VLOOKUP(F698,Sheet2!$B$1:$E$19,3,FALSE)</f>
        <v>1108951</v>
      </c>
      <c r="O698">
        <f>IF(G698="Not available","",VLOOKUP(F698,Sheet2!$B$1:$E$19,4,FALSE)+(G698-1))</f>
        <v>3778812</v>
      </c>
    </row>
    <row r="699" spans="1:15" s="1" customFormat="1" ht="15" customHeight="1" x14ac:dyDescent="0.25">
      <c r="A699" s="18" t="s">
        <v>48</v>
      </c>
      <c r="B699" s="18" t="s">
        <v>434</v>
      </c>
      <c r="C699" s="5" t="s">
        <v>1332</v>
      </c>
      <c r="D699" s="1" t="s">
        <v>428</v>
      </c>
      <c r="E699" s="1" t="s">
        <v>2</v>
      </c>
      <c r="F699" s="18">
        <v>2165</v>
      </c>
      <c r="G699" s="18">
        <v>58</v>
      </c>
      <c r="H699" s="5">
        <v>55</v>
      </c>
      <c r="I699" s="1">
        <v>81</v>
      </c>
      <c r="J699" s="1" t="s">
        <v>3271</v>
      </c>
      <c r="L699" t="str">
        <f t="shared" si="10"/>
        <v>http://www.badatelna.eu/reprodukce/?fondId=1073&amp;zaznamId=1108952&amp;reproId=3778919</v>
      </c>
      <c r="M699">
        <f>VLOOKUP(F699,Sheet2!$B$1:$E$19,2,FALSE)</f>
        <v>1073</v>
      </c>
      <c r="N699">
        <f>VLOOKUP(F699,Sheet2!$B$1:$E$19,3,FALSE)</f>
        <v>1108952</v>
      </c>
      <c r="O699">
        <f>IF(G699="Not available","",VLOOKUP(F699,Sheet2!$B$1:$E$19,4,FALSE)+(G699-1))</f>
        <v>3778919</v>
      </c>
    </row>
    <row r="700" spans="1:15" s="1" customFormat="1" ht="15" customHeight="1" x14ac:dyDescent="0.25">
      <c r="A700" s="18" t="s">
        <v>48</v>
      </c>
      <c r="B700" s="18" t="s">
        <v>1078</v>
      </c>
      <c r="C700" s="5" t="s">
        <v>1861</v>
      </c>
      <c r="D700" s="1" t="s">
        <v>484</v>
      </c>
      <c r="E700" s="1" t="s">
        <v>2</v>
      </c>
      <c r="F700" s="18">
        <v>2165</v>
      </c>
      <c r="G700" s="18">
        <v>260</v>
      </c>
      <c r="H700" s="5">
        <v>1</v>
      </c>
      <c r="I700" s="1">
        <v>265</v>
      </c>
      <c r="J700" s="1">
        <v>239</v>
      </c>
      <c r="L700" t="str">
        <f t="shared" si="10"/>
        <v>http://www.badatelna.eu/reprodukce/?fondId=1073&amp;zaznamId=1108952&amp;reproId=3779121</v>
      </c>
      <c r="M700">
        <f>VLOOKUP(F700,Sheet2!$B$1:$E$19,2,FALSE)</f>
        <v>1073</v>
      </c>
      <c r="N700">
        <f>VLOOKUP(F700,Sheet2!$B$1:$E$19,3,FALSE)</f>
        <v>1108952</v>
      </c>
      <c r="O700">
        <f>IF(G700="Not available","",VLOOKUP(F700,Sheet2!$B$1:$E$19,4,FALSE)+(G700-1))</f>
        <v>3779121</v>
      </c>
    </row>
    <row r="701" spans="1:15" s="1" customFormat="1" ht="15" customHeight="1" x14ac:dyDescent="0.25">
      <c r="A701" s="18" t="s">
        <v>48</v>
      </c>
      <c r="B701" s="18" t="s">
        <v>593</v>
      </c>
      <c r="C701" s="5">
        <v>1840</v>
      </c>
      <c r="D701" s="1" t="s">
        <v>21</v>
      </c>
      <c r="E701" s="1" t="s">
        <v>2</v>
      </c>
      <c r="F701" s="18">
        <v>2174</v>
      </c>
      <c r="G701" s="18">
        <v>113</v>
      </c>
      <c r="H701" s="6" t="s">
        <v>3179</v>
      </c>
      <c r="I701" s="1">
        <v>181</v>
      </c>
      <c r="J701" s="1">
        <v>205</v>
      </c>
      <c r="L701" t="str">
        <f t="shared" si="10"/>
        <v>http://www.badatelna.eu/reprodukce/?fondId=1073&amp;zaznamId=1108960&amp;reproId=3780337</v>
      </c>
      <c r="M701">
        <f>VLOOKUP(F701,Sheet2!$B$1:$E$19,2,FALSE)</f>
        <v>1073</v>
      </c>
      <c r="N701">
        <f>VLOOKUP(F701,Sheet2!$B$1:$E$19,3,FALSE)</f>
        <v>1108960</v>
      </c>
      <c r="O701">
        <f>IF(G701="Not available","",VLOOKUP(F701,Sheet2!$B$1:$E$19,4,FALSE)+(G701-1))</f>
        <v>3780337</v>
      </c>
    </row>
    <row r="702" spans="1:15" s="1" customFormat="1" ht="15" customHeight="1" x14ac:dyDescent="0.25">
      <c r="A702" s="18" t="s">
        <v>48</v>
      </c>
      <c r="B702" s="18" t="s">
        <v>491</v>
      </c>
      <c r="C702" s="5">
        <v>1866</v>
      </c>
      <c r="E702" s="1" t="s">
        <v>939</v>
      </c>
      <c r="F702" s="18">
        <v>999</v>
      </c>
      <c r="G702" s="18">
        <v>59</v>
      </c>
      <c r="H702" s="5">
        <v>57</v>
      </c>
      <c r="I702" s="1">
        <v>63</v>
      </c>
      <c r="J702" s="1">
        <v>96</v>
      </c>
      <c r="L702" t="str">
        <f t="shared" si="10"/>
        <v>http://www.badatelna.eu/reprodukce/?fondId=241&amp;zaznamId=1133739&amp;reproId=3885788</v>
      </c>
      <c r="M702">
        <f>VLOOKUP(F702,Sheet2!$B$1:$E$19,2,FALSE)</f>
        <v>241</v>
      </c>
      <c r="N702">
        <f>VLOOKUP(F702,Sheet2!$B$1:$E$19,3,FALSE)</f>
        <v>1133739</v>
      </c>
      <c r="O702">
        <f>IF(G702="Not available","",VLOOKUP(F702,Sheet2!$B$1:$E$19,4,FALSE)+(G702-1))</f>
        <v>3885788</v>
      </c>
    </row>
    <row r="703" spans="1:15" s="1" customFormat="1" ht="15" customHeight="1" x14ac:dyDescent="0.25">
      <c r="A703" s="18" t="s">
        <v>48</v>
      </c>
      <c r="B703" s="18" t="s">
        <v>491</v>
      </c>
      <c r="C703" s="5" t="s">
        <v>1296</v>
      </c>
      <c r="D703" s="1" t="s">
        <v>989</v>
      </c>
      <c r="E703" s="1" t="s">
        <v>2</v>
      </c>
      <c r="F703" s="18">
        <v>2165</v>
      </c>
      <c r="G703" s="18">
        <v>13</v>
      </c>
      <c r="H703" s="5">
        <v>10</v>
      </c>
      <c r="I703" s="1">
        <v>80</v>
      </c>
      <c r="J703" s="1" t="s">
        <v>3271</v>
      </c>
      <c r="L703" t="str">
        <f t="shared" si="10"/>
        <v>http://www.badatelna.eu/reprodukce/?fondId=1073&amp;zaznamId=1108952&amp;reproId=3778874</v>
      </c>
      <c r="M703">
        <f>VLOOKUP(F703,Sheet2!$B$1:$E$19,2,FALSE)</f>
        <v>1073</v>
      </c>
      <c r="N703">
        <f>VLOOKUP(F703,Sheet2!$B$1:$E$19,3,FALSE)</f>
        <v>1108952</v>
      </c>
      <c r="O703">
        <f>IF(G703="Not available","",VLOOKUP(F703,Sheet2!$B$1:$E$19,4,FALSE)+(G703-1))</f>
        <v>3778874</v>
      </c>
    </row>
    <row r="704" spans="1:15" s="1" customFormat="1" ht="15" customHeight="1" x14ac:dyDescent="0.25">
      <c r="A704" s="18" t="s">
        <v>48</v>
      </c>
      <c r="B704" s="18" t="s">
        <v>71</v>
      </c>
      <c r="C704" s="5">
        <v>1794</v>
      </c>
      <c r="D704" s="1" t="s">
        <v>72</v>
      </c>
      <c r="E704" s="1" t="s">
        <v>2</v>
      </c>
      <c r="F704" s="18">
        <v>2173</v>
      </c>
      <c r="G704" s="18">
        <v>31</v>
      </c>
      <c r="H704" s="5">
        <v>57</v>
      </c>
      <c r="I704" s="2">
        <v>91</v>
      </c>
      <c r="J704" s="2">
        <v>189</v>
      </c>
      <c r="L704" t="str">
        <f t="shared" si="10"/>
        <v>http://www.badatelna.eu/reprodukce/?fondId=1073&amp;zaznamId=1108959&amp;reproId=3780024</v>
      </c>
      <c r="M704">
        <f>VLOOKUP(F704,Sheet2!$B$1:$E$19,2,FALSE)</f>
        <v>1073</v>
      </c>
      <c r="N704">
        <f>VLOOKUP(F704,Sheet2!$B$1:$E$19,3,FALSE)</f>
        <v>1108959</v>
      </c>
      <c r="O704">
        <f>IF(G704="Not available","",VLOOKUP(F704,Sheet2!$B$1:$E$19,4,FALSE)+(G704-1))</f>
        <v>3780024</v>
      </c>
    </row>
    <row r="705" spans="1:15" s="1" customFormat="1" ht="15" customHeight="1" x14ac:dyDescent="0.25">
      <c r="A705" s="18" t="s">
        <v>48</v>
      </c>
      <c r="B705" s="19" t="s">
        <v>44</v>
      </c>
      <c r="C705" s="5">
        <v>1794</v>
      </c>
      <c r="D705" s="1" t="s">
        <v>21</v>
      </c>
      <c r="E705" s="1" t="s">
        <v>2</v>
      </c>
      <c r="F705" s="18">
        <v>2173</v>
      </c>
      <c r="G705" s="18">
        <v>31</v>
      </c>
      <c r="H705" s="5">
        <v>56</v>
      </c>
      <c r="I705" s="2">
        <v>91</v>
      </c>
      <c r="J705" s="2">
        <v>189</v>
      </c>
      <c r="L705" t="str">
        <f t="shared" si="10"/>
        <v>http://www.badatelna.eu/reprodukce/?fondId=1073&amp;zaznamId=1108959&amp;reproId=3780024</v>
      </c>
      <c r="M705">
        <f>VLOOKUP(F705,Sheet2!$B$1:$E$19,2,FALSE)</f>
        <v>1073</v>
      </c>
      <c r="N705">
        <f>VLOOKUP(F705,Sheet2!$B$1:$E$19,3,FALSE)</f>
        <v>1108959</v>
      </c>
      <c r="O705">
        <f>IF(G705="Not available","",VLOOKUP(F705,Sheet2!$B$1:$E$19,4,FALSE)+(G705-1))</f>
        <v>3780024</v>
      </c>
    </row>
    <row r="706" spans="1:15" s="1" customFormat="1" ht="15" customHeight="1" x14ac:dyDescent="0.25">
      <c r="A706" s="18" t="s">
        <v>48</v>
      </c>
      <c r="B706" s="18" t="s">
        <v>44</v>
      </c>
      <c r="C706" s="5">
        <v>1847</v>
      </c>
      <c r="D706" s="1" t="s">
        <v>799</v>
      </c>
      <c r="E706" s="1" t="s">
        <v>2</v>
      </c>
      <c r="F706" s="18">
        <v>2164</v>
      </c>
      <c r="G706" s="18">
        <v>6</v>
      </c>
      <c r="H706" s="5">
        <v>4</v>
      </c>
      <c r="I706" s="1">
        <v>123</v>
      </c>
      <c r="J706" s="1" t="s">
        <v>3271</v>
      </c>
      <c r="L706" t="str">
        <f t="shared" si="10"/>
        <v>http://www.badatelna.eu/reprodukce/?fondId=1073&amp;zaznamId=1108951&amp;reproId=3778720</v>
      </c>
      <c r="M706">
        <f>VLOOKUP(F706,Sheet2!$B$1:$E$19,2,FALSE)</f>
        <v>1073</v>
      </c>
      <c r="N706">
        <f>VLOOKUP(F706,Sheet2!$B$1:$E$19,3,FALSE)</f>
        <v>1108951</v>
      </c>
      <c r="O706">
        <f>IF(G706="Not available","",VLOOKUP(F706,Sheet2!$B$1:$E$19,4,FALSE)+(G706-1))</f>
        <v>3778720</v>
      </c>
    </row>
    <row r="707" spans="1:15" s="1" customFormat="1" ht="15" customHeight="1" x14ac:dyDescent="0.25">
      <c r="A707" s="18" t="s">
        <v>48</v>
      </c>
      <c r="B707" s="18" t="s">
        <v>44</v>
      </c>
      <c r="C707" s="5">
        <v>1852</v>
      </c>
      <c r="D707" s="1" t="s">
        <v>16</v>
      </c>
      <c r="E707" s="1" t="s">
        <v>2</v>
      </c>
      <c r="F707" s="18">
        <v>2164</v>
      </c>
      <c r="G707" s="18">
        <v>84</v>
      </c>
      <c r="H707" s="5">
        <v>82</v>
      </c>
      <c r="I707" s="1">
        <v>123</v>
      </c>
      <c r="J707" s="1" t="s">
        <v>3271</v>
      </c>
      <c r="L707" t="str">
        <f t="shared" ref="L707:L770" si="11">IF(G707="Not available","","http://www.badatelna.eu/reprodukce/?fondId="&amp;M707&amp;"&amp;zaznamId="&amp;N707&amp;"&amp;reproId="&amp;O707)</f>
        <v>http://www.badatelna.eu/reprodukce/?fondId=1073&amp;zaznamId=1108951&amp;reproId=3778798</v>
      </c>
      <c r="M707">
        <f>VLOOKUP(F707,Sheet2!$B$1:$E$19,2,FALSE)</f>
        <v>1073</v>
      </c>
      <c r="N707">
        <f>VLOOKUP(F707,Sheet2!$B$1:$E$19,3,FALSE)</f>
        <v>1108951</v>
      </c>
      <c r="O707">
        <f>IF(G707="Not available","",VLOOKUP(F707,Sheet2!$B$1:$E$19,4,FALSE)+(G707-1))</f>
        <v>3778798</v>
      </c>
    </row>
    <row r="708" spans="1:15" s="1" customFormat="1" ht="15" customHeight="1" x14ac:dyDescent="0.25">
      <c r="A708" s="21" t="s">
        <v>48</v>
      </c>
      <c r="B708" s="21" t="s">
        <v>23</v>
      </c>
      <c r="C708" s="7">
        <v>1786</v>
      </c>
      <c r="D708" s="2" t="s">
        <v>49</v>
      </c>
      <c r="E708" s="1" t="s">
        <v>2</v>
      </c>
      <c r="F708" s="18">
        <v>2173</v>
      </c>
      <c r="G708" s="21">
        <v>13</v>
      </c>
      <c r="H708" s="7">
        <v>20</v>
      </c>
      <c r="I708" s="2">
        <v>91</v>
      </c>
      <c r="J708" s="2">
        <v>189</v>
      </c>
      <c r="K708" s="2"/>
      <c r="L708" t="str">
        <f t="shared" si="11"/>
        <v>http://www.badatelna.eu/reprodukce/?fondId=1073&amp;zaznamId=1108959&amp;reproId=3780006</v>
      </c>
      <c r="M708">
        <f>VLOOKUP(F708,Sheet2!$B$1:$E$19,2,FALSE)</f>
        <v>1073</v>
      </c>
      <c r="N708">
        <f>VLOOKUP(F708,Sheet2!$B$1:$E$19,3,FALSE)</f>
        <v>1108959</v>
      </c>
      <c r="O708">
        <f>IF(G708="Not available","",VLOOKUP(F708,Sheet2!$B$1:$E$19,4,FALSE)+(G708-1))</f>
        <v>3780006</v>
      </c>
    </row>
    <row r="709" spans="1:15" s="1" customFormat="1" ht="15" customHeight="1" x14ac:dyDescent="0.25">
      <c r="A709" s="18" t="s">
        <v>1982</v>
      </c>
      <c r="B709" s="18" t="s">
        <v>850</v>
      </c>
      <c r="C709" s="6" t="s">
        <v>1969</v>
      </c>
      <c r="D709" s="4" t="s">
        <v>1983</v>
      </c>
      <c r="E709" s="4" t="s">
        <v>2</v>
      </c>
      <c r="F709" s="18">
        <v>2176</v>
      </c>
      <c r="G709" s="18" t="s">
        <v>3271</v>
      </c>
      <c r="H709" s="6" t="s">
        <v>1984</v>
      </c>
      <c r="I709" s="1">
        <v>4</v>
      </c>
      <c r="J709" s="1" t="s">
        <v>3271</v>
      </c>
      <c r="L709" t="str">
        <f t="shared" si="11"/>
        <v/>
      </c>
      <c r="M709">
        <f>VLOOKUP(F709,Sheet2!$B$1:$E$19,2,FALSE)</f>
        <v>1073</v>
      </c>
      <c r="N709">
        <f>VLOOKUP(F709,Sheet2!$B$1:$E$19,3,FALSE)</f>
        <v>1108963</v>
      </c>
      <c r="O709" t="str">
        <f>IF(G709="Not available","",VLOOKUP(F709,Sheet2!$B$1:$E$19,4,FALSE)+(G709-1))</f>
        <v/>
      </c>
    </row>
    <row r="710" spans="1:15" s="1" customFormat="1" ht="15" customHeight="1" x14ac:dyDescent="0.25">
      <c r="A710" s="18" t="s">
        <v>141</v>
      </c>
      <c r="B710" s="18" t="s">
        <v>140</v>
      </c>
      <c r="C710" s="5">
        <v>1816</v>
      </c>
      <c r="E710" s="1" t="s">
        <v>2</v>
      </c>
      <c r="F710" s="18">
        <v>2173</v>
      </c>
      <c r="G710" s="18">
        <v>66</v>
      </c>
      <c r="H710" s="5">
        <v>127</v>
      </c>
      <c r="I710" s="1">
        <v>93</v>
      </c>
      <c r="J710" s="1">
        <v>194</v>
      </c>
      <c r="L710" t="str">
        <f t="shared" si="11"/>
        <v>http://www.badatelna.eu/reprodukce/?fondId=1073&amp;zaznamId=1108959&amp;reproId=3780059</v>
      </c>
      <c r="M710">
        <f>VLOOKUP(F710,Sheet2!$B$1:$E$19,2,FALSE)</f>
        <v>1073</v>
      </c>
      <c r="N710">
        <f>VLOOKUP(F710,Sheet2!$B$1:$E$19,3,FALSE)</f>
        <v>1108959</v>
      </c>
      <c r="O710">
        <f>IF(G710="Not available","",VLOOKUP(F710,Sheet2!$B$1:$E$19,4,FALSE)+(G710-1))</f>
        <v>3780059</v>
      </c>
    </row>
    <row r="711" spans="1:15" s="1" customFormat="1" ht="15" customHeight="1" x14ac:dyDescent="0.25">
      <c r="A711" s="18" t="s">
        <v>1239</v>
      </c>
      <c r="B711" s="18" t="s">
        <v>1078</v>
      </c>
      <c r="C711" s="6" t="s">
        <v>2092</v>
      </c>
      <c r="D711" s="4" t="s">
        <v>1953</v>
      </c>
      <c r="E711" s="4" t="s">
        <v>2</v>
      </c>
      <c r="F711" s="18">
        <v>2176</v>
      </c>
      <c r="G711" s="18" t="s">
        <v>3271</v>
      </c>
      <c r="H711" s="6" t="s">
        <v>1974</v>
      </c>
      <c r="I711" s="1">
        <v>5</v>
      </c>
      <c r="J711" s="1" t="s">
        <v>3271</v>
      </c>
      <c r="K711" s="3"/>
      <c r="L711" t="str">
        <f t="shared" si="11"/>
        <v/>
      </c>
      <c r="M711">
        <f>VLOOKUP(F711,Sheet2!$B$1:$E$19,2,FALSE)</f>
        <v>1073</v>
      </c>
      <c r="N711">
        <f>VLOOKUP(F711,Sheet2!$B$1:$E$19,3,FALSE)</f>
        <v>1108963</v>
      </c>
      <c r="O711" t="str">
        <f>IF(G711="Not available","",VLOOKUP(F711,Sheet2!$B$1:$E$19,4,FALSE)+(G711-1))</f>
        <v/>
      </c>
    </row>
    <row r="712" spans="1:15" s="1" customFormat="1" ht="15" customHeight="1" x14ac:dyDescent="0.25">
      <c r="A712" s="18" t="s">
        <v>1239</v>
      </c>
      <c r="B712" s="18" t="s">
        <v>1078</v>
      </c>
      <c r="C712" s="5" t="s">
        <v>1887</v>
      </c>
      <c r="D712" s="1" t="s">
        <v>937</v>
      </c>
      <c r="E712" s="1" t="s">
        <v>2</v>
      </c>
      <c r="F712" s="18">
        <v>2165</v>
      </c>
      <c r="G712" s="18">
        <v>270</v>
      </c>
      <c r="H712" s="5">
        <v>2</v>
      </c>
      <c r="I712" s="1">
        <v>272</v>
      </c>
      <c r="J712" s="1">
        <v>246</v>
      </c>
      <c r="L712" t="str">
        <f t="shared" si="11"/>
        <v>http://www.badatelna.eu/reprodukce/?fondId=1073&amp;zaznamId=1108952&amp;reproId=3779131</v>
      </c>
      <c r="M712">
        <f>VLOOKUP(F712,Sheet2!$B$1:$E$19,2,FALSE)</f>
        <v>1073</v>
      </c>
      <c r="N712">
        <f>VLOOKUP(F712,Sheet2!$B$1:$E$19,3,FALSE)</f>
        <v>1108952</v>
      </c>
      <c r="O712">
        <f>IF(G712="Not available","",VLOOKUP(F712,Sheet2!$B$1:$E$19,4,FALSE)+(G712-1))</f>
        <v>3779131</v>
      </c>
    </row>
    <row r="713" spans="1:15" s="1" customFormat="1" ht="15" customHeight="1" x14ac:dyDescent="0.25">
      <c r="A713" s="18" t="s">
        <v>993</v>
      </c>
      <c r="B713" s="18" t="s">
        <v>477</v>
      </c>
      <c r="C713" s="5" t="s">
        <v>1320</v>
      </c>
      <c r="D713" s="1" t="s">
        <v>1002</v>
      </c>
      <c r="E713" s="1" t="s">
        <v>2</v>
      </c>
      <c r="F713" s="18">
        <v>2165</v>
      </c>
      <c r="G713" s="18">
        <v>40</v>
      </c>
      <c r="H713" s="5">
        <v>37</v>
      </c>
      <c r="I713" s="1">
        <v>81</v>
      </c>
      <c r="J713" s="1" t="s">
        <v>3271</v>
      </c>
      <c r="L713" t="str">
        <f t="shared" si="11"/>
        <v>http://www.badatelna.eu/reprodukce/?fondId=1073&amp;zaznamId=1108952&amp;reproId=3778901</v>
      </c>
      <c r="M713">
        <f>VLOOKUP(F713,Sheet2!$B$1:$E$19,2,FALSE)</f>
        <v>1073</v>
      </c>
      <c r="N713">
        <f>VLOOKUP(F713,Sheet2!$B$1:$E$19,3,FALSE)</f>
        <v>1108952</v>
      </c>
      <c r="O713">
        <f>IF(G713="Not available","",VLOOKUP(F713,Sheet2!$B$1:$E$19,4,FALSE)+(G713-1))</f>
        <v>3778901</v>
      </c>
    </row>
    <row r="714" spans="1:15" s="1" customFormat="1" ht="15" customHeight="1" x14ac:dyDescent="0.25">
      <c r="A714" s="18" t="s">
        <v>993</v>
      </c>
      <c r="B714" s="18" t="s">
        <v>868</v>
      </c>
      <c r="C714" s="5" t="s">
        <v>1310</v>
      </c>
      <c r="D714" s="1" t="s">
        <v>994</v>
      </c>
      <c r="E714" s="1" t="s">
        <v>2</v>
      </c>
      <c r="F714" s="18">
        <v>2165</v>
      </c>
      <c r="G714" s="18">
        <v>30</v>
      </c>
      <c r="H714" s="5">
        <v>27</v>
      </c>
      <c r="I714" s="1">
        <v>80</v>
      </c>
      <c r="J714" s="1" t="s">
        <v>3271</v>
      </c>
      <c r="L714" t="str">
        <f t="shared" si="11"/>
        <v>http://www.badatelna.eu/reprodukce/?fondId=1073&amp;zaznamId=1108952&amp;reproId=3778891</v>
      </c>
      <c r="M714">
        <f>VLOOKUP(F714,Sheet2!$B$1:$E$19,2,FALSE)</f>
        <v>1073</v>
      </c>
      <c r="N714">
        <f>VLOOKUP(F714,Sheet2!$B$1:$E$19,3,FALSE)</f>
        <v>1108952</v>
      </c>
      <c r="O714">
        <f>IF(G714="Not available","",VLOOKUP(F714,Sheet2!$B$1:$E$19,4,FALSE)+(G714-1))</f>
        <v>3778891</v>
      </c>
    </row>
    <row r="715" spans="1:15" s="1" customFormat="1" ht="15" customHeight="1" x14ac:dyDescent="0.25">
      <c r="A715" s="18" t="s">
        <v>993</v>
      </c>
      <c r="B715" s="18" t="s">
        <v>1005</v>
      </c>
      <c r="C715" s="5" t="s">
        <v>1326</v>
      </c>
      <c r="D715" s="1" t="s">
        <v>994</v>
      </c>
      <c r="E715" s="1" t="s">
        <v>2</v>
      </c>
      <c r="F715" s="18">
        <v>2165</v>
      </c>
      <c r="G715" s="18">
        <v>49</v>
      </c>
      <c r="H715" s="5">
        <v>46</v>
      </c>
      <c r="I715" s="1">
        <v>81</v>
      </c>
      <c r="J715" s="1" t="s">
        <v>3271</v>
      </c>
      <c r="L715" t="str">
        <f t="shared" si="11"/>
        <v>http://www.badatelna.eu/reprodukce/?fondId=1073&amp;zaznamId=1108952&amp;reproId=3778910</v>
      </c>
      <c r="M715">
        <f>VLOOKUP(F715,Sheet2!$B$1:$E$19,2,FALSE)</f>
        <v>1073</v>
      </c>
      <c r="N715">
        <f>VLOOKUP(F715,Sheet2!$B$1:$E$19,3,FALSE)</f>
        <v>1108952</v>
      </c>
      <c r="O715">
        <f>IF(G715="Not available","",VLOOKUP(F715,Sheet2!$B$1:$E$19,4,FALSE)+(G715-1))</f>
        <v>3778910</v>
      </c>
    </row>
    <row r="716" spans="1:15" s="1" customFormat="1" ht="15" customHeight="1" x14ac:dyDescent="0.25">
      <c r="A716" s="18" t="s">
        <v>993</v>
      </c>
      <c r="B716" s="18" t="s">
        <v>172</v>
      </c>
      <c r="C716" s="5" t="s">
        <v>1301</v>
      </c>
      <c r="D716" s="1" t="s">
        <v>994</v>
      </c>
      <c r="E716" s="1" t="s">
        <v>2</v>
      </c>
      <c r="F716" s="18">
        <v>2165</v>
      </c>
      <c r="G716" s="18">
        <v>17</v>
      </c>
      <c r="H716" s="5">
        <v>14</v>
      </c>
      <c r="I716" s="1">
        <v>80</v>
      </c>
      <c r="J716" s="1" t="s">
        <v>3271</v>
      </c>
      <c r="L716" t="str">
        <f t="shared" si="11"/>
        <v>http://www.badatelna.eu/reprodukce/?fondId=1073&amp;zaznamId=1108952&amp;reproId=3778878</v>
      </c>
      <c r="M716">
        <f>VLOOKUP(F716,Sheet2!$B$1:$E$19,2,FALSE)</f>
        <v>1073</v>
      </c>
      <c r="N716">
        <f>VLOOKUP(F716,Sheet2!$B$1:$E$19,3,FALSE)</f>
        <v>1108952</v>
      </c>
      <c r="O716">
        <f>IF(G716="Not available","",VLOOKUP(F716,Sheet2!$B$1:$E$19,4,FALSE)+(G716-1))</f>
        <v>3778878</v>
      </c>
    </row>
    <row r="717" spans="1:15" s="1" customFormat="1" ht="15" customHeight="1" x14ac:dyDescent="0.25">
      <c r="A717" s="18" t="s">
        <v>993</v>
      </c>
      <c r="B717" s="18" t="s">
        <v>432</v>
      </c>
      <c r="C717" s="6" t="s">
        <v>2005</v>
      </c>
      <c r="D717" s="4" t="s">
        <v>2010</v>
      </c>
      <c r="E717" s="4" t="s">
        <v>2</v>
      </c>
      <c r="F717" s="18">
        <v>2176</v>
      </c>
      <c r="G717" s="18" t="s">
        <v>3271</v>
      </c>
      <c r="H717" s="6" t="s">
        <v>2011</v>
      </c>
      <c r="I717" s="1">
        <v>4</v>
      </c>
      <c r="J717" s="1" t="s">
        <v>3271</v>
      </c>
      <c r="L717" t="str">
        <f t="shared" si="11"/>
        <v/>
      </c>
      <c r="M717">
        <f>VLOOKUP(F717,Sheet2!$B$1:$E$19,2,FALSE)</f>
        <v>1073</v>
      </c>
      <c r="N717">
        <f>VLOOKUP(F717,Sheet2!$B$1:$E$19,3,FALSE)</f>
        <v>1108963</v>
      </c>
      <c r="O717" t="str">
        <f>IF(G717="Not available","",VLOOKUP(F717,Sheet2!$B$1:$E$19,4,FALSE)+(G717-1))</f>
        <v/>
      </c>
    </row>
    <row r="718" spans="1:15" s="1" customFormat="1" ht="15" customHeight="1" x14ac:dyDescent="0.25">
      <c r="A718" s="21" t="s">
        <v>29</v>
      </c>
      <c r="B718" s="21" t="s">
        <v>50</v>
      </c>
      <c r="C718" s="7">
        <v>1787</v>
      </c>
      <c r="D718" s="2" t="s">
        <v>6</v>
      </c>
      <c r="E718" s="1" t="s">
        <v>2</v>
      </c>
      <c r="F718" s="18">
        <v>2173</v>
      </c>
      <c r="G718" s="21">
        <v>14</v>
      </c>
      <c r="H718" s="7">
        <v>23</v>
      </c>
      <c r="I718" s="2">
        <v>91</v>
      </c>
      <c r="J718" s="2">
        <v>189</v>
      </c>
      <c r="K718" s="2"/>
      <c r="L718" t="str">
        <f t="shared" si="11"/>
        <v>http://www.badatelna.eu/reprodukce/?fondId=1073&amp;zaznamId=1108959&amp;reproId=3780007</v>
      </c>
      <c r="M718">
        <f>VLOOKUP(F718,Sheet2!$B$1:$E$19,2,FALSE)</f>
        <v>1073</v>
      </c>
      <c r="N718">
        <f>VLOOKUP(F718,Sheet2!$B$1:$E$19,3,FALSE)</f>
        <v>1108959</v>
      </c>
      <c r="O718">
        <f>IF(G718="Not available","",VLOOKUP(F718,Sheet2!$B$1:$E$19,4,FALSE)+(G718-1))</f>
        <v>3780007</v>
      </c>
    </row>
    <row r="719" spans="1:15" s="1" customFormat="1" ht="15" customHeight="1" x14ac:dyDescent="0.25">
      <c r="A719" s="18" t="s">
        <v>29</v>
      </c>
      <c r="B719" s="18" t="s">
        <v>632</v>
      </c>
      <c r="C719" s="5">
        <v>1864</v>
      </c>
      <c r="E719" s="1" t="s">
        <v>939</v>
      </c>
      <c r="F719" s="18">
        <v>999</v>
      </c>
      <c r="G719" s="18">
        <v>51</v>
      </c>
      <c r="H719" s="5">
        <v>49</v>
      </c>
      <c r="I719" s="1">
        <v>63</v>
      </c>
      <c r="J719" s="1">
        <v>96</v>
      </c>
      <c r="L719" t="str">
        <f t="shared" si="11"/>
        <v>http://www.badatelna.eu/reprodukce/?fondId=241&amp;zaznamId=1133739&amp;reproId=3885780</v>
      </c>
      <c r="M719">
        <f>VLOOKUP(F719,Sheet2!$B$1:$E$19,2,FALSE)</f>
        <v>241</v>
      </c>
      <c r="N719">
        <f>VLOOKUP(F719,Sheet2!$B$1:$E$19,3,FALSE)</f>
        <v>1133739</v>
      </c>
      <c r="O719">
        <f>IF(G719="Not available","",VLOOKUP(F719,Sheet2!$B$1:$E$19,4,FALSE)+(G719-1))</f>
        <v>3885780</v>
      </c>
    </row>
    <row r="720" spans="1:15" s="1" customFormat="1" ht="15" customHeight="1" x14ac:dyDescent="0.25">
      <c r="A720" s="18" t="s">
        <v>29</v>
      </c>
      <c r="B720" s="18" t="s">
        <v>963</v>
      </c>
      <c r="C720" s="6" t="s">
        <v>1949</v>
      </c>
      <c r="D720" s="4" t="s">
        <v>2028</v>
      </c>
      <c r="E720" s="4" t="s">
        <v>2</v>
      </c>
      <c r="F720" s="18">
        <v>2176</v>
      </c>
      <c r="G720" s="18" t="s">
        <v>3271</v>
      </c>
      <c r="H720" s="6" t="s">
        <v>2016</v>
      </c>
      <c r="I720" s="1">
        <v>5</v>
      </c>
      <c r="J720" s="1" t="s">
        <v>3271</v>
      </c>
      <c r="K720" s="3"/>
      <c r="L720" t="str">
        <f t="shared" si="11"/>
        <v/>
      </c>
      <c r="M720">
        <f>VLOOKUP(F720,Sheet2!$B$1:$E$19,2,FALSE)</f>
        <v>1073</v>
      </c>
      <c r="N720">
        <f>VLOOKUP(F720,Sheet2!$B$1:$E$19,3,FALSE)</f>
        <v>1108963</v>
      </c>
      <c r="O720" t="str">
        <f>IF(G720="Not available","",VLOOKUP(F720,Sheet2!$B$1:$E$19,4,FALSE)+(G720-1))</f>
        <v/>
      </c>
    </row>
    <row r="721" spans="1:15" s="1" customFormat="1" ht="15" customHeight="1" x14ac:dyDescent="0.25">
      <c r="A721" s="18" t="s">
        <v>29</v>
      </c>
      <c r="B721" s="18" t="s">
        <v>850</v>
      </c>
      <c r="C721" s="5">
        <v>1885</v>
      </c>
      <c r="D721" s="12" t="s">
        <v>994</v>
      </c>
      <c r="E721" s="1" t="s">
        <v>2</v>
      </c>
      <c r="F721" s="18">
        <v>2165</v>
      </c>
      <c r="G721" s="18">
        <v>203</v>
      </c>
      <c r="H721" s="5">
        <v>5</v>
      </c>
      <c r="I721" s="1">
        <v>204</v>
      </c>
      <c r="J721" s="1">
        <v>187</v>
      </c>
      <c r="L721" t="str">
        <f t="shared" si="11"/>
        <v>http://www.badatelna.eu/reprodukce/?fondId=1073&amp;zaznamId=1108952&amp;reproId=3779064</v>
      </c>
      <c r="M721">
        <f>VLOOKUP(F721,Sheet2!$B$1:$E$19,2,FALSE)</f>
        <v>1073</v>
      </c>
      <c r="N721">
        <f>VLOOKUP(F721,Sheet2!$B$1:$E$19,3,FALSE)</f>
        <v>1108952</v>
      </c>
      <c r="O721">
        <f>IF(G721="Not available","",VLOOKUP(F721,Sheet2!$B$1:$E$19,4,FALSE)+(G721-1))</f>
        <v>3779064</v>
      </c>
    </row>
    <row r="722" spans="1:15" s="1" customFormat="1" ht="15" customHeight="1" x14ac:dyDescent="0.25">
      <c r="A722" s="18" t="s">
        <v>29</v>
      </c>
      <c r="B722" s="18" t="s">
        <v>850</v>
      </c>
      <c r="C722" s="6" t="s">
        <v>2043</v>
      </c>
      <c r="D722" s="4" t="s">
        <v>2028</v>
      </c>
      <c r="E722" s="4" t="s">
        <v>2</v>
      </c>
      <c r="F722" s="18">
        <v>2176</v>
      </c>
      <c r="G722" s="18" t="s">
        <v>3271</v>
      </c>
      <c r="H722" s="6" t="s">
        <v>2047</v>
      </c>
      <c r="I722" s="1">
        <v>5</v>
      </c>
      <c r="J722" s="1" t="s">
        <v>3271</v>
      </c>
      <c r="K722" s="3"/>
      <c r="L722" t="str">
        <f t="shared" si="11"/>
        <v/>
      </c>
      <c r="M722">
        <f>VLOOKUP(F722,Sheet2!$B$1:$E$19,2,FALSE)</f>
        <v>1073</v>
      </c>
      <c r="N722">
        <f>VLOOKUP(F722,Sheet2!$B$1:$E$19,3,FALSE)</f>
        <v>1108963</v>
      </c>
      <c r="O722" t="str">
        <f>IF(G722="Not available","",VLOOKUP(F722,Sheet2!$B$1:$E$19,4,FALSE)+(G722-1))</f>
        <v/>
      </c>
    </row>
    <row r="723" spans="1:15" s="1" customFormat="1" ht="15" customHeight="1" x14ac:dyDescent="0.25">
      <c r="A723" s="18" t="s">
        <v>29</v>
      </c>
      <c r="B723" s="18" t="s">
        <v>196</v>
      </c>
      <c r="C723" s="5">
        <v>1855</v>
      </c>
      <c r="D723" s="1" t="s">
        <v>12</v>
      </c>
      <c r="E723" s="1" t="s">
        <v>2</v>
      </c>
      <c r="F723" s="18">
        <v>2164</v>
      </c>
      <c r="G723" s="18">
        <v>102</v>
      </c>
      <c r="H723" s="5">
        <v>100</v>
      </c>
      <c r="I723" s="1">
        <v>123</v>
      </c>
      <c r="J723" s="1" t="s">
        <v>3271</v>
      </c>
      <c r="L723" t="str">
        <f t="shared" si="11"/>
        <v>http://www.badatelna.eu/reprodukce/?fondId=1073&amp;zaznamId=1108951&amp;reproId=3778816</v>
      </c>
      <c r="M723">
        <f>VLOOKUP(F723,Sheet2!$B$1:$E$19,2,FALSE)</f>
        <v>1073</v>
      </c>
      <c r="N723">
        <f>VLOOKUP(F723,Sheet2!$B$1:$E$19,3,FALSE)</f>
        <v>1108951</v>
      </c>
      <c r="O723">
        <f>IF(G723="Not available","",VLOOKUP(F723,Sheet2!$B$1:$E$19,4,FALSE)+(G723-1))</f>
        <v>3778816</v>
      </c>
    </row>
    <row r="724" spans="1:15" s="1" customFormat="1" ht="15" customHeight="1" x14ac:dyDescent="0.25">
      <c r="A724" s="18" t="s">
        <v>29</v>
      </c>
      <c r="B724" s="18" t="s">
        <v>92</v>
      </c>
      <c r="C724" s="5">
        <v>1797</v>
      </c>
      <c r="D724" s="1" t="s">
        <v>6</v>
      </c>
      <c r="E724" s="1" t="s">
        <v>2</v>
      </c>
      <c r="F724" s="18">
        <v>2173</v>
      </c>
      <c r="G724" s="18">
        <v>36</v>
      </c>
      <c r="H724" s="5">
        <v>65</v>
      </c>
      <c r="I724" s="1">
        <v>92</v>
      </c>
      <c r="J724" s="1">
        <v>190</v>
      </c>
      <c r="L724" t="str">
        <f t="shared" si="11"/>
        <v>http://www.badatelna.eu/reprodukce/?fondId=1073&amp;zaznamId=1108959&amp;reproId=3780029</v>
      </c>
      <c r="M724">
        <f>VLOOKUP(F724,Sheet2!$B$1:$E$19,2,FALSE)</f>
        <v>1073</v>
      </c>
      <c r="N724">
        <f>VLOOKUP(F724,Sheet2!$B$1:$E$19,3,FALSE)</f>
        <v>1108959</v>
      </c>
      <c r="O724">
        <f>IF(G724="Not available","",VLOOKUP(F724,Sheet2!$B$1:$E$19,4,FALSE)+(G724-1))</f>
        <v>3780029</v>
      </c>
    </row>
    <row r="725" spans="1:15" s="1" customFormat="1" ht="15" customHeight="1" x14ac:dyDescent="0.25">
      <c r="A725" s="18" t="s">
        <v>29</v>
      </c>
      <c r="B725" s="18" t="s">
        <v>136</v>
      </c>
      <c r="C725" s="5">
        <v>1815</v>
      </c>
      <c r="E725" s="1" t="s">
        <v>2</v>
      </c>
      <c r="F725" s="18">
        <v>2173</v>
      </c>
      <c r="G725" s="18">
        <v>63</v>
      </c>
      <c r="H725" s="5">
        <v>121</v>
      </c>
      <c r="I725" s="1">
        <v>92</v>
      </c>
      <c r="J725" s="1">
        <v>190</v>
      </c>
      <c r="L725" t="str">
        <f t="shared" si="11"/>
        <v>http://www.badatelna.eu/reprodukce/?fondId=1073&amp;zaznamId=1108959&amp;reproId=3780056</v>
      </c>
      <c r="M725">
        <f>VLOOKUP(F725,Sheet2!$B$1:$E$19,2,FALSE)</f>
        <v>1073</v>
      </c>
      <c r="N725">
        <f>VLOOKUP(F725,Sheet2!$B$1:$E$19,3,FALSE)</f>
        <v>1108959</v>
      </c>
      <c r="O725">
        <f>IF(G725="Not available","",VLOOKUP(F725,Sheet2!$B$1:$E$19,4,FALSE)+(G725-1))</f>
        <v>3780056</v>
      </c>
    </row>
    <row r="726" spans="1:15" s="1" customFormat="1" ht="15" customHeight="1" x14ac:dyDescent="0.25">
      <c r="A726" s="21" t="s">
        <v>29</v>
      </c>
      <c r="B726" s="20" t="s">
        <v>2925</v>
      </c>
      <c r="C726" s="7">
        <v>1784</v>
      </c>
      <c r="D726" s="2"/>
      <c r="E726" s="1" t="s">
        <v>2</v>
      </c>
      <c r="F726" s="18">
        <v>2173</v>
      </c>
      <c r="G726" s="21">
        <v>5</v>
      </c>
      <c r="H726" s="7">
        <v>4</v>
      </c>
      <c r="I726" s="2">
        <v>91</v>
      </c>
      <c r="J726" s="2">
        <v>189</v>
      </c>
      <c r="K726" s="2"/>
      <c r="L726" t="str">
        <f t="shared" si="11"/>
        <v>http://www.badatelna.eu/reprodukce/?fondId=1073&amp;zaznamId=1108959&amp;reproId=3779998</v>
      </c>
      <c r="M726">
        <f>VLOOKUP(F726,Sheet2!$B$1:$E$19,2,FALSE)</f>
        <v>1073</v>
      </c>
      <c r="N726">
        <f>VLOOKUP(F726,Sheet2!$B$1:$E$19,3,FALSE)</f>
        <v>1108959</v>
      </c>
      <c r="O726">
        <f>IF(G726="Not available","",VLOOKUP(F726,Sheet2!$B$1:$E$19,4,FALSE)+(G726-1))</f>
        <v>3779998</v>
      </c>
    </row>
    <row r="727" spans="1:15" s="1" customFormat="1" ht="15" customHeight="1" x14ac:dyDescent="0.25">
      <c r="A727" s="18" t="s">
        <v>29</v>
      </c>
      <c r="B727" s="18" t="s">
        <v>897</v>
      </c>
      <c r="C727" s="6" t="s">
        <v>2860</v>
      </c>
      <c r="E727" s="1" t="s">
        <v>939</v>
      </c>
      <c r="F727" s="18">
        <v>999</v>
      </c>
      <c r="G727" s="18">
        <v>26</v>
      </c>
      <c r="H727" s="5">
        <v>24</v>
      </c>
      <c r="I727" s="1">
        <v>63</v>
      </c>
      <c r="J727" s="1">
        <v>96</v>
      </c>
      <c r="L727" t="str">
        <f t="shared" si="11"/>
        <v>http://www.badatelna.eu/reprodukce/?fondId=241&amp;zaznamId=1133739&amp;reproId=3885755</v>
      </c>
      <c r="M727">
        <f>VLOOKUP(F727,Sheet2!$B$1:$E$19,2,FALSE)</f>
        <v>241</v>
      </c>
      <c r="N727">
        <f>VLOOKUP(F727,Sheet2!$B$1:$E$19,3,FALSE)</f>
        <v>1133739</v>
      </c>
      <c r="O727">
        <f>IF(G727="Not available","",VLOOKUP(F727,Sheet2!$B$1:$E$19,4,FALSE)+(G727-1))</f>
        <v>3885755</v>
      </c>
    </row>
    <row r="728" spans="1:15" s="1" customFormat="1" ht="15" customHeight="1" x14ac:dyDescent="0.25">
      <c r="A728" s="18" t="s">
        <v>29</v>
      </c>
      <c r="B728" s="18" t="s">
        <v>816</v>
      </c>
      <c r="C728" s="5" t="s">
        <v>1714</v>
      </c>
      <c r="D728" s="1" t="s">
        <v>994</v>
      </c>
      <c r="E728" s="1" t="s">
        <v>2</v>
      </c>
      <c r="F728" s="18">
        <v>2165</v>
      </c>
      <c r="G728" s="18">
        <v>166</v>
      </c>
      <c r="H728" s="5">
        <v>2</v>
      </c>
      <c r="I728" s="1">
        <v>170</v>
      </c>
      <c r="J728" s="1">
        <v>148</v>
      </c>
      <c r="L728" t="str">
        <f t="shared" si="11"/>
        <v>http://www.badatelna.eu/reprodukce/?fondId=1073&amp;zaznamId=1108952&amp;reproId=3779027</v>
      </c>
      <c r="M728">
        <f>VLOOKUP(F728,Sheet2!$B$1:$E$19,2,FALSE)</f>
        <v>1073</v>
      </c>
      <c r="N728">
        <f>VLOOKUP(F728,Sheet2!$B$1:$E$19,3,FALSE)</f>
        <v>1108952</v>
      </c>
      <c r="O728">
        <f>IF(G728="Not available","",VLOOKUP(F728,Sheet2!$B$1:$E$19,4,FALSE)+(G728-1))</f>
        <v>3779027</v>
      </c>
    </row>
    <row r="729" spans="1:15" s="1" customFormat="1" ht="15" customHeight="1" x14ac:dyDescent="0.25">
      <c r="A729" s="18" t="s">
        <v>29</v>
      </c>
      <c r="B729" s="18" t="s">
        <v>482</v>
      </c>
      <c r="C729" s="5">
        <v>1852</v>
      </c>
      <c r="D729" s="1" t="s">
        <v>12</v>
      </c>
      <c r="E729" s="1" t="s">
        <v>2</v>
      </c>
      <c r="F729" s="18">
        <v>2164</v>
      </c>
      <c r="G729" s="18">
        <v>81</v>
      </c>
      <c r="H729" s="5">
        <v>79</v>
      </c>
      <c r="I729" s="1">
        <v>123</v>
      </c>
      <c r="J729" s="1" t="s">
        <v>3271</v>
      </c>
      <c r="L729" t="str">
        <f t="shared" si="11"/>
        <v>http://www.badatelna.eu/reprodukce/?fondId=1073&amp;zaznamId=1108951&amp;reproId=3778795</v>
      </c>
      <c r="M729">
        <f>VLOOKUP(F729,Sheet2!$B$1:$E$19,2,FALSE)</f>
        <v>1073</v>
      </c>
      <c r="N729">
        <f>VLOOKUP(F729,Sheet2!$B$1:$E$19,3,FALSE)</f>
        <v>1108951</v>
      </c>
      <c r="O729">
        <f>IF(G729="Not available","",VLOOKUP(F729,Sheet2!$B$1:$E$19,4,FALSE)+(G729-1))</f>
        <v>3778795</v>
      </c>
    </row>
    <row r="730" spans="1:15" s="1" customFormat="1" ht="15" customHeight="1" x14ac:dyDescent="0.25">
      <c r="A730" s="18" t="s">
        <v>29</v>
      </c>
      <c r="B730" s="18" t="s">
        <v>6</v>
      </c>
      <c r="C730" s="5">
        <v>1848</v>
      </c>
      <c r="D730" s="1" t="s">
        <v>12</v>
      </c>
      <c r="E730" s="1" t="s">
        <v>2</v>
      </c>
      <c r="F730" s="18">
        <v>2164</v>
      </c>
      <c r="G730" s="18">
        <v>25</v>
      </c>
      <c r="H730" s="5">
        <v>23</v>
      </c>
      <c r="I730" s="1">
        <v>123</v>
      </c>
      <c r="J730" s="1" t="s">
        <v>3271</v>
      </c>
      <c r="L730" t="str">
        <f t="shared" si="11"/>
        <v>http://www.badatelna.eu/reprodukce/?fondId=1073&amp;zaznamId=1108951&amp;reproId=3778739</v>
      </c>
      <c r="M730">
        <f>VLOOKUP(F730,Sheet2!$B$1:$E$19,2,FALSE)</f>
        <v>1073</v>
      </c>
      <c r="N730">
        <f>VLOOKUP(F730,Sheet2!$B$1:$E$19,3,FALSE)</f>
        <v>1108951</v>
      </c>
      <c r="O730">
        <f>IF(G730="Not available","",VLOOKUP(F730,Sheet2!$B$1:$E$19,4,FALSE)+(G730-1))</f>
        <v>3778739</v>
      </c>
    </row>
    <row r="731" spans="1:15" s="1" customFormat="1" ht="15" customHeight="1" x14ac:dyDescent="0.25">
      <c r="A731" s="18" t="s">
        <v>29</v>
      </c>
      <c r="B731" s="18" t="s">
        <v>915</v>
      </c>
      <c r="C731" s="5">
        <v>1883</v>
      </c>
      <c r="D731" s="1" t="s">
        <v>994</v>
      </c>
      <c r="E731" s="1" t="s">
        <v>2</v>
      </c>
      <c r="F731" s="18">
        <v>2165</v>
      </c>
      <c r="G731" s="18">
        <v>186</v>
      </c>
      <c r="H731" s="5">
        <v>2</v>
      </c>
      <c r="I731" s="1">
        <v>190</v>
      </c>
      <c r="J731" s="1">
        <v>167</v>
      </c>
      <c r="L731" t="str">
        <f t="shared" si="11"/>
        <v>http://www.badatelna.eu/reprodukce/?fondId=1073&amp;zaznamId=1108952&amp;reproId=3779047</v>
      </c>
      <c r="M731">
        <f>VLOOKUP(F731,Sheet2!$B$1:$E$19,2,FALSE)</f>
        <v>1073</v>
      </c>
      <c r="N731">
        <f>VLOOKUP(F731,Sheet2!$B$1:$E$19,3,FALSE)</f>
        <v>1108952</v>
      </c>
      <c r="O731">
        <f>IF(G731="Not available","",VLOOKUP(F731,Sheet2!$B$1:$E$19,4,FALSE)+(G731-1))</f>
        <v>3779047</v>
      </c>
    </row>
    <row r="732" spans="1:15" s="1" customFormat="1" ht="15" customHeight="1" x14ac:dyDescent="0.25">
      <c r="A732" s="18" t="s">
        <v>29</v>
      </c>
      <c r="B732" s="18" t="s">
        <v>915</v>
      </c>
      <c r="C732" s="6" t="s">
        <v>2036</v>
      </c>
      <c r="D732" s="4" t="s">
        <v>2028</v>
      </c>
      <c r="E732" s="4" t="s">
        <v>2</v>
      </c>
      <c r="F732" s="18">
        <v>2176</v>
      </c>
      <c r="G732" s="18" t="s">
        <v>3271</v>
      </c>
      <c r="H732" s="6" t="s">
        <v>2037</v>
      </c>
      <c r="I732" s="1">
        <v>5</v>
      </c>
      <c r="J732" s="1" t="s">
        <v>3271</v>
      </c>
      <c r="K732" s="3"/>
      <c r="L732" t="str">
        <f t="shared" si="11"/>
        <v/>
      </c>
      <c r="M732">
        <f>VLOOKUP(F732,Sheet2!$B$1:$E$19,2,FALSE)</f>
        <v>1073</v>
      </c>
      <c r="N732">
        <f>VLOOKUP(F732,Sheet2!$B$1:$E$19,3,FALSE)</f>
        <v>1108963</v>
      </c>
      <c r="O732" t="str">
        <f>IF(G732="Not available","",VLOOKUP(F732,Sheet2!$B$1:$E$19,4,FALSE)+(G732-1))</f>
        <v/>
      </c>
    </row>
    <row r="733" spans="1:15" s="1" customFormat="1" ht="15" customHeight="1" x14ac:dyDescent="0.25">
      <c r="A733" s="18" t="s">
        <v>29</v>
      </c>
      <c r="B733" s="18" t="s">
        <v>201</v>
      </c>
      <c r="C733" s="5">
        <v>1850</v>
      </c>
      <c r="D733" s="1" t="s">
        <v>12</v>
      </c>
      <c r="E733" s="1" t="s">
        <v>2</v>
      </c>
      <c r="F733" s="18">
        <v>2164</v>
      </c>
      <c r="G733" s="18">
        <v>66</v>
      </c>
      <c r="H733" s="5">
        <v>64</v>
      </c>
      <c r="I733" s="1">
        <v>123</v>
      </c>
      <c r="J733" s="1" t="s">
        <v>3271</v>
      </c>
      <c r="L733" t="str">
        <f t="shared" si="11"/>
        <v>http://www.badatelna.eu/reprodukce/?fondId=1073&amp;zaznamId=1108951&amp;reproId=3778780</v>
      </c>
      <c r="M733">
        <f>VLOOKUP(F733,Sheet2!$B$1:$E$19,2,FALSE)</f>
        <v>1073</v>
      </c>
      <c r="N733">
        <f>VLOOKUP(F733,Sheet2!$B$1:$E$19,3,FALSE)</f>
        <v>1108951</v>
      </c>
      <c r="O733">
        <f>IF(G733="Not available","",VLOOKUP(F733,Sheet2!$B$1:$E$19,4,FALSE)+(G733-1))</f>
        <v>3778780</v>
      </c>
    </row>
    <row r="734" spans="1:15" s="1" customFormat="1" ht="15" customHeight="1" x14ac:dyDescent="0.25">
      <c r="A734" s="18" t="s">
        <v>29</v>
      </c>
      <c r="B734" s="18" t="s">
        <v>34</v>
      </c>
      <c r="C734" s="5">
        <v>1816</v>
      </c>
      <c r="E734" s="1" t="s">
        <v>2</v>
      </c>
      <c r="F734" s="18">
        <v>2173</v>
      </c>
      <c r="G734" s="18">
        <v>66</v>
      </c>
      <c r="H734" s="5">
        <v>127</v>
      </c>
      <c r="I734" s="1">
        <v>93</v>
      </c>
      <c r="J734" s="1">
        <v>194</v>
      </c>
      <c r="L734" t="str">
        <f t="shared" si="11"/>
        <v>http://www.badatelna.eu/reprodukce/?fondId=1073&amp;zaznamId=1108959&amp;reproId=3780059</v>
      </c>
      <c r="M734">
        <f>VLOOKUP(F734,Sheet2!$B$1:$E$19,2,FALSE)</f>
        <v>1073</v>
      </c>
      <c r="N734">
        <f>VLOOKUP(F734,Sheet2!$B$1:$E$19,3,FALSE)</f>
        <v>1108959</v>
      </c>
      <c r="O734">
        <f>IF(G734="Not available","",VLOOKUP(F734,Sheet2!$B$1:$E$19,4,FALSE)+(G734-1))</f>
        <v>3780059</v>
      </c>
    </row>
    <row r="735" spans="1:15" s="1" customFormat="1" ht="15" customHeight="1" x14ac:dyDescent="0.25">
      <c r="A735" s="18" t="s">
        <v>29</v>
      </c>
      <c r="B735" s="18" t="s">
        <v>12</v>
      </c>
      <c r="C735" s="5">
        <v>1794</v>
      </c>
      <c r="D735" s="1" t="s">
        <v>77</v>
      </c>
      <c r="E735" s="1" t="s">
        <v>2</v>
      </c>
      <c r="F735" s="18">
        <v>2173</v>
      </c>
      <c r="G735" s="18">
        <v>32</v>
      </c>
      <c r="H735" s="5">
        <v>58</v>
      </c>
      <c r="I735" s="1">
        <v>92</v>
      </c>
      <c r="J735" s="1">
        <v>190</v>
      </c>
      <c r="L735" t="str">
        <f t="shared" si="11"/>
        <v>http://www.badatelna.eu/reprodukce/?fondId=1073&amp;zaznamId=1108959&amp;reproId=3780025</v>
      </c>
      <c r="M735">
        <f>VLOOKUP(F735,Sheet2!$B$1:$E$19,2,FALSE)</f>
        <v>1073</v>
      </c>
      <c r="N735">
        <f>VLOOKUP(F735,Sheet2!$B$1:$E$19,3,FALSE)</f>
        <v>1108959</v>
      </c>
      <c r="O735">
        <f>IF(G735="Not available","",VLOOKUP(F735,Sheet2!$B$1:$E$19,4,FALSE)+(G735-1))</f>
        <v>3780025</v>
      </c>
    </row>
    <row r="736" spans="1:15" s="1" customFormat="1" ht="15" customHeight="1" x14ac:dyDescent="0.25">
      <c r="A736" s="18" t="s">
        <v>29</v>
      </c>
      <c r="B736" s="18" t="s">
        <v>472</v>
      </c>
      <c r="C736" s="5">
        <v>1846</v>
      </c>
      <c r="D736" s="1" t="s">
        <v>12</v>
      </c>
      <c r="E736" s="1" t="s">
        <v>2</v>
      </c>
      <c r="F736" s="18">
        <v>2174</v>
      </c>
      <c r="G736" s="18">
        <v>168</v>
      </c>
      <c r="H736" s="6" t="s">
        <v>3230</v>
      </c>
      <c r="I736" s="1">
        <v>181</v>
      </c>
      <c r="J736" s="1">
        <v>206</v>
      </c>
      <c r="L736" t="str">
        <f t="shared" si="11"/>
        <v>http://www.badatelna.eu/reprodukce/?fondId=1073&amp;zaznamId=1108960&amp;reproId=3780392</v>
      </c>
      <c r="M736">
        <f>VLOOKUP(F736,Sheet2!$B$1:$E$19,2,FALSE)</f>
        <v>1073</v>
      </c>
      <c r="N736">
        <f>VLOOKUP(F736,Sheet2!$B$1:$E$19,3,FALSE)</f>
        <v>1108960</v>
      </c>
      <c r="O736">
        <f>IF(G736="Not available","",VLOOKUP(F736,Sheet2!$B$1:$E$19,4,FALSE)+(G736-1))</f>
        <v>3780392</v>
      </c>
    </row>
    <row r="737" spans="1:15" s="1" customFormat="1" ht="15" customHeight="1" x14ac:dyDescent="0.25">
      <c r="A737" s="18" t="s">
        <v>29</v>
      </c>
      <c r="B737" s="18" t="s">
        <v>4</v>
      </c>
      <c r="C737" s="5">
        <v>1823</v>
      </c>
      <c r="E737" s="1" t="s">
        <v>2</v>
      </c>
      <c r="F737" s="18">
        <v>2173</v>
      </c>
      <c r="G737" s="18">
        <v>74</v>
      </c>
      <c r="H737" s="5">
        <v>140</v>
      </c>
      <c r="I737" s="1">
        <v>93</v>
      </c>
      <c r="J737" s="1">
        <v>194</v>
      </c>
      <c r="L737" t="str">
        <f t="shared" si="11"/>
        <v>http://www.badatelna.eu/reprodukce/?fondId=1073&amp;zaznamId=1108959&amp;reproId=3780067</v>
      </c>
      <c r="M737">
        <f>VLOOKUP(F737,Sheet2!$B$1:$E$19,2,FALSE)</f>
        <v>1073</v>
      </c>
      <c r="N737">
        <f>VLOOKUP(F737,Sheet2!$B$1:$E$19,3,FALSE)</f>
        <v>1108959</v>
      </c>
      <c r="O737">
        <f>IF(G737="Not available","",VLOOKUP(F737,Sheet2!$B$1:$E$19,4,FALSE)+(G737-1))</f>
        <v>3780067</v>
      </c>
    </row>
    <row r="738" spans="1:15" s="1" customFormat="1" ht="15" customHeight="1" x14ac:dyDescent="0.25">
      <c r="A738" s="18" t="s">
        <v>29</v>
      </c>
      <c r="B738" s="18" t="s">
        <v>4</v>
      </c>
      <c r="C738" s="5">
        <v>1824</v>
      </c>
      <c r="E738" s="1" t="s">
        <v>2</v>
      </c>
      <c r="F738" s="18">
        <v>2173</v>
      </c>
      <c r="G738" s="18">
        <v>76</v>
      </c>
      <c r="H738" s="5">
        <v>144</v>
      </c>
      <c r="I738" s="1">
        <v>93</v>
      </c>
      <c r="J738" s="1">
        <v>194</v>
      </c>
      <c r="L738" t="str">
        <f t="shared" si="11"/>
        <v>http://www.badatelna.eu/reprodukce/?fondId=1073&amp;zaznamId=1108959&amp;reproId=3780069</v>
      </c>
      <c r="M738">
        <f>VLOOKUP(F738,Sheet2!$B$1:$E$19,2,FALSE)</f>
        <v>1073</v>
      </c>
      <c r="N738">
        <f>VLOOKUP(F738,Sheet2!$B$1:$E$19,3,FALSE)</f>
        <v>1108959</v>
      </c>
      <c r="O738">
        <f>IF(G738="Not available","",VLOOKUP(F738,Sheet2!$B$1:$E$19,4,FALSE)+(G738-1))</f>
        <v>3780069</v>
      </c>
    </row>
    <row r="739" spans="1:15" s="1" customFormat="1" ht="15" customHeight="1" x14ac:dyDescent="0.25">
      <c r="A739" s="18" t="s">
        <v>29</v>
      </c>
      <c r="B739" s="18" t="s">
        <v>2027</v>
      </c>
      <c r="C739" s="6" t="s">
        <v>2026</v>
      </c>
      <c r="D739" s="4" t="s">
        <v>2028</v>
      </c>
      <c r="E739" s="4" t="s">
        <v>2</v>
      </c>
      <c r="F739" s="18">
        <v>2176</v>
      </c>
      <c r="G739" s="18" t="s">
        <v>3271</v>
      </c>
      <c r="H739" s="6" t="s">
        <v>2006</v>
      </c>
      <c r="I739" s="1">
        <v>4</v>
      </c>
      <c r="J739" s="1" t="s">
        <v>3271</v>
      </c>
      <c r="K739" s="3"/>
      <c r="L739" t="str">
        <f t="shared" si="11"/>
        <v/>
      </c>
      <c r="M739">
        <f>VLOOKUP(F739,Sheet2!$B$1:$E$19,2,FALSE)</f>
        <v>1073</v>
      </c>
      <c r="N739">
        <f>VLOOKUP(F739,Sheet2!$B$1:$E$19,3,FALSE)</f>
        <v>1108963</v>
      </c>
      <c r="O739" t="str">
        <f>IF(G739="Not available","",VLOOKUP(F739,Sheet2!$B$1:$E$19,4,FALSE)+(G739-1))</f>
        <v/>
      </c>
    </row>
    <row r="740" spans="1:15" s="1" customFormat="1" ht="15" customHeight="1" x14ac:dyDescent="0.25">
      <c r="A740" s="18" t="s">
        <v>29</v>
      </c>
      <c r="B740" s="18" t="s">
        <v>21</v>
      </c>
      <c r="C740" s="5">
        <v>1826</v>
      </c>
      <c r="E740" s="1" t="s">
        <v>2</v>
      </c>
      <c r="F740" s="18">
        <v>2173</v>
      </c>
      <c r="G740" s="18">
        <v>80</v>
      </c>
      <c r="H740" s="5">
        <v>152</v>
      </c>
      <c r="I740" s="1">
        <v>93</v>
      </c>
      <c r="J740" s="1">
        <v>194</v>
      </c>
      <c r="L740" t="str">
        <f t="shared" si="11"/>
        <v>http://www.badatelna.eu/reprodukce/?fondId=1073&amp;zaznamId=1108959&amp;reproId=3780073</v>
      </c>
      <c r="M740">
        <f>VLOOKUP(F740,Sheet2!$B$1:$E$19,2,FALSE)</f>
        <v>1073</v>
      </c>
      <c r="N740">
        <f>VLOOKUP(F740,Sheet2!$B$1:$E$19,3,FALSE)</f>
        <v>1108959</v>
      </c>
      <c r="O740">
        <f>IF(G740="Not available","",VLOOKUP(F740,Sheet2!$B$1:$E$19,4,FALSE)+(G740-1))</f>
        <v>3780073</v>
      </c>
    </row>
    <row r="741" spans="1:15" s="1" customFormat="1" ht="15" customHeight="1" x14ac:dyDescent="0.25">
      <c r="A741" s="18" t="s">
        <v>29</v>
      </c>
      <c r="B741" s="18" t="s">
        <v>150</v>
      </c>
      <c r="C741" s="5">
        <v>1824</v>
      </c>
      <c r="E741" s="1" t="s">
        <v>2</v>
      </c>
      <c r="F741" s="18">
        <v>2173</v>
      </c>
      <c r="G741" s="18">
        <v>78</v>
      </c>
      <c r="H741" s="5">
        <v>148</v>
      </c>
      <c r="I741" s="1">
        <v>93</v>
      </c>
      <c r="J741" s="1">
        <v>194</v>
      </c>
      <c r="L741" t="str">
        <f t="shared" si="11"/>
        <v>http://www.badatelna.eu/reprodukce/?fondId=1073&amp;zaznamId=1108959&amp;reproId=3780071</v>
      </c>
      <c r="M741">
        <f>VLOOKUP(F741,Sheet2!$B$1:$E$19,2,FALSE)</f>
        <v>1073</v>
      </c>
      <c r="N741">
        <f>VLOOKUP(F741,Sheet2!$B$1:$E$19,3,FALSE)</f>
        <v>1108959</v>
      </c>
      <c r="O741">
        <f>IF(G741="Not available","",VLOOKUP(F741,Sheet2!$B$1:$E$19,4,FALSE)+(G741-1))</f>
        <v>3780071</v>
      </c>
    </row>
    <row r="742" spans="1:15" s="1" customFormat="1" ht="15" customHeight="1" x14ac:dyDescent="0.25">
      <c r="A742" s="18" t="s">
        <v>29</v>
      </c>
      <c r="B742" s="18" t="s">
        <v>149</v>
      </c>
      <c r="C742" s="5">
        <v>1824</v>
      </c>
      <c r="E742" s="1" t="s">
        <v>2</v>
      </c>
      <c r="F742" s="18">
        <v>2173</v>
      </c>
      <c r="G742" s="18">
        <v>76</v>
      </c>
      <c r="H742" s="5">
        <v>145</v>
      </c>
      <c r="I742" s="1">
        <v>93</v>
      </c>
      <c r="J742" s="1">
        <v>194</v>
      </c>
      <c r="L742" t="str">
        <f t="shared" si="11"/>
        <v>http://www.badatelna.eu/reprodukce/?fondId=1073&amp;zaznamId=1108959&amp;reproId=3780069</v>
      </c>
      <c r="M742">
        <f>VLOOKUP(F742,Sheet2!$B$1:$E$19,2,FALSE)</f>
        <v>1073</v>
      </c>
      <c r="N742">
        <f>VLOOKUP(F742,Sheet2!$B$1:$E$19,3,FALSE)</f>
        <v>1108959</v>
      </c>
      <c r="O742">
        <f>IF(G742="Not available","",VLOOKUP(F742,Sheet2!$B$1:$E$19,4,FALSE)+(G742-1))</f>
        <v>3780069</v>
      </c>
    </row>
    <row r="743" spans="1:15" s="1" customFormat="1" ht="15" customHeight="1" x14ac:dyDescent="0.25">
      <c r="A743" s="18" t="s">
        <v>29</v>
      </c>
      <c r="B743" s="18" t="s">
        <v>58</v>
      </c>
      <c r="C743" s="5">
        <v>1821</v>
      </c>
      <c r="E743" s="1" t="s">
        <v>2</v>
      </c>
      <c r="F743" s="18">
        <v>2173</v>
      </c>
      <c r="G743" s="18">
        <v>71</v>
      </c>
      <c r="H743" s="5">
        <v>134</v>
      </c>
      <c r="I743" s="1">
        <v>93</v>
      </c>
      <c r="J743" s="1">
        <v>194</v>
      </c>
      <c r="L743" t="str">
        <f t="shared" si="11"/>
        <v>http://www.badatelna.eu/reprodukce/?fondId=1073&amp;zaznamId=1108959&amp;reproId=3780064</v>
      </c>
      <c r="M743">
        <f>VLOOKUP(F743,Sheet2!$B$1:$E$19,2,FALSE)</f>
        <v>1073</v>
      </c>
      <c r="N743">
        <f>VLOOKUP(F743,Sheet2!$B$1:$E$19,3,FALSE)</f>
        <v>1108959</v>
      </c>
      <c r="O743">
        <f>IF(G743="Not available","",VLOOKUP(F743,Sheet2!$B$1:$E$19,4,FALSE)+(G743-1))</f>
        <v>3780064</v>
      </c>
    </row>
    <row r="744" spans="1:15" s="1" customFormat="1" ht="15" customHeight="1" x14ac:dyDescent="0.25">
      <c r="A744" s="18" t="s">
        <v>2861</v>
      </c>
      <c r="B744" s="18" t="s">
        <v>907</v>
      </c>
      <c r="C744" s="5">
        <v>1866</v>
      </c>
      <c r="E744" s="1" t="s">
        <v>939</v>
      </c>
      <c r="F744" s="18">
        <v>999</v>
      </c>
      <c r="G744" s="18">
        <v>61</v>
      </c>
      <c r="H744" s="5">
        <v>59</v>
      </c>
      <c r="I744" s="1">
        <v>63</v>
      </c>
      <c r="J744" s="1">
        <v>96</v>
      </c>
      <c r="L744" t="str">
        <f t="shared" si="11"/>
        <v>http://www.badatelna.eu/reprodukce/?fondId=241&amp;zaznamId=1133739&amp;reproId=3885790</v>
      </c>
      <c r="M744">
        <f>VLOOKUP(F744,Sheet2!$B$1:$E$19,2,FALSE)</f>
        <v>241</v>
      </c>
      <c r="N744">
        <f>VLOOKUP(F744,Sheet2!$B$1:$E$19,3,FALSE)</f>
        <v>1133739</v>
      </c>
      <c r="O744">
        <f>IF(G744="Not available","",VLOOKUP(F744,Sheet2!$B$1:$E$19,4,FALSE)+(G744-1))</f>
        <v>3885790</v>
      </c>
    </row>
    <row r="745" spans="1:15" s="1" customFormat="1" ht="15" customHeight="1" x14ac:dyDescent="0.25">
      <c r="A745" s="18" t="s">
        <v>2861</v>
      </c>
      <c r="B745" s="18" t="s">
        <v>105</v>
      </c>
      <c r="C745" s="5">
        <v>1865</v>
      </c>
      <c r="E745" s="1" t="s">
        <v>939</v>
      </c>
      <c r="F745" s="18">
        <v>999</v>
      </c>
      <c r="G745" s="18">
        <v>53</v>
      </c>
      <c r="H745" s="5">
        <v>52</v>
      </c>
      <c r="I745" s="1">
        <v>63</v>
      </c>
      <c r="J745" s="1">
        <v>96</v>
      </c>
      <c r="L745" t="str">
        <f t="shared" si="11"/>
        <v>http://www.badatelna.eu/reprodukce/?fondId=241&amp;zaznamId=1133739&amp;reproId=3885782</v>
      </c>
      <c r="M745">
        <f>VLOOKUP(F745,Sheet2!$B$1:$E$19,2,FALSE)</f>
        <v>241</v>
      </c>
      <c r="N745">
        <f>VLOOKUP(F745,Sheet2!$B$1:$E$19,3,FALSE)</f>
        <v>1133739</v>
      </c>
      <c r="O745">
        <f>IF(G745="Not available","",VLOOKUP(F745,Sheet2!$B$1:$E$19,4,FALSE)+(G745-1))</f>
        <v>3885782</v>
      </c>
    </row>
    <row r="746" spans="1:15" s="1" customFormat="1" ht="15" customHeight="1" x14ac:dyDescent="0.25">
      <c r="A746" s="18" t="s">
        <v>990</v>
      </c>
      <c r="B746" s="18" t="s">
        <v>963</v>
      </c>
      <c r="C746" s="5" t="s">
        <v>1342</v>
      </c>
      <c r="D746" s="1" t="s">
        <v>477</v>
      </c>
      <c r="E746" s="1" t="s">
        <v>2</v>
      </c>
      <c r="F746" s="18">
        <v>2165</v>
      </c>
      <c r="G746" s="18">
        <v>74</v>
      </c>
      <c r="H746" s="5">
        <v>71</v>
      </c>
      <c r="I746" s="1">
        <v>81</v>
      </c>
      <c r="J746" s="1" t="s">
        <v>3271</v>
      </c>
      <c r="L746" t="str">
        <f t="shared" si="11"/>
        <v>http://www.badatelna.eu/reprodukce/?fondId=1073&amp;zaznamId=1108952&amp;reproId=3778935</v>
      </c>
      <c r="M746">
        <f>VLOOKUP(F746,Sheet2!$B$1:$E$19,2,FALSE)</f>
        <v>1073</v>
      </c>
      <c r="N746">
        <f>VLOOKUP(F746,Sheet2!$B$1:$E$19,3,FALSE)</f>
        <v>1108952</v>
      </c>
      <c r="O746">
        <f>IF(G746="Not available","",VLOOKUP(F746,Sheet2!$B$1:$E$19,4,FALSE)+(G746-1))</f>
        <v>3778935</v>
      </c>
    </row>
    <row r="747" spans="1:15" s="1" customFormat="1" ht="15" customHeight="1" x14ac:dyDescent="0.25">
      <c r="A747" s="18" t="s">
        <v>990</v>
      </c>
      <c r="B747" s="18" t="s">
        <v>997</v>
      </c>
      <c r="C747" s="5" t="s">
        <v>1307</v>
      </c>
      <c r="D747" s="1" t="s">
        <v>478</v>
      </c>
      <c r="E747" s="1" t="s">
        <v>2</v>
      </c>
      <c r="F747" s="18">
        <v>2165</v>
      </c>
      <c r="G747" s="18">
        <v>24</v>
      </c>
      <c r="H747" s="5">
        <v>21</v>
      </c>
      <c r="I747" s="1">
        <v>80</v>
      </c>
      <c r="J747" s="1" t="s">
        <v>3271</v>
      </c>
      <c r="L747" t="str">
        <f t="shared" si="11"/>
        <v>http://www.badatelna.eu/reprodukce/?fondId=1073&amp;zaznamId=1108952&amp;reproId=3778885</v>
      </c>
      <c r="M747">
        <f>VLOOKUP(F747,Sheet2!$B$1:$E$19,2,FALSE)</f>
        <v>1073</v>
      </c>
      <c r="N747">
        <f>VLOOKUP(F747,Sheet2!$B$1:$E$19,3,FALSE)</f>
        <v>1108952</v>
      </c>
      <c r="O747">
        <f>IF(G747="Not available","",VLOOKUP(F747,Sheet2!$B$1:$E$19,4,FALSE)+(G747-1))</f>
        <v>3778885</v>
      </c>
    </row>
    <row r="748" spans="1:15" s="1" customFormat="1" ht="15" customHeight="1" x14ac:dyDescent="0.25">
      <c r="A748" s="18" t="s">
        <v>990</v>
      </c>
      <c r="B748" s="18" t="s">
        <v>907</v>
      </c>
      <c r="C748" s="5" t="s">
        <v>1299</v>
      </c>
      <c r="D748" s="1" t="s">
        <v>478</v>
      </c>
      <c r="E748" s="1" t="s">
        <v>2</v>
      </c>
      <c r="F748" s="18">
        <v>2165</v>
      </c>
      <c r="G748" s="18">
        <v>7</v>
      </c>
      <c r="H748" s="5">
        <v>4</v>
      </c>
      <c r="I748" s="1">
        <v>80</v>
      </c>
      <c r="J748" s="1" t="s">
        <v>3271</v>
      </c>
      <c r="L748" t="str">
        <f t="shared" si="11"/>
        <v>http://www.badatelna.eu/reprodukce/?fondId=1073&amp;zaznamId=1108952&amp;reproId=3778868</v>
      </c>
      <c r="M748">
        <f>VLOOKUP(F748,Sheet2!$B$1:$E$19,2,FALSE)</f>
        <v>1073</v>
      </c>
      <c r="N748">
        <f>VLOOKUP(F748,Sheet2!$B$1:$E$19,3,FALSE)</f>
        <v>1108952</v>
      </c>
      <c r="O748">
        <f>IF(G748="Not available","",VLOOKUP(F748,Sheet2!$B$1:$E$19,4,FALSE)+(G748-1))</f>
        <v>3778868</v>
      </c>
    </row>
    <row r="749" spans="1:15" s="1" customFormat="1" ht="15" customHeight="1" x14ac:dyDescent="0.25">
      <c r="A749" s="18" t="s">
        <v>990</v>
      </c>
      <c r="B749" s="18" t="s">
        <v>105</v>
      </c>
      <c r="C749" s="5" t="s">
        <v>1298</v>
      </c>
      <c r="D749" s="1" t="s">
        <v>478</v>
      </c>
      <c r="E749" s="1" t="s">
        <v>2</v>
      </c>
      <c r="F749" s="18">
        <v>2165</v>
      </c>
      <c r="G749" s="18">
        <v>7</v>
      </c>
      <c r="H749" s="5">
        <v>4</v>
      </c>
      <c r="I749" s="1">
        <v>80</v>
      </c>
      <c r="J749" s="1" t="s">
        <v>3271</v>
      </c>
      <c r="L749" t="str">
        <f t="shared" si="11"/>
        <v>http://www.badatelna.eu/reprodukce/?fondId=1073&amp;zaznamId=1108952&amp;reproId=3778868</v>
      </c>
      <c r="M749">
        <f>VLOOKUP(F749,Sheet2!$B$1:$E$19,2,FALSE)</f>
        <v>1073</v>
      </c>
      <c r="N749">
        <f>VLOOKUP(F749,Sheet2!$B$1:$E$19,3,FALSE)</f>
        <v>1108952</v>
      </c>
      <c r="O749">
        <f>IF(G749="Not available","",VLOOKUP(F749,Sheet2!$B$1:$E$19,4,FALSE)+(G749-1))</f>
        <v>3778868</v>
      </c>
    </row>
    <row r="750" spans="1:15" s="1" customFormat="1" ht="15" customHeight="1" x14ac:dyDescent="0.25">
      <c r="A750" s="18" t="s">
        <v>37</v>
      </c>
      <c r="B750" s="18" t="s">
        <v>3286</v>
      </c>
      <c r="C750" s="5"/>
      <c r="F750" s="18"/>
      <c r="G750" s="18"/>
      <c r="H750" s="5"/>
      <c r="L750" t="e">
        <f t="shared" si="11"/>
        <v>#N/A</v>
      </c>
      <c r="M750" t="e">
        <f>VLOOKUP(F750,Sheet2!$B$1:$E$19,2,FALSE)</f>
        <v>#N/A</v>
      </c>
      <c r="N750" t="e">
        <f>VLOOKUP(F750,Sheet2!$B$1:$E$19,3,FALSE)</f>
        <v>#N/A</v>
      </c>
      <c r="O750" t="e">
        <f>IF(G750="Not available","",VLOOKUP(F750,Sheet2!$B$1:$E$19,4,FALSE)+(G750-1))</f>
        <v>#N/A</v>
      </c>
    </row>
    <row r="751" spans="1:15" s="1" customFormat="1" ht="15" customHeight="1" x14ac:dyDescent="0.25">
      <c r="A751" s="18" t="s">
        <v>995</v>
      </c>
      <c r="B751" s="18" t="s">
        <v>996</v>
      </c>
      <c r="C751" s="5" t="s">
        <v>1306</v>
      </c>
      <c r="D751" s="1" t="s">
        <v>489</v>
      </c>
      <c r="E751" s="1" t="s">
        <v>2</v>
      </c>
      <c r="F751" s="18">
        <v>2165</v>
      </c>
      <c r="G751" s="18">
        <v>23</v>
      </c>
      <c r="H751" s="5">
        <v>20</v>
      </c>
      <c r="I751" s="1">
        <v>80</v>
      </c>
      <c r="J751" s="1" t="s">
        <v>3271</v>
      </c>
      <c r="L751" t="str">
        <f t="shared" si="11"/>
        <v>http://www.badatelna.eu/reprodukce/?fondId=1073&amp;zaznamId=1108952&amp;reproId=3778884</v>
      </c>
      <c r="M751">
        <f>VLOOKUP(F751,Sheet2!$B$1:$E$19,2,FALSE)</f>
        <v>1073</v>
      </c>
      <c r="N751">
        <f>VLOOKUP(F751,Sheet2!$B$1:$E$19,3,FALSE)</f>
        <v>1108952</v>
      </c>
      <c r="O751">
        <f>IF(G751="Not available","",VLOOKUP(F751,Sheet2!$B$1:$E$19,4,FALSE)+(G751-1))</f>
        <v>3778884</v>
      </c>
    </row>
    <row r="752" spans="1:15" s="1" customFormat="1" ht="15" customHeight="1" x14ac:dyDescent="0.25">
      <c r="A752" s="18" t="s">
        <v>995</v>
      </c>
      <c r="B752" s="18" t="s">
        <v>545</v>
      </c>
      <c r="C752" s="5">
        <v>1865</v>
      </c>
      <c r="E752" s="1" t="s">
        <v>939</v>
      </c>
      <c r="F752" s="18">
        <v>999</v>
      </c>
      <c r="G752" s="18">
        <v>56</v>
      </c>
      <c r="H752" s="5">
        <v>54</v>
      </c>
      <c r="I752" s="1">
        <v>63</v>
      </c>
      <c r="J752" s="1">
        <v>96</v>
      </c>
      <c r="L752" t="str">
        <f t="shared" si="11"/>
        <v>http://www.badatelna.eu/reprodukce/?fondId=241&amp;zaznamId=1133739&amp;reproId=3885785</v>
      </c>
      <c r="M752">
        <f>VLOOKUP(F752,Sheet2!$B$1:$E$19,2,FALSE)</f>
        <v>241</v>
      </c>
      <c r="N752">
        <f>VLOOKUP(F752,Sheet2!$B$1:$E$19,3,FALSE)</f>
        <v>1133739</v>
      </c>
      <c r="O752">
        <f>IF(G752="Not available","",VLOOKUP(F752,Sheet2!$B$1:$E$19,4,FALSE)+(G752-1))</f>
        <v>3885785</v>
      </c>
    </row>
    <row r="753" spans="1:15" s="1" customFormat="1" ht="15" customHeight="1" x14ac:dyDescent="0.25">
      <c r="A753" s="18" t="s">
        <v>37</v>
      </c>
      <c r="B753" s="18" t="s">
        <v>439</v>
      </c>
      <c r="C753" s="5" t="s">
        <v>1289</v>
      </c>
      <c r="D753" s="1" t="s">
        <v>83</v>
      </c>
      <c r="E753" s="1" t="s">
        <v>2</v>
      </c>
      <c r="F753" s="18">
        <v>2165</v>
      </c>
      <c r="G753" s="18">
        <v>4</v>
      </c>
      <c r="H753" s="5">
        <v>1</v>
      </c>
      <c r="I753" s="1">
        <v>80</v>
      </c>
      <c r="J753" s="1" t="s">
        <v>3271</v>
      </c>
      <c r="L753" t="str">
        <f t="shared" si="11"/>
        <v>http://www.badatelna.eu/reprodukce/?fondId=1073&amp;zaznamId=1108952&amp;reproId=3778865</v>
      </c>
      <c r="M753">
        <f>VLOOKUP(F753,Sheet2!$B$1:$E$19,2,FALSE)</f>
        <v>1073</v>
      </c>
      <c r="N753">
        <f>VLOOKUP(F753,Sheet2!$B$1:$E$19,3,FALSE)</f>
        <v>1108952</v>
      </c>
      <c r="O753">
        <f>IF(G753="Not available","",VLOOKUP(F753,Sheet2!$B$1:$E$19,4,FALSE)+(G753-1))</f>
        <v>3778865</v>
      </c>
    </row>
    <row r="754" spans="1:15" s="1" customFormat="1" ht="15" customHeight="1" x14ac:dyDescent="0.25">
      <c r="A754" s="18" t="s">
        <v>37</v>
      </c>
      <c r="B754" s="18" t="s">
        <v>484</v>
      </c>
      <c r="C754" s="5">
        <v>1846</v>
      </c>
      <c r="D754" s="12" t="s">
        <v>55</v>
      </c>
      <c r="E754" s="1" t="s">
        <v>2</v>
      </c>
      <c r="F754" s="18">
        <v>2174</v>
      </c>
      <c r="G754" s="18">
        <v>161</v>
      </c>
      <c r="H754" s="6" t="s">
        <v>3226</v>
      </c>
      <c r="I754" s="1">
        <v>181</v>
      </c>
      <c r="J754" s="1">
        <v>206</v>
      </c>
      <c r="L754" t="str">
        <f t="shared" si="11"/>
        <v>http://www.badatelna.eu/reprodukce/?fondId=1073&amp;zaznamId=1108960&amp;reproId=3780385</v>
      </c>
      <c r="M754">
        <f>VLOOKUP(F754,Sheet2!$B$1:$E$19,2,FALSE)</f>
        <v>1073</v>
      </c>
      <c r="N754">
        <f>VLOOKUP(F754,Sheet2!$B$1:$E$19,3,FALSE)</f>
        <v>1108960</v>
      </c>
      <c r="O754">
        <f>IF(G754="Not available","",VLOOKUP(F754,Sheet2!$B$1:$E$19,4,FALSE)+(G754-1))</f>
        <v>3780385</v>
      </c>
    </row>
    <row r="755" spans="1:15" s="1" customFormat="1" ht="15" customHeight="1" x14ac:dyDescent="0.25">
      <c r="A755" s="18" t="s">
        <v>37</v>
      </c>
      <c r="B755" s="18" t="s">
        <v>436</v>
      </c>
      <c r="C755" s="5" t="s">
        <v>1333</v>
      </c>
      <c r="D755" s="1" t="s">
        <v>484</v>
      </c>
      <c r="E755" s="1" t="s">
        <v>2</v>
      </c>
      <c r="F755" s="18">
        <v>2165</v>
      </c>
      <c r="G755" s="18">
        <v>59</v>
      </c>
      <c r="H755" s="5">
        <v>56</v>
      </c>
      <c r="I755" s="1">
        <v>81</v>
      </c>
      <c r="J755" s="1" t="s">
        <v>3271</v>
      </c>
      <c r="L755" t="str">
        <f t="shared" si="11"/>
        <v>http://www.badatelna.eu/reprodukce/?fondId=1073&amp;zaznamId=1108952&amp;reproId=3778920</v>
      </c>
      <c r="M755">
        <f>VLOOKUP(F755,Sheet2!$B$1:$E$19,2,FALSE)</f>
        <v>1073</v>
      </c>
      <c r="N755">
        <f>VLOOKUP(F755,Sheet2!$B$1:$E$19,3,FALSE)</f>
        <v>1108952</v>
      </c>
      <c r="O755">
        <f>IF(G755="Not available","",VLOOKUP(F755,Sheet2!$B$1:$E$19,4,FALSE)+(G755-1))</f>
        <v>3778920</v>
      </c>
    </row>
    <row r="756" spans="1:15" s="1" customFormat="1" ht="15" customHeight="1" x14ac:dyDescent="0.25">
      <c r="A756" s="21" t="s">
        <v>37</v>
      </c>
      <c r="B756" s="21" t="s">
        <v>36</v>
      </c>
      <c r="C756" s="7">
        <v>1785</v>
      </c>
      <c r="D756" s="2" t="s">
        <v>38</v>
      </c>
      <c r="E756" s="1" t="s">
        <v>2</v>
      </c>
      <c r="F756" s="18">
        <v>2173</v>
      </c>
      <c r="G756" s="21">
        <v>9</v>
      </c>
      <c r="H756" s="7">
        <v>12</v>
      </c>
      <c r="I756" s="2">
        <v>91</v>
      </c>
      <c r="J756" s="2">
        <v>189</v>
      </c>
      <c r="K756" s="2"/>
      <c r="L756" t="str">
        <f t="shared" si="11"/>
        <v>http://www.badatelna.eu/reprodukce/?fondId=1073&amp;zaznamId=1108959&amp;reproId=3780002</v>
      </c>
      <c r="M756">
        <f>VLOOKUP(F756,Sheet2!$B$1:$E$19,2,FALSE)</f>
        <v>1073</v>
      </c>
      <c r="N756">
        <f>VLOOKUP(F756,Sheet2!$B$1:$E$19,3,FALSE)</f>
        <v>1108959</v>
      </c>
      <c r="O756">
        <f>IF(G756="Not available","",VLOOKUP(F756,Sheet2!$B$1:$E$19,4,FALSE)+(G756-1))</f>
        <v>3780002</v>
      </c>
    </row>
    <row r="757" spans="1:15" s="1" customFormat="1" ht="15" customHeight="1" x14ac:dyDescent="0.25">
      <c r="A757" s="21" t="s">
        <v>37</v>
      </c>
      <c r="B757" s="21" t="s">
        <v>55</v>
      </c>
      <c r="C757" s="7">
        <v>1788</v>
      </c>
      <c r="D757" s="2" t="s">
        <v>38</v>
      </c>
      <c r="E757" s="1" t="s">
        <v>2</v>
      </c>
      <c r="F757" s="18">
        <v>2173</v>
      </c>
      <c r="G757" s="21">
        <v>19</v>
      </c>
      <c r="H757" s="7">
        <v>33</v>
      </c>
      <c r="I757" s="2">
        <v>91</v>
      </c>
      <c r="J757" s="2">
        <v>189</v>
      </c>
      <c r="K757" s="2"/>
      <c r="L757" t="str">
        <f t="shared" si="11"/>
        <v>http://www.badatelna.eu/reprodukce/?fondId=1073&amp;zaznamId=1108959&amp;reproId=3780012</v>
      </c>
      <c r="M757">
        <f>VLOOKUP(F757,Sheet2!$B$1:$E$19,2,FALSE)</f>
        <v>1073</v>
      </c>
      <c r="N757">
        <f>VLOOKUP(F757,Sheet2!$B$1:$E$19,3,FALSE)</f>
        <v>1108959</v>
      </c>
      <c r="O757">
        <f>IF(G757="Not available","",VLOOKUP(F757,Sheet2!$B$1:$E$19,4,FALSE)+(G757-1))</f>
        <v>3780012</v>
      </c>
    </row>
    <row r="758" spans="1:15" s="1" customFormat="1" ht="15" customHeight="1" x14ac:dyDescent="0.25">
      <c r="A758" s="18" t="s">
        <v>37</v>
      </c>
      <c r="B758" s="18" t="s">
        <v>625</v>
      </c>
      <c r="C758" s="6" t="s">
        <v>1969</v>
      </c>
      <c r="D758" s="4" t="s">
        <v>1980</v>
      </c>
      <c r="E758" s="4" t="s">
        <v>2</v>
      </c>
      <c r="F758" s="18">
        <v>2176</v>
      </c>
      <c r="G758" s="18" t="s">
        <v>3271</v>
      </c>
      <c r="H758" s="6" t="s">
        <v>1981</v>
      </c>
      <c r="I758" s="1">
        <v>4</v>
      </c>
      <c r="J758" s="1" t="s">
        <v>3271</v>
      </c>
      <c r="L758" t="str">
        <f t="shared" si="11"/>
        <v/>
      </c>
      <c r="M758">
        <f>VLOOKUP(F758,Sheet2!$B$1:$E$19,2,FALSE)</f>
        <v>1073</v>
      </c>
      <c r="N758">
        <f>VLOOKUP(F758,Sheet2!$B$1:$E$19,3,FALSE)</f>
        <v>1108963</v>
      </c>
      <c r="O758" t="str">
        <f>IF(G758="Not available","",VLOOKUP(F758,Sheet2!$B$1:$E$19,4,FALSE)+(G758-1))</f>
        <v/>
      </c>
    </row>
    <row r="759" spans="1:15" s="1" customFormat="1" ht="15" customHeight="1" x14ac:dyDescent="0.25">
      <c r="A759" s="18" t="s">
        <v>37</v>
      </c>
      <c r="B759" s="18" t="s">
        <v>25</v>
      </c>
      <c r="C759" s="5" t="s">
        <v>1319</v>
      </c>
      <c r="D759" s="1" t="s">
        <v>83</v>
      </c>
      <c r="E759" s="1" t="s">
        <v>2</v>
      </c>
      <c r="F759" s="18">
        <v>2165</v>
      </c>
      <c r="G759" s="18">
        <v>40</v>
      </c>
      <c r="H759" s="5">
        <v>37</v>
      </c>
      <c r="I759" s="1">
        <v>81</v>
      </c>
      <c r="J759" s="1" t="s">
        <v>3271</v>
      </c>
      <c r="L759" t="str">
        <f t="shared" si="11"/>
        <v>http://www.badatelna.eu/reprodukce/?fondId=1073&amp;zaznamId=1108952&amp;reproId=3778901</v>
      </c>
      <c r="M759">
        <f>VLOOKUP(F759,Sheet2!$B$1:$E$19,2,FALSE)</f>
        <v>1073</v>
      </c>
      <c r="N759">
        <f>VLOOKUP(F759,Sheet2!$B$1:$E$19,3,FALSE)</f>
        <v>1108952</v>
      </c>
      <c r="O759">
        <f>IF(G759="Not available","",VLOOKUP(F759,Sheet2!$B$1:$E$19,4,FALSE)+(G759-1))</f>
        <v>3778901</v>
      </c>
    </row>
    <row r="760" spans="1:15" s="1" customFormat="1" ht="15" customHeight="1" x14ac:dyDescent="0.25">
      <c r="A760" s="18" t="s">
        <v>37</v>
      </c>
      <c r="B760" s="18" t="s">
        <v>434</v>
      </c>
      <c r="C760" s="5" t="s">
        <v>1297</v>
      </c>
      <c r="D760" s="1" t="s">
        <v>83</v>
      </c>
      <c r="E760" s="1" t="s">
        <v>2</v>
      </c>
      <c r="F760" s="18">
        <v>2165</v>
      </c>
      <c r="G760" s="18">
        <v>13</v>
      </c>
      <c r="H760" s="5">
        <v>10</v>
      </c>
      <c r="I760" s="1">
        <v>80</v>
      </c>
      <c r="J760" s="1" t="s">
        <v>3271</v>
      </c>
      <c r="L760" t="str">
        <f t="shared" si="11"/>
        <v>http://www.badatelna.eu/reprodukce/?fondId=1073&amp;zaznamId=1108952&amp;reproId=3778874</v>
      </c>
      <c r="M760">
        <f>VLOOKUP(F760,Sheet2!$B$1:$E$19,2,FALSE)</f>
        <v>1073</v>
      </c>
      <c r="N760">
        <f>VLOOKUP(F760,Sheet2!$B$1:$E$19,3,FALSE)</f>
        <v>1108952</v>
      </c>
      <c r="O760">
        <f>IF(G760="Not available","",VLOOKUP(F760,Sheet2!$B$1:$E$19,4,FALSE)+(G760-1))</f>
        <v>3778874</v>
      </c>
    </row>
    <row r="761" spans="1:15" s="1" customFormat="1" ht="15" customHeight="1" x14ac:dyDescent="0.25">
      <c r="A761" s="18" t="s">
        <v>1988</v>
      </c>
      <c r="B761" s="18" t="s">
        <v>1972</v>
      </c>
      <c r="C761" s="6" t="s">
        <v>1987</v>
      </c>
      <c r="D761" s="4" t="s">
        <v>1980</v>
      </c>
      <c r="E761" s="4" t="s">
        <v>2</v>
      </c>
      <c r="F761" s="18">
        <v>2176</v>
      </c>
      <c r="G761" s="18" t="s">
        <v>3271</v>
      </c>
      <c r="H761" s="6" t="s">
        <v>1989</v>
      </c>
      <c r="I761" s="1">
        <v>4</v>
      </c>
      <c r="J761" s="1" t="s">
        <v>3271</v>
      </c>
      <c r="L761" t="str">
        <f t="shared" si="11"/>
        <v/>
      </c>
      <c r="M761">
        <f>VLOOKUP(F761,Sheet2!$B$1:$E$19,2,FALSE)</f>
        <v>1073</v>
      </c>
      <c r="N761">
        <f>VLOOKUP(F761,Sheet2!$B$1:$E$19,3,FALSE)</f>
        <v>1108963</v>
      </c>
      <c r="O761" t="str">
        <f>IF(G761="Not available","",VLOOKUP(F761,Sheet2!$B$1:$E$19,4,FALSE)+(G761-1))</f>
        <v/>
      </c>
    </row>
    <row r="762" spans="1:15" s="1" customFormat="1" ht="15" customHeight="1" x14ac:dyDescent="0.25">
      <c r="A762" s="18" t="s">
        <v>121</v>
      </c>
      <c r="B762" s="18" t="s">
        <v>507</v>
      </c>
      <c r="C762" s="5">
        <v>1854</v>
      </c>
      <c r="D762" s="1" t="s">
        <v>603</v>
      </c>
      <c r="E762" s="1" t="s">
        <v>2</v>
      </c>
      <c r="F762" s="18">
        <v>2164</v>
      </c>
      <c r="G762" s="18">
        <v>94</v>
      </c>
      <c r="H762" s="5">
        <v>92</v>
      </c>
      <c r="I762" s="1">
        <v>123</v>
      </c>
      <c r="J762" s="1" t="s">
        <v>3271</v>
      </c>
      <c r="L762" t="str">
        <f t="shared" si="11"/>
        <v>http://www.badatelna.eu/reprodukce/?fondId=1073&amp;zaznamId=1108951&amp;reproId=3778808</v>
      </c>
      <c r="M762">
        <f>VLOOKUP(F762,Sheet2!$B$1:$E$19,2,FALSE)</f>
        <v>1073</v>
      </c>
      <c r="N762">
        <f>VLOOKUP(F762,Sheet2!$B$1:$E$19,3,FALSE)</f>
        <v>1108951</v>
      </c>
      <c r="O762">
        <f>IF(G762="Not available","",VLOOKUP(F762,Sheet2!$B$1:$E$19,4,FALSE)+(G762-1))</f>
        <v>3778808</v>
      </c>
    </row>
    <row r="763" spans="1:15" s="1" customFormat="1" ht="15" customHeight="1" x14ac:dyDescent="0.25">
      <c r="A763" s="18" t="s">
        <v>121</v>
      </c>
      <c r="B763" s="18" t="s">
        <v>632</v>
      </c>
      <c r="C763" s="5">
        <v>1856</v>
      </c>
      <c r="D763" s="1" t="s">
        <v>603</v>
      </c>
      <c r="E763" s="1" t="s">
        <v>2</v>
      </c>
      <c r="F763" s="18">
        <v>2164</v>
      </c>
      <c r="G763" s="18">
        <v>110</v>
      </c>
      <c r="H763" s="5">
        <v>108</v>
      </c>
      <c r="I763" s="1">
        <v>124</v>
      </c>
      <c r="J763" s="1" t="s">
        <v>3271</v>
      </c>
      <c r="L763" t="str">
        <f t="shared" si="11"/>
        <v>http://www.badatelna.eu/reprodukce/?fondId=1073&amp;zaznamId=1108951&amp;reproId=3778824</v>
      </c>
      <c r="M763">
        <f>VLOOKUP(F763,Sheet2!$B$1:$E$19,2,FALSE)</f>
        <v>1073</v>
      </c>
      <c r="N763">
        <f>VLOOKUP(F763,Sheet2!$B$1:$E$19,3,FALSE)</f>
        <v>1108951</v>
      </c>
      <c r="O763">
        <f>IF(G763="Not available","",VLOOKUP(F763,Sheet2!$B$1:$E$19,4,FALSE)+(G763-1))</f>
        <v>3778824</v>
      </c>
    </row>
    <row r="764" spans="1:15" s="1" customFormat="1" ht="15" customHeight="1" x14ac:dyDescent="0.25">
      <c r="A764" s="18" t="s">
        <v>121</v>
      </c>
      <c r="B764" s="18" t="s">
        <v>439</v>
      </c>
      <c r="C764" s="5">
        <v>1865</v>
      </c>
      <c r="E764" s="1" t="s">
        <v>939</v>
      </c>
      <c r="F764" s="18">
        <v>999</v>
      </c>
      <c r="G764" s="18">
        <v>53</v>
      </c>
      <c r="H764" s="5">
        <v>51</v>
      </c>
      <c r="I764" s="1">
        <v>63</v>
      </c>
      <c r="J764" s="1">
        <v>96</v>
      </c>
      <c r="L764" t="str">
        <f t="shared" si="11"/>
        <v>http://www.badatelna.eu/reprodukce/?fondId=241&amp;zaznamId=1133739&amp;reproId=3885782</v>
      </c>
      <c r="M764">
        <f>VLOOKUP(F764,Sheet2!$B$1:$E$19,2,FALSE)</f>
        <v>241</v>
      </c>
      <c r="N764">
        <f>VLOOKUP(F764,Sheet2!$B$1:$E$19,3,FALSE)</f>
        <v>1133739</v>
      </c>
      <c r="O764">
        <f>IF(G764="Not available","",VLOOKUP(F764,Sheet2!$B$1:$E$19,4,FALSE)+(G764-1))</f>
        <v>3885782</v>
      </c>
    </row>
    <row r="765" spans="1:15" s="1" customFormat="1" ht="15" customHeight="1" x14ac:dyDescent="0.25">
      <c r="A765" s="18" t="s">
        <v>121</v>
      </c>
      <c r="B765" s="18" t="s">
        <v>6</v>
      </c>
      <c r="C765" s="5">
        <v>1858</v>
      </c>
      <c r="E765" s="1" t="s">
        <v>939</v>
      </c>
      <c r="F765" s="18">
        <v>999</v>
      </c>
      <c r="G765" s="18">
        <v>11</v>
      </c>
      <c r="H765" s="5">
        <v>9</v>
      </c>
      <c r="I765" s="1">
        <v>63</v>
      </c>
      <c r="J765" s="1">
        <v>96</v>
      </c>
      <c r="L765" t="str">
        <f t="shared" si="11"/>
        <v>http://www.badatelna.eu/reprodukce/?fondId=241&amp;zaznamId=1133739&amp;reproId=3885740</v>
      </c>
      <c r="M765">
        <f>VLOOKUP(F765,Sheet2!$B$1:$E$19,2,FALSE)</f>
        <v>241</v>
      </c>
      <c r="N765">
        <f>VLOOKUP(F765,Sheet2!$B$1:$E$19,3,FALSE)</f>
        <v>1133739</v>
      </c>
      <c r="O765">
        <f>IF(G765="Not available","",VLOOKUP(F765,Sheet2!$B$1:$E$19,4,FALSE)+(G765-1))</f>
        <v>3885740</v>
      </c>
    </row>
    <row r="766" spans="1:15" s="1" customFormat="1" ht="15" customHeight="1" x14ac:dyDescent="0.25">
      <c r="A766" s="18" t="s">
        <v>121</v>
      </c>
      <c r="B766" s="18" t="s">
        <v>126</v>
      </c>
      <c r="C766" s="5">
        <v>1810</v>
      </c>
      <c r="E766" s="1" t="s">
        <v>2</v>
      </c>
      <c r="F766" s="18">
        <v>2173</v>
      </c>
      <c r="G766" s="18">
        <v>57</v>
      </c>
      <c r="H766" s="5">
        <v>108</v>
      </c>
      <c r="I766" s="1">
        <v>92</v>
      </c>
      <c r="J766" s="1">
        <v>190</v>
      </c>
      <c r="L766" t="str">
        <f t="shared" si="11"/>
        <v>http://www.badatelna.eu/reprodukce/?fondId=1073&amp;zaznamId=1108959&amp;reproId=3780050</v>
      </c>
      <c r="M766">
        <f>VLOOKUP(F766,Sheet2!$B$1:$E$19,2,FALSE)</f>
        <v>1073</v>
      </c>
      <c r="N766">
        <f>VLOOKUP(F766,Sheet2!$B$1:$E$19,3,FALSE)</f>
        <v>1108959</v>
      </c>
      <c r="O766">
        <f>IF(G766="Not available","",VLOOKUP(F766,Sheet2!$B$1:$E$19,4,FALSE)+(G766-1))</f>
        <v>3780050</v>
      </c>
    </row>
    <row r="767" spans="1:15" s="1" customFormat="1" ht="15" customHeight="1" x14ac:dyDescent="0.25">
      <c r="A767" s="18" t="s">
        <v>121</v>
      </c>
      <c r="B767" s="18" t="s">
        <v>51</v>
      </c>
      <c r="C767" s="5">
        <v>1808</v>
      </c>
      <c r="E767" s="1" t="s">
        <v>2</v>
      </c>
      <c r="F767" s="18">
        <v>2173</v>
      </c>
      <c r="G767" s="18">
        <v>54</v>
      </c>
      <c r="H767" s="5">
        <v>103</v>
      </c>
      <c r="I767" s="1">
        <v>92</v>
      </c>
      <c r="J767" s="1">
        <v>190</v>
      </c>
      <c r="L767" t="str">
        <f t="shared" si="11"/>
        <v>http://www.badatelna.eu/reprodukce/?fondId=1073&amp;zaznamId=1108959&amp;reproId=3780047</v>
      </c>
      <c r="M767">
        <f>VLOOKUP(F767,Sheet2!$B$1:$E$19,2,FALSE)</f>
        <v>1073</v>
      </c>
      <c r="N767">
        <f>VLOOKUP(F767,Sheet2!$B$1:$E$19,3,FALSE)</f>
        <v>1108959</v>
      </c>
      <c r="O767">
        <f>IF(G767="Not available","",VLOOKUP(F767,Sheet2!$B$1:$E$19,4,FALSE)+(G767-1))</f>
        <v>3780047</v>
      </c>
    </row>
    <row r="768" spans="1:15" s="1" customFormat="1" ht="15" customHeight="1" x14ac:dyDescent="0.25">
      <c r="A768" s="18" t="s">
        <v>121</v>
      </c>
      <c r="B768" s="18" t="s">
        <v>602</v>
      </c>
      <c r="C768" s="5">
        <v>1862</v>
      </c>
      <c r="E768" s="1" t="s">
        <v>939</v>
      </c>
      <c r="F768" s="18">
        <v>999</v>
      </c>
      <c r="G768" s="18">
        <v>34</v>
      </c>
      <c r="H768" s="5">
        <v>32</v>
      </c>
      <c r="I768" s="1">
        <v>63</v>
      </c>
      <c r="J768" s="1">
        <v>96</v>
      </c>
      <c r="L768" t="str">
        <f t="shared" si="11"/>
        <v>http://www.badatelna.eu/reprodukce/?fondId=241&amp;zaznamId=1133739&amp;reproId=3885763</v>
      </c>
      <c r="M768">
        <f>VLOOKUP(F768,Sheet2!$B$1:$E$19,2,FALSE)</f>
        <v>241</v>
      </c>
      <c r="N768">
        <f>VLOOKUP(F768,Sheet2!$B$1:$E$19,3,FALSE)</f>
        <v>1133739</v>
      </c>
      <c r="O768">
        <f>IF(G768="Not available","",VLOOKUP(F768,Sheet2!$B$1:$E$19,4,FALSE)+(G768-1))</f>
        <v>3885763</v>
      </c>
    </row>
    <row r="769" spans="1:15" s="1" customFormat="1" ht="15" customHeight="1" x14ac:dyDescent="0.25">
      <c r="A769" s="18" t="s">
        <v>121</v>
      </c>
      <c r="B769" s="18" t="s">
        <v>115</v>
      </c>
      <c r="C769" s="5">
        <v>1813</v>
      </c>
      <c r="E769" s="1" t="s">
        <v>2</v>
      </c>
      <c r="F769" s="18">
        <v>2173</v>
      </c>
      <c r="G769" s="18">
        <v>60</v>
      </c>
      <c r="H769" s="5">
        <v>115</v>
      </c>
      <c r="I769" s="1">
        <v>92</v>
      </c>
      <c r="J769" s="1">
        <v>190</v>
      </c>
      <c r="L769" t="str">
        <f t="shared" si="11"/>
        <v>http://www.badatelna.eu/reprodukce/?fondId=1073&amp;zaznamId=1108959&amp;reproId=3780053</v>
      </c>
      <c r="M769">
        <f>VLOOKUP(F769,Sheet2!$B$1:$E$19,2,FALSE)</f>
        <v>1073</v>
      </c>
      <c r="N769">
        <f>VLOOKUP(F769,Sheet2!$B$1:$E$19,3,FALSE)</f>
        <v>1108959</v>
      </c>
      <c r="O769">
        <f>IF(G769="Not available","",VLOOKUP(F769,Sheet2!$B$1:$E$19,4,FALSE)+(G769-1))</f>
        <v>3780053</v>
      </c>
    </row>
    <row r="770" spans="1:15" s="1" customFormat="1" ht="15" customHeight="1" x14ac:dyDescent="0.25">
      <c r="A770" s="18" t="s">
        <v>121</v>
      </c>
      <c r="B770" s="18" t="s">
        <v>434</v>
      </c>
      <c r="C770" s="5">
        <v>1866</v>
      </c>
      <c r="E770" s="1" t="s">
        <v>939</v>
      </c>
      <c r="F770" s="18">
        <v>999</v>
      </c>
      <c r="G770" s="18">
        <v>59</v>
      </c>
      <c r="H770" s="5">
        <v>57</v>
      </c>
      <c r="I770" s="1">
        <v>63</v>
      </c>
      <c r="J770" s="1">
        <v>96</v>
      </c>
      <c r="L770" t="str">
        <f t="shared" si="11"/>
        <v>http://www.badatelna.eu/reprodukce/?fondId=241&amp;zaznamId=1133739&amp;reproId=3885788</v>
      </c>
      <c r="M770">
        <f>VLOOKUP(F770,Sheet2!$B$1:$E$19,2,FALSE)</f>
        <v>241</v>
      </c>
      <c r="N770">
        <f>VLOOKUP(F770,Sheet2!$B$1:$E$19,3,FALSE)</f>
        <v>1133739</v>
      </c>
      <c r="O770">
        <f>IF(G770="Not available","",VLOOKUP(F770,Sheet2!$B$1:$E$19,4,FALSE)+(G770-1))</f>
        <v>3885788</v>
      </c>
    </row>
    <row r="771" spans="1:15" s="1" customFormat="1" ht="15" customHeight="1" x14ac:dyDescent="0.25">
      <c r="A771" s="18" t="s">
        <v>121</v>
      </c>
      <c r="B771" s="18" t="s">
        <v>834</v>
      </c>
      <c r="C771" s="5">
        <v>1857</v>
      </c>
      <c r="D771" s="1" t="s">
        <v>603</v>
      </c>
      <c r="E771" s="1" t="s">
        <v>2</v>
      </c>
      <c r="F771" s="18">
        <v>2164</v>
      </c>
      <c r="G771" s="18">
        <v>119</v>
      </c>
      <c r="H771" s="5">
        <v>117</v>
      </c>
      <c r="I771" s="1">
        <v>124</v>
      </c>
      <c r="J771" s="1" t="s">
        <v>3271</v>
      </c>
      <c r="L771" t="str">
        <f t="shared" ref="L771:L834" si="12">IF(G771="Not available","","http://www.badatelna.eu/reprodukce/?fondId="&amp;M771&amp;"&amp;zaznamId="&amp;N771&amp;"&amp;reproId="&amp;O771)</f>
        <v>http://www.badatelna.eu/reprodukce/?fondId=1073&amp;zaznamId=1108951&amp;reproId=3778833</v>
      </c>
      <c r="M771">
        <f>VLOOKUP(F771,Sheet2!$B$1:$E$19,2,FALSE)</f>
        <v>1073</v>
      </c>
      <c r="N771">
        <f>VLOOKUP(F771,Sheet2!$B$1:$E$19,3,FALSE)</f>
        <v>1108951</v>
      </c>
      <c r="O771">
        <f>IF(G771="Not available","",VLOOKUP(F771,Sheet2!$B$1:$E$19,4,FALSE)+(G771-1))</f>
        <v>3778833</v>
      </c>
    </row>
    <row r="772" spans="1:15" s="1" customFormat="1" ht="15" customHeight="1" x14ac:dyDescent="0.25">
      <c r="A772" s="18" t="s">
        <v>121</v>
      </c>
      <c r="B772" s="18" t="s">
        <v>24</v>
      </c>
      <c r="C772" s="5">
        <v>1859</v>
      </c>
      <c r="E772" s="1" t="s">
        <v>939</v>
      </c>
      <c r="F772" s="18">
        <v>999</v>
      </c>
      <c r="G772" s="18">
        <v>19</v>
      </c>
      <c r="H772" s="5">
        <v>17</v>
      </c>
      <c r="I772" s="1">
        <v>63</v>
      </c>
      <c r="J772" s="1">
        <v>96</v>
      </c>
      <c r="L772" t="str">
        <f t="shared" si="12"/>
        <v>http://www.badatelna.eu/reprodukce/?fondId=241&amp;zaznamId=1133739&amp;reproId=3885748</v>
      </c>
      <c r="M772">
        <f>VLOOKUP(F772,Sheet2!$B$1:$E$19,2,FALSE)</f>
        <v>241</v>
      </c>
      <c r="N772">
        <f>VLOOKUP(F772,Sheet2!$B$1:$E$19,3,FALSE)</f>
        <v>1133739</v>
      </c>
      <c r="O772">
        <f>IF(G772="Not available","",VLOOKUP(F772,Sheet2!$B$1:$E$19,4,FALSE)+(G772-1))</f>
        <v>3885748</v>
      </c>
    </row>
    <row r="773" spans="1:15" s="1" customFormat="1" ht="15" customHeight="1" x14ac:dyDescent="0.25">
      <c r="A773" s="18" t="s">
        <v>121</v>
      </c>
      <c r="B773" s="18" t="s">
        <v>23</v>
      </c>
      <c r="C773" s="5">
        <v>1815</v>
      </c>
      <c r="E773" s="1" t="s">
        <v>2</v>
      </c>
      <c r="F773" s="18">
        <v>2173</v>
      </c>
      <c r="G773" s="18">
        <v>65</v>
      </c>
      <c r="H773" s="5">
        <v>124</v>
      </c>
      <c r="I773" s="1">
        <v>92</v>
      </c>
      <c r="J773" s="1">
        <v>190</v>
      </c>
      <c r="L773" t="str">
        <f t="shared" si="12"/>
        <v>http://www.badatelna.eu/reprodukce/?fondId=1073&amp;zaznamId=1108959&amp;reproId=3780058</v>
      </c>
      <c r="M773">
        <f>VLOOKUP(F773,Sheet2!$B$1:$E$19,2,FALSE)</f>
        <v>1073</v>
      </c>
      <c r="N773">
        <f>VLOOKUP(F773,Sheet2!$B$1:$E$19,3,FALSE)</f>
        <v>1108959</v>
      </c>
      <c r="O773">
        <f>IF(G773="Not available","",VLOOKUP(F773,Sheet2!$B$1:$E$19,4,FALSE)+(G773-1))</f>
        <v>3780058</v>
      </c>
    </row>
    <row r="774" spans="1:15" s="1" customFormat="1" ht="15" customHeight="1" x14ac:dyDescent="0.25">
      <c r="A774" s="18" t="s">
        <v>121</v>
      </c>
      <c r="B774" s="18" t="s">
        <v>38</v>
      </c>
      <c r="C774" s="5">
        <v>1819</v>
      </c>
      <c r="E774" s="1" t="s">
        <v>2</v>
      </c>
      <c r="F774" s="18">
        <v>2173</v>
      </c>
      <c r="G774" s="18">
        <v>69</v>
      </c>
      <c r="H774" s="5">
        <v>131</v>
      </c>
      <c r="I774" s="1">
        <v>92</v>
      </c>
      <c r="J774" s="1">
        <v>190</v>
      </c>
      <c r="L774" t="str">
        <f t="shared" si="12"/>
        <v>http://www.badatelna.eu/reprodukce/?fondId=1073&amp;zaznamId=1108959&amp;reproId=3780062</v>
      </c>
      <c r="M774">
        <f>VLOOKUP(F774,Sheet2!$B$1:$E$19,2,FALSE)</f>
        <v>1073</v>
      </c>
      <c r="N774">
        <f>VLOOKUP(F774,Sheet2!$B$1:$E$19,3,FALSE)</f>
        <v>1108959</v>
      </c>
      <c r="O774">
        <f>IF(G774="Not available","",VLOOKUP(F774,Sheet2!$B$1:$E$19,4,FALSE)+(G774-1))</f>
        <v>3780062</v>
      </c>
    </row>
    <row r="775" spans="1:15" s="1" customFormat="1" ht="15" customHeight="1" x14ac:dyDescent="0.25">
      <c r="A775" s="18" t="s">
        <v>151</v>
      </c>
      <c r="B775" s="18" t="s">
        <v>83</v>
      </c>
      <c r="C775" s="5">
        <v>1826</v>
      </c>
      <c r="E775" s="1" t="s">
        <v>2</v>
      </c>
      <c r="F775" s="18">
        <v>2173</v>
      </c>
      <c r="G775" s="18">
        <v>80</v>
      </c>
      <c r="H775" s="5">
        <v>152</v>
      </c>
      <c r="I775" s="1">
        <v>93</v>
      </c>
      <c r="J775" s="1">
        <v>194</v>
      </c>
      <c r="L775" t="str">
        <f t="shared" si="12"/>
        <v>http://www.badatelna.eu/reprodukce/?fondId=1073&amp;zaznamId=1108959&amp;reproId=3780073</v>
      </c>
      <c r="M775">
        <f>VLOOKUP(F775,Sheet2!$B$1:$E$19,2,FALSE)</f>
        <v>1073</v>
      </c>
      <c r="N775">
        <f>VLOOKUP(F775,Sheet2!$B$1:$E$19,3,FALSE)</f>
        <v>1108959</v>
      </c>
      <c r="O775">
        <f>IF(G775="Not available","",VLOOKUP(F775,Sheet2!$B$1:$E$19,4,FALSE)+(G775-1))</f>
        <v>3780073</v>
      </c>
    </row>
    <row r="776" spans="1:15" s="1" customFormat="1" ht="15" customHeight="1" x14ac:dyDescent="0.25">
      <c r="A776" s="18" t="s">
        <v>841</v>
      </c>
      <c r="B776" s="18" t="s">
        <v>143</v>
      </c>
      <c r="C776" s="5">
        <v>1850</v>
      </c>
      <c r="D776" s="1" t="s">
        <v>58</v>
      </c>
      <c r="E776" s="1" t="s">
        <v>2</v>
      </c>
      <c r="F776" s="18">
        <v>2164</v>
      </c>
      <c r="G776" s="18">
        <v>68</v>
      </c>
      <c r="H776" s="5">
        <v>66</v>
      </c>
      <c r="I776" s="1">
        <v>125</v>
      </c>
      <c r="J776" s="1" t="s">
        <v>3271</v>
      </c>
      <c r="L776" t="str">
        <f t="shared" si="12"/>
        <v>http://www.badatelna.eu/reprodukce/?fondId=1073&amp;zaznamId=1108951&amp;reproId=3778782</v>
      </c>
      <c r="M776">
        <f>VLOOKUP(F776,Sheet2!$B$1:$E$19,2,FALSE)</f>
        <v>1073</v>
      </c>
      <c r="N776">
        <f>VLOOKUP(F776,Sheet2!$B$1:$E$19,3,FALSE)</f>
        <v>1108951</v>
      </c>
      <c r="O776">
        <f>IF(G776="Not available","",VLOOKUP(F776,Sheet2!$B$1:$E$19,4,FALSE)+(G776-1))</f>
        <v>3778782</v>
      </c>
    </row>
    <row r="777" spans="1:15" s="1" customFormat="1" ht="15" customHeight="1" x14ac:dyDescent="0.25">
      <c r="A777" s="18" t="s">
        <v>843</v>
      </c>
      <c r="B777" s="18" t="s">
        <v>844</v>
      </c>
      <c r="C777" s="5">
        <v>1856</v>
      </c>
      <c r="D777" s="1" t="s">
        <v>58</v>
      </c>
      <c r="E777" s="1" t="s">
        <v>2</v>
      </c>
      <c r="F777" s="18">
        <v>2164</v>
      </c>
      <c r="G777" s="18">
        <v>112</v>
      </c>
      <c r="H777" s="5">
        <v>110</v>
      </c>
      <c r="I777" s="1">
        <v>125</v>
      </c>
      <c r="J777" s="1" t="s">
        <v>3271</v>
      </c>
      <c r="L777" t="str">
        <f t="shared" si="12"/>
        <v>http://www.badatelna.eu/reprodukce/?fondId=1073&amp;zaznamId=1108951&amp;reproId=3778826</v>
      </c>
      <c r="M777">
        <f>VLOOKUP(F777,Sheet2!$B$1:$E$19,2,FALSE)</f>
        <v>1073</v>
      </c>
      <c r="N777">
        <f>VLOOKUP(F777,Sheet2!$B$1:$E$19,3,FALSE)</f>
        <v>1108951</v>
      </c>
      <c r="O777">
        <f>IF(G777="Not available","",VLOOKUP(F777,Sheet2!$B$1:$E$19,4,FALSE)+(G777-1))</f>
        <v>3778826</v>
      </c>
    </row>
    <row r="778" spans="1:15" s="1" customFormat="1" ht="15" customHeight="1" x14ac:dyDescent="0.25">
      <c r="A778" s="18" t="s">
        <v>843</v>
      </c>
      <c r="B778" s="18" t="s">
        <v>76</v>
      </c>
      <c r="C778" s="5">
        <v>1852</v>
      </c>
      <c r="D778" s="1" t="s">
        <v>58</v>
      </c>
      <c r="E778" s="1" t="s">
        <v>2</v>
      </c>
      <c r="F778" s="18">
        <v>2164</v>
      </c>
      <c r="G778" s="18">
        <v>83</v>
      </c>
      <c r="H778" s="5">
        <v>81</v>
      </c>
      <c r="I778" s="1">
        <v>125</v>
      </c>
      <c r="J778" s="1" t="s">
        <v>3271</v>
      </c>
      <c r="L778" t="str">
        <f t="shared" si="12"/>
        <v>http://www.badatelna.eu/reprodukce/?fondId=1073&amp;zaznamId=1108951&amp;reproId=3778797</v>
      </c>
      <c r="M778">
        <f>VLOOKUP(F778,Sheet2!$B$1:$E$19,2,FALSE)</f>
        <v>1073</v>
      </c>
      <c r="N778">
        <f>VLOOKUP(F778,Sheet2!$B$1:$E$19,3,FALSE)</f>
        <v>1108951</v>
      </c>
      <c r="O778">
        <f>IF(G778="Not available","",VLOOKUP(F778,Sheet2!$B$1:$E$19,4,FALSE)+(G778-1))</f>
        <v>3778797</v>
      </c>
    </row>
    <row r="779" spans="1:15" s="1" customFormat="1" ht="15" customHeight="1" x14ac:dyDescent="0.25">
      <c r="A779" s="18" t="s">
        <v>838</v>
      </c>
      <c r="B779" s="18" t="s">
        <v>477</v>
      </c>
      <c r="C779" s="5">
        <v>1854</v>
      </c>
      <c r="D779" s="1" t="s">
        <v>58</v>
      </c>
      <c r="E779" s="1" t="s">
        <v>2</v>
      </c>
      <c r="F779" s="18">
        <v>2164</v>
      </c>
      <c r="G779" s="18">
        <v>95</v>
      </c>
      <c r="H779" s="5">
        <v>93</v>
      </c>
      <c r="I779" s="1">
        <v>125</v>
      </c>
      <c r="J779" s="1" t="s">
        <v>3271</v>
      </c>
      <c r="L779" t="str">
        <f t="shared" si="12"/>
        <v>http://www.badatelna.eu/reprodukce/?fondId=1073&amp;zaznamId=1108951&amp;reproId=3778809</v>
      </c>
      <c r="M779">
        <f>VLOOKUP(F779,Sheet2!$B$1:$E$19,2,FALSE)</f>
        <v>1073</v>
      </c>
      <c r="N779">
        <f>VLOOKUP(F779,Sheet2!$B$1:$E$19,3,FALSE)</f>
        <v>1108951</v>
      </c>
      <c r="O779">
        <f>IF(G779="Not available","",VLOOKUP(F779,Sheet2!$B$1:$E$19,4,FALSE)+(G779-1))</f>
        <v>3778809</v>
      </c>
    </row>
    <row r="780" spans="1:15" s="1" customFormat="1" ht="15" customHeight="1" x14ac:dyDescent="0.25">
      <c r="A780" s="18" t="s">
        <v>838</v>
      </c>
      <c r="B780" s="18" t="s">
        <v>12</v>
      </c>
      <c r="C780" s="5">
        <v>1849</v>
      </c>
      <c r="D780" s="1" t="s">
        <v>58</v>
      </c>
      <c r="E780" s="1" t="s">
        <v>2</v>
      </c>
      <c r="F780" s="18">
        <v>2164</v>
      </c>
      <c r="G780" s="18">
        <v>41</v>
      </c>
      <c r="H780" s="5">
        <v>39</v>
      </c>
      <c r="I780" s="1">
        <v>125</v>
      </c>
      <c r="J780" s="1" t="s">
        <v>3271</v>
      </c>
      <c r="L780" t="str">
        <f t="shared" si="12"/>
        <v>http://www.badatelna.eu/reprodukce/?fondId=1073&amp;zaznamId=1108951&amp;reproId=3778755</v>
      </c>
      <c r="M780">
        <f>VLOOKUP(F780,Sheet2!$B$1:$E$19,2,FALSE)</f>
        <v>1073</v>
      </c>
      <c r="N780">
        <f>VLOOKUP(F780,Sheet2!$B$1:$E$19,3,FALSE)</f>
        <v>1108951</v>
      </c>
      <c r="O780">
        <f>IF(G780="Not available","",VLOOKUP(F780,Sheet2!$B$1:$E$19,4,FALSE)+(G780-1))</f>
        <v>3778755</v>
      </c>
    </row>
    <row r="781" spans="1:15" s="1" customFormat="1" ht="15" customHeight="1" x14ac:dyDescent="0.25">
      <c r="A781" s="18" t="s">
        <v>159</v>
      </c>
      <c r="B781" s="18" t="s">
        <v>4</v>
      </c>
      <c r="C781" s="5">
        <v>1808</v>
      </c>
      <c r="E781" s="1" t="s">
        <v>2</v>
      </c>
      <c r="F781" s="18">
        <v>2173</v>
      </c>
      <c r="G781" s="18">
        <v>53</v>
      </c>
      <c r="H781" s="5">
        <v>101</v>
      </c>
      <c r="I781" s="1">
        <v>94</v>
      </c>
      <c r="J781" s="1">
        <v>197</v>
      </c>
      <c r="L781" t="str">
        <f t="shared" si="12"/>
        <v>http://www.badatelna.eu/reprodukce/?fondId=1073&amp;zaznamId=1108959&amp;reproId=3780046</v>
      </c>
      <c r="M781">
        <f>VLOOKUP(F781,Sheet2!$B$1:$E$19,2,FALSE)</f>
        <v>1073</v>
      </c>
      <c r="N781">
        <f>VLOOKUP(F781,Sheet2!$B$1:$E$19,3,FALSE)</f>
        <v>1108959</v>
      </c>
      <c r="O781">
        <f>IF(G781="Not available","",VLOOKUP(F781,Sheet2!$B$1:$E$19,4,FALSE)+(G781-1))</f>
        <v>3780046</v>
      </c>
    </row>
    <row r="782" spans="1:15" s="1" customFormat="1" ht="15" customHeight="1" x14ac:dyDescent="0.25">
      <c r="A782" s="19" t="s">
        <v>159</v>
      </c>
      <c r="B782" s="18" t="s">
        <v>58</v>
      </c>
      <c r="C782" s="5">
        <v>1801</v>
      </c>
      <c r="D782" s="4" t="s">
        <v>12</v>
      </c>
      <c r="E782" s="1" t="s">
        <v>2</v>
      </c>
      <c r="F782" s="18">
        <v>2173</v>
      </c>
      <c r="G782" s="18">
        <v>44</v>
      </c>
      <c r="H782" s="6" t="s">
        <v>2927</v>
      </c>
      <c r="I782" s="1">
        <v>94</v>
      </c>
      <c r="J782" s="1">
        <v>197</v>
      </c>
      <c r="L782" t="str">
        <f t="shared" si="12"/>
        <v>http://www.badatelna.eu/reprodukce/?fondId=1073&amp;zaznamId=1108959&amp;reproId=3780037</v>
      </c>
      <c r="M782">
        <f>VLOOKUP(F782,Sheet2!$B$1:$E$19,2,FALSE)</f>
        <v>1073</v>
      </c>
      <c r="N782">
        <f>VLOOKUP(F782,Sheet2!$B$1:$E$19,3,FALSE)</f>
        <v>1108959</v>
      </c>
      <c r="O782">
        <f>IF(G782="Not available","",VLOOKUP(F782,Sheet2!$B$1:$E$19,4,FALSE)+(G782-1))</f>
        <v>3780037</v>
      </c>
    </row>
    <row r="783" spans="1:15" s="1" customFormat="1" ht="15" customHeight="1" x14ac:dyDescent="0.25">
      <c r="A783" s="18" t="s">
        <v>2149</v>
      </c>
      <c r="B783" s="18" t="s">
        <v>2150</v>
      </c>
      <c r="C783" s="6" t="s">
        <v>2121</v>
      </c>
      <c r="D783" s="4" t="s">
        <v>2151</v>
      </c>
      <c r="E783" s="4" t="s">
        <v>2</v>
      </c>
      <c r="F783" s="18">
        <v>2176</v>
      </c>
      <c r="G783" s="18" t="s">
        <v>3271</v>
      </c>
      <c r="H783" s="6" t="s">
        <v>2088</v>
      </c>
      <c r="I783" s="1">
        <v>9</v>
      </c>
      <c r="J783" s="1" t="s">
        <v>3271</v>
      </c>
      <c r="K783" s="3"/>
      <c r="L783" t="str">
        <f t="shared" si="12"/>
        <v/>
      </c>
      <c r="M783">
        <f>VLOOKUP(F783,Sheet2!$B$1:$E$19,2,FALSE)</f>
        <v>1073</v>
      </c>
      <c r="N783">
        <f>VLOOKUP(F783,Sheet2!$B$1:$E$19,3,FALSE)</f>
        <v>1108963</v>
      </c>
      <c r="O783" t="str">
        <f>IF(G783="Not available","",VLOOKUP(F783,Sheet2!$B$1:$E$19,4,FALSE)+(G783-1))</f>
        <v/>
      </c>
    </row>
    <row r="784" spans="1:15" s="1" customFormat="1" ht="15" customHeight="1" x14ac:dyDescent="0.25">
      <c r="A784" s="18" t="s">
        <v>1255</v>
      </c>
      <c r="B784" s="18" t="s">
        <v>2096</v>
      </c>
      <c r="C784" s="6" t="s">
        <v>2097</v>
      </c>
      <c r="D784" s="4" t="s">
        <v>2148</v>
      </c>
      <c r="E784" s="4" t="s">
        <v>2</v>
      </c>
      <c r="F784" s="18">
        <v>2176</v>
      </c>
      <c r="G784" s="18" t="s">
        <v>3271</v>
      </c>
      <c r="H784" s="6" t="s">
        <v>1954</v>
      </c>
      <c r="I784" s="1">
        <v>9</v>
      </c>
      <c r="J784" s="1" t="s">
        <v>3271</v>
      </c>
      <c r="K784" s="3"/>
      <c r="L784" t="str">
        <f t="shared" si="12"/>
        <v/>
      </c>
      <c r="M784">
        <f>VLOOKUP(F784,Sheet2!$B$1:$E$19,2,FALSE)</f>
        <v>1073</v>
      </c>
      <c r="N784">
        <f>VLOOKUP(F784,Sheet2!$B$1:$E$19,3,FALSE)</f>
        <v>1108963</v>
      </c>
      <c r="O784" t="str">
        <f>IF(G784="Not available","",VLOOKUP(F784,Sheet2!$B$1:$E$19,4,FALSE)+(G784-1))</f>
        <v/>
      </c>
    </row>
    <row r="785" spans="1:15" s="1" customFormat="1" ht="15" customHeight="1" x14ac:dyDescent="0.25">
      <c r="A785" s="18" t="s">
        <v>1255</v>
      </c>
      <c r="B785" s="18" t="s">
        <v>1209</v>
      </c>
      <c r="C785" s="14" t="s">
        <v>2097</v>
      </c>
      <c r="D785" s="4" t="s">
        <v>1256</v>
      </c>
      <c r="E785" s="1" t="s">
        <v>2</v>
      </c>
      <c r="F785" s="18">
        <v>2165</v>
      </c>
      <c r="G785" s="18">
        <v>292</v>
      </c>
      <c r="H785" s="5">
        <v>1</v>
      </c>
      <c r="I785" s="1">
        <v>295</v>
      </c>
      <c r="J785" s="1">
        <v>268</v>
      </c>
      <c r="L785" t="str">
        <f t="shared" si="12"/>
        <v>http://www.badatelna.eu/reprodukce/?fondId=1073&amp;zaznamId=1108952&amp;reproId=3779153</v>
      </c>
      <c r="M785">
        <f>VLOOKUP(F785,Sheet2!$B$1:$E$19,2,FALSE)</f>
        <v>1073</v>
      </c>
      <c r="N785">
        <f>VLOOKUP(F785,Sheet2!$B$1:$E$19,3,FALSE)</f>
        <v>1108952</v>
      </c>
      <c r="O785">
        <f>IF(G785="Not available","",VLOOKUP(F785,Sheet2!$B$1:$E$19,4,FALSE)+(G785-1))</f>
        <v>3779153</v>
      </c>
    </row>
    <row r="786" spans="1:15" s="1" customFormat="1" ht="15" customHeight="1" x14ac:dyDescent="0.25">
      <c r="A786" s="18" t="s">
        <v>158</v>
      </c>
      <c r="B786" s="18" t="s">
        <v>92</v>
      </c>
      <c r="C786" s="5">
        <v>1802</v>
      </c>
      <c r="E786" s="1" t="s">
        <v>2</v>
      </c>
      <c r="F786" s="18">
        <v>2173</v>
      </c>
      <c r="G786" s="18">
        <v>45</v>
      </c>
      <c r="H786" s="5">
        <v>84</v>
      </c>
      <c r="I786" s="1">
        <v>94</v>
      </c>
      <c r="J786" s="1">
        <v>197</v>
      </c>
      <c r="L786" t="str">
        <f t="shared" si="12"/>
        <v>http://www.badatelna.eu/reprodukce/?fondId=1073&amp;zaznamId=1108959&amp;reproId=3780038</v>
      </c>
      <c r="M786">
        <f>VLOOKUP(F786,Sheet2!$B$1:$E$19,2,FALSE)</f>
        <v>1073</v>
      </c>
      <c r="N786">
        <f>VLOOKUP(F786,Sheet2!$B$1:$E$19,3,FALSE)</f>
        <v>1108959</v>
      </c>
      <c r="O786">
        <f>IF(G786="Not available","",VLOOKUP(F786,Sheet2!$B$1:$E$19,4,FALSE)+(G786-1))</f>
        <v>3780038</v>
      </c>
    </row>
    <row r="787" spans="1:15" s="1" customFormat="1" ht="15" customHeight="1" x14ac:dyDescent="0.25">
      <c r="A787" s="18" t="s">
        <v>158</v>
      </c>
      <c r="B787" s="18" t="s">
        <v>123</v>
      </c>
      <c r="C787" s="5">
        <v>1814</v>
      </c>
      <c r="E787" s="1" t="s">
        <v>2</v>
      </c>
      <c r="F787" s="18">
        <v>2173</v>
      </c>
      <c r="G787" s="18">
        <v>63</v>
      </c>
      <c r="H787" s="5">
        <v>120</v>
      </c>
      <c r="I787" s="1">
        <v>94</v>
      </c>
      <c r="J787" s="1">
        <v>197</v>
      </c>
      <c r="L787" t="str">
        <f t="shared" si="12"/>
        <v>http://www.badatelna.eu/reprodukce/?fondId=1073&amp;zaznamId=1108959&amp;reproId=3780056</v>
      </c>
      <c r="M787">
        <f>VLOOKUP(F787,Sheet2!$B$1:$E$19,2,FALSE)</f>
        <v>1073</v>
      </c>
      <c r="N787">
        <f>VLOOKUP(F787,Sheet2!$B$1:$E$19,3,FALSE)</f>
        <v>1108959</v>
      </c>
      <c r="O787">
        <f>IF(G787="Not available","",VLOOKUP(F787,Sheet2!$B$1:$E$19,4,FALSE)+(G787-1))</f>
        <v>3780056</v>
      </c>
    </row>
    <row r="788" spans="1:15" s="1" customFormat="1" ht="15" customHeight="1" x14ac:dyDescent="0.25">
      <c r="A788" s="18" t="s">
        <v>158</v>
      </c>
      <c r="B788" s="18" t="s">
        <v>160</v>
      </c>
      <c r="C788" s="5">
        <v>1812</v>
      </c>
      <c r="E788" s="1" t="s">
        <v>2</v>
      </c>
      <c r="F788" s="18">
        <v>2173</v>
      </c>
      <c r="G788" s="18">
        <v>59</v>
      </c>
      <c r="H788" s="5">
        <v>113</v>
      </c>
      <c r="I788" s="1">
        <v>94</v>
      </c>
      <c r="J788" s="1">
        <v>197</v>
      </c>
      <c r="L788" t="str">
        <f t="shared" si="12"/>
        <v>http://www.badatelna.eu/reprodukce/?fondId=1073&amp;zaznamId=1108959&amp;reproId=3780052</v>
      </c>
      <c r="M788">
        <f>VLOOKUP(F788,Sheet2!$B$1:$E$19,2,FALSE)</f>
        <v>1073</v>
      </c>
      <c r="N788">
        <f>VLOOKUP(F788,Sheet2!$B$1:$E$19,3,FALSE)</f>
        <v>1108959</v>
      </c>
      <c r="O788">
        <f>IF(G788="Not available","",VLOOKUP(F788,Sheet2!$B$1:$E$19,4,FALSE)+(G788-1))</f>
        <v>3780052</v>
      </c>
    </row>
    <row r="789" spans="1:15" s="1" customFormat="1" ht="15" customHeight="1" x14ac:dyDescent="0.25">
      <c r="A789" s="18" t="s">
        <v>158</v>
      </c>
      <c r="B789" s="18" t="s">
        <v>12</v>
      </c>
      <c r="C789" s="5">
        <v>1810</v>
      </c>
      <c r="E789" s="1" t="s">
        <v>2</v>
      </c>
      <c r="F789" s="18">
        <v>2173</v>
      </c>
      <c r="G789" s="18">
        <v>56</v>
      </c>
      <c r="H789" s="5">
        <v>106</v>
      </c>
      <c r="I789" s="1">
        <v>94</v>
      </c>
      <c r="J789" s="1">
        <v>197</v>
      </c>
      <c r="L789" t="str">
        <f t="shared" si="12"/>
        <v>http://www.badatelna.eu/reprodukce/?fondId=1073&amp;zaznamId=1108959&amp;reproId=3780049</v>
      </c>
      <c r="M789">
        <f>VLOOKUP(F789,Sheet2!$B$1:$E$19,2,FALSE)</f>
        <v>1073</v>
      </c>
      <c r="N789">
        <f>VLOOKUP(F789,Sheet2!$B$1:$E$19,3,FALSE)</f>
        <v>1108959</v>
      </c>
      <c r="O789">
        <f>IF(G789="Not available","",VLOOKUP(F789,Sheet2!$B$1:$E$19,4,FALSE)+(G789-1))</f>
        <v>3780049</v>
      </c>
    </row>
    <row r="790" spans="1:15" s="1" customFormat="1" ht="15" customHeight="1" x14ac:dyDescent="0.25">
      <c r="A790" s="18" t="s">
        <v>158</v>
      </c>
      <c r="B790" s="18" t="s">
        <v>22</v>
      </c>
      <c r="C790" s="5">
        <v>1804</v>
      </c>
      <c r="E790" s="1" t="s">
        <v>2</v>
      </c>
      <c r="F790" s="18">
        <v>2173</v>
      </c>
      <c r="G790" s="18">
        <v>48</v>
      </c>
      <c r="H790" s="5">
        <v>91</v>
      </c>
      <c r="I790" s="1">
        <v>94</v>
      </c>
      <c r="J790" s="1">
        <v>197</v>
      </c>
      <c r="L790" t="str">
        <f t="shared" si="12"/>
        <v>http://www.badatelna.eu/reprodukce/?fondId=1073&amp;zaznamId=1108959&amp;reproId=3780041</v>
      </c>
      <c r="M790">
        <f>VLOOKUP(F790,Sheet2!$B$1:$E$19,2,FALSE)</f>
        <v>1073</v>
      </c>
      <c r="N790">
        <f>VLOOKUP(F790,Sheet2!$B$1:$E$19,3,FALSE)</f>
        <v>1108959</v>
      </c>
      <c r="O790">
        <f>IF(G790="Not available","",VLOOKUP(F790,Sheet2!$B$1:$E$19,4,FALSE)+(G790-1))</f>
        <v>3780041</v>
      </c>
    </row>
    <row r="791" spans="1:15" s="1" customFormat="1" ht="15" customHeight="1" x14ac:dyDescent="0.25">
      <c r="A791" s="18" t="s">
        <v>158</v>
      </c>
      <c r="B791" s="18" t="s">
        <v>19</v>
      </c>
      <c r="C791" s="5">
        <v>1817</v>
      </c>
      <c r="E791" s="1" t="s">
        <v>2</v>
      </c>
      <c r="F791" s="18">
        <v>2173</v>
      </c>
      <c r="G791" s="18">
        <v>66</v>
      </c>
      <c r="H791" s="5">
        <v>127</v>
      </c>
      <c r="I791" s="1">
        <v>94</v>
      </c>
      <c r="J791" s="1">
        <v>197</v>
      </c>
      <c r="L791" t="str">
        <f t="shared" si="12"/>
        <v>http://www.badatelna.eu/reprodukce/?fondId=1073&amp;zaznamId=1108959&amp;reproId=3780059</v>
      </c>
      <c r="M791">
        <f>VLOOKUP(F791,Sheet2!$B$1:$E$19,2,FALSE)</f>
        <v>1073</v>
      </c>
      <c r="N791">
        <f>VLOOKUP(F791,Sheet2!$B$1:$E$19,3,FALSE)</f>
        <v>1108959</v>
      </c>
      <c r="O791">
        <f>IF(G791="Not available","",VLOOKUP(F791,Sheet2!$B$1:$E$19,4,FALSE)+(G791-1))</f>
        <v>3780059</v>
      </c>
    </row>
    <row r="792" spans="1:15" s="1" customFormat="1" ht="15" customHeight="1" x14ac:dyDescent="0.25">
      <c r="A792" s="18" t="s">
        <v>158</v>
      </c>
      <c r="B792" s="18" t="s">
        <v>143</v>
      </c>
      <c r="C792" s="5">
        <v>1799</v>
      </c>
      <c r="E792" s="1" t="s">
        <v>2</v>
      </c>
      <c r="F792" s="18">
        <v>2173</v>
      </c>
      <c r="G792" s="18">
        <v>42</v>
      </c>
      <c r="H792" s="5">
        <v>79</v>
      </c>
      <c r="I792" s="1">
        <v>94</v>
      </c>
      <c r="J792" s="1">
        <v>197</v>
      </c>
      <c r="L792" t="str">
        <f t="shared" si="12"/>
        <v>http://www.badatelna.eu/reprodukce/?fondId=1073&amp;zaznamId=1108959&amp;reproId=3780035</v>
      </c>
      <c r="M792">
        <f>VLOOKUP(F792,Sheet2!$B$1:$E$19,2,FALSE)</f>
        <v>1073</v>
      </c>
      <c r="N792">
        <f>VLOOKUP(F792,Sheet2!$B$1:$E$19,3,FALSE)</f>
        <v>1108959</v>
      </c>
      <c r="O792">
        <f>IF(G792="Not available","",VLOOKUP(F792,Sheet2!$B$1:$E$19,4,FALSE)+(G792-1))</f>
        <v>3780035</v>
      </c>
    </row>
    <row r="793" spans="1:15" s="1" customFormat="1" ht="15" customHeight="1" x14ac:dyDescent="0.25">
      <c r="A793" s="18" t="s">
        <v>158</v>
      </c>
      <c r="B793" s="18" t="s">
        <v>18</v>
      </c>
      <c r="C793" s="5">
        <v>1807</v>
      </c>
      <c r="E793" s="1" t="s">
        <v>2</v>
      </c>
      <c r="F793" s="18">
        <v>2173</v>
      </c>
      <c r="G793" s="18">
        <v>53</v>
      </c>
      <c r="H793" s="5">
        <v>100</v>
      </c>
      <c r="I793" s="1">
        <v>94</v>
      </c>
      <c r="J793" s="1">
        <v>197</v>
      </c>
      <c r="L793" t="str">
        <f t="shared" si="12"/>
        <v>http://www.badatelna.eu/reprodukce/?fondId=1073&amp;zaznamId=1108959&amp;reproId=3780046</v>
      </c>
      <c r="M793">
        <f>VLOOKUP(F793,Sheet2!$B$1:$E$19,2,FALSE)</f>
        <v>1073</v>
      </c>
      <c r="N793">
        <f>VLOOKUP(F793,Sheet2!$B$1:$E$19,3,FALSE)</f>
        <v>1108959</v>
      </c>
      <c r="O793">
        <f>IF(G793="Not available","",VLOOKUP(F793,Sheet2!$B$1:$E$19,4,FALSE)+(G793-1))</f>
        <v>3780046</v>
      </c>
    </row>
    <row r="794" spans="1:15" s="1" customFormat="1" ht="15" customHeight="1" x14ac:dyDescent="0.25">
      <c r="A794" s="18" t="s">
        <v>158</v>
      </c>
      <c r="B794" s="18" t="s">
        <v>17</v>
      </c>
      <c r="C794" s="5">
        <v>1815</v>
      </c>
      <c r="E794" s="1" t="s">
        <v>2</v>
      </c>
      <c r="F794" s="18">
        <v>2173</v>
      </c>
      <c r="G794" s="18">
        <v>64</v>
      </c>
      <c r="H794" s="5">
        <v>123</v>
      </c>
      <c r="I794" s="1">
        <v>94</v>
      </c>
      <c r="J794" s="1">
        <v>197</v>
      </c>
      <c r="L794" t="str">
        <f t="shared" si="12"/>
        <v>http://www.badatelna.eu/reprodukce/?fondId=1073&amp;zaznamId=1108959&amp;reproId=3780057</v>
      </c>
      <c r="M794">
        <f>VLOOKUP(F794,Sheet2!$B$1:$E$19,2,FALSE)</f>
        <v>1073</v>
      </c>
      <c r="N794">
        <f>VLOOKUP(F794,Sheet2!$B$1:$E$19,3,FALSE)</f>
        <v>1108959</v>
      </c>
      <c r="O794">
        <f>IF(G794="Not available","",VLOOKUP(F794,Sheet2!$B$1:$E$19,4,FALSE)+(G794-1))</f>
        <v>3780057</v>
      </c>
    </row>
    <row r="795" spans="1:15" s="1" customFormat="1" ht="15" customHeight="1" x14ac:dyDescent="0.25">
      <c r="A795" s="18" t="s">
        <v>158</v>
      </c>
      <c r="B795" s="18" t="s">
        <v>58</v>
      </c>
      <c r="C795" s="5">
        <v>1819</v>
      </c>
      <c r="E795" s="1" t="s">
        <v>2</v>
      </c>
      <c r="F795" s="18">
        <v>2173</v>
      </c>
      <c r="G795" s="18">
        <v>69</v>
      </c>
      <c r="H795" s="5">
        <v>130</v>
      </c>
      <c r="I795" s="1">
        <v>94</v>
      </c>
      <c r="J795" s="1">
        <v>197</v>
      </c>
      <c r="L795" t="str">
        <f t="shared" si="12"/>
        <v>http://www.badatelna.eu/reprodukce/?fondId=1073&amp;zaznamId=1108959&amp;reproId=3780062</v>
      </c>
      <c r="M795">
        <f>VLOOKUP(F795,Sheet2!$B$1:$E$19,2,FALSE)</f>
        <v>1073</v>
      </c>
      <c r="N795">
        <f>VLOOKUP(F795,Sheet2!$B$1:$E$19,3,FALSE)</f>
        <v>1108959</v>
      </c>
      <c r="O795">
        <f>IF(G795="Not available","",VLOOKUP(F795,Sheet2!$B$1:$E$19,4,FALSE)+(G795-1))</f>
        <v>3780062</v>
      </c>
    </row>
    <row r="796" spans="1:15" s="1" customFormat="1" ht="15" customHeight="1" x14ac:dyDescent="0.25">
      <c r="A796" s="18" t="s">
        <v>945</v>
      </c>
      <c r="B796" s="18" t="s">
        <v>774</v>
      </c>
      <c r="C796" s="5">
        <v>1863</v>
      </c>
      <c r="E796" s="1" t="s">
        <v>939</v>
      </c>
      <c r="F796" s="18">
        <v>999</v>
      </c>
      <c r="G796" s="18">
        <v>40</v>
      </c>
      <c r="H796" s="5">
        <v>38</v>
      </c>
      <c r="I796" s="1">
        <v>64</v>
      </c>
      <c r="J796" s="1">
        <v>98</v>
      </c>
      <c r="L796" t="str">
        <f t="shared" si="12"/>
        <v>http://www.badatelna.eu/reprodukce/?fondId=241&amp;zaznamId=1133739&amp;reproId=3885769</v>
      </c>
      <c r="M796">
        <f>VLOOKUP(F796,Sheet2!$B$1:$E$19,2,FALSE)</f>
        <v>241</v>
      </c>
      <c r="N796">
        <f>VLOOKUP(F796,Sheet2!$B$1:$E$19,3,FALSE)</f>
        <v>1133739</v>
      </c>
      <c r="O796">
        <f>IF(G796="Not available","",VLOOKUP(F796,Sheet2!$B$1:$E$19,4,FALSE)+(G796-1))</f>
        <v>3885769</v>
      </c>
    </row>
    <row r="797" spans="1:15" s="1" customFormat="1" ht="15" customHeight="1" x14ac:dyDescent="0.25">
      <c r="A797" s="18" t="s">
        <v>945</v>
      </c>
      <c r="B797" s="18" t="s">
        <v>2863</v>
      </c>
      <c r="C797" s="5">
        <v>1861</v>
      </c>
      <c r="E797" s="1" t="s">
        <v>939</v>
      </c>
      <c r="F797" s="18">
        <v>999</v>
      </c>
      <c r="G797" s="18">
        <v>29</v>
      </c>
      <c r="H797" s="5">
        <v>27</v>
      </c>
      <c r="I797" s="1">
        <v>64</v>
      </c>
      <c r="J797" s="1">
        <v>98</v>
      </c>
      <c r="L797" t="str">
        <f t="shared" si="12"/>
        <v>http://www.badatelna.eu/reprodukce/?fondId=241&amp;zaznamId=1133739&amp;reproId=3885758</v>
      </c>
      <c r="M797">
        <f>VLOOKUP(F797,Sheet2!$B$1:$E$19,2,FALSE)</f>
        <v>241</v>
      </c>
      <c r="N797">
        <f>VLOOKUP(F797,Sheet2!$B$1:$E$19,3,FALSE)</f>
        <v>1133739</v>
      </c>
      <c r="O797">
        <f>IF(G797="Not available","",VLOOKUP(F797,Sheet2!$B$1:$E$19,4,FALSE)+(G797-1))</f>
        <v>3885758</v>
      </c>
    </row>
    <row r="798" spans="1:15" s="1" customFormat="1" ht="15" customHeight="1" x14ac:dyDescent="0.25">
      <c r="A798" s="18" t="s">
        <v>945</v>
      </c>
      <c r="B798" s="18" t="s">
        <v>58</v>
      </c>
      <c r="C798" s="5">
        <v>1864</v>
      </c>
      <c r="E798" s="1" t="s">
        <v>939</v>
      </c>
      <c r="F798" s="18">
        <v>999</v>
      </c>
      <c r="G798" s="18">
        <v>50</v>
      </c>
      <c r="H798" s="5">
        <v>48</v>
      </c>
      <c r="I798" s="1">
        <v>64</v>
      </c>
      <c r="J798" s="1">
        <v>98</v>
      </c>
      <c r="L798" t="str">
        <f t="shared" si="12"/>
        <v>http://www.badatelna.eu/reprodukce/?fondId=241&amp;zaznamId=1133739&amp;reproId=3885779</v>
      </c>
      <c r="M798">
        <f>VLOOKUP(F798,Sheet2!$B$1:$E$19,2,FALSE)</f>
        <v>241</v>
      </c>
      <c r="N798">
        <f>VLOOKUP(F798,Sheet2!$B$1:$E$19,3,FALSE)</f>
        <v>1133739</v>
      </c>
      <c r="O798">
        <f>IF(G798="Not available","",VLOOKUP(F798,Sheet2!$B$1:$E$19,4,FALSE)+(G798-1))</f>
        <v>3885779</v>
      </c>
    </row>
    <row r="799" spans="1:15" s="1" customFormat="1" ht="15" customHeight="1" x14ac:dyDescent="0.25">
      <c r="A799" s="18" t="s">
        <v>839</v>
      </c>
      <c r="B799" s="18" t="s">
        <v>674</v>
      </c>
      <c r="C799" s="5">
        <v>1849</v>
      </c>
      <c r="D799" s="1" t="s">
        <v>840</v>
      </c>
      <c r="E799" s="1" t="s">
        <v>2</v>
      </c>
      <c r="F799" s="18">
        <v>2164</v>
      </c>
      <c r="G799" s="18">
        <v>59</v>
      </c>
      <c r="H799" s="5">
        <v>57</v>
      </c>
      <c r="I799" s="1">
        <v>125</v>
      </c>
      <c r="J799" s="1" t="s">
        <v>3271</v>
      </c>
      <c r="L799" t="str">
        <f t="shared" si="12"/>
        <v>http://www.badatelna.eu/reprodukce/?fondId=1073&amp;zaznamId=1108951&amp;reproId=3778773</v>
      </c>
      <c r="M799">
        <f>VLOOKUP(F799,Sheet2!$B$1:$E$19,2,FALSE)</f>
        <v>1073</v>
      </c>
      <c r="N799">
        <f>VLOOKUP(F799,Sheet2!$B$1:$E$19,3,FALSE)</f>
        <v>1108951</v>
      </c>
      <c r="O799">
        <f>IF(G799="Not available","",VLOOKUP(F799,Sheet2!$B$1:$E$19,4,FALSE)+(G799-1))</f>
        <v>3778773</v>
      </c>
    </row>
    <row r="800" spans="1:15" s="1" customFormat="1" ht="15" customHeight="1" x14ac:dyDescent="0.25">
      <c r="A800" s="19" t="s">
        <v>161</v>
      </c>
      <c r="B800" s="18" t="s">
        <v>92</v>
      </c>
      <c r="C800" s="5">
        <v>1812</v>
      </c>
      <c r="D800" s="4" t="s">
        <v>64</v>
      </c>
      <c r="E800" s="1" t="s">
        <v>2</v>
      </c>
      <c r="F800" s="18">
        <v>2173</v>
      </c>
      <c r="G800" s="18">
        <v>65</v>
      </c>
      <c r="H800" s="6" t="s">
        <v>2926</v>
      </c>
      <c r="I800" s="1">
        <v>94</v>
      </c>
      <c r="J800" s="1">
        <v>197</v>
      </c>
      <c r="L800" t="str">
        <f t="shared" si="12"/>
        <v>http://www.badatelna.eu/reprodukce/?fondId=1073&amp;zaznamId=1108959&amp;reproId=3780058</v>
      </c>
      <c r="M800">
        <f>VLOOKUP(F800,Sheet2!$B$1:$E$19,2,FALSE)</f>
        <v>1073</v>
      </c>
      <c r="N800">
        <f>VLOOKUP(F800,Sheet2!$B$1:$E$19,3,FALSE)</f>
        <v>1108959</v>
      </c>
      <c r="O800">
        <f>IF(G800="Not available","",VLOOKUP(F800,Sheet2!$B$1:$E$19,4,FALSE)+(G800-1))</f>
        <v>3780058</v>
      </c>
    </row>
    <row r="801" spans="1:15" s="1" customFormat="1" ht="15" customHeight="1" x14ac:dyDescent="0.25">
      <c r="A801" s="18" t="s">
        <v>161</v>
      </c>
      <c r="B801" s="18" t="s">
        <v>4</v>
      </c>
      <c r="C801" s="5">
        <v>1815</v>
      </c>
      <c r="E801" s="1" t="s">
        <v>2</v>
      </c>
      <c r="F801" s="18">
        <v>2173</v>
      </c>
      <c r="G801" s="18">
        <v>64</v>
      </c>
      <c r="H801" s="5">
        <v>123</v>
      </c>
      <c r="I801" s="1">
        <v>94</v>
      </c>
      <c r="J801" s="1">
        <v>197</v>
      </c>
      <c r="L801" t="str">
        <f t="shared" si="12"/>
        <v>http://www.badatelna.eu/reprodukce/?fondId=1073&amp;zaznamId=1108959&amp;reproId=3780057</v>
      </c>
      <c r="M801">
        <f>VLOOKUP(F801,Sheet2!$B$1:$E$19,2,FALSE)</f>
        <v>1073</v>
      </c>
      <c r="N801">
        <f>VLOOKUP(F801,Sheet2!$B$1:$E$19,3,FALSE)</f>
        <v>1108959</v>
      </c>
      <c r="O801">
        <f>IF(G801="Not available","",VLOOKUP(F801,Sheet2!$B$1:$E$19,4,FALSE)+(G801-1))</f>
        <v>3780057</v>
      </c>
    </row>
    <row r="802" spans="1:15" s="1" customFormat="1" ht="15" customHeight="1" x14ac:dyDescent="0.25">
      <c r="A802" s="18" t="s">
        <v>157</v>
      </c>
      <c r="B802" s="18" t="s">
        <v>60</v>
      </c>
      <c r="C802" s="5">
        <v>1789</v>
      </c>
      <c r="D802" s="1" t="s">
        <v>346</v>
      </c>
      <c r="E802" s="1" t="s">
        <v>2</v>
      </c>
      <c r="F802" s="18">
        <v>2173</v>
      </c>
      <c r="G802" s="18">
        <v>19</v>
      </c>
      <c r="H802" s="5">
        <v>33</v>
      </c>
      <c r="I802" s="1">
        <v>107</v>
      </c>
      <c r="J802" s="1">
        <v>229</v>
      </c>
      <c r="L802" t="str">
        <f t="shared" si="12"/>
        <v>http://www.badatelna.eu/reprodukce/?fondId=1073&amp;zaznamId=1108959&amp;reproId=3780012</v>
      </c>
      <c r="M802">
        <f>VLOOKUP(F802,Sheet2!$B$1:$E$19,2,FALSE)</f>
        <v>1073</v>
      </c>
      <c r="N802">
        <f>VLOOKUP(F802,Sheet2!$B$1:$E$19,3,FALSE)</f>
        <v>1108959</v>
      </c>
      <c r="O802">
        <f>IF(G802="Not available","",VLOOKUP(F802,Sheet2!$B$1:$E$19,4,FALSE)+(G802-1))</f>
        <v>3780012</v>
      </c>
    </row>
    <row r="803" spans="1:15" s="1" customFormat="1" ht="15" customHeight="1" x14ac:dyDescent="0.25">
      <c r="A803" s="18" t="s">
        <v>157</v>
      </c>
      <c r="B803" s="18" t="s">
        <v>60</v>
      </c>
      <c r="C803" s="5">
        <v>1808</v>
      </c>
      <c r="E803" s="1" t="s">
        <v>2</v>
      </c>
      <c r="F803" s="18">
        <v>2173</v>
      </c>
      <c r="G803" s="18">
        <v>54</v>
      </c>
      <c r="H803" s="5">
        <v>102</v>
      </c>
      <c r="I803" s="1">
        <v>94</v>
      </c>
      <c r="J803" s="1">
        <v>197</v>
      </c>
      <c r="L803" t="str">
        <f t="shared" si="12"/>
        <v>http://www.badatelna.eu/reprodukce/?fondId=1073&amp;zaznamId=1108959&amp;reproId=3780047</v>
      </c>
      <c r="M803">
        <f>VLOOKUP(F803,Sheet2!$B$1:$E$19,2,FALSE)</f>
        <v>1073</v>
      </c>
      <c r="N803">
        <f>VLOOKUP(F803,Sheet2!$B$1:$E$19,3,FALSE)</f>
        <v>1108959</v>
      </c>
      <c r="O803">
        <f>IF(G803="Not available","",VLOOKUP(F803,Sheet2!$B$1:$E$19,4,FALSE)+(G803-1))</f>
        <v>3780047</v>
      </c>
    </row>
    <row r="804" spans="1:15" s="1" customFormat="1" ht="15" customHeight="1" x14ac:dyDescent="0.25">
      <c r="A804" s="18" t="s">
        <v>157</v>
      </c>
      <c r="B804" s="18" t="s">
        <v>162</v>
      </c>
      <c r="C804" s="5">
        <v>1824</v>
      </c>
      <c r="E804" s="1" t="s">
        <v>2</v>
      </c>
      <c r="F804" s="18">
        <v>2173</v>
      </c>
      <c r="G804" s="18">
        <v>75</v>
      </c>
      <c r="H804" s="5">
        <v>143</v>
      </c>
      <c r="I804" s="1">
        <v>94</v>
      </c>
      <c r="J804" s="1">
        <v>197</v>
      </c>
      <c r="L804" t="str">
        <f t="shared" si="12"/>
        <v>http://www.badatelna.eu/reprodukce/?fondId=1073&amp;zaznamId=1108959&amp;reproId=3780068</v>
      </c>
      <c r="M804">
        <f>VLOOKUP(F804,Sheet2!$B$1:$E$19,2,FALSE)</f>
        <v>1073</v>
      </c>
      <c r="N804">
        <f>VLOOKUP(F804,Sheet2!$B$1:$E$19,3,FALSE)</f>
        <v>1108959</v>
      </c>
      <c r="O804">
        <f>IF(G804="Not available","",VLOOKUP(F804,Sheet2!$B$1:$E$19,4,FALSE)+(G804-1))</f>
        <v>3780068</v>
      </c>
    </row>
    <row r="805" spans="1:15" s="1" customFormat="1" ht="15" customHeight="1" x14ac:dyDescent="0.25">
      <c r="A805" s="18" t="s">
        <v>157</v>
      </c>
      <c r="B805" s="18" t="s">
        <v>849</v>
      </c>
      <c r="C805" s="5">
        <v>1887</v>
      </c>
      <c r="D805" s="1" t="s">
        <v>379</v>
      </c>
      <c r="E805" s="1" t="s">
        <v>2</v>
      </c>
      <c r="F805" s="18">
        <v>2165</v>
      </c>
      <c r="G805" s="18">
        <v>212</v>
      </c>
      <c r="H805" s="5">
        <v>1</v>
      </c>
      <c r="I805" s="1">
        <v>215</v>
      </c>
      <c r="J805" s="1">
        <v>191</v>
      </c>
      <c r="L805" t="str">
        <f t="shared" si="12"/>
        <v>http://www.badatelna.eu/reprodukce/?fondId=1073&amp;zaznamId=1108952&amp;reproId=3779073</v>
      </c>
      <c r="M805">
        <f>VLOOKUP(F805,Sheet2!$B$1:$E$19,2,FALSE)</f>
        <v>1073</v>
      </c>
      <c r="N805">
        <f>VLOOKUP(F805,Sheet2!$B$1:$E$19,3,FALSE)</f>
        <v>1108952</v>
      </c>
      <c r="O805">
        <f>IF(G805="Not available","",VLOOKUP(F805,Sheet2!$B$1:$E$19,4,FALSE)+(G805-1))</f>
        <v>3779073</v>
      </c>
    </row>
    <row r="806" spans="1:15" s="1" customFormat="1" ht="15" customHeight="1" x14ac:dyDescent="0.25">
      <c r="A806" s="18" t="s">
        <v>157</v>
      </c>
      <c r="B806" s="18" t="s">
        <v>816</v>
      </c>
      <c r="C806" s="5">
        <v>1884</v>
      </c>
      <c r="D806" s="1" t="s">
        <v>379</v>
      </c>
      <c r="E806" s="1" t="s">
        <v>2</v>
      </c>
      <c r="F806" s="18">
        <v>2165</v>
      </c>
      <c r="G806" s="18">
        <v>193</v>
      </c>
      <c r="H806" s="5">
        <v>1</v>
      </c>
      <c r="I806" s="1">
        <v>196</v>
      </c>
      <c r="J806" s="1">
        <v>173</v>
      </c>
      <c r="L806" t="str">
        <f t="shared" si="12"/>
        <v>http://www.badatelna.eu/reprodukce/?fondId=1073&amp;zaznamId=1108952&amp;reproId=3779054</v>
      </c>
      <c r="M806">
        <f>VLOOKUP(F806,Sheet2!$B$1:$E$19,2,FALSE)</f>
        <v>1073</v>
      </c>
      <c r="N806">
        <f>VLOOKUP(F806,Sheet2!$B$1:$E$19,3,FALSE)</f>
        <v>1108952</v>
      </c>
      <c r="O806">
        <f>IF(G806="Not available","",VLOOKUP(F806,Sheet2!$B$1:$E$19,4,FALSE)+(G806-1))</f>
        <v>3779054</v>
      </c>
    </row>
    <row r="807" spans="1:15" s="1" customFormat="1" ht="15" customHeight="1" x14ac:dyDescent="0.25">
      <c r="A807" s="18" t="s">
        <v>157</v>
      </c>
      <c r="B807" s="18" t="s">
        <v>484</v>
      </c>
      <c r="C807" s="5" t="s">
        <v>1747</v>
      </c>
      <c r="D807" s="1" t="s">
        <v>201</v>
      </c>
      <c r="E807" s="1" t="s">
        <v>2</v>
      </c>
      <c r="F807" s="18">
        <v>2165</v>
      </c>
      <c r="G807" s="18">
        <v>228</v>
      </c>
      <c r="H807" s="5">
        <v>1</v>
      </c>
      <c r="I807" s="1">
        <v>231</v>
      </c>
      <c r="J807" s="1">
        <v>207</v>
      </c>
      <c r="L807" t="str">
        <f t="shared" si="12"/>
        <v>http://www.badatelna.eu/reprodukce/?fondId=1073&amp;zaznamId=1108952&amp;reproId=3779089</v>
      </c>
      <c r="M807">
        <f>VLOOKUP(F807,Sheet2!$B$1:$E$19,2,FALSE)</f>
        <v>1073</v>
      </c>
      <c r="N807">
        <f>VLOOKUP(F807,Sheet2!$B$1:$E$19,3,FALSE)</f>
        <v>1108952</v>
      </c>
      <c r="O807">
        <f>IF(G807="Not available","",VLOOKUP(F807,Sheet2!$B$1:$E$19,4,FALSE)+(G807-1))</f>
        <v>3779089</v>
      </c>
    </row>
    <row r="808" spans="1:15" s="1" customFormat="1" ht="15" customHeight="1" x14ac:dyDescent="0.25">
      <c r="A808" s="18" t="s">
        <v>157</v>
      </c>
      <c r="B808" s="18" t="s">
        <v>1141</v>
      </c>
      <c r="C808" s="5">
        <v>1883</v>
      </c>
      <c r="D808" s="1" t="s">
        <v>201</v>
      </c>
      <c r="E808" s="1" t="s">
        <v>2</v>
      </c>
      <c r="F808" s="18">
        <v>2165</v>
      </c>
      <c r="G808" s="18">
        <v>186</v>
      </c>
      <c r="H808" s="5">
        <v>2</v>
      </c>
      <c r="I808" s="1">
        <v>190</v>
      </c>
      <c r="J808" s="1">
        <v>167</v>
      </c>
      <c r="L808" t="str">
        <f t="shared" si="12"/>
        <v>http://www.badatelna.eu/reprodukce/?fondId=1073&amp;zaznamId=1108952&amp;reproId=3779047</v>
      </c>
      <c r="M808">
        <f>VLOOKUP(F808,Sheet2!$B$1:$E$19,2,FALSE)</f>
        <v>1073</v>
      </c>
      <c r="N808">
        <f>VLOOKUP(F808,Sheet2!$B$1:$E$19,3,FALSE)</f>
        <v>1108952</v>
      </c>
      <c r="O808">
        <f>IF(G808="Not available","",VLOOKUP(F808,Sheet2!$B$1:$E$19,4,FALSE)+(G808-1))</f>
        <v>3779047</v>
      </c>
    </row>
    <row r="809" spans="1:15" s="1" customFormat="1" ht="15" customHeight="1" x14ac:dyDescent="0.25">
      <c r="A809" s="18" t="s">
        <v>157</v>
      </c>
      <c r="B809" s="18" t="s">
        <v>34</v>
      </c>
      <c r="C809" s="5">
        <v>1818</v>
      </c>
      <c r="E809" s="1" t="s">
        <v>2</v>
      </c>
      <c r="F809" s="18">
        <v>2173</v>
      </c>
      <c r="G809" s="18">
        <v>67</v>
      </c>
      <c r="H809" s="6" t="s">
        <v>2999</v>
      </c>
      <c r="I809" s="1">
        <v>94</v>
      </c>
      <c r="J809" s="1">
        <v>197</v>
      </c>
      <c r="L809" t="str">
        <f t="shared" si="12"/>
        <v>http://www.badatelna.eu/reprodukce/?fondId=1073&amp;zaznamId=1108959&amp;reproId=3780060</v>
      </c>
      <c r="M809">
        <f>VLOOKUP(F809,Sheet2!$B$1:$E$19,2,FALSE)</f>
        <v>1073</v>
      </c>
      <c r="N809">
        <f>VLOOKUP(F809,Sheet2!$B$1:$E$19,3,FALSE)</f>
        <v>1108959</v>
      </c>
      <c r="O809">
        <f>IF(G809="Not available","",VLOOKUP(F809,Sheet2!$B$1:$E$19,4,FALSE)+(G809-1))</f>
        <v>3780060</v>
      </c>
    </row>
    <row r="810" spans="1:15" s="1" customFormat="1" ht="15" customHeight="1" x14ac:dyDescent="0.25">
      <c r="A810" s="18" t="s">
        <v>157</v>
      </c>
      <c r="B810" s="18" t="s">
        <v>233</v>
      </c>
      <c r="C810" s="5">
        <v>1885</v>
      </c>
      <c r="D810" s="1" t="s">
        <v>201</v>
      </c>
      <c r="E810" s="1" t="s">
        <v>2</v>
      </c>
      <c r="F810" s="18">
        <v>2165</v>
      </c>
      <c r="G810" s="18">
        <v>199</v>
      </c>
      <c r="H810" s="5">
        <v>1</v>
      </c>
      <c r="I810" s="1">
        <v>204</v>
      </c>
      <c r="J810" s="1">
        <v>187</v>
      </c>
      <c r="L810" t="str">
        <f t="shared" si="12"/>
        <v>http://www.badatelna.eu/reprodukce/?fondId=1073&amp;zaznamId=1108952&amp;reproId=3779060</v>
      </c>
      <c r="M810">
        <f>VLOOKUP(F810,Sheet2!$B$1:$E$19,2,FALSE)</f>
        <v>1073</v>
      </c>
      <c r="N810">
        <f>VLOOKUP(F810,Sheet2!$B$1:$E$19,3,FALSE)</f>
        <v>1108952</v>
      </c>
      <c r="O810">
        <f>IF(G810="Not available","",VLOOKUP(F810,Sheet2!$B$1:$E$19,4,FALSE)+(G810-1))</f>
        <v>3779060</v>
      </c>
    </row>
    <row r="811" spans="1:15" s="1" customFormat="1" ht="15" customHeight="1" x14ac:dyDescent="0.25">
      <c r="A811" s="18" t="s">
        <v>157</v>
      </c>
      <c r="B811" s="18" t="s">
        <v>873</v>
      </c>
      <c r="C811" s="5">
        <v>1886</v>
      </c>
      <c r="D811" s="1" t="s">
        <v>201</v>
      </c>
      <c r="E811" s="1" t="s">
        <v>2</v>
      </c>
      <c r="F811" s="18">
        <v>2165</v>
      </c>
      <c r="G811" s="18">
        <v>208</v>
      </c>
      <c r="H811" s="5">
        <v>2</v>
      </c>
      <c r="I811" s="1">
        <v>210</v>
      </c>
      <c r="J811" s="1">
        <v>186</v>
      </c>
      <c r="L811" t="str">
        <f t="shared" si="12"/>
        <v>http://www.badatelna.eu/reprodukce/?fondId=1073&amp;zaznamId=1108952&amp;reproId=3779069</v>
      </c>
      <c r="M811">
        <f>VLOOKUP(F811,Sheet2!$B$1:$E$19,2,FALSE)</f>
        <v>1073</v>
      </c>
      <c r="N811">
        <f>VLOOKUP(F811,Sheet2!$B$1:$E$19,3,FALSE)</f>
        <v>1108952</v>
      </c>
      <c r="O811">
        <f>IF(G811="Not available","",VLOOKUP(F811,Sheet2!$B$1:$E$19,4,FALSE)+(G811-1))</f>
        <v>3779069</v>
      </c>
    </row>
    <row r="812" spans="1:15" s="1" customFormat="1" ht="15" customHeight="1" x14ac:dyDescent="0.25">
      <c r="A812" s="18" t="s">
        <v>157</v>
      </c>
      <c r="B812" s="18" t="s">
        <v>1121</v>
      </c>
      <c r="C812" s="5" t="s">
        <v>1770</v>
      </c>
      <c r="D812" s="1" t="s">
        <v>201</v>
      </c>
      <c r="E812" s="1" t="s">
        <v>2</v>
      </c>
      <c r="F812" s="18">
        <v>2165</v>
      </c>
      <c r="G812" s="18">
        <v>236</v>
      </c>
      <c r="H812" s="5">
        <v>3</v>
      </c>
      <c r="I812" s="1">
        <v>237</v>
      </c>
      <c r="J812" s="1">
        <v>213</v>
      </c>
      <c r="L812" t="str">
        <f t="shared" si="12"/>
        <v>http://www.badatelna.eu/reprodukce/?fondId=1073&amp;zaznamId=1108952&amp;reproId=3779097</v>
      </c>
      <c r="M812">
        <f>VLOOKUP(F812,Sheet2!$B$1:$E$19,2,FALSE)</f>
        <v>1073</v>
      </c>
      <c r="N812">
        <f>VLOOKUP(F812,Sheet2!$B$1:$E$19,3,FALSE)</f>
        <v>1108952</v>
      </c>
      <c r="O812">
        <f>IF(G812="Not available","",VLOOKUP(F812,Sheet2!$B$1:$E$19,4,FALSE)+(G812-1))</f>
        <v>3779097</v>
      </c>
    </row>
    <row r="813" spans="1:15" s="1" customFormat="1" ht="15" customHeight="1" x14ac:dyDescent="0.25">
      <c r="A813" s="18" t="s">
        <v>157</v>
      </c>
      <c r="B813" s="18" t="s">
        <v>1161</v>
      </c>
      <c r="C813" s="5">
        <v>1885</v>
      </c>
      <c r="D813" s="1" t="s">
        <v>379</v>
      </c>
      <c r="E813" s="1" t="s">
        <v>2</v>
      </c>
      <c r="F813" s="18">
        <v>2165</v>
      </c>
      <c r="G813" s="18">
        <v>200</v>
      </c>
      <c r="H813" s="5">
        <v>2</v>
      </c>
      <c r="I813" s="1">
        <v>204</v>
      </c>
      <c r="J813" s="1">
        <v>187</v>
      </c>
      <c r="L813" t="str">
        <f t="shared" si="12"/>
        <v>http://www.badatelna.eu/reprodukce/?fondId=1073&amp;zaznamId=1108952&amp;reproId=3779061</v>
      </c>
      <c r="M813">
        <f>VLOOKUP(F813,Sheet2!$B$1:$E$19,2,FALSE)</f>
        <v>1073</v>
      </c>
      <c r="N813">
        <f>VLOOKUP(F813,Sheet2!$B$1:$E$19,3,FALSE)</f>
        <v>1108952</v>
      </c>
      <c r="O813">
        <f>IF(G813="Not available","",VLOOKUP(F813,Sheet2!$B$1:$E$19,4,FALSE)+(G813-1))</f>
        <v>3779061</v>
      </c>
    </row>
    <row r="814" spans="1:15" s="1" customFormat="1" ht="15" customHeight="1" x14ac:dyDescent="0.25">
      <c r="A814" s="18" t="s">
        <v>157</v>
      </c>
      <c r="B814" s="18" t="s">
        <v>1197</v>
      </c>
      <c r="C814" s="5" t="s">
        <v>1769</v>
      </c>
      <c r="D814" s="1" t="s">
        <v>379</v>
      </c>
      <c r="E814" s="1" t="s">
        <v>2</v>
      </c>
      <c r="F814" s="18">
        <v>2165</v>
      </c>
      <c r="G814" s="18">
        <v>234</v>
      </c>
      <c r="H814" s="5">
        <v>1</v>
      </c>
      <c r="I814" s="1">
        <v>237</v>
      </c>
      <c r="J814" s="1">
        <v>213</v>
      </c>
      <c r="L814" t="str">
        <f t="shared" si="12"/>
        <v>http://www.badatelna.eu/reprodukce/?fondId=1073&amp;zaznamId=1108952&amp;reproId=3779095</v>
      </c>
      <c r="M814">
        <f>VLOOKUP(F814,Sheet2!$B$1:$E$19,2,FALSE)</f>
        <v>1073</v>
      </c>
      <c r="N814">
        <f>VLOOKUP(F814,Sheet2!$B$1:$E$19,3,FALSE)</f>
        <v>1108952</v>
      </c>
      <c r="O814">
        <f>IF(G814="Not available","",VLOOKUP(F814,Sheet2!$B$1:$E$19,4,FALSE)+(G814-1))</f>
        <v>3779095</v>
      </c>
    </row>
    <row r="815" spans="1:15" s="1" customFormat="1" ht="15" customHeight="1" x14ac:dyDescent="0.25">
      <c r="A815" s="18" t="s">
        <v>157</v>
      </c>
      <c r="B815" s="18" t="s">
        <v>93</v>
      </c>
      <c r="C815" s="5">
        <v>1820</v>
      </c>
      <c r="E815" s="1" t="s">
        <v>2</v>
      </c>
      <c r="F815" s="18">
        <v>2173</v>
      </c>
      <c r="G815" s="18">
        <v>70</v>
      </c>
      <c r="H815" s="5">
        <v>133</v>
      </c>
      <c r="I815" s="1">
        <v>94</v>
      </c>
      <c r="J815" s="1">
        <v>197</v>
      </c>
      <c r="L815" t="str">
        <f t="shared" si="12"/>
        <v>http://www.badatelna.eu/reprodukce/?fondId=1073&amp;zaznamId=1108959&amp;reproId=3780063</v>
      </c>
      <c r="M815">
        <f>VLOOKUP(F815,Sheet2!$B$1:$E$19,2,FALSE)</f>
        <v>1073</v>
      </c>
      <c r="N815">
        <f>VLOOKUP(F815,Sheet2!$B$1:$E$19,3,FALSE)</f>
        <v>1108959</v>
      </c>
      <c r="O815">
        <f>IF(G815="Not available","",VLOOKUP(F815,Sheet2!$B$1:$E$19,4,FALSE)+(G815-1))</f>
        <v>3780063</v>
      </c>
    </row>
    <row r="816" spans="1:15" s="1" customFormat="1" ht="15" customHeight="1" x14ac:dyDescent="0.25">
      <c r="A816" s="18" t="s">
        <v>638</v>
      </c>
      <c r="B816" s="18" t="s">
        <v>50</v>
      </c>
      <c r="C816" s="5">
        <v>1839</v>
      </c>
      <c r="D816" s="1" t="s">
        <v>60</v>
      </c>
      <c r="E816" s="1" t="s">
        <v>2</v>
      </c>
      <c r="F816" s="18">
        <v>2174</v>
      </c>
      <c r="G816" s="18">
        <v>105</v>
      </c>
      <c r="H816" s="6" t="s">
        <v>3171</v>
      </c>
      <c r="I816" s="1">
        <v>183</v>
      </c>
      <c r="J816" s="1">
        <v>208</v>
      </c>
      <c r="L816" t="str">
        <f t="shared" si="12"/>
        <v>http://www.badatelna.eu/reprodukce/?fondId=1073&amp;zaznamId=1108960&amp;reproId=3780329</v>
      </c>
      <c r="M816">
        <f>VLOOKUP(F816,Sheet2!$B$1:$E$19,2,FALSE)</f>
        <v>1073</v>
      </c>
      <c r="N816">
        <f>VLOOKUP(F816,Sheet2!$B$1:$E$19,3,FALSE)</f>
        <v>1108960</v>
      </c>
      <c r="O816">
        <f>IF(G816="Not available","",VLOOKUP(F816,Sheet2!$B$1:$E$19,4,FALSE)+(G816-1))</f>
        <v>3780329</v>
      </c>
    </row>
    <row r="817" spans="1:15" s="1" customFormat="1" ht="15" customHeight="1" x14ac:dyDescent="0.25">
      <c r="A817" s="18" t="s">
        <v>638</v>
      </c>
      <c r="B817" s="18" t="s">
        <v>632</v>
      </c>
      <c r="C817" s="5" t="s">
        <v>1351</v>
      </c>
      <c r="D817" s="1" t="s">
        <v>863</v>
      </c>
      <c r="E817" s="1" t="s">
        <v>2</v>
      </c>
      <c r="F817" s="18">
        <v>2165</v>
      </c>
      <c r="G817" s="18">
        <v>58</v>
      </c>
      <c r="H817" s="5">
        <v>55</v>
      </c>
      <c r="I817" s="1">
        <v>81</v>
      </c>
      <c r="J817" s="1" t="s">
        <v>3271</v>
      </c>
      <c r="L817" t="str">
        <f t="shared" si="12"/>
        <v>http://www.badatelna.eu/reprodukce/?fondId=1073&amp;zaznamId=1108952&amp;reproId=3778919</v>
      </c>
      <c r="M817">
        <f>VLOOKUP(F817,Sheet2!$B$1:$E$19,2,FALSE)</f>
        <v>1073</v>
      </c>
      <c r="N817">
        <f>VLOOKUP(F817,Sheet2!$B$1:$E$19,3,FALSE)</f>
        <v>1108952</v>
      </c>
      <c r="O817">
        <f>IF(G817="Not available","",VLOOKUP(F817,Sheet2!$B$1:$E$19,4,FALSE)+(G817-1))</f>
        <v>3778919</v>
      </c>
    </row>
    <row r="818" spans="1:15" s="1" customFormat="1" ht="15" customHeight="1" x14ac:dyDescent="0.25">
      <c r="A818" s="18" t="s">
        <v>638</v>
      </c>
      <c r="B818" s="18" t="s">
        <v>1010</v>
      </c>
      <c r="C818" s="5" t="s">
        <v>1349</v>
      </c>
      <c r="D818" s="1" t="s">
        <v>64</v>
      </c>
      <c r="E818" s="1" t="s">
        <v>2</v>
      </c>
      <c r="F818" s="18">
        <v>2165</v>
      </c>
      <c r="G818" s="18">
        <v>38</v>
      </c>
      <c r="H818" s="5">
        <v>35</v>
      </c>
      <c r="I818" s="1">
        <v>81</v>
      </c>
      <c r="J818" s="1" t="s">
        <v>3271</v>
      </c>
      <c r="L818" t="str">
        <f t="shared" si="12"/>
        <v>http://www.badatelna.eu/reprodukce/?fondId=1073&amp;zaznamId=1108952&amp;reproId=3778899</v>
      </c>
      <c r="M818">
        <f>VLOOKUP(F818,Sheet2!$B$1:$E$19,2,FALSE)</f>
        <v>1073</v>
      </c>
      <c r="N818">
        <f>VLOOKUP(F818,Sheet2!$B$1:$E$19,3,FALSE)</f>
        <v>1108952</v>
      </c>
      <c r="O818">
        <f>IF(G818="Not available","",VLOOKUP(F818,Sheet2!$B$1:$E$19,4,FALSE)+(G818-1))</f>
        <v>3778899</v>
      </c>
    </row>
    <row r="819" spans="1:15" s="1" customFormat="1" ht="15" customHeight="1" x14ac:dyDescent="0.25">
      <c r="A819" s="18" t="s">
        <v>638</v>
      </c>
      <c r="B819" s="18" t="s">
        <v>1043</v>
      </c>
      <c r="C819" s="6" t="s">
        <v>2055</v>
      </c>
      <c r="D819" s="4" t="s">
        <v>2138</v>
      </c>
      <c r="E819" s="4" t="s">
        <v>2</v>
      </c>
      <c r="F819" s="18">
        <v>2176</v>
      </c>
      <c r="G819" s="18" t="s">
        <v>3271</v>
      </c>
      <c r="H819" s="6" t="s">
        <v>2069</v>
      </c>
      <c r="I819" s="1">
        <v>9</v>
      </c>
      <c r="J819" s="1" t="s">
        <v>3271</v>
      </c>
      <c r="K819" s="3"/>
      <c r="L819" t="str">
        <f t="shared" si="12"/>
        <v/>
      </c>
      <c r="M819">
        <f>VLOOKUP(F819,Sheet2!$B$1:$E$19,2,FALSE)</f>
        <v>1073</v>
      </c>
      <c r="N819">
        <f>VLOOKUP(F819,Sheet2!$B$1:$E$19,3,FALSE)</f>
        <v>1108963</v>
      </c>
      <c r="O819" t="str">
        <f>IF(G819="Not available","",VLOOKUP(F819,Sheet2!$B$1:$E$19,4,FALSE)+(G819-1))</f>
        <v/>
      </c>
    </row>
    <row r="820" spans="1:15" s="1" customFormat="1" ht="15" customHeight="1" x14ac:dyDescent="0.25">
      <c r="A820" s="18" t="s">
        <v>638</v>
      </c>
      <c r="B820" s="18" t="s">
        <v>9</v>
      </c>
      <c r="C820" s="5">
        <v>1852</v>
      </c>
      <c r="D820" s="1" t="s">
        <v>60</v>
      </c>
      <c r="E820" s="1" t="s">
        <v>2</v>
      </c>
      <c r="F820" s="18">
        <v>2164</v>
      </c>
      <c r="G820" s="18">
        <v>85</v>
      </c>
      <c r="H820" s="5">
        <v>83</v>
      </c>
      <c r="I820" s="1">
        <v>125</v>
      </c>
      <c r="J820" s="1" t="s">
        <v>3271</v>
      </c>
      <c r="L820" t="str">
        <f t="shared" si="12"/>
        <v>http://www.badatelna.eu/reprodukce/?fondId=1073&amp;zaznamId=1108951&amp;reproId=3778799</v>
      </c>
      <c r="M820">
        <f>VLOOKUP(F820,Sheet2!$B$1:$E$19,2,FALSE)</f>
        <v>1073</v>
      </c>
      <c r="N820">
        <f>VLOOKUP(F820,Sheet2!$B$1:$E$19,3,FALSE)</f>
        <v>1108951</v>
      </c>
      <c r="O820">
        <f>IF(G820="Not available","",VLOOKUP(F820,Sheet2!$B$1:$E$19,4,FALSE)+(G820-1))</f>
        <v>3778799</v>
      </c>
    </row>
    <row r="821" spans="1:15" s="1" customFormat="1" ht="15" customHeight="1" x14ac:dyDescent="0.25">
      <c r="A821" s="18" t="s">
        <v>638</v>
      </c>
      <c r="B821" s="18" t="s">
        <v>9</v>
      </c>
      <c r="C821" s="5">
        <v>1859</v>
      </c>
      <c r="E821" s="1" t="s">
        <v>939</v>
      </c>
      <c r="F821" s="18">
        <v>999</v>
      </c>
      <c r="G821" s="18">
        <v>12</v>
      </c>
      <c r="H821" s="5">
        <v>10</v>
      </c>
      <c r="I821" s="1">
        <v>64</v>
      </c>
      <c r="J821" s="1">
        <v>98</v>
      </c>
      <c r="L821" t="str">
        <f t="shared" si="12"/>
        <v>http://www.badatelna.eu/reprodukce/?fondId=241&amp;zaznamId=1133739&amp;reproId=3885741</v>
      </c>
      <c r="M821">
        <f>VLOOKUP(F821,Sheet2!$B$1:$E$19,2,FALSE)</f>
        <v>241</v>
      </c>
      <c r="N821">
        <f>VLOOKUP(F821,Sheet2!$B$1:$E$19,3,FALSE)</f>
        <v>1133739</v>
      </c>
      <c r="O821">
        <f>IF(G821="Not available","",VLOOKUP(F821,Sheet2!$B$1:$E$19,4,FALSE)+(G821-1))</f>
        <v>3885741</v>
      </c>
    </row>
    <row r="822" spans="1:15" s="1" customFormat="1" ht="15" customHeight="1" x14ac:dyDescent="0.25">
      <c r="A822" s="18" t="s">
        <v>638</v>
      </c>
      <c r="B822" s="18" t="s">
        <v>426</v>
      </c>
      <c r="C822" s="5">
        <v>1842</v>
      </c>
      <c r="D822" s="1" t="s">
        <v>60</v>
      </c>
      <c r="E822" s="1" t="s">
        <v>2</v>
      </c>
      <c r="F822" s="18">
        <v>2174</v>
      </c>
      <c r="G822" s="18">
        <v>124</v>
      </c>
      <c r="H822" s="14" t="s">
        <v>3198</v>
      </c>
      <c r="I822" s="1">
        <v>183</v>
      </c>
      <c r="J822" s="1">
        <v>208</v>
      </c>
      <c r="L822" t="str">
        <f t="shared" si="12"/>
        <v>http://www.badatelna.eu/reprodukce/?fondId=1073&amp;zaznamId=1108960&amp;reproId=3780348</v>
      </c>
      <c r="M822">
        <f>VLOOKUP(F822,Sheet2!$B$1:$E$19,2,FALSE)</f>
        <v>1073</v>
      </c>
      <c r="N822">
        <f>VLOOKUP(F822,Sheet2!$B$1:$E$19,3,FALSE)</f>
        <v>1108960</v>
      </c>
      <c r="O822">
        <f>IF(G822="Not available","",VLOOKUP(F822,Sheet2!$B$1:$E$19,4,FALSE)+(G822-1))</f>
        <v>3780348</v>
      </c>
    </row>
    <row r="823" spans="1:15" s="1" customFormat="1" ht="15" customHeight="1" x14ac:dyDescent="0.25">
      <c r="A823" s="18" t="s">
        <v>638</v>
      </c>
      <c r="B823" s="18" t="s">
        <v>64</v>
      </c>
      <c r="C823" s="5">
        <v>1836</v>
      </c>
      <c r="D823" s="1" t="s">
        <v>60</v>
      </c>
      <c r="E823" s="1" t="s">
        <v>2</v>
      </c>
      <c r="F823" s="18">
        <v>2174</v>
      </c>
      <c r="G823" s="18">
        <v>86</v>
      </c>
      <c r="H823" s="6" t="s">
        <v>3153</v>
      </c>
      <c r="I823" s="1">
        <v>183</v>
      </c>
      <c r="J823" s="1">
        <v>208</v>
      </c>
      <c r="L823" t="str">
        <f t="shared" si="12"/>
        <v>http://www.badatelna.eu/reprodukce/?fondId=1073&amp;zaznamId=1108960&amp;reproId=3780310</v>
      </c>
      <c r="M823">
        <f>VLOOKUP(F823,Sheet2!$B$1:$E$19,2,FALSE)</f>
        <v>1073</v>
      </c>
      <c r="N823">
        <f>VLOOKUP(F823,Sheet2!$B$1:$E$19,3,FALSE)</f>
        <v>1108960</v>
      </c>
      <c r="O823">
        <f>IF(G823="Not available","",VLOOKUP(F823,Sheet2!$B$1:$E$19,4,FALSE)+(G823-1))</f>
        <v>3780310</v>
      </c>
    </row>
    <row r="824" spans="1:15" s="1" customFormat="1" ht="15" customHeight="1" x14ac:dyDescent="0.25">
      <c r="A824" s="18" t="s">
        <v>638</v>
      </c>
      <c r="B824" s="18" t="s">
        <v>1136</v>
      </c>
      <c r="C824" s="6" t="s">
        <v>1969</v>
      </c>
      <c r="D824" s="4" t="s">
        <v>2131</v>
      </c>
      <c r="E824" s="4" t="s">
        <v>2</v>
      </c>
      <c r="F824" s="18">
        <v>2176</v>
      </c>
      <c r="G824" s="18" t="s">
        <v>3271</v>
      </c>
      <c r="H824" s="6" t="s">
        <v>2016</v>
      </c>
      <c r="I824" s="1">
        <v>9</v>
      </c>
      <c r="J824" s="1" t="s">
        <v>3271</v>
      </c>
      <c r="L824" t="str">
        <f t="shared" si="12"/>
        <v/>
      </c>
      <c r="M824">
        <f>VLOOKUP(F824,Sheet2!$B$1:$E$19,2,FALSE)</f>
        <v>1073</v>
      </c>
      <c r="N824">
        <f>VLOOKUP(F824,Sheet2!$B$1:$E$19,3,FALSE)</f>
        <v>1108963</v>
      </c>
      <c r="O824" t="str">
        <f>IF(G824="Not available","",VLOOKUP(F824,Sheet2!$B$1:$E$19,4,FALSE)+(G824-1))</f>
        <v/>
      </c>
    </row>
    <row r="825" spans="1:15" s="1" customFormat="1" ht="15" customHeight="1" x14ac:dyDescent="0.25">
      <c r="A825" s="18" t="s">
        <v>638</v>
      </c>
      <c r="B825" s="18" t="s">
        <v>201</v>
      </c>
      <c r="C825" s="5">
        <v>1857</v>
      </c>
      <c r="D825" s="1" t="s">
        <v>4</v>
      </c>
      <c r="E825" s="1" t="s">
        <v>2</v>
      </c>
      <c r="F825" s="18">
        <v>2164</v>
      </c>
      <c r="G825" s="18">
        <v>114</v>
      </c>
      <c r="H825" s="5">
        <v>112</v>
      </c>
      <c r="I825" s="1">
        <v>125</v>
      </c>
      <c r="J825" s="1" t="s">
        <v>2821</v>
      </c>
      <c r="L825" t="str">
        <f t="shared" si="12"/>
        <v>http://www.badatelna.eu/reprodukce/?fondId=1073&amp;zaznamId=1108951&amp;reproId=3778828</v>
      </c>
      <c r="M825">
        <f>VLOOKUP(F825,Sheet2!$B$1:$E$19,2,FALSE)</f>
        <v>1073</v>
      </c>
      <c r="N825">
        <f>VLOOKUP(F825,Sheet2!$B$1:$E$19,3,FALSE)</f>
        <v>1108951</v>
      </c>
      <c r="O825">
        <f>IF(G825="Not available","",VLOOKUP(F825,Sheet2!$B$1:$E$19,4,FALSE)+(G825-1))</f>
        <v>3778828</v>
      </c>
    </row>
    <row r="826" spans="1:15" s="1" customFormat="1" ht="15" customHeight="1" x14ac:dyDescent="0.25">
      <c r="A826" s="18" t="s">
        <v>638</v>
      </c>
      <c r="B826" s="18" t="s">
        <v>201</v>
      </c>
      <c r="C826" s="5" t="s">
        <v>1350</v>
      </c>
      <c r="D826" s="1" t="s">
        <v>64</v>
      </c>
      <c r="E826" s="1" t="s">
        <v>2</v>
      </c>
      <c r="F826" s="18">
        <v>2165</v>
      </c>
      <c r="G826" s="18">
        <v>49</v>
      </c>
      <c r="H826" s="5">
        <v>46</v>
      </c>
      <c r="I826" s="1">
        <v>81</v>
      </c>
      <c r="J826" s="1" t="s">
        <v>3271</v>
      </c>
      <c r="L826" t="str">
        <f t="shared" si="12"/>
        <v>http://www.badatelna.eu/reprodukce/?fondId=1073&amp;zaznamId=1108952&amp;reproId=3778910</v>
      </c>
      <c r="M826">
        <f>VLOOKUP(F826,Sheet2!$B$1:$E$19,2,FALSE)</f>
        <v>1073</v>
      </c>
      <c r="N826">
        <f>VLOOKUP(F826,Sheet2!$B$1:$E$19,3,FALSE)</f>
        <v>1108952</v>
      </c>
      <c r="O826">
        <f>IF(G826="Not available","",VLOOKUP(F826,Sheet2!$B$1:$E$19,4,FALSE)+(G826-1))</f>
        <v>3778910</v>
      </c>
    </row>
    <row r="827" spans="1:15" s="1" customFormat="1" ht="15" customHeight="1" x14ac:dyDescent="0.25">
      <c r="A827" s="18" t="s">
        <v>638</v>
      </c>
      <c r="B827" s="18" t="s">
        <v>992</v>
      </c>
      <c r="C827" s="5">
        <v>1882</v>
      </c>
      <c r="D827" s="1" t="s">
        <v>379</v>
      </c>
      <c r="E827" s="1" t="s">
        <v>2</v>
      </c>
      <c r="F827" s="18">
        <v>2165</v>
      </c>
      <c r="G827" s="18">
        <v>178</v>
      </c>
      <c r="H827" s="5">
        <v>2</v>
      </c>
      <c r="I827" s="1">
        <v>182</v>
      </c>
      <c r="J827" s="1">
        <v>159</v>
      </c>
      <c r="L827" t="str">
        <f t="shared" si="12"/>
        <v>http://www.badatelna.eu/reprodukce/?fondId=1073&amp;zaznamId=1108952&amp;reproId=3779039</v>
      </c>
      <c r="M827">
        <f>VLOOKUP(F827,Sheet2!$B$1:$E$19,2,FALSE)</f>
        <v>1073</v>
      </c>
      <c r="N827">
        <f>VLOOKUP(F827,Sheet2!$B$1:$E$19,3,FALSE)</f>
        <v>1108952</v>
      </c>
      <c r="O827">
        <f>IF(G827="Not available","",VLOOKUP(F827,Sheet2!$B$1:$E$19,4,FALSE)+(G827-1))</f>
        <v>3779039</v>
      </c>
    </row>
    <row r="828" spans="1:15" s="1" customFormat="1" ht="15" customHeight="1" x14ac:dyDescent="0.25">
      <c r="A828" s="18" t="s">
        <v>638</v>
      </c>
      <c r="B828" s="18" t="s">
        <v>992</v>
      </c>
      <c r="C828" s="6" t="s">
        <v>1285</v>
      </c>
      <c r="D828" s="4" t="s">
        <v>2138</v>
      </c>
      <c r="E828" s="4" t="s">
        <v>2</v>
      </c>
      <c r="F828" s="18">
        <v>2176</v>
      </c>
      <c r="G828" s="18" t="s">
        <v>3271</v>
      </c>
      <c r="H828" s="6" t="s">
        <v>2016</v>
      </c>
      <c r="I828" s="1">
        <v>9</v>
      </c>
      <c r="J828" s="1" t="s">
        <v>3271</v>
      </c>
      <c r="K828" s="3"/>
      <c r="L828" t="str">
        <f t="shared" si="12"/>
        <v/>
      </c>
      <c r="M828">
        <f>VLOOKUP(F828,Sheet2!$B$1:$E$19,2,FALSE)</f>
        <v>1073</v>
      </c>
      <c r="N828">
        <f>VLOOKUP(F828,Sheet2!$B$1:$E$19,3,FALSE)</f>
        <v>1108963</v>
      </c>
      <c r="O828" t="str">
        <f>IF(G828="Not available","",VLOOKUP(F828,Sheet2!$B$1:$E$19,4,FALSE)+(G828-1))</f>
        <v/>
      </c>
    </row>
    <row r="829" spans="1:15" s="1" customFormat="1" ht="15" customHeight="1" x14ac:dyDescent="0.25">
      <c r="A829" s="18" t="s">
        <v>638</v>
      </c>
      <c r="B829" s="18" t="s">
        <v>1227</v>
      </c>
      <c r="C829" s="5" t="s">
        <v>1862</v>
      </c>
      <c r="D829" s="1" t="s">
        <v>1074</v>
      </c>
      <c r="E829" s="1" t="s">
        <v>2</v>
      </c>
      <c r="F829" s="18">
        <v>2165</v>
      </c>
      <c r="G829" s="18">
        <v>178</v>
      </c>
      <c r="H829" s="5">
        <v>2</v>
      </c>
      <c r="I829" s="1">
        <v>265</v>
      </c>
      <c r="J829" s="1">
        <v>239</v>
      </c>
      <c r="L829" t="str">
        <f t="shared" si="12"/>
        <v>http://www.badatelna.eu/reprodukce/?fondId=1073&amp;zaznamId=1108952&amp;reproId=3779039</v>
      </c>
      <c r="M829">
        <f>VLOOKUP(F829,Sheet2!$B$1:$E$19,2,FALSE)</f>
        <v>1073</v>
      </c>
      <c r="N829">
        <f>VLOOKUP(F829,Sheet2!$B$1:$E$19,3,FALSE)</f>
        <v>1108952</v>
      </c>
      <c r="O829">
        <f>IF(G829="Not available","",VLOOKUP(F829,Sheet2!$B$1:$E$19,4,FALSE)+(G829-1))</f>
        <v>3779039</v>
      </c>
    </row>
    <row r="830" spans="1:15" s="1" customFormat="1" ht="15" customHeight="1" x14ac:dyDescent="0.25">
      <c r="A830" s="18" t="s">
        <v>638</v>
      </c>
      <c r="B830" s="18" t="s">
        <v>2112</v>
      </c>
      <c r="C830" s="6" t="s">
        <v>2087</v>
      </c>
      <c r="D830" s="4" t="s">
        <v>2147</v>
      </c>
      <c r="E830" s="4" t="s">
        <v>2</v>
      </c>
      <c r="F830" s="18">
        <v>2176</v>
      </c>
      <c r="G830" s="18" t="s">
        <v>3271</v>
      </c>
      <c r="H830" s="6" t="s">
        <v>2053</v>
      </c>
      <c r="I830" s="1">
        <v>9</v>
      </c>
      <c r="J830" s="1" t="s">
        <v>3271</v>
      </c>
      <c r="K830" s="3"/>
      <c r="L830" t="str">
        <f t="shared" si="12"/>
        <v/>
      </c>
      <c r="M830">
        <f>VLOOKUP(F830,Sheet2!$B$1:$E$19,2,FALSE)</f>
        <v>1073</v>
      </c>
      <c r="N830">
        <f>VLOOKUP(F830,Sheet2!$B$1:$E$19,3,FALSE)</f>
        <v>1108963</v>
      </c>
      <c r="O830" t="str">
        <f>IF(G830="Not available","",VLOOKUP(F830,Sheet2!$B$1:$E$19,4,FALSE)+(G830-1))</f>
        <v/>
      </c>
    </row>
    <row r="831" spans="1:15" s="1" customFormat="1" ht="15" customHeight="1" x14ac:dyDescent="0.25">
      <c r="A831" s="18" t="s">
        <v>638</v>
      </c>
      <c r="B831" s="18" t="s">
        <v>2137</v>
      </c>
      <c r="C831" s="6" t="s">
        <v>2024</v>
      </c>
      <c r="D831" s="4" t="s">
        <v>2138</v>
      </c>
      <c r="E831" s="4" t="s">
        <v>2</v>
      </c>
      <c r="F831" s="18">
        <v>2176</v>
      </c>
      <c r="G831" s="18" t="s">
        <v>3271</v>
      </c>
      <c r="H831" s="6" t="s">
        <v>2139</v>
      </c>
      <c r="I831" s="1">
        <v>9</v>
      </c>
      <c r="J831" s="1" t="s">
        <v>3271</v>
      </c>
      <c r="L831" t="str">
        <f t="shared" si="12"/>
        <v/>
      </c>
      <c r="M831">
        <f>VLOOKUP(F831,Sheet2!$B$1:$E$19,2,FALSE)</f>
        <v>1073</v>
      </c>
      <c r="N831">
        <f>VLOOKUP(F831,Sheet2!$B$1:$E$19,3,FALSE)</f>
        <v>1108963</v>
      </c>
      <c r="O831" t="str">
        <f>IF(G831="Not available","",VLOOKUP(F831,Sheet2!$B$1:$E$19,4,FALSE)+(G831-1))</f>
        <v/>
      </c>
    </row>
    <row r="832" spans="1:15" s="1" customFormat="1" ht="15" customHeight="1" x14ac:dyDescent="0.25">
      <c r="A832" s="18" t="s">
        <v>638</v>
      </c>
      <c r="B832" s="18" t="s">
        <v>2134</v>
      </c>
      <c r="C832" s="6" t="s">
        <v>2015</v>
      </c>
      <c r="D832" s="4" t="s">
        <v>2135</v>
      </c>
      <c r="E832" s="4" t="s">
        <v>2</v>
      </c>
      <c r="F832" s="18">
        <v>2176</v>
      </c>
      <c r="G832" s="18" t="s">
        <v>3271</v>
      </c>
      <c r="H832" s="6" t="s">
        <v>2136</v>
      </c>
      <c r="I832" s="1">
        <v>9</v>
      </c>
      <c r="J832" s="1" t="s">
        <v>3271</v>
      </c>
      <c r="K832" s="3"/>
      <c r="L832" t="str">
        <f t="shared" si="12"/>
        <v/>
      </c>
      <c r="M832">
        <f>VLOOKUP(F832,Sheet2!$B$1:$E$19,2,FALSE)</f>
        <v>1073</v>
      </c>
      <c r="N832">
        <f>VLOOKUP(F832,Sheet2!$B$1:$E$19,3,FALSE)</f>
        <v>1108963</v>
      </c>
      <c r="O832" t="str">
        <f>IF(G832="Not available","",VLOOKUP(F832,Sheet2!$B$1:$E$19,4,FALSE)+(G832-1))</f>
        <v/>
      </c>
    </row>
    <row r="833" spans="1:15" s="1" customFormat="1" ht="15" customHeight="1" x14ac:dyDescent="0.25">
      <c r="A833" s="18" t="s">
        <v>638</v>
      </c>
      <c r="B833" s="18" t="s">
        <v>1102</v>
      </c>
      <c r="C833" s="6" t="s">
        <v>2036</v>
      </c>
      <c r="D833" s="4" t="s">
        <v>2853</v>
      </c>
      <c r="E833" s="4" t="s">
        <v>2</v>
      </c>
      <c r="F833" s="18">
        <v>2176</v>
      </c>
      <c r="G833" s="18" t="s">
        <v>3271</v>
      </c>
      <c r="H833" s="6" t="s">
        <v>2016</v>
      </c>
      <c r="I833" s="1">
        <v>9</v>
      </c>
      <c r="J833" s="1" t="s">
        <v>3271</v>
      </c>
      <c r="K833" s="3"/>
      <c r="L833" t="str">
        <f t="shared" si="12"/>
        <v/>
      </c>
      <c r="M833">
        <f>VLOOKUP(F833,Sheet2!$B$1:$E$19,2,FALSE)</f>
        <v>1073</v>
      </c>
      <c r="N833">
        <f>VLOOKUP(F833,Sheet2!$B$1:$E$19,3,FALSE)</f>
        <v>1108963</v>
      </c>
      <c r="O833" t="str">
        <f>IF(G833="Not available","",VLOOKUP(F833,Sheet2!$B$1:$E$19,4,FALSE)+(G833-1))</f>
        <v/>
      </c>
    </row>
    <row r="834" spans="1:15" s="1" customFormat="1" ht="15" customHeight="1" x14ac:dyDescent="0.25">
      <c r="A834" s="18" t="s">
        <v>638</v>
      </c>
      <c r="B834" s="18" t="s">
        <v>12</v>
      </c>
      <c r="C834" s="5" t="s">
        <v>1352</v>
      </c>
      <c r="D834" s="1" t="s">
        <v>64</v>
      </c>
      <c r="E834" s="1" t="s">
        <v>2</v>
      </c>
      <c r="F834" s="18">
        <v>2165</v>
      </c>
      <c r="G834" s="18">
        <v>64</v>
      </c>
      <c r="H834" s="5">
        <v>61</v>
      </c>
      <c r="I834" s="1">
        <v>81</v>
      </c>
      <c r="J834" s="1" t="s">
        <v>3271</v>
      </c>
      <c r="L834" t="str">
        <f t="shared" si="12"/>
        <v>http://www.badatelna.eu/reprodukce/?fondId=1073&amp;zaznamId=1108952&amp;reproId=3778925</v>
      </c>
      <c r="M834">
        <f>VLOOKUP(F834,Sheet2!$B$1:$E$19,2,FALSE)</f>
        <v>1073</v>
      </c>
      <c r="N834">
        <f>VLOOKUP(F834,Sheet2!$B$1:$E$19,3,FALSE)</f>
        <v>1108952</v>
      </c>
      <c r="O834">
        <f>IF(G834="Not available","",VLOOKUP(F834,Sheet2!$B$1:$E$19,4,FALSE)+(G834-1))</f>
        <v>3778925</v>
      </c>
    </row>
    <row r="835" spans="1:15" s="1" customFormat="1" ht="15" customHeight="1" x14ac:dyDescent="0.25">
      <c r="A835" s="18" t="s">
        <v>638</v>
      </c>
      <c r="B835" s="18" t="s">
        <v>2144</v>
      </c>
      <c r="C835" s="6" t="s">
        <v>2072</v>
      </c>
      <c r="D835" s="4" t="s">
        <v>2140</v>
      </c>
      <c r="E835" s="4" t="s">
        <v>2</v>
      </c>
      <c r="F835" s="18">
        <v>2176</v>
      </c>
      <c r="G835" s="18" t="s">
        <v>3271</v>
      </c>
      <c r="H835" s="6" t="s">
        <v>2145</v>
      </c>
      <c r="I835" s="1">
        <v>9</v>
      </c>
      <c r="J835" s="1" t="s">
        <v>3271</v>
      </c>
      <c r="K835" s="3"/>
      <c r="L835" t="str">
        <f t="shared" ref="L835:L898" si="13">IF(G835="Not available","","http://www.badatelna.eu/reprodukce/?fondId="&amp;M835&amp;"&amp;zaznamId="&amp;N835&amp;"&amp;reproId="&amp;O835)</f>
        <v/>
      </c>
      <c r="M835">
        <f>VLOOKUP(F835,Sheet2!$B$1:$E$19,2,FALSE)</f>
        <v>1073</v>
      </c>
      <c r="N835">
        <f>VLOOKUP(F835,Sheet2!$B$1:$E$19,3,FALSE)</f>
        <v>1108963</v>
      </c>
      <c r="O835" t="str">
        <f>IF(G835="Not available","",VLOOKUP(F835,Sheet2!$B$1:$E$19,4,FALSE)+(G835-1))</f>
        <v/>
      </c>
    </row>
    <row r="836" spans="1:15" s="1" customFormat="1" ht="15" customHeight="1" x14ac:dyDescent="0.25">
      <c r="A836" s="18" t="s">
        <v>638</v>
      </c>
      <c r="B836" s="18" t="s">
        <v>379</v>
      </c>
      <c r="C836" s="5">
        <v>1849</v>
      </c>
      <c r="D836" s="1" t="s">
        <v>60</v>
      </c>
      <c r="E836" s="1" t="s">
        <v>2</v>
      </c>
      <c r="F836" s="18">
        <v>2164</v>
      </c>
      <c r="G836" s="18">
        <v>44</v>
      </c>
      <c r="H836" s="5">
        <v>42</v>
      </c>
      <c r="I836" s="1">
        <v>125</v>
      </c>
      <c r="J836" s="1" t="s">
        <v>3271</v>
      </c>
      <c r="L836" t="str">
        <f t="shared" si="13"/>
        <v>http://www.badatelna.eu/reprodukce/?fondId=1073&amp;zaznamId=1108951&amp;reproId=3778758</v>
      </c>
      <c r="M836">
        <f>VLOOKUP(F836,Sheet2!$B$1:$E$19,2,FALSE)</f>
        <v>1073</v>
      </c>
      <c r="N836">
        <f>VLOOKUP(F836,Sheet2!$B$1:$E$19,3,FALSE)</f>
        <v>1108951</v>
      </c>
      <c r="O836">
        <f>IF(G836="Not available","",VLOOKUP(F836,Sheet2!$B$1:$E$19,4,FALSE)+(G836-1))</f>
        <v>3778758</v>
      </c>
    </row>
    <row r="837" spans="1:15" s="1" customFormat="1" ht="15" customHeight="1" x14ac:dyDescent="0.25">
      <c r="A837" s="18" t="s">
        <v>638</v>
      </c>
      <c r="B837" s="18" t="s">
        <v>1011</v>
      </c>
      <c r="C837" s="6" t="s">
        <v>1987</v>
      </c>
      <c r="D837" s="4" t="s">
        <v>2132</v>
      </c>
      <c r="E837" s="4" t="s">
        <v>2</v>
      </c>
      <c r="F837" s="18">
        <v>2176</v>
      </c>
      <c r="G837" s="18" t="s">
        <v>3271</v>
      </c>
      <c r="H837" s="6" t="s">
        <v>2133</v>
      </c>
      <c r="I837" s="1">
        <v>9</v>
      </c>
      <c r="J837" s="1" t="s">
        <v>3271</v>
      </c>
      <c r="L837" t="str">
        <f t="shared" si="13"/>
        <v/>
      </c>
      <c r="M837">
        <f>VLOOKUP(F837,Sheet2!$B$1:$E$19,2,FALSE)</f>
        <v>1073</v>
      </c>
      <c r="N837">
        <f>VLOOKUP(F837,Sheet2!$B$1:$E$19,3,FALSE)</f>
        <v>1108963</v>
      </c>
      <c r="O837" t="str">
        <f>IF(G837="Not available","",VLOOKUP(F837,Sheet2!$B$1:$E$19,4,FALSE)+(G837-1))</f>
        <v/>
      </c>
    </row>
    <row r="838" spans="1:15" s="1" customFormat="1" ht="15" customHeight="1" x14ac:dyDescent="0.25">
      <c r="A838" s="18" t="s">
        <v>638</v>
      </c>
      <c r="B838" s="18" t="s">
        <v>842</v>
      </c>
      <c r="C838" s="5">
        <v>1851</v>
      </c>
      <c r="D838" s="1" t="s">
        <v>60</v>
      </c>
      <c r="E838" s="1" t="s">
        <v>2</v>
      </c>
      <c r="F838" s="18">
        <v>2164</v>
      </c>
      <c r="G838" s="18">
        <v>74</v>
      </c>
      <c r="H838" s="5">
        <v>72</v>
      </c>
      <c r="I838" s="1">
        <v>125</v>
      </c>
      <c r="J838" s="1" t="s">
        <v>3271</v>
      </c>
      <c r="L838" t="str">
        <f t="shared" si="13"/>
        <v>http://www.badatelna.eu/reprodukce/?fondId=1073&amp;zaznamId=1108951&amp;reproId=3778788</v>
      </c>
      <c r="M838">
        <f>VLOOKUP(F838,Sheet2!$B$1:$E$19,2,FALSE)</f>
        <v>1073</v>
      </c>
      <c r="N838">
        <f>VLOOKUP(F838,Sheet2!$B$1:$E$19,3,FALSE)</f>
        <v>1108951</v>
      </c>
      <c r="O838">
        <f>IF(G838="Not available","",VLOOKUP(F838,Sheet2!$B$1:$E$19,4,FALSE)+(G838-1))</f>
        <v>3778788</v>
      </c>
    </row>
    <row r="839" spans="1:15" s="1" customFormat="1" ht="15" customHeight="1" x14ac:dyDescent="0.25">
      <c r="A839" s="18" t="s">
        <v>638</v>
      </c>
      <c r="B839" s="18" t="s">
        <v>212</v>
      </c>
      <c r="C839" s="5">
        <v>1847</v>
      </c>
      <c r="D839" s="1" t="s">
        <v>60</v>
      </c>
      <c r="E839" s="1" t="s">
        <v>2</v>
      </c>
      <c r="F839" s="18">
        <v>2164</v>
      </c>
      <c r="G839" s="18">
        <v>4</v>
      </c>
      <c r="H839" s="5">
        <v>2</v>
      </c>
      <c r="I839" s="1">
        <v>125</v>
      </c>
      <c r="J839" s="1" t="s">
        <v>3271</v>
      </c>
      <c r="L839" t="str">
        <f t="shared" si="13"/>
        <v>http://www.badatelna.eu/reprodukce/?fondId=1073&amp;zaznamId=1108951&amp;reproId=3778718</v>
      </c>
      <c r="M839">
        <f>VLOOKUP(F839,Sheet2!$B$1:$E$19,2,FALSE)</f>
        <v>1073</v>
      </c>
      <c r="N839">
        <f>VLOOKUP(F839,Sheet2!$B$1:$E$19,3,FALSE)</f>
        <v>1108951</v>
      </c>
      <c r="O839">
        <f>IF(G839="Not available","",VLOOKUP(F839,Sheet2!$B$1:$E$19,4,FALSE)+(G839-1))</f>
        <v>3778718</v>
      </c>
    </row>
    <row r="840" spans="1:15" s="1" customFormat="1" ht="15" customHeight="1" x14ac:dyDescent="0.25">
      <c r="A840" s="18" t="s">
        <v>638</v>
      </c>
      <c r="B840" s="18" t="s">
        <v>2027</v>
      </c>
      <c r="C840" s="6" t="s">
        <v>2041</v>
      </c>
      <c r="D840" s="4" t="s">
        <v>2138</v>
      </c>
      <c r="E840" s="4" t="s">
        <v>2</v>
      </c>
      <c r="F840" s="18">
        <v>2176</v>
      </c>
      <c r="G840" s="18" t="s">
        <v>3271</v>
      </c>
      <c r="H840" s="6" t="s">
        <v>1971</v>
      </c>
      <c r="I840" s="1">
        <v>9</v>
      </c>
      <c r="J840" s="1" t="s">
        <v>3271</v>
      </c>
      <c r="K840" s="3"/>
      <c r="L840" t="str">
        <f t="shared" si="13"/>
        <v/>
      </c>
      <c r="M840">
        <f>VLOOKUP(F840,Sheet2!$B$1:$E$19,2,FALSE)</f>
        <v>1073</v>
      </c>
      <c r="N840">
        <f>VLOOKUP(F840,Sheet2!$B$1:$E$19,3,FALSE)</f>
        <v>1108963</v>
      </c>
      <c r="O840" t="str">
        <f>IF(G840="Not available","",VLOOKUP(F840,Sheet2!$B$1:$E$19,4,FALSE)+(G840-1))</f>
        <v/>
      </c>
    </row>
    <row r="841" spans="1:15" s="1" customFormat="1" ht="15" customHeight="1" x14ac:dyDescent="0.25">
      <c r="A841" s="18" t="s">
        <v>638</v>
      </c>
      <c r="B841" s="18" t="s">
        <v>624</v>
      </c>
      <c r="C841" s="5">
        <v>1843</v>
      </c>
      <c r="D841" s="1" t="s">
        <v>60</v>
      </c>
      <c r="E841" s="1" t="s">
        <v>2</v>
      </c>
      <c r="F841" s="18">
        <v>2174</v>
      </c>
      <c r="G841" s="18">
        <v>141</v>
      </c>
      <c r="H841" s="6" t="s">
        <v>3204</v>
      </c>
      <c r="I841" s="1">
        <v>183</v>
      </c>
      <c r="J841" s="1">
        <v>208</v>
      </c>
      <c r="L841" t="str">
        <f t="shared" si="13"/>
        <v>http://www.badatelna.eu/reprodukce/?fondId=1073&amp;zaznamId=1108960&amp;reproId=3780365</v>
      </c>
      <c r="M841">
        <f>VLOOKUP(F841,Sheet2!$B$1:$E$19,2,FALSE)</f>
        <v>1073</v>
      </c>
      <c r="N841">
        <f>VLOOKUP(F841,Sheet2!$B$1:$E$19,3,FALSE)</f>
        <v>1108960</v>
      </c>
      <c r="O841">
        <f>IF(G841="Not available","",VLOOKUP(F841,Sheet2!$B$1:$E$19,4,FALSE)+(G841-1))</f>
        <v>3780365</v>
      </c>
    </row>
    <row r="842" spans="1:15" s="1" customFormat="1" ht="15" customHeight="1" x14ac:dyDescent="0.25">
      <c r="A842" s="18" t="s">
        <v>638</v>
      </c>
      <c r="B842" s="18" t="s">
        <v>2141</v>
      </c>
      <c r="C842" s="6" t="s">
        <v>2043</v>
      </c>
      <c r="D842" s="4" t="s">
        <v>2140</v>
      </c>
      <c r="E842" s="4" t="s">
        <v>2</v>
      </c>
      <c r="F842" s="18">
        <v>2176</v>
      </c>
      <c r="G842" s="18" t="s">
        <v>3271</v>
      </c>
      <c r="H842" s="6" t="s">
        <v>2142</v>
      </c>
      <c r="I842" s="1">
        <v>9</v>
      </c>
      <c r="J842" s="1" t="s">
        <v>3271</v>
      </c>
      <c r="K842" s="3"/>
      <c r="L842" t="str">
        <f t="shared" si="13"/>
        <v/>
      </c>
      <c r="M842">
        <f>VLOOKUP(F842,Sheet2!$B$1:$E$19,2,FALSE)</f>
        <v>1073</v>
      </c>
      <c r="N842">
        <f>VLOOKUP(F842,Sheet2!$B$1:$E$19,3,FALSE)</f>
        <v>1108963</v>
      </c>
      <c r="O842" t="str">
        <f>IF(G842="Not available","",VLOOKUP(F842,Sheet2!$B$1:$E$19,4,FALSE)+(G842-1))</f>
        <v/>
      </c>
    </row>
    <row r="843" spans="1:15" s="1" customFormat="1" ht="15" customHeight="1" x14ac:dyDescent="0.25">
      <c r="A843" s="18" t="s">
        <v>638</v>
      </c>
      <c r="B843" s="18" t="s">
        <v>2143</v>
      </c>
      <c r="C843" s="6" t="s">
        <v>2052</v>
      </c>
      <c r="D843" s="4" t="s">
        <v>2140</v>
      </c>
      <c r="E843" s="4" t="s">
        <v>2</v>
      </c>
      <c r="F843" s="18">
        <v>2176</v>
      </c>
      <c r="G843" s="18" t="s">
        <v>3271</v>
      </c>
      <c r="H843" s="6" t="s">
        <v>2051</v>
      </c>
      <c r="I843" s="1">
        <v>9</v>
      </c>
      <c r="J843" s="1" t="s">
        <v>3271</v>
      </c>
      <c r="K843" s="3"/>
      <c r="L843" t="str">
        <f t="shared" si="13"/>
        <v/>
      </c>
      <c r="M843">
        <f>VLOOKUP(F843,Sheet2!$B$1:$E$19,2,FALSE)</f>
        <v>1073</v>
      </c>
      <c r="N843">
        <f>VLOOKUP(F843,Sheet2!$B$1:$E$19,3,FALSE)</f>
        <v>1108963</v>
      </c>
      <c r="O843" t="str">
        <f>IF(G843="Not available","",VLOOKUP(F843,Sheet2!$B$1:$E$19,4,FALSE)+(G843-1))</f>
        <v/>
      </c>
    </row>
    <row r="844" spans="1:15" s="1" customFormat="1" ht="15" customHeight="1" x14ac:dyDescent="0.25">
      <c r="A844" s="18" t="s">
        <v>638</v>
      </c>
      <c r="B844" s="18" t="s">
        <v>214</v>
      </c>
      <c r="C844" s="5" t="s">
        <v>1348</v>
      </c>
      <c r="D844" s="1" t="s">
        <v>64</v>
      </c>
      <c r="E844" s="1" t="s">
        <v>2</v>
      </c>
      <c r="F844" s="18">
        <v>2165</v>
      </c>
      <c r="G844" s="18">
        <v>27</v>
      </c>
      <c r="H844" s="5">
        <v>24</v>
      </c>
      <c r="I844" s="1">
        <v>81</v>
      </c>
      <c r="J844" s="1" t="s">
        <v>3271</v>
      </c>
      <c r="L844" t="str">
        <f t="shared" si="13"/>
        <v>http://www.badatelna.eu/reprodukce/?fondId=1073&amp;zaznamId=1108952&amp;reproId=3778888</v>
      </c>
      <c r="M844">
        <f>VLOOKUP(F844,Sheet2!$B$1:$E$19,2,FALSE)</f>
        <v>1073</v>
      </c>
      <c r="N844">
        <f>VLOOKUP(F844,Sheet2!$B$1:$E$19,3,FALSE)</f>
        <v>1108952</v>
      </c>
      <c r="O844">
        <f>IF(G844="Not available","",VLOOKUP(F844,Sheet2!$B$1:$E$19,4,FALSE)+(G844-1))</f>
        <v>3778888</v>
      </c>
    </row>
    <row r="845" spans="1:15" s="1" customFormat="1" ht="15" customHeight="1" x14ac:dyDescent="0.25">
      <c r="A845" s="18" t="s">
        <v>638</v>
      </c>
      <c r="B845" s="18" t="s">
        <v>476</v>
      </c>
      <c r="C845" s="5">
        <v>1849</v>
      </c>
      <c r="D845" s="1" t="s">
        <v>4</v>
      </c>
      <c r="E845" s="1" t="s">
        <v>2</v>
      </c>
      <c r="F845" s="18">
        <v>2164</v>
      </c>
      <c r="G845" s="18">
        <v>68</v>
      </c>
      <c r="H845" s="5">
        <v>66</v>
      </c>
      <c r="I845" s="1">
        <v>125</v>
      </c>
      <c r="J845" s="1" t="s">
        <v>3271</v>
      </c>
      <c r="L845" t="str">
        <f t="shared" si="13"/>
        <v>http://www.badatelna.eu/reprodukce/?fondId=1073&amp;zaznamId=1108951&amp;reproId=3778782</v>
      </c>
      <c r="M845">
        <f>VLOOKUP(F845,Sheet2!$B$1:$E$19,2,FALSE)</f>
        <v>1073</v>
      </c>
      <c r="N845">
        <f>VLOOKUP(F845,Sheet2!$B$1:$E$19,3,FALSE)</f>
        <v>1108951</v>
      </c>
      <c r="O845">
        <f>IF(G845="Not available","",VLOOKUP(F845,Sheet2!$B$1:$E$19,4,FALSE)+(G845-1))</f>
        <v>3778782</v>
      </c>
    </row>
    <row r="846" spans="1:15" s="1" customFormat="1" ht="15" customHeight="1" x14ac:dyDescent="0.25">
      <c r="A846" s="18" t="s">
        <v>638</v>
      </c>
      <c r="B846" s="18" t="s">
        <v>1121</v>
      </c>
      <c r="C846" s="6" t="s">
        <v>2074</v>
      </c>
      <c r="D846" s="4" t="s">
        <v>2140</v>
      </c>
      <c r="E846" s="4" t="s">
        <v>2</v>
      </c>
      <c r="F846" s="18">
        <v>2176</v>
      </c>
      <c r="G846" s="18" t="s">
        <v>3271</v>
      </c>
      <c r="H846" s="6" t="s">
        <v>2146</v>
      </c>
      <c r="I846" s="1">
        <v>9</v>
      </c>
      <c r="J846" s="1" t="s">
        <v>3271</v>
      </c>
      <c r="K846" s="3"/>
      <c r="L846" t="str">
        <f t="shared" si="13"/>
        <v/>
      </c>
      <c r="M846">
        <f>VLOOKUP(F846,Sheet2!$B$1:$E$19,2,FALSE)</f>
        <v>1073</v>
      </c>
      <c r="N846">
        <f>VLOOKUP(F846,Sheet2!$B$1:$E$19,3,FALSE)</f>
        <v>1108963</v>
      </c>
      <c r="O846" t="str">
        <f>IF(G846="Not available","",VLOOKUP(F846,Sheet2!$B$1:$E$19,4,FALSE)+(G846-1))</f>
        <v/>
      </c>
    </row>
    <row r="847" spans="1:15" s="1" customFormat="1" ht="15" customHeight="1" x14ac:dyDescent="0.25">
      <c r="A847" s="18" t="s">
        <v>638</v>
      </c>
      <c r="B847" s="18" t="s">
        <v>1033</v>
      </c>
      <c r="C847" s="6" t="s">
        <v>2043</v>
      </c>
      <c r="D847" s="4" t="s">
        <v>2138</v>
      </c>
      <c r="E847" s="4" t="s">
        <v>2</v>
      </c>
      <c r="F847" s="18">
        <v>2176</v>
      </c>
      <c r="G847" s="18" t="s">
        <v>3271</v>
      </c>
      <c r="H847" s="6" t="s">
        <v>1974</v>
      </c>
      <c r="I847" s="1">
        <v>9</v>
      </c>
      <c r="J847" s="1" t="s">
        <v>3271</v>
      </c>
      <c r="K847" s="3"/>
      <c r="L847" t="str">
        <f t="shared" si="13"/>
        <v/>
      </c>
      <c r="M847">
        <f>VLOOKUP(F847,Sheet2!$B$1:$E$19,2,FALSE)</f>
        <v>1073</v>
      </c>
      <c r="N847">
        <f>VLOOKUP(F847,Sheet2!$B$1:$E$19,3,FALSE)</f>
        <v>1108963</v>
      </c>
      <c r="O847" t="str">
        <f>IF(G847="Not available","",VLOOKUP(F847,Sheet2!$B$1:$E$19,4,FALSE)+(G847-1))</f>
        <v/>
      </c>
    </row>
    <row r="848" spans="1:15" s="1" customFormat="1" ht="15" customHeight="1" x14ac:dyDescent="0.25">
      <c r="A848" s="18" t="s">
        <v>638</v>
      </c>
      <c r="B848" s="18" t="s">
        <v>398</v>
      </c>
      <c r="C848" s="5">
        <v>1860</v>
      </c>
      <c r="E848" s="1" t="s">
        <v>939</v>
      </c>
      <c r="F848" s="18">
        <v>999</v>
      </c>
      <c r="G848" s="18">
        <v>25</v>
      </c>
      <c r="H848" s="5">
        <v>23</v>
      </c>
      <c r="I848" s="1">
        <v>64</v>
      </c>
      <c r="J848" s="1">
        <v>98</v>
      </c>
      <c r="L848" t="str">
        <f t="shared" si="13"/>
        <v>http://www.badatelna.eu/reprodukce/?fondId=241&amp;zaznamId=1133739&amp;reproId=3885754</v>
      </c>
      <c r="M848">
        <f>VLOOKUP(F848,Sheet2!$B$1:$E$19,2,FALSE)</f>
        <v>241</v>
      </c>
      <c r="N848">
        <f>VLOOKUP(F848,Sheet2!$B$1:$E$19,3,FALSE)</f>
        <v>1133739</v>
      </c>
      <c r="O848">
        <f>IF(G848="Not available","",VLOOKUP(F848,Sheet2!$B$1:$E$19,4,FALSE)+(G848-1))</f>
        <v>3885754</v>
      </c>
    </row>
    <row r="849" spans="1:15" s="1" customFormat="1" ht="15" customHeight="1" x14ac:dyDescent="0.25">
      <c r="A849" s="18" t="s">
        <v>638</v>
      </c>
      <c r="B849" s="18" t="s">
        <v>593</v>
      </c>
      <c r="C849" s="5" t="s">
        <v>1353</v>
      </c>
      <c r="D849" s="1" t="s">
        <v>64</v>
      </c>
      <c r="E849" s="1" t="s">
        <v>2</v>
      </c>
      <c r="F849" s="18">
        <v>2165</v>
      </c>
      <c r="G849" s="18">
        <v>69</v>
      </c>
      <c r="H849" s="5">
        <v>66</v>
      </c>
      <c r="I849" s="1">
        <v>81</v>
      </c>
      <c r="J849" s="1" t="s">
        <v>3271</v>
      </c>
      <c r="L849" t="str">
        <f t="shared" si="13"/>
        <v>http://www.badatelna.eu/reprodukce/?fondId=1073&amp;zaznamId=1108952&amp;reproId=3778930</v>
      </c>
      <c r="M849">
        <f>VLOOKUP(F849,Sheet2!$B$1:$E$19,2,FALSE)</f>
        <v>1073</v>
      </c>
      <c r="N849">
        <f>VLOOKUP(F849,Sheet2!$B$1:$E$19,3,FALSE)</f>
        <v>1108952</v>
      </c>
      <c r="O849">
        <f>IF(G849="Not available","",VLOOKUP(F849,Sheet2!$B$1:$E$19,4,FALSE)+(G849-1))</f>
        <v>3778930</v>
      </c>
    </row>
    <row r="850" spans="1:15" s="1" customFormat="1" ht="15" customHeight="1" x14ac:dyDescent="0.25">
      <c r="A850" s="18" t="s">
        <v>638</v>
      </c>
      <c r="B850" s="18" t="s">
        <v>656</v>
      </c>
      <c r="C850" s="5">
        <v>1862</v>
      </c>
      <c r="E850" s="1" t="s">
        <v>939</v>
      </c>
      <c r="F850" s="18">
        <v>999</v>
      </c>
      <c r="G850" s="18">
        <v>37</v>
      </c>
      <c r="H850" s="5">
        <v>35</v>
      </c>
      <c r="I850" s="1">
        <v>64</v>
      </c>
      <c r="J850" s="1">
        <v>98</v>
      </c>
      <c r="L850" t="str">
        <f t="shared" si="13"/>
        <v>http://www.badatelna.eu/reprodukce/?fondId=241&amp;zaznamId=1133739&amp;reproId=3885766</v>
      </c>
      <c r="M850">
        <f>VLOOKUP(F850,Sheet2!$B$1:$E$19,2,FALSE)</f>
        <v>241</v>
      </c>
      <c r="N850">
        <f>VLOOKUP(F850,Sheet2!$B$1:$E$19,3,FALSE)</f>
        <v>1133739</v>
      </c>
      <c r="O850">
        <f>IF(G850="Not available","",VLOOKUP(F850,Sheet2!$B$1:$E$19,4,FALSE)+(G850-1))</f>
        <v>3885766</v>
      </c>
    </row>
    <row r="851" spans="1:15" s="1" customFormat="1" ht="15" customHeight="1" x14ac:dyDescent="0.25">
      <c r="A851" s="18" t="s">
        <v>638</v>
      </c>
      <c r="B851" s="18" t="s">
        <v>44</v>
      </c>
      <c r="C851" s="5">
        <v>1857</v>
      </c>
      <c r="D851" s="1" t="s">
        <v>60</v>
      </c>
      <c r="E851" s="1" t="s">
        <v>2</v>
      </c>
      <c r="F851" s="18">
        <v>2164</v>
      </c>
      <c r="G851" s="18">
        <v>119</v>
      </c>
      <c r="H851" s="5">
        <v>117</v>
      </c>
      <c r="I851" s="1">
        <v>125</v>
      </c>
      <c r="J851" s="1" t="s">
        <v>3271</v>
      </c>
      <c r="L851" t="str">
        <f t="shared" si="13"/>
        <v>http://www.badatelna.eu/reprodukce/?fondId=1073&amp;zaznamId=1108951&amp;reproId=3778833</v>
      </c>
      <c r="M851">
        <f>VLOOKUP(F851,Sheet2!$B$1:$E$19,2,FALSE)</f>
        <v>1073</v>
      </c>
      <c r="N851">
        <f>VLOOKUP(F851,Sheet2!$B$1:$E$19,3,FALSE)</f>
        <v>1108951</v>
      </c>
      <c r="O851">
        <f>IF(G851="Not available","",VLOOKUP(F851,Sheet2!$B$1:$E$19,4,FALSE)+(G851-1))</f>
        <v>3778833</v>
      </c>
    </row>
    <row r="852" spans="1:15" s="1" customFormat="1" ht="15" customHeight="1" x14ac:dyDescent="0.25">
      <c r="A852" s="18" t="s">
        <v>638</v>
      </c>
      <c r="B852" s="18" t="s">
        <v>924</v>
      </c>
      <c r="C852" s="5">
        <v>1866</v>
      </c>
      <c r="E852" s="1" t="s">
        <v>939</v>
      </c>
      <c r="F852" s="18">
        <v>999</v>
      </c>
      <c r="G852" s="18">
        <v>60</v>
      </c>
      <c r="H852" s="5">
        <v>58</v>
      </c>
      <c r="I852" s="1">
        <v>64</v>
      </c>
      <c r="J852" s="1">
        <v>98</v>
      </c>
      <c r="L852" t="str">
        <f t="shared" si="13"/>
        <v>http://www.badatelna.eu/reprodukce/?fondId=241&amp;zaznamId=1133739&amp;reproId=3885789</v>
      </c>
      <c r="M852">
        <f>VLOOKUP(F852,Sheet2!$B$1:$E$19,2,FALSE)</f>
        <v>241</v>
      </c>
      <c r="N852">
        <f>VLOOKUP(F852,Sheet2!$B$1:$E$19,3,FALSE)</f>
        <v>1133739</v>
      </c>
      <c r="O852">
        <f>IF(G852="Not available","",VLOOKUP(F852,Sheet2!$B$1:$E$19,4,FALSE)+(G852-1))</f>
        <v>3885789</v>
      </c>
    </row>
    <row r="853" spans="1:15" s="1" customFormat="1" ht="15" customHeight="1" x14ac:dyDescent="0.25">
      <c r="A853" s="18" t="s">
        <v>638</v>
      </c>
      <c r="B853" s="18" t="s">
        <v>924</v>
      </c>
      <c r="C853" s="5" t="s">
        <v>1347</v>
      </c>
      <c r="D853" s="1" t="s">
        <v>64</v>
      </c>
      <c r="E853" s="1" t="s">
        <v>2</v>
      </c>
      <c r="F853" s="18">
        <v>2165</v>
      </c>
      <c r="G853" s="18">
        <v>15</v>
      </c>
      <c r="H853" s="5">
        <v>12</v>
      </c>
      <c r="I853" s="1">
        <v>81</v>
      </c>
      <c r="J853" s="1" t="s">
        <v>3271</v>
      </c>
      <c r="L853" t="str">
        <f t="shared" si="13"/>
        <v>http://www.badatelna.eu/reprodukce/?fondId=1073&amp;zaznamId=1108952&amp;reproId=3778876</v>
      </c>
      <c r="M853">
        <f>VLOOKUP(F853,Sheet2!$B$1:$E$19,2,FALSE)</f>
        <v>1073</v>
      </c>
      <c r="N853">
        <f>VLOOKUP(F853,Sheet2!$B$1:$E$19,3,FALSE)</f>
        <v>1108952</v>
      </c>
      <c r="O853">
        <f>IF(G853="Not available","",VLOOKUP(F853,Sheet2!$B$1:$E$19,4,FALSE)+(G853-1))</f>
        <v>3778876</v>
      </c>
    </row>
    <row r="854" spans="1:15" s="1" customFormat="1" ht="15" customHeight="1" x14ac:dyDescent="0.25">
      <c r="A854" s="18" t="s">
        <v>638</v>
      </c>
      <c r="B854" s="18" t="s">
        <v>304</v>
      </c>
      <c r="C854" s="5">
        <v>1852</v>
      </c>
      <c r="D854" s="1" t="s">
        <v>700</v>
      </c>
      <c r="E854" s="1" t="s">
        <v>2</v>
      </c>
      <c r="F854" s="18">
        <v>2164</v>
      </c>
      <c r="G854" s="18">
        <v>83</v>
      </c>
      <c r="H854" s="5">
        <v>81</v>
      </c>
      <c r="I854" s="1">
        <v>125</v>
      </c>
      <c r="J854" s="1" t="s">
        <v>3271</v>
      </c>
      <c r="L854" t="str">
        <f t="shared" si="13"/>
        <v>http://www.badatelna.eu/reprodukce/?fondId=1073&amp;zaznamId=1108951&amp;reproId=3778797</v>
      </c>
      <c r="M854">
        <f>VLOOKUP(F854,Sheet2!$B$1:$E$19,2,FALSE)</f>
        <v>1073</v>
      </c>
      <c r="N854">
        <f>VLOOKUP(F854,Sheet2!$B$1:$E$19,3,FALSE)</f>
        <v>1108951</v>
      </c>
      <c r="O854">
        <f>IF(G854="Not available","",VLOOKUP(F854,Sheet2!$B$1:$E$19,4,FALSE)+(G854-1))</f>
        <v>3778797</v>
      </c>
    </row>
    <row r="855" spans="1:15" s="1" customFormat="1" ht="15" customHeight="1" x14ac:dyDescent="0.25">
      <c r="A855" s="18" t="s">
        <v>638</v>
      </c>
      <c r="B855" s="18" t="s">
        <v>58</v>
      </c>
      <c r="C855" s="5">
        <v>1855</v>
      </c>
      <c r="D855" s="1" t="s">
        <v>60</v>
      </c>
      <c r="E855" s="1" t="s">
        <v>2</v>
      </c>
      <c r="F855" s="18">
        <v>2164</v>
      </c>
      <c r="G855" s="18">
        <v>106</v>
      </c>
      <c r="H855" s="5">
        <v>104</v>
      </c>
      <c r="I855" s="1">
        <v>125</v>
      </c>
      <c r="J855" s="1" t="s">
        <v>3271</v>
      </c>
      <c r="L855" t="str">
        <f t="shared" si="13"/>
        <v>http://www.badatelna.eu/reprodukce/?fondId=1073&amp;zaznamId=1108951&amp;reproId=3778820</v>
      </c>
      <c r="M855">
        <f>VLOOKUP(F855,Sheet2!$B$1:$E$19,2,FALSE)</f>
        <v>1073</v>
      </c>
      <c r="N855">
        <f>VLOOKUP(F855,Sheet2!$B$1:$E$19,3,FALSE)</f>
        <v>1108951</v>
      </c>
      <c r="O855">
        <f>IF(G855="Not available","",VLOOKUP(F855,Sheet2!$B$1:$E$19,4,FALSE)+(G855-1))</f>
        <v>3778820</v>
      </c>
    </row>
    <row r="856" spans="1:15" s="1" customFormat="1" ht="15" customHeight="1" x14ac:dyDescent="0.25">
      <c r="A856" s="18" t="s">
        <v>638</v>
      </c>
      <c r="B856" s="18" t="s">
        <v>542</v>
      </c>
      <c r="C856" s="5">
        <v>1845</v>
      </c>
      <c r="D856" s="1" t="s">
        <v>60</v>
      </c>
      <c r="E856" s="1" t="s">
        <v>2</v>
      </c>
      <c r="F856" s="18">
        <v>2174</v>
      </c>
      <c r="G856" s="18">
        <v>158</v>
      </c>
      <c r="H856" s="6" t="s">
        <v>3224</v>
      </c>
      <c r="I856" s="1">
        <v>183</v>
      </c>
      <c r="J856" s="1">
        <v>208</v>
      </c>
      <c r="L856" t="str">
        <f t="shared" si="13"/>
        <v>http://www.badatelna.eu/reprodukce/?fondId=1073&amp;zaznamId=1108960&amp;reproId=3780382</v>
      </c>
      <c r="M856">
        <f>VLOOKUP(F856,Sheet2!$B$1:$E$19,2,FALSE)</f>
        <v>1073</v>
      </c>
      <c r="N856">
        <f>VLOOKUP(F856,Sheet2!$B$1:$E$19,3,FALSE)</f>
        <v>1108960</v>
      </c>
      <c r="O856">
        <f>IF(G856="Not available","",VLOOKUP(F856,Sheet2!$B$1:$E$19,4,FALSE)+(G856-1))</f>
        <v>3780382</v>
      </c>
    </row>
    <row r="857" spans="1:15" s="1" customFormat="1" ht="15" customHeight="1" x14ac:dyDescent="0.25">
      <c r="A857" s="18" t="s">
        <v>638</v>
      </c>
      <c r="B857" s="18" t="s">
        <v>1171</v>
      </c>
      <c r="C857" s="6" t="s">
        <v>2074</v>
      </c>
      <c r="D857" s="4" t="s">
        <v>2138</v>
      </c>
      <c r="E857" s="4" t="s">
        <v>2</v>
      </c>
      <c r="F857" s="18">
        <v>2176</v>
      </c>
      <c r="G857" s="18" t="s">
        <v>3271</v>
      </c>
      <c r="H857" s="6" t="s">
        <v>2145</v>
      </c>
      <c r="I857" s="1">
        <v>9</v>
      </c>
      <c r="J857" s="1" t="s">
        <v>3271</v>
      </c>
      <c r="K857" s="3"/>
      <c r="L857" t="str">
        <f t="shared" si="13"/>
        <v/>
      </c>
      <c r="M857">
        <f>VLOOKUP(F857,Sheet2!$B$1:$E$19,2,FALSE)</f>
        <v>1073</v>
      </c>
      <c r="N857">
        <f>VLOOKUP(F857,Sheet2!$B$1:$E$19,3,FALSE)</f>
        <v>1108963</v>
      </c>
      <c r="O857" t="str">
        <f>IF(G857="Not available","",VLOOKUP(F857,Sheet2!$B$1:$E$19,4,FALSE)+(G857-1))</f>
        <v/>
      </c>
    </row>
    <row r="858" spans="1:15" s="1" customFormat="1" ht="15" customHeight="1" x14ac:dyDescent="0.25">
      <c r="A858" s="18" t="s">
        <v>638</v>
      </c>
      <c r="B858" s="18" t="s">
        <v>773</v>
      </c>
      <c r="C858" s="5">
        <v>1855</v>
      </c>
      <c r="D858" s="1" t="s">
        <v>60</v>
      </c>
      <c r="E858" s="1" t="s">
        <v>2</v>
      </c>
      <c r="F858" s="18">
        <v>2164</v>
      </c>
      <c r="G858" s="18">
        <v>97</v>
      </c>
      <c r="H858" s="5">
        <v>95</v>
      </c>
      <c r="I858" s="1">
        <v>125</v>
      </c>
      <c r="J858" s="1" t="s">
        <v>3271</v>
      </c>
      <c r="L858" t="str">
        <f t="shared" si="13"/>
        <v>http://www.badatelna.eu/reprodukce/?fondId=1073&amp;zaznamId=1108951&amp;reproId=3778811</v>
      </c>
      <c r="M858">
        <f>VLOOKUP(F858,Sheet2!$B$1:$E$19,2,FALSE)</f>
        <v>1073</v>
      </c>
      <c r="N858">
        <f>VLOOKUP(F858,Sheet2!$B$1:$E$19,3,FALSE)</f>
        <v>1108951</v>
      </c>
      <c r="O858">
        <f>IF(G858="Not available","",VLOOKUP(F858,Sheet2!$B$1:$E$19,4,FALSE)+(G858-1))</f>
        <v>3778811</v>
      </c>
    </row>
    <row r="859" spans="1:15" s="1" customFormat="1" ht="15" customHeight="1" x14ac:dyDescent="0.25">
      <c r="A859" s="18" t="s">
        <v>2156</v>
      </c>
      <c r="B859" s="18" t="s">
        <v>1043</v>
      </c>
      <c r="C859" s="6" t="s">
        <v>2097</v>
      </c>
      <c r="D859" s="4" t="s">
        <v>2157</v>
      </c>
      <c r="E859" s="4" t="s">
        <v>2</v>
      </c>
      <c r="F859" s="18">
        <v>2176</v>
      </c>
      <c r="G859" s="18" t="s">
        <v>3271</v>
      </c>
      <c r="H859" s="6" t="s">
        <v>1955</v>
      </c>
      <c r="I859" s="1">
        <v>10</v>
      </c>
      <c r="J859" s="1" t="s">
        <v>3271</v>
      </c>
      <c r="K859" s="3"/>
      <c r="L859" t="str">
        <f t="shared" si="13"/>
        <v/>
      </c>
      <c r="M859">
        <f>VLOOKUP(F859,Sheet2!$B$1:$E$19,2,FALSE)</f>
        <v>1073</v>
      </c>
      <c r="N859">
        <f>VLOOKUP(F859,Sheet2!$B$1:$E$19,3,FALSE)</f>
        <v>1108963</v>
      </c>
      <c r="O859" t="str">
        <f>IF(G859="Not available","",VLOOKUP(F859,Sheet2!$B$1:$E$19,4,FALSE)+(G859-1))</f>
        <v/>
      </c>
    </row>
    <row r="860" spans="1:15" s="1" customFormat="1" ht="15" customHeight="1" x14ac:dyDescent="0.25">
      <c r="A860" s="18" t="s">
        <v>2156</v>
      </c>
      <c r="B860" s="18" t="s">
        <v>2144</v>
      </c>
      <c r="C860" s="6" t="s">
        <v>2106</v>
      </c>
      <c r="D860" s="4" t="s">
        <v>2157</v>
      </c>
      <c r="E860" s="4" t="s">
        <v>2</v>
      </c>
      <c r="F860" s="18">
        <v>2176</v>
      </c>
      <c r="G860" s="18" t="s">
        <v>3271</v>
      </c>
      <c r="H860" s="6" t="s">
        <v>1954</v>
      </c>
      <c r="I860" s="1">
        <v>10</v>
      </c>
      <c r="J860" s="1" t="s">
        <v>3271</v>
      </c>
      <c r="K860" s="3"/>
      <c r="L860" t="str">
        <f t="shared" si="13"/>
        <v/>
      </c>
      <c r="M860">
        <f>VLOOKUP(F860,Sheet2!$B$1:$E$19,2,FALSE)</f>
        <v>1073</v>
      </c>
      <c r="N860">
        <f>VLOOKUP(F860,Sheet2!$B$1:$E$19,3,FALSE)</f>
        <v>1108963</v>
      </c>
      <c r="O860" t="str">
        <f>IF(G860="Not available","",VLOOKUP(F860,Sheet2!$B$1:$E$19,4,FALSE)+(G860-1))</f>
        <v/>
      </c>
    </row>
    <row r="861" spans="1:15" s="1" customFormat="1" ht="15" customHeight="1" x14ac:dyDescent="0.25">
      <c r="A861" s="18" t="s">
        <v>1257</v>
      </c>
      <c r="B861" s="18" t="s">
        <v>293</v>
      </c>
      <c r="C861" s="14" t="s">
        <v>2097</v>
      </c>
      <c r="D861" s="4" t="s">
        <v>65</v>
      </c>
      <c r="E861" s="1" t="s">
        <v>2</v>
      </c>
      <c r="F861" s="18">
        <v>2165</v>
      </c>
      <c r="G861" s="18">
        <v>292</v>
      </c>
      <c r="H861" s="5">
        <v>1</v>
      </c>
      <c r="I861" s="1">
        <v>295</v>
      </c>
      <c r="J861" s="1">
        <v>268</v>
      </c>
      <c r="L861" t="str">
        <f t="shared" si="13"/>
        <v>http://www.badatelna.eu/reprodukce/?fondId=1073&amp;zaznamId=1108952&amp;reproId=3779153</v>
      </c>
      <c r="M861">
        <f>VLOOKUP(F861,Sheet2!$B$1:$E$19,2,FALSE)</f>
        <v>1073</v>
      </c>
      <c r="N861">
        <f>VLOOKUP(F861,Sheet2!$B$1:$E$19,3,FALSE)</f>
        <v>1108952</v>
      </c>
      <c r="O861">
        <f>IF(G861="Not available","",VLOOKUP(F861,Sheet2!$B$1:$E$19,4,FALSE)+(G861-1))</f>
        <v>3779153</v>
      </c>
    </row>
    <row r="862" spans="1:15" s="1" customFormat="1" ht="15" customHeight="1" x14ac:dyDescent="0.25">
      <c r="A862" s="18" t="s">
        <v>1216</v>
      </c>
      <c r="B862" s="18" t="s">
        <v>985</v>
      </c>
      <c r="C862" s="5" t="s">
        <v>1838</v>
      </c>
      <c r="D862" s="1" t="s">
        <v>1115</v>
      </c>
      <c r="E862" s="1" t="s">
        <v>2</v>
      </c>
      <c r="F862" s="18">
        <v>2165</v>
      </c>
      <c r="G862" s="18">
        <v>256</v>
      </c>
      <c r="H862" s="5">
        <v>3</v>
      </c>
      <c r="I862" s="1">
        <v>252</v>
      </c>
      <c r="J862" s="1">
        <v>228</v>
      </c>
      <c r="L862" t="str">
        <f t="shared" si="13"/>
        <v>http://www.badatelna.eu/reprodukce/?fondId=1073&amp;zaznamId=1108952&amp;reproId=3779117</v>
      </c>
      <c r="M862">
        <f>VLOOKUP(F862,Sheet2!$B$1:$E$19,2,FALSE)</f>
        <v>1073</v>
      </c>
      <c r="N862">
        <f>VLOOKUP(F862,Sheet2!$B$1:$E$19,3,FALSE)</f>
        <v>1108952</v>
      </c>
      <c r="O862">
        <f>IF(G862="Not available","",VLOOKUP(F862,Sheet2!$B$1:$E$19,4,FALSE)+(G862-1))</f>
        <v>3779117</v>
      </c>
    </row>
    <row r="863" spans="1:15" s="1" customFormat="1" ht="15" customHeight="1" x14ac:dyDescent="0.25">
      <c r="A863" s="18" t="s">
        <v>1216</v>
      </c>
      <c r="B863" s="18" t="s">
        <v>2154</v>
      </c>
      <c r="C863" s="6" t="s">
        <v>1952</v>
      </c>
      <c r="D863" s="4" t="s">
        <v>2153</v>
      </c>
      <c r="E863" s="4" t="s">
        <v>2</v>
      </c>
      <c r="F863" s="18">
        <v>2176</v>
      </c>
      <c r="G863" s="18" t="s">
        <v>3271</v>
      </c>
      <c r="H863" s="6" t="s">
        <v>2080</v>
      </c>
      <c r="I863" s="1">
        <v>10</v>
      </c>
      <c r="J863" s="1" t="s">
        <v>3271</v>
      </c>
      <c r="K863" s="3"/>
      <c r="L863" t="str">
        <f t="shared" si="13"/>
        <v/>
      </c>
      <c r="M863">
        <f>VLOOKUP(F863,Sheet2!$B$1:$E$19,2,FALSE)</f>
        <v>1073</v>
      </c>
      <c r="N863">
        <f>VLOOKUP(F863,Sheet2!$B$1:$E$19,3,FALSE)</f>
        <v>1108963</v>
      </c>
      <c r="O863" t="str">
        <f>IF(G863="Not available","",VLOOKUP(F863,Sheet2!$B$1:$E$19,4,FALSE)+(G863-1))</f>
        <v/>
      </c>
    </row>
    <row r="864" spans="1:15" s="1" customFormat="1" ht="15" customHeight="1" x14ac:dyDescent="0.25">
      <c r="A864" s="18" t="s">
        <v>1216</v>
      </c>
      <c r="B864" s="18" t="s">
        <v>1217</v>
      </c>
      <c r="C864" s="6" t="s">
        <v>2081</v>
      </c>
      <c r="D864" s="4" t="s">
        <v>2153</v>
      </c>
      <c r="E864" s="4" t="s">
        <v>2</v>
      </c>
      <c r="F864" s="18">
        <v>2176</v>
      </c>
      <c r="G864" s="18" t="s">
        <v>3271</v>
      </c>
      <c r="H864" s="6" t="s">
        <v>1954</v>
      </c>
      <c r="I864" s="1">
        <v>10</v>
      </c>
      <c r="J864" s="1" t="s">
        <v>3271</v>
      </c>
      <c r="K864" s="3"/>
      <c r="L864" t="str">
        <f t="shared" si="13"/>
        <v/>
      </c>
      <c r="M864">
        <f>VLOOKUP(F864,Sheet2!$B$1:$E$19,2,FALSE)</f>
        <v>1073</v>
      </c>
      <c r="N864">
        <f>VLOOKUP(F864,Sheet2!$B$1:$E$19,3,FALSE)</f>
        <v>1108963</v>
      </c>
      <c r="O864" t="str">
        <f>IF(G864="Not available","",VLOOKUP(F864,Sheet2!$B$1:$E$19,4,FALSE)+(G864-1))</f>
        <v/>
      </c>
    </row>
    <row r="865" spans="1:15" s="1" customFormat="1" ht="15" customHeight="1" x14ac:dyDescent="0.25">
      <c r="A865" s="18" t="s">
        <v>1216</v>
      </c>
      <c r="B865" s="18" t="s">
        <v>1217</v>
      </c>
      <c r="C865" s="5" t="s">
        <v>1811</v>
      </c>
      <c r="D865" s="1" t="s">
        <v>1115</v>
      </c>
      <c r="E865" s="1" t="s">
        <v>2</v>
      </c>
      <c r="F865" s="18">
        <v>2165</v>
      </c>
      <c r="G865" s="18">
        <v>247</v>
      </c>
      <c r="H865" s="5">
        <v>1</v>
      </c>
      <c r="I865" s="1">
        <v>250</v>
      </c>
      <c r="J865" s="1">
        <v>226</v>
      </c>
      <c r="L865" t="str">
        <f t="shared" si="13"/>
        <v>http://www.badatelna.eu/reprodukce/?fondId=1073&amp;zaznamId=1108952&amp;reproId=3779108</v>
      </c>
      <c r="M865">
        <f>VLOOKUP(F865,Sheet2!$B$1:$E$19,2,FALSE)</f>
        <v>1073</v>
      </c>
      <c r="N865">
        <f>VLOOKUP(F865,Sheet2!$B$1:$E$19,3,FALSE)</f>
        <v>1108952</v>
      </c>
      <c r="O865">
        <f>IF(G865="Not available","",VLOOKUP(F865,Sheet2!$B$1:$E$19,4,FALSE)+(G865-1))</f>
        <v>3779108</v>
      </c>
    </row>
    <row r="866" spans="1:15" s="1" customFormat="1" ht="15" customHeight="1" x14ac:dyDescent="0.25">
      <c r="A866" s="18" t="s">
        <v>1280</v>
      </c>
      <c r="B866" s="18" t="s">
        <v>2161</v>
      </c>
      <c r="C866" s="6" t="s">
        <v>2160</v>
      </c>
      <c r="D866" s="4" t="s">
        <v>2162</v>
      </c>
      <c r="E866" s="4" t="s">
        <v>2</v>
      </c>
      <c r="F866" s="18">
        <v>2176</v>
      </c>
      <c r="G866" s="18" t="s">
        <v>3271</v>
      </c>
      <c r="H866" s="6" t="s">
        <v>1954</v>
      </c>
      <c r="I866" s="1">
        <v>10</v>
      </c>
      <c r="J866" s="1" t="s">
        <v>3271</v>
      </c>
      <c r="K866" s="3"/>
      <c r="L866" t="str">
        <f t="shared" si="13"/>
        <v/>
      </c>
      <c r="M866">
        <f>VLOOKUP(F866,Sheet2!$B$1:$E$19,2,FALSE)</f>
        <v>1073</v>
      </c>
      <c r="N866">
        <f>VLOOKUP(F866,Sheet2!$B$1:$E$19,3,FALSE)</f>
        <v>1108963</v>
      </c>
      <c r="O866" t="str">
        <f>IF(G866="Not available","",VLOOKUP(F866,Sheet2!$B$1:$E$19,4,FALSE)+(G866-1))</f>
        <v/>
      </c>
    </row>
    <row r="867" spans="1:15" s="1" customFormat="1" ht="15" customHeight="1" x14ac:dyDescent="0.25">
      <c r="A867" s="18" t="s">
        <v>1246</v>
      </c>
      <c r="B867" s="18" t="s">
        <v>1278</v>
      </c>
      <c r="C867" s="6" t="s">
        <v>2158</v>
      </c>
      <c r="D867" s="4" t="s">
        <v>432</v>
      </c>
      <c r="E867" s="1" t="s">
        <v>2</v>
      </c>
      <c r="F867" s="18">
        <v>2165</v>
      </c>
      <c r="G867" s="18">
        <v>313</v>
      </c>
      <c r="H867" s="5">
        <v>1</v>
      </c>
      <c r="I867" s="1">
        <v>314</v>
      </c>
      <c r="J867" s="1">
        <v>287</v>
      </c>
      <c r="L867" t="str">
        <f t="shared" si="13"/>
        <v>http://www.badatelna.eu/reprodukce/?fondId=1073&amp;zaznamId=1108952&amp;reproId=3779174</v>
      </c>
      <c r="M867">
        <f>VLOOKUP(F867,Sheet2!$B$1:$E$19,2,FALSE)</f>
        <v>1073</v>
      </c>
      <c r="N867">
        <f>VLOOKUP(F867,Sheet2!$B$1:$E$19,3,FALSE)</f>
        <v>1108952</v>
      </c>
      <c r="O867">
        <f>IF(G867="Not available","",VLOOKUP(F867,Sheet2!$B$1:$E$19,4,FALSE)+(G867-1))</f>
        <v>3779174</v>
      </c>
    </row>
    <row r="868" spans="1:15" s="1" customFormat="1" ht="15" customHeight="1" x14ac:dyDescent="0.25">
      <c r="A868" s="18" t="s">
        <v>1246</v>
      </c>
      <c r="B868" s="18" t="s">
        <v>1278</v>
      </c>
      <c r="C868" s="6" t="s">
        <v>2158</v>
      </c>
      <c r="D868" s="4" t="s">
        <v>2159</v>
      </c>
      <c r="E868" s="4" t="s">
        <v>2</v>
      </c>
      <c r="F868" s="18">
        <v>2176</v>
      </c>
      <c r="G868" s="18" t="s">
        <v>3271</v>
      </c>
      <c r="H868" s="6" t="s">
        <v>1954</v>
      </c>
      <c r="I868" s="1">
        <v>10</v>
      </c>
      <c r="J868" s="1" t="s">
        <v>3271</v>
      </c>
      <c r="K868" s="3"/>
      <c r="L868" t="str">
        <f t="shared" si="13"/>
        <v/>
      </c>
      <c r="M868">
        <f>VLOOKUP(F868,Sheet2!$B$1:$E$19,2,FALSE)</f>
        <v>1073</v>
      </c>
      <c r="N868">
        <f>VLOOKUP(F868,Sheet2!$B$1:$E$19,3,FALSE)</f>
        <v>1108963</v>
      </c>
      <c r="O868" t="str">
        <f>IF(G868="Not available","",VLOOKUP(F868,Sheet2!$B$1:$E$19,4,FALSE)+(G868-1))</f>
        <v/>
      </c>
    </row>
    <row r="869" spans="1:15" s="1" customFormat="1" ht="15" customHeight="1" x14ac:dyDescent="0.25">
      <c r="A869" s="18" t="s">
        <v>1246</v>
      </c>
      <c r="B869" s="18" t="s">
        <v>1152</v>
      </c>
      <c r="C869" s="6" t="s">
        <v>1957</v>
      </c>
      <c r="D869" s="4" t="s">
        <v>2155</v>
      </c>
      <c r="E869" s="4" t="s">
        <v>2</v>
      </c>
      <c r="F869" s="18">
        <v>2176</v>
      </c>
      <c r="G869" s="18" t="s">
        <v>3271</v>
      </c>
      <c r="H869" s="6" t="s">
        <v>2142</v>
      </c>
      <c r="I869" s="1">
        <v>10</v>
      </c>
      <c r="J869" s="1" t="s">
        <v>3271</v>
      </c>
      <c r="K869" s="3"/>
      <c r="L869" t="str">
        <f t="shared" si="13"/>
        <v/>
      </c>
      <c r="M869">
        <f>VLOOKUP(F869,Sheet2!$B$1:$E$19,2,FALSE)</f>
        <v>1073</v>
      </c>
      <c r="N869">
        <f>VLOOKUP(F869,Sheet2!$B$1:$E$19,3,FALSE)</f>
        <v>1108963</v>
      </c>
      <c r="O869" t="str">
        <f>IF(G869="Not available","",VLOOKUP(F869,Sheet2!$B$1:$E$19,4,FALSE)+(G869-1))</f>
        <v/>
      </c>
    </row>
    <row r="870" spans="1:15" s="1" customFormat="1" ht="15" customHeight="1" x14ac:dyDescent="0.25">
      <c r="A870" s="18" t="s">
        <v>1246</v>
      </c>
      <c r="B870" s="18" t="s">
        <v>1152</v>
      </c>
      <c r="C870" s="5" t="s">
        <v>1923</v>
      </c>
      <c r="D870" s="1" t="s">
        <v>214</v>
      </c>
      <c r="E870" s="1" t="s">
        <v>2</v>
      </c>
      <c r="F870" s="18">
        <v>2165</v>
      </c>
      <c r="G870" s="18">
        <v>281</v>
      </c>
      <c r="H870" s="5">
        <v>1</v>
      </c>
      <c r="I870" s="1">
        <v>284</v>
      </c>
      <c r="J870" s="1">
        <v>258</v>
      </c>
      <c r="L870" t="str">
        <f t="shared" si="13"/>
        <v>http://www.badatelna.eu/reprodukce/?fondId=1073&amp;zaznamId=1108952&amp;reproId=3779142</v>
      </c>
      <c r="M870">
        <f>VLOOKUP(F870,Sheet2!$B$1:$E$19,2,FALSE)</f>
        <v>1073</v>
      </c>
      <c r="N870">
        <f>VLOOKUP(F870,Sheet2!$B$1:$E$19,3,FALSE)</f>
        <v>1108952</v>
      </c>
      <c r="O870">
        <f>IF(G870="Not available","",VLOOKUP(F870,Sheet2!$B$1:$E$19,4,FALSE)+(G870-1))</f>
        <v>3779142</v>
      </c>
    </row>
    <row r="871" spans="1:15" s="1" customFormat="1" ht="15" customHeight="1" x14ac:dyDescent="0.25">
      <c r="A871" s="18" t="s">
        <v>1246</v>
      </c>
      <c r="B871" s="18" t="s">
        <v>197</v>
      </c>
      <c r="C871" s="5">
        <v>1860</v>
      </c>
      <c r="E871" s="1" t="s">
        <v>939</v>
      </c>
      <c r="F871" s="18">
        <v>999</v>
      </c>
      <c r="G871" s="18">
        <v>9</v>
      </c>
      <c r="H871" s="5">
        <v>7</v>
      </c>
      <c r="I871" s="1">
        <v>65</v>
      </c>
      <c r="J871" s="1">
        <v>99</v>
      </c>
      <c r="L871" t="str">
        <f t="shared" si="13"/>
        <v>http://www.badatelna.eu/reprodukce/?fondId=241&amp;zaznamId=1133739&amp;reproId=3885738</v>
      </c>
      <c r="M871">
        <f>VLOOKUP(F871,Sheet2!$B$1:$E$19,2,FALSE)</f>
        <v>241</v>
      </c>
      <c r="N871">
        <f>VLOOKUP(F871,Sheet2!$B$1:$E$19,3,FALSE)</f>
        <v>1133739</v>
      </c>
      <c r="O871">
        <f>IF(G871="Not available","",VLOOKUP(F871,Sheet2!$B$1:$E$19,4,FALSE)+(G871-1))</f>
        <v>3885738</v>
      </c>
    </row>
    <row r="872" spans="1:15" s="1" customFormat="1" ht="15" customHeight="1" x14ac:dyDescent="0.25">
      <c r="A872" s="18" t="s">
        <v>171</v>
      </c>
      <c r="B872" s="18" t="s">
        <v>10</v>
      </c>
      <c r="C872" s="5">
        <v>1823</v>
      </c>
      <c r="E872" s="1" t="s">
        <v>2</v>
      </c>
      <c r="F872" s="18">
        <v>2173</v>
      </c>
      <c r="G872" s="18">
        <v>74</v>
      </c>
      <c r="H872" s="5">
        <v>141</v>
      </c>
      <c r="I872" s="1">
        <v>95</v>
      </c>
      <c r="J872" s="1">
        <v>201</v>
      </c>
      <c r="L872" t="str">
        <f t="shared" si="13"/>
        <v>http://www.badatelna.eu/reprodukce/?fondId=1073&amp;zaznamId=1108959&amp;reproId=3780067</v>
      </c>
      <c r="M872">
        <f>VLOOKUP(F872,Sheet2!$B$1:$E$19,2,FALSE)</f>
        <v>1073</v>
      </c>
      <c r="N872">
        <f>VLOOKUP(F872,Sheet2!$B$1:$E$19,3,FALSE)</f>
        <v>1108959</v>
      </c>
      <c r="O872">
        <f>IF(G872="Not available","",VLOOKUP(F872,Sheet2!$B$1:$E$19,4,FALSE)+(G872-1))</f>
        <v>3780067</v>
      </c>
    </row>
    <row r="873" spans="1:15" s="1" customFormat="1" ht="15" customHeight="1" x14ac:dyDescent="0.25">
      <c r="A873" s="18" t="s">
        <v>163</v>
      </c>
      <c r="B873" s="19" t="s">
        <v>33</v>
      </c>
      <c r="C873" s="5">
        <v>1784</v>
      </c>
      <c r="D873" s="11"/>
      <c r="E873" s="1" t="s">
        <v>2</v>
      </c>
      <c r="F873" s="18">
        <v>2173</v>
      </c>
      <c r="G873" s="18">
        <v>4</v>
      </c>
      <c r="H873" s="5">
        <v>3</v>
      </c>
      <c r="I873" s="1">
        <v>95</v>
      </c>
      <c r="J873" s="1">
        <v>201</v>
      </c>
      <c r="L873" t="str">
        <f t="shared" si="13"/>
        <v>http://www.badatelna.eu/reprodukce/?fondId=1073&amp;zaznamId=1108959&amp;reproId=3779997</v>
      </c>
      <c r="M873">
        <f>VLOOKUP(F873,Sheet2!$B$1:$E$19,2,FALSE)</f>
        <v>1073</v>
      </c>
      <c r="N873">
        <f>VLOOKUP(F873,Sheet2!$B$1:$E$19,3,FALSE)</f>
        <v>1108959</v>
      </c>
      <c r="O873">
        <f>IF(G873="Not available","",VLOOKUP(F873,Sheet2!$B$1:$E$19,4,FALSE)+(G873-1))</f>
        <v>3779997</v>
      </c>
    </row>
    <row r="874" spans="1:15" s="1" customFormat="1" ht="15" customHeight="1" x14ac:dyDescent="0.25">
      <c r="A874" s="18" t="s">
        <v>163</v>
      </c>
      <c r="B874" s="18" t="s">
        <v>849</v>
      </c>
      <c r="C874" s="5">
        <v>1851</v>
      </c>
      <c r="D874" s="1" t="s">
        <v>21</v>
      </c>
      <c r="E874" s="1" t="s">
        <v>2</v>
      </c>
      <c r="F874" s="18">
        <v>2164</v>
      </c>
      <c r="G874" s="18">
        <v>75</v>
      </c>
      <c r="H874" s="5">
        <v>73</v>
      </c>
      <c r="I874" s="1">
        <v>126</v>
      </c>
      <c r="J874" s="1" t="s">
        <v>3271</v>
      </c>
      <c r="L874" t="str">
        <f t="shared" si="13"/>
        <v>http://www.badatelna.eu/reprodukce/?fondId=1073&amp;zaznamId=1108951&amp;reproId=3778789</v>
      </c>
      <c r="M874">
        <f>VLOOKUP(F874,Sheet2!$B$1:$E$19,2,FALSE)</f>
        <v>1073</v>
      </c>
      <c r="N874">
        <f>VLOOKUP(F874,Sheet2!$B$1:$E$19,3,FALSE)</f>
        <v>1108951</v>
      </c>
      <c r="O874">
        <f>IF(G874="Not available","",VLOOKUP(F874,Sheet2!$B$1:$E$19,4,FALSE)+(G874-1))</f>
        <v>3778789</v>
      </c>
    </row>
    <row r="875" spans="1:15" s="1" customFormat="1" ht="15" customHeight="1" x14ac:dyDescent="0.25">
      <c r="A875" s="18" t="s">
        <v>163</v>
      </c>
      <c r="B875" s="19" t="s">
        <v>439</v>
      </c>
      <c r="C875" s="5">
        <v>1846</v>
      </c>
      <c r="D875" s="1" t="s">
        <v>603</v>
      </c>
      <c r="E875" s="1" t="s">
        <v>2</v>
      </c>
      <c r="F875" s="18">
        <v>2174</v>
      </c>
      <c r="G875" s="18">
        <v>165</v>
      </c>
      <c r="H875" s="6" t="s">
        <v>3233</v>
      </c>
      <c r="I875" s="1">
        <v>183</v>
      </c>
      <c r="J875" s="1">
        <v>208</v>
      </c>
      <c r="L875" t="str">
        <f t="shared" si="13"/>
        <v>http://www.badatelna.eu/reprodukce/?fondId=1073&amp;zaznamId=1108960&amp;reproId=3780389</v>
      </c>
      <c r="M875">
        <f>VLOOKUP(F875,Sheet2!$B$1:$E$19,2,FALSE)</f>
        <v>1073</v>
      </c>
      <c r="N875">
        <f>VLOOKUP(F875,Sheet2!$B$1:$E$19,3,FALSE)</f>
        <v>1108960</v>
      </c>
      <c r="O875">
        <f>IF(G875="Not available","",VLOOKUP(F875,Sheet2!$B$1:$E$19,4,FALSE)+(G875-1))</f>
        <v>3780389</v>
      </c>
    </row>
    <row r="876" spans="1:15" s="1" customFormat="1" ht="15" customHeight="1" x14ac:dyDescent="0.25">
      <c r="A876" s="18" t="s">
        <v>163</v>
      </c>
      <c r="B876" s="18" t="s">
        <v>87</v>
      </c>
      <c r="C876" s="5">
        <v>1818</v>
      </c>
      <c r="E876" s="1" t="s">
        <v>2</v>
      </c>
      <c r="F876" s="18">
        <v>2173</v>
      </c>
      <c r="G876" s="18">
        <v>68</v>
      </c>
      <c r="H876" s="5">
        <v>129</v>
      </c>
      <c r="I876" s="1">
        <v>95</v>
      </c>
      <c r="J876" s="1">
        <v>201</v>
      </c>
      <c r="L876" t="str">
        <f t="shared" si="13"/>
        <v>http://www.badatelna.eu/reprodukce/?fondId=1073&amp;zaznamId=1108959&amp;reproId=3780061</v>
      </c>
      <c r="M876">
        <f>VLOOKUP(F876,Sheet2!$B$1:$E$19,2,FALSE)</f>
        <v>1073</v>
      </c>
      <c r="N876">
        <f>VLOOKUP(F876,Sheet2!$B$1:$E$19,3,FALSE)</f>
        <v>1108959</v>
      </c>
      <c r="O876">
        <f>IF(G876="Not available","",VLOOKUP(F876,Sheet2!$B$1:$E$19,4,FALSE)+(G876-1))</f>
        <v>3780061</v>
      </c>
    </row>
    <row r="877" spans="1:15" s="1" customFormat="1" ht="15" customHeight="1" x14ac:dyDescent="0.25">
      <c r="A877" s="18" t="s">
        <v>163</v>
      </c>
      <c r="B877" s="18" t="s">
        <v>75</v>
      </c>
      <c r="C877" s="5">
        <v>1814</v>
      </c>
      <c r="E877" s="1" t="s">
        <v>2</v>
      </c>
      <c r="F877" s="18">
        <v>2173</v>
      </c>
      <c r="G877" s="18">
        <v>62</v>
      </c>
      <c r="H877" s="5">
        <v>119</v>
      </c>
      <c r="I877" s="1">
        <v>95</v>
      </c>
      <c r="J877" s="1">
        <v>201</v>
      </c>
      <c r="L877" t="str">
        <f t="shared" si="13"/>
        <v>http://www.badatelna.eu/reprodukce/?fondId=1073&amp;zaznamId=1108959&amp;reproId=3780055</v>
      </c>
      <c r="M877">
        <f>VLOOKUP(F877,Sheet2!$B$1:$E$19,2,FALSE)</f>
        <v>1073</v>
      </c>
      <c r="N877">
        <f>VLOOKUP(F877,Sheet2!$B$1:$E$19,3,FALSE)</f>
        <v>1108959</v>
      </c>
      <c r="O877">
        <f>IF(G877="Not available","",VLOOKUP(F877,Sheet2!$B$1:$E$19,4,FALSE)+(G877-1))</f>
        <v>3780055</v>
      </c>
    </row>
    <row r="878" spans="1:15" s="1" customFormat="1" ht="15" customHeight="1" x14ac:dyDescent="0.25">
      <c r="A878" s="18" t="s">
        <v>163</v>
      </c>
      <c r="B878" s="18" t="s">
        <v>65</v>
      </c>
      <c r="C878" s="5">
        <v>1793</v>
      </c>
      <c r="D878" s="1" t="s">
        <v>75</v>
      </c>
      <c r="E878" s="1" t="s">
        <v>2</v>
      </c>
      <c r="F878" s="18">
        <v>2173</v>
      </c>
      <c r="G878" s="18">
        <v>29</v>
      </c>
      <c r="H878" s="5">
        <v>53</v>
      </c>
      <c r="I878" s="1">
        <v>95</v>
      </c>
      <c r="J878" s="1">
        <v>201</v>
      </c>
      <c r="L878" t="str">
        <f t="shared" si="13"/>
        <v>http://www.badatelna.eu/reprodukce/?fondId=1073&amp;zaznamId=1108959&amp;reproId=3780022</v>
      </c>
      <c r="M878">
        <f>VLOOKUP(F878,Sheet2!$B$1:$E$19,2,FALSE)</f>
        <v>1073</v>
      </c>
      <c r="N878">
        <f>VLOOKUP(F878,Sheet2!$B$1:$E$19,3,FALSE)</f>
        <v>1108959</v>
      </c>
      <c r="O878">
        <f>IF(G878="Not available","",VLOOKUP(F878,Sheet2!$B$1:$E$19,4,FALSE)+(G878-1))</f>
        <v>3780022</v>
      </c>
    </row>
    <row r="879" spans="1:15" s="1" customFormat="1" ht="15" customHeight="1" x14ac:dyDescent="0.25">
      <c r="A879" s="18" t="s">
        <v>163</v>
      </c>
      <c r="B879" s="18" t="s">
        <v>12</v>
      </c>
      <c r="C879" s="5">
        <v>1803</v>
      </c>
      <c r="E879" s="1" t="s">
        <v>2</v>
      </c>
      <c r="F879" s="18">
        <v>2173</v>
      </c>
      <c r="G879" s="18">
        <v>47</v>
      </c>
      <c r="H879" s="5">
        <v>88</v>
      </c>
      <c r="I879" s="1">
        <v>95</v>
      </c>
      <c r="J879" s="1">
        <v>201</v>
      </c>
      <c r="L879" t="str">
        <f t="shared" si="13"/>
        <v>http://www.badatelna.eu/reprodukce/?fondId=1073&amp;zaznamId=1108959&amp;reproId=3780040</v>
      </c>
      <c r="M879">
        <f>VLOOKUP(F879,Sheet2!$B$1:$E$19,2,FALSE)</f>
        <v>1073</v>
      </c>
      <c r="N879">
        <f>VLOOKUP(F879,Sheet2!$B$1:$E$19,3,FALSE)</f>
        <v>1108959</v>
      </c>
      <c r="O879">
        <f>IF(G879="Not available","",VLOOKUP(F879,Sheet2!$B$1:$E$19,4,FALSE)+(G879-1))</f>
        <v>3780040</v>
      </c>
    </row>
    <row r="880" spans="1:15" s="1" customFormat="1" ht="15" customHeight="1" x14ac:dyDescent="0.25">
      <c r="A880" s="18" t="s">
        <v>163</v>
      </c>
      <c r="B880" s="18" t="s">
        <v>109</v>
      </c>
      <c r="C880" s="5">
        <v>1803</v>
      </c>
      <c r="E880" s="1" t="s">
        <v>2</v>
      </c>
      <c r="F880" s="18">
        <v>2173</v>
      </c>
      <c r="G880" s="18">
        <v>47</v>
      </c>
      <c r="H880" s="5">
        <v>88</v>
      </c>
      <c r="I880" s="1">
        <v>95</v>
      </c>
      <c r="J880" s="1">
        <v>201</v>
      </c>
      <c r="L880" t="str">
        <f t="shared" si="13"/>
        <v>http://www.badatelna.eu/reprodukce/?fondId=1073&amp;zaznamId=1108959&amp;reproId=3780040</v>
      </c>
      <c r="M880">
        <f>VLOOKUP(F880,Sheet2!$B$1:$E$19,2,FALSE)</f>
        <v>1073</v>
      </c>
      <c r="N880">
        <f>VLOOKUP(F880,Sheet2!$B$1:$E$19,3,FALSE)</f>
        <v>1108959</v>
      </c>
      <c r="O880">
        <f>IF(G880="Not available","",VLOOKUP(F880,Sheet2!$B$1:$E$19,4,FALSE)+(G880-1))</f>
        <v>3780040</v>
      </c>
    </row>
    <row r="881" spans="1:15" s="1" customFormat="1" ht="15" customHeight="1" x14ac:dyDescent="0.25">
      <c r="A881" s="18" t="s">
        <v>163</v>
      </c>
      <c r="B881" s="18" t="s">
        <v>847</v>
      </c>
      <c r="C881" s="5">
        <v>1849</v>
      </c>
      <c r="D881" s="1" t="s">
        <v>603</v>
      </c>
      <c r="E881" s="1" t="s">
        <v>2</v>
      </c>
      <c r="F881" s="18">
        <v>2164</v>
      </c>
      <c r="G881" s="18">
        <v>45</v>
      </c>
      <c r="H881" s="5">
        <v>43</v>
      </c>
      <c r="I881" s="1">
        <v>126</v>
      </c>
      <c r="J881" s="1" t="s">
        <v>3271</v>
      </c>
      <c r="L881" t="str">
        <f t="shared" si="13"/>
        <v>http://www.badatelna.eu/reprodukce/?fondId=1073&amp;zaznamId=1108951&amp;reproId=3778759</v>
      </c>
      <c r="M881">
        <f>VLOOKUP(F881,Sheet2!$B$1:$E$19,2,FALSE)</f>
        <v>1073</v>
      </c>
      <c r="N881">
        <f>VLOOKUP(F881,Sheet2!$B$1:$E$19,3,FALSE)</f>
        <v>1108951</v>
      </c>
      <c r="O881">
        <f>IF(G881="Not available","",VLOOKUP(F881,Sheet2!$B$1:$E$19,4,FALSE)+(G881-1))</f>
        <v>3778759</v>
      </c>
    </row>
    <row r="882" spans="1:15" s="1" customFormat="1" ht="15" customHeight="1" x14ac:dyDescent="0.25">
      <c r="A882" s="18" t="s">
        <v>163</v>
      </c>
      <c r="B882" s="18" t="s">
        <v>55</v>
      </c>
      <c r="C882" s="5">
        <v>1838</v>
      </c>
      <c r="D882" s="1" t="s">
        <v>639</v>
      </c>
      <c r="E882" s="1" t="s">
        <v>2</v>
      </c>
      <c r="F882" s="18">
        <v>2174</v>
      </c>
      <c r="G882" s="18">
        <v>102</v>
      </c>
      <c r="H882" s="6" t="s">
        <v>3165</v>
      </c>
      <c r="I882" s="1">
        <v>183</v>
      </c>
      <c r="J882" s="1">
        <v>208</v>
      </c>
      <c r="L882" t="str">
        <f t="shared" si="13"/>
        <v>http://www.badatelna.eu/reprodukce/?fondId=1073&amp;zaznamId=1108960&amp;reproId=3780326</v>
      </c>
      <c r="M882">
        <f>VLOOKUP(F882,Sheet2!$B$1:$E$19,2,FALSE)</f>
        <v>1073</v>
      </c>
      <c r="N882">
        <f>VLOOKUP(F882,Sheet2!$B$1:$E$19,3,FALSE)</f>
        <v>1108960</v>
      </c>
      <c r="O882">
        <f>IF(G882="Not available","",VLOOKUP(F882,Sheet2!$B$1:$E$19,4,FALSE)+(G882-1))</f>
        <v>3780326</v>
      </c>
    </row>
    <row r="883" spans="1:15" s="1" customFormat="1" ht="15" customHeight="1" x14ac:dyDescent="0.25">
      <c r="A883" s="18" t="s">
        <v>163</v>
      </c>
      <c r="B883" s="18" t="s">
        <v>49</v>
      </c>
      <c r="C883" s="5">
        <v>1788</v>
      </c>
      <c r="D883" s="1" t="s">
        <v>165</v>
      </c>
      <c r="E883" s="1" t="s">
        <v>2</v>
      </c>
      <c r="F883" s="18">
        <v>2173</v>
      </c>
      <c r="G883" s="18">
        <v>17</v>
      </c>
      <c r="H883" s="5">
        <v>29</v>
      </c>
      <c r="I883" s="1">
        <v>95</v>
      </c>
      <c r="J883" s="1">
        <v>201</v>
      </c>
      <c r="L883" t="str">
        <f t="shared" si="13"/>
        <v>http://www.badatelna.eu/reprodukce/?fondId=1073&amp;zaznamId=1108959&amp;reproId=3780010</v>
      </c>
      <c r="M883">
        <f>VLOOKUP(F883,Sheet2!$B$1:$E$19,2,FALSE)</f>
        <v>1073</v>
      </c>
      <c r="N883">
        <f>VLOOKUP(F883,Sheet2!$B$1:$E$19,3,FALSE)</f>
        <v>1108959</v>
      </c>
      <c r="O883">
        <f>IF(G883="Not available","",VLOOKUP(F883,Sheet2!$B$1:$E$19,4,FALSE)+(G883-1))</f>
        <v>3780010</v>
      </c>
    </row>
    <row r="884" spans="1:15" s="1" customFormat="1" ht="15" customHeight="1" x14ac:dyDescent="0.25">
      <c r="A884" s="18" t="s">
        <v>163</v>
      </c>
      <c r="B884" s="18" t="s">
        <v>22</v>
      </c>
      <c r="C884" s="5">
        <v>1785</v>
      </c>
      <c r="D884" s="1" t="s">
        <v>58</v>
      </c>
      <c r="E884" s="1" t="s">
        <v>2</v>
      </c>
      <c r="F884" s="18">
        <v>2173</v>
      </c>
      <c r="G884" s="18">
        <v>6</v>
      </c>
      <c r="H884" s="5">
        <v>7</v>
      </c>
      <c r="I884" s="1">
        <v>95</v>
      </c>
      <c r="J884" s="1">
        <v>201</v>
      </c>
      <c r="L884" t="str">
        <f t="shared" si="13"/>
        <v>http://www.badatelna.eu/reprodukce/?fondId=1073&amp;zaznamId=1108959&amp;reproId=3779999</v>
      </c>
      <c r="M884">
        <f>VLOOKUP(F884,Sheet2!$B$1:$E$19,2,FALSE)</f>
        <v>1073</v>
      </c>
      <c r="N884">
        <f>VLOOKUP(F884,Sheet2!$B$1:$E$19,3,FALSE)</f>
        <v>1108959</v>
      </c>
      <c r="O884">
        <f>IF(G884="Not available","",VLOOKUP(F884,Sheet2!$B$1:$E$19,4,FALSE)+(G884-1))</f>
        <v>3779999</v>
      </c>
    </row>
    <row r="885" spans="1:15" s="1" customFormat="1" ht="15" customHeight="1" x14ac:dyDescent="0.25">
      <c r="A885" s="18" t="s">
        <v>163</v>
      </c>
      <c r="B885" s="18" t="s">
        <v>845</v>
      </c>
      <c r="C885" s="5">
        <v>1847</v>
      </c>
      <c r="D885" s="1" t="s">
        <v>639</v>
      </c>
      <c r="E885" s="1" t="s">
        <v>2</v>
      </c>
      <c r="F885" s="18">
        <v>2164</v>
      </c>
      <c r="G885" s="18">
        <v>17</v>
      </c>
      <c r="H885" s="5">
        <v>15</v>
      </c>
      <c r="I885" s="1">
        <v>126</v>
      </c>
      <c r="J885" s="1" t="s">
        <v>3271</v>
      </c>
      <c r="L885" t="str">
        <f t="shared" si="13"/>
        <v>http://www.badatelna.eu/reprodukce/?fondId=1073&amp;zaznamId=1108951&amp;reproId=3778731</v>
      </c>
      <c r="M885">
        <f>VLOOKUP(F885,Sheet2!$B$1:$E$19,2,FALSE)</f>
        <v>1073</v>
      </c>
      <c r="N885">
        <f>VLOOKUP(F885,Sheet2!$B$1:$E$19,3,FALSE)</f>
        <v>1108951</v>
      </c>
      <c r="O885">
        <f>IF(G885="Not available","",VLOOKUP(F885,Sheet2!$B$1:$E$19,4,FALSE)+(G885-1))</f>
        <v>3778731</v>
      </c>
    </row>
    <row r="886" spans="1:15" s="1" customFormat="1" ht="15" customHeight="1" x14ac:dyDescent="0.25">
      <c r="A886" s="18" t="s">
        <v>163</v>
      </c>
      <c r="B886" s="18" t="s">
        <v>233</v>
      </c>
      <c r="C886" s="5">
        <v>1847</v>
      </c>
      <c r="D886" s="1" t="s">
        <v>603</v>
      </c>
      <c r="E886" s="1" t="s">
        <v>2</v>
      </c>
      <c r="F886" s="18">
        <v>2164</v>
      </c>
      <c r="G886" s="18">
        <v>15</v>
      </c>
      <c r="H886" s="5">
        <v>13</v>
      </c>
      <c r="I886" s="1">
        <v>126</v>
      </c>
      <c r="J886" s="1" t="s">
        <v>3271</v>
      </c>
      <c r="L886" t="str">
        <f t="shared" si="13"/>
        <v>http://www.badatelna.eu/reprodukce/?fondId=1073&amp;zaznamId=1108951&amp;reproId=3778729</v>
      </c>
      <c r="M886">
        <f>VLOOKUP(F886,Sheet2!$B$1:$E$19,2,FALSE)</f>
        <v>1073</v>
      </c>
      <c r="N886">
        <f>VLOOKUP(F886,Sheet2!$B$1:$E$19,3,FALSE)</f>
        <v>1108951</v>
      </c>
      <c r="O886">
        <f>IF(G886="Not available","",VLOOKUP(F886,Sheet2!$B$1:$E$19,4,FALSE)+(G886-1))</f>
        <v>3778729</v>
      </c>
    </row>
    <row r="887" spans="1:15" s="1" customFormat="1" ht="15" customHeight="1" x14ac:dyDescent="0.25">
      <c r="A887" s="18" t="s">
        <v>163</v>
      </c>
      <c r="B887" s="18" t="s">
        <v>233</v>
      </c>
      <c r="C887" s="5">
        <v>1853</v>
      </c>
      <c r="D887" s="1" t="s">
        <v>639</v>
      </c>
      <c r="E887" s="1" t="s">
        <v>2</v>
      </c>
      <c r="F887" s="18">
        <v>2164</v>
      </c>
      <c r="G887" s="18">
        <v>91</v>
      </c>
      <c r="H887" s="5">
        <v>89</v>
      </c>
      <c r="I887" s="1">
        <v>126</v>
      </c>
      <c r="J887" s="1" t="s">
        <v>3271</v>
      </c>
      <c r="L887" t="str">
        <f t="shared" si="13"/>
        <v>http://www.badatelna.eu/reprodukce/?fondId=1073&amp;zaznamId=1108951&amp;reproId=3778805</v>
      </c>
      <c r="M887">
        <f>VLOOKUP(F887,Sheet2!$B$1:$E$19,2,FALSE)</f>
        <v>1073</v>
      </c>
      <c r="N887">
        <f>VLOOKUP(F887,Sheet2!$B$1:$E$19,3,FALSE)</f>
        <v>1108951</v>
      </c>
      <c r="O887">
        <f>IF(G887="Not available","",VLOOKUP(F887,Sheet2!$B$1:$E$19,4,FALSE)+(G887-1))</f>
        <v>3778805</v>
      </c>
    </row>
    <row r="888" spans="1:15" s="1" customFormat="1" ht="15" customHeight="1" x14ac:dyDescent="0.25">
      <c r="A888" s="18" t="s">
        <v>163</v>
      </c>
      <c r="B888" s="18" t="s">
        <v>168</v>
      </c>
      <c r="C888" s="5">
        <v>1808</v>
      </c>
      <c r="E888" s="1" t="s">
        <v>2</v>
      </c>
      <c r="F888" s="18">
        <v>2173</v>
      </c>
      <c r="G888" s="18">
        <v>53</v>
      </c>
      <c r="H888" s="5">
        <v>101</v>
      </c>
      <c r="I888" s="1">
        <v>95</v>
      </c>
      <c r="J888" s="1">
        <v>201</v>
      </c>
      <c r="L888" t="str">
        <f t="shared" si="13"/>
        <v>http://www.badatelna.eu/reprodukce/?fondId=1073&amp;zaznamId=1108959&amp;reproId=3780046</v>
      </c>
      <c r="M888">
        <f>VLOOKUP(F888,Sheet2!$B$1:$E$19,2,FALSE)</f>
        <v>1073</v>
      </c>
      <c r="N888">
        <f>VLOOKUP(F888,Sheet2!$B$1:$E$19,3,FALSE)</f>
        <v>1108959</v>
      </c>
      <c r="O888">
        <f>IF(G888="Not available","",VLOOKUP(F888,Sheet2!$B$1:$E$19,4,FALSE)+(G888-1))</f>
        <v>3780046</v>
      </c>
    </row>
    <row r="889" spans="1:15" s="1" customFormat="1" ht="15" customHeight="1" x14ac:dyDescent="0.25">
      <c r="A889" s="18" t="s">
        <v>163</v>
      </c>
      <c r="B889" s="18" t="s">
        <v>216</v>
      </c>
      <c r="C889" s="5">
        <v>1837</v>
      </c>
      <c r="D889" s="1" t="s">
        <v>428</v>
      </c>
      <c r="E889" s="1" t="s">
        <v>2</v>
      </c>
      <c r="F889" s="18">
        <v>2174</v>
      </c>
      <c r="G889" s="18">
        <v>85</v>
      </c>
      <c r="H889" s="6" t="s">
        <v>3152</v>
      </c>
      <c r="I889" s="1">
        <v>183</v>
      </c>
      <c r="J889" s="1">
        <v>208</v>
      </c>
      <c r="L889" t="str">
        <f t="shared" si="13"/>
        <v>http://www.badatelna.eu/reprodukce/?fondId=1073&amp;zaznamId=1108960&amp;reproId=3780309</v>
      </c>
      <c r="M889">
        <f>VLOOKUP(F889,Sheet2!$B$1:$E$19,2,FALSE)</f>
        <v>1073</v>
      </c>
      <c r="N889">
        <f>VLOOKUP(F889,Sheet2!$B$1:$E$19,3,FALSE)</f>
        <v>1108960</v>
      </c>
      <c r="O889">
        <f>IF(G889="Not available","",VLOOKUP(F889,Sheet2!$B$1:$E$19,4,FALSE)+(G889-1))</f>
        <v>3780309</v>
      </c>
    </row>
    <row r="890" spans="1:15" s="1" customFormat="1" ht="15" customHeight="1" x14ac:dyDescent="0.25">
      <c r="A890" s="18" t="s">
        <v>163</v>
      </c>
      <c r="B890" s="18" t="s">
        <v>25</v>
      </c>
      <c r="C890" s="5">
        <v>1812</v>
      </c>
      <c r="E890" s="1" t="s">
        <v>2</v>
      </c>
      <c r="F890" s="18">
        <v>2173</v>
      </c>
      <c r="G890" s="18">
        <v>60</v>
      </c>
      <c r="H890" s="5">
        <v>115</v>
      </c>
      <c r="I890" s="1">
        <v>95</v>
      </c>
      <c r="J890" s="1">
        <v>201</v>
      </c>
      <c r="L890" t="str">
        <f t="shared" si="13"/>
        <v>http://www.badatelna.eu/reprodukce/?fondId=1073&amp;zaznamId=1108959&amp;reproId=3780053</v>
      </c>
      <c r="M890">
        <f>VLOOKUP(F890,Sheet2!$B$1:$E$19,2,FALSE)</f>
        <v>1073</v>
      </c>
      <c r="N890">
        <f>VLOOKUP(F890,Sheet2!$B$1:$E$19,3,FALSE)</f>
        <v>1108959</v>
      </c>
      <c r="O890">
        <f>IF(G890="Not available","",VLOOKUP(F890,Sheet2!$B$1:$E$19,4,FALSE)+(G890-1))</f>
        <v>3780053</v>
      </c>
    </row>
    <row r="891" spans="1:15" s="1" customFormat="1" ht="15" customHeight="1" x14ac:dyDescent="0.25">
      <c r="A891" s="18" t="s">
        <v>163</v>
      </c>
      <c r="B891" s="18" t="s">
        <v>25</v>
      </c>
      <c r="C891" s="5">
        <v>1841</v>
      </c>
      <c r="D891" s="1" t="s">
        <v>603</v>
      </c>
      <c r="E891" s="1" t="s">
        <v>2</v>
      </c>
      <c r="F891" s="18">
        <v>2174</v>
      </c>
      <c r="G891" s="18">
        <v>117</v>
      </c>
      <c r="H891" s="6" t="s">
        <v>3185</v>
      </c>
      <c r="I891" s="1">
        <v>183</v>
      </c>
      <c r="J891" s="1">
        <v>208</v>
      </c>
      <c r="L891" t="str">
        <f t="shared" si="13"/>
        <v>http://www.badatelna.eu/reprodukce/?fondId=1073&amp;zaznamId=1108960&amp;reproId=3780341</v>
      </c>
      <c r="M891">
        <f>VLOOKUP(F891,Sheet2!$B$1:$E$19,2,FALSE)</f>
        <v>1073</v>
      </c>
      <c r="N891">
        <f>VLOOKUP(F891,Sheet2!$B$1:$E$19,3,FALSE)</f>
        <v>1108960</v>
      </c>
      <c r="O891">
        <f>IF(G891="Not available","",VLOOKUP(F891,Sheet2!$B$1:$E$19,4,FALSE)+(G891-1))</f>
        <v>3780341</v>
      </c>
    </row>
    <row r="892" spans="1:15" s="1" customFormat="1" ht="15" customHeight="1" x14ac:dyDescent="0.25">
      <c r="A892" s="18" t="s">
        <v>163</v>
      </c>
      <c r="B892" s="18" t="s">
        <v>21</v>
      </c>
      <c r="C892" s="5">
        <v>1812</v>
      </c>
      <c r="E892" s="1" t="s">
        <v>2</v>
      </c>
      <c r="F892" s="18">
        <v>2173</v>
      </c>
      <c r="G892" s="18">
        <v>60</v>
      </c>
      <c r="H892" s="5">
        <v>114</v>
      </c>
      <c r="I892" s="1">
        <v>95</v>
      </c>
      <c r="J892" s="1">
        <v>201</v>
      </c>
      <c r="L892" t="str">
        <f t="shared" si="13"/>
        <v>http://www.badatelna.eu/reprodukce/?fondId=1073&amp;zaznamId=1108959&amp;reproId=3780053</v>
      </c>
      <c r="M892">
        <f>VLOOKUP(F892,Sheet2!$B$1:$E$19,2,FALSE)</f>
        <v>1073</v>
      </c>
      <c r="N892">
        <f>VLOOKUP(F892,Sheet2!$B$1:$E$19,3,FALSE)</f>
        <v>1108959</v>
      </c>
      <c r="O892">
        <f>IF(G892="Not available","",VLOOKUP(F892,Sheet2!$B$1:$E$19,4,FALSE)+(G892-1))</f>
        <v>3780053</v>
      </c>
    </row>
    <row r="893" spans="1:15" s="1" customFormat="1" ht="15" customHeight="1" x14ac:dyDescent="0.25">
      <c r="A893" s="18" t="s">
        <v>163</v>
      </c>
      <c r="B893" s="18" t="s">
        <v>21</v>
      </c>
      <c r="C893" s="5">
        <v>1833</v>
      </c>
      <c r="D893" s="1" t="s">
        <v>12</v>
      </c>
      <c r="E893" s="1" t="s">
        <v>2</v>
      </c>
      <c r="F893" s="18">
        <v>2174</v>
      </c>
      <c r="G893" s="18">
        <v>69</v>
      </c>
      <c r="H893" s="6" t="s">
        <v>3110</v>
      </c>
      <c r="I893" s="1">
        <v>184</v>
      </c>
      <c r="J893" s="1">
        <v>210</v>
      </c>
      <c r="L893" t="str">
        <f t="shared" si="13"/>
        <v>http://www.badatelna.eu/reprodukce/?fondId=1073&amp;zaznamId=1108960&amp;reproId=3780293</v>
      </c>
      <c r="M893">
        <f>VLOOKUP(F893,Sheet2!$B$1:$E$19,2,FALSE)</f>
        <v>1073</v>
      </c>
      <c r="N893">
        <f>VLOOKUP(F893,Sheet2!$B$1:$E$19,3,FALSE)</f>
        <v>1108960</v>
      </c>
      <c r="O893">
        <f>IF(G893="Not available","",VLOOKUP(F893,Sheet2!$B$1:$E$19,4,FALSE)+(G893-1))</f>
        <v>3780293</v>
      </c>
    </row>
    <row r="894" spans="1:15" s="1" customFormat="1" ht="15" customHeight="1" x14ac:dyDescent="0.25">
      <c r="A894" s="19" t="s">
        <v>163</v>
      </c>
      <c r="B894" s="18" t="s">
        <v>937</v>
      </c>
      <c r="C894" s="5">
        <v>1864</v>
      </c>
      <c r="E894" s="1" t="s">
        <v>939</v>
      </c>
      <c r="F894" s="18">
        <v>999</v>
      </c>
      <c r="G894" s="18">
        <v>46</v>
      </c>
      <c r="H894" s="5">
        <v>44</v>
      </c>
      <c r="I894" s="1">
        <v>65</v>
      </c>
      <c r="J894" s="1">
        <v>99</v>
      </c>
      <c r="L894" t="str">
        <f t="shared" si="13"/>
        <v>http://www.badatelna.eu/reprodukce/?fondId=241&amp;zaznamId=1133739&amp;reproId=3885775</v>
      </c>
      <c r="M894">
        <f>VLOOKUP(F894,Sheet2!$B$1:$E$19,2,FALSE)</f>
        <v>241</v>
      </c>
      <c r="N894">
        <f>VLOOKUP(F894,Sheet2!$B$1:$E$19,3,FALSE)</f>
        <v>1133739</v>
      </c>
      <c r="O894">
        <f>IF(G894="Not available","",VLOOKUP(F894,Sheet2!$B$1:$E$19,4,FALSE)+(G894-1))</f>
        <v>3885775</v>
      </c>
    </row>
    <row r="895" spans="1:15" s="1" customFormat="1" ht="15" customHeight="1" x14ac:dyDescent="0.25">
      <c r="A895" s="18" t="s">
        <v>163</v>
      </c>
      <c r="B895" s="18" t="s">
        <v>167</v>
      </c>
      <c r="C895" s="5">
        <v>1798</v>
      </c>
      <c r="D895" s="1" t="s">
        <v>173</v>
      </c>
      <c r="E895" s="1" t="s">
        <v>2</v>
      </c>
      <c r="F895" s="18">
        <v>2173</v>
      </c>
      <c r="G895" s="18">
        <v>36</v>
      </c>
      <c r="H895" s="5">
        <v>67</v>
      </c>
      <c r="I895" s="1">
        <v>95</v>
      </c>
      <c r="J895" s="1">
        <v>201</v>
      </c>
      <c r="L895" t="str">
        <f t="shared" si="13"/>
        <v>http://www.badatelna.eu/reprodukce/?fondId=1073&amp;zaznamId=1108959&amp;reproId=3780029</v>
      </c>
      <c r="M895">
        <f>VLOOKUP(F895,Sheet2!$B$1:$E$19,2,FALSE)</f>
        <v>1073</v>
      </c>
      <c r="N895">
        <f>VLOOKUP(F895,Sheet2!$B$1:$E$19,3,FALSE)</f>
        <v>1108959</v>
      </c>
      <c r="O895">
        <f>IF(G895="Not available","",VLOOKUP(F895,Sheet2!$B$1:$E$19,4,FALSE)+(G895-1))</f>
        <v>3780029</v>
      </c>
    </row>
    <row r="896" spans="1:15" s="1" customFormat="1" ht="15" customHeight="1" x14ac:dyDescent="0.25">
      <c r="A896" s="18" t="s">
        <v>163</v>
      </c>
      <c r="B896" s="18" t="s">
        <v>434</v>
      </c>
      <c r="C896" s="5">
        <v>1840</v>
      </c>
      <c r="D896" s="1" t="s">
        <v>641</v>
      </c>
      <c r="E896" s="1" t="s">
        <v>2</v>
      </c>
      <c r="F896" s="18">
        <v>2174</v>
      </c>
      <c r="G896" s="18">
        <v>113</v>
      </c>
      <c r="H896" s="6" t="s">
        <v>3179</v>
      </c>
      <c r="I896" s="1">
        <v>183</v>
      </c>
      <c r="J896" s="12">
        <v>208</v>
      </c>
      <c r="L896" t="str">
        <f t="shared" si="13"/>
        <v>http://www.badatelna.eu/reprodukce/?fondId=1073&amp;zaznamId=1108960&amp;reproId=3780337</v>
      </c>
      <c r="M896">
        <f>VLOOKUP(F896,Sheet2!$B$1:$E$19,2,FALSE)</f>
        <v>1073</v>
      </c>
      <c r="N896">
        <f>VLOOKUP(F896,Sheet2!$B$1:$E$19,3,FALSE)</f>
        <v>1108960</v>
      </c>
      <c r="O896">
        <f>IF(G896="Not available","",VLOOKUP(F896,Sheet2!$B$1:$E$19,4,FALSE)+(G896-1))</f>
        <v>3780337</v>
      </c>
    </row>
    <row r="897" spans="1:15" s="1" customFormat="1" ht="15" customHeight="1" x14ac:dyDescent="0.25">
      <c r="A897" s="18" t="s">
        <v>163</v>
      </c>
      <c r="B897" s="18" t="s">
        <v>434</v>
      </c>
      <c r="C897" s="5">
        <v>1844</v>
      </c>
      <c r="D897" s="1" t="s">
        <v>603</v>
      </c>
      <c r="E897" s="1" t="s">
        <v>2</v>
      </c>
      <c r="F897" s="18">
        <v>2174</v>
      </c>
      <c r="G897" s="18">
        <v>145</v>
      </c>
      <c r="H897" s="6" t="s">
        <v>3212</v>
      </c>
      <c r="I897" s="1">
        <v>183</v>
      </c>
      <c r="J897" s="1">
        <v>208</v>
      </c>
      <c r="L897" t="str">
        <f t="shared" si="13"/>
        <v>http://www.badatelna.eu/reprodukce/?fondId=1073&amp;zaznamId=1108960&amp;reproId=3780369</v>
      </c>
      <c r="M897">
        <f>VLOOKUP(F897,Sheet2!$B$1:$E$19,2,FALSE)</f>
        <v>1073</v>
      </c>
      <c r="N897">
        <f>VLOOKUP(F897,Sheet2!$B$1:$E$19,3,FALSE)</f>
        <v>1108960</v>
      </c>
      <c r="O897">
        <f>IF(G897="Not available","",VLOOKUP(F897,Sheet2!$B$1:$E$19,4,FALSE)+(G897-1))</f>
        <v>3780369</v>
      </c>
    </row>
    <row r="898" spans="1:15" s="1" customFormat="1" ht="15" customHeight="1" x14ac:dyDescent="0.25">
      <c r="A898" s="18" t="s">
        <v>163</v>
      </c>
      <c r="B898" s="18" t="s">
        <v>422</v>
      </c>
      <c r="C898" s="5">
        <v>1843</v>
      </c>
      <c r="D898" s="1" t="s">
        <v>645</v>
      </c>
      <c r="E898" s="1" t="s">
        <v>2</v>
      </c>
      <c r="F898" s="18">
        <v>2174</v>
      </c>
      <c r="G898" s="18">
        <v>133</v>
      </c>
      <c r="H898" s="6" t="s">
        <v>3203</v>
      </c>
      <c r="I898" s="1">
        <v>183</v>
      </c>
      <c r="J898" s="1">
        <v>208</v>
      </c>
      <c r="L898" t="str">
        <f t="shared" si="13"/>
        <v>http://www.badatelna.eu/reprodukce/?fondId=1073&amp;zaznamId=1108960&amp;reproId=3780357</v>
      </c>
      <c r="M898">
        <f>VLOOKUP(F898,Sheet2!$B$1:$E$19,2,FALSE)</f>
        <v>1073</v>
      </c>
      <c r="N898">
        <f>VLOOKUP(F898,Sheet2!$B$1:$E$19,3,FALSE)</f>
        <v>1108960</v>
      </c>
      <c r="O898">
        <f>IF(G898="Not available","",VLOOKUP(F898,Sheet2!$B$1:$E$19,4,FALSE)+(G898-1))</f>
        <v>3780357</v>
      </c>
    </row>
    <row r="899" spans="1:15" s="1" customFormat="1" ht="15" customHeight="1" x14ac:dyDescent="0.25">
      <c r="A899" s="18" t="s">
        <v>163</v>
      </c>
      <c r="B899" s="18" t="s">
        <v>100</v>
      </c>
      <c r="C899" s="5">
        <v>1819</v>
      </c>
      <c r="E899" s="1" t="s">
        <v>2</v>
      </c>
      <c r="F899" s="18">
        <v>2173</v>
      </c>
      <c r="G899" s="18">
        <v>69</v>
      </c>
      <c r="H899" s="5">
        <v>131</v>
      </c>
      <c r="I899" s="1">
        <v>95</v>
      </c>
      <c r="J899" s="1">
        <v>201</v>
      </c>
      <c r="L899" t="str">
        <f t="shared" ref="L899:L962" si="14">IF(G899="Not available","","http://www.badatelna.eu/reprodukce/?fondId="&amp;M899&amp;"&amp;zaznamId="&amp;N899&amp;"&amp;reproId="&amp;O899)</f>
        <v>http://www.badatelna.eu/reprodukce/?fondId=1073&amp;zaznamId=1108959&amp;reproId=3780062</v>
      </c>
      <c r="M899">
        <f>VLOOKUP(F899,Sheet2!$B$1:$E$19,2,FALSE)</f>
        <v>1073</v>
      </c>
      <c r="N899">
        <f>VLOOKUP(F899,Sheet2!$B$1:$E$19,3,FALSE)</f>
        <v>1108959</v>
      </c>
      <c r="O899">
        <f>IF(G899="Not available","",VLOOKUP(F899,Sheet2!$B$1:$E$19,4,FALSE)+(G899-1))</f>
        <v>3780062</v>
      </c>
    </row>
    <row r="900" spans="1:15" s="1" customFormat="1" ht="15" customHeight="1" x14ac:dyDescent="0.25">
      <c r="A900" s="18" t="s">
        <v>163</v>
      </c>
      <c r="B900" s="18" t="s">
        <v>640</v>
      </c>
      <c r="C900" s="5">
        <v>1839</v>
      </c>
      <c r="D900" s="1" t="s">
        <v>603</v>
      </c>
      <c r="E900" s="1" t="s">
        <v>2</v>
      </c>
      <c r="F900" s="18">
        <v>2174</v>
      </c>
      <c r="G900" s="18">
        <v>102</v>
      </c>
      <c r="H900" s="6" t="s">
        <v>3165</v>
      </c>
      <c r="I900" s="1">
        <v>183</v>
      </c>
      <c r="J900" s="1">
        <v>208</v>
      </c>
      <c r="L900" t="str">
        <f t="shared" si="14"/>
        <v>http://www.badatelna.eu/reprodukce/?fondId=1073&amp;zaznamId=1108960&amp;reproId=3780326</v>
      </c>
      <c r="M900">
        <f>VLOOKUP(F900,Sheet2!$B$1:$E$19,2,FALSE)</f>
        <v>1073</v>
      </c>
      <c r="N900">
        <f>VLOOKUP(F900,Sheet2!$B$1:$E$19,3,FALSE)</f>
        <v>1108960</v>
      </c>
      <c r="O900">
        <f>IF(G900="Not available","",VLOOKUP(F900,Sheet2!$B$1:$E$19,4,FALSE)+(G900-1))</f>
        <v>3780326</v>
      </c>
    </row>
    <row r="901" spans="1:15" s="1" customFormat="1" ht="15" customHeight="1" x14ac:dyDescent="0.25">
      <c r="A901" s="18" t="s">
        <v>163</v>
      </c>
      <c r="B901" s="18" t="s">
        <v>491</v>
      </c>
      <c r="C901" s="5">
        <v>1837</v>
      </c>
      <c r="D901" s="1" t="s">
        <v>83</v>
      </c>
      <c r="E901" s="1" t="s">
        <v>2</v>
      </c>
      <c r="F901" s="18">
        <v>2174</v>
      </c>
      <c r="G901" s="18">
        <v>95</v>
      </c>
      <c r="H901" s="6" t="s">
        <v>3163</v>
      </c>
      <c r="I901" s="1">
        <v>183</v>
      </c>
      <c r="J901" s="1">
        <v>208</v>
      </c>
      <c r="L901" t="str">
        <f t="shared" si="14"/>
        <v>http://www.badatelna.eu/reprodukce/?fondId=1073&amp;zaznamId=1108960&amp;reproId=3780319</v>
      </c>
      <c r="M901">
        <f>VLOOKUP(F901,Sheet2!$B$1:$E$19,2,FALSE)</f>
        <v>1073</v>
      </c>
      <c r="N901">
        <f>VLOOKUP(F901,Sheet2!$B$1:$E$19,3,FALSE)</f>
        <v>1108960</v>
      </c>
      <c r="O901">
        <f>IF(G901="Not available","",VLOOKUP(F901,Sheet2!$B$1:$E$19,4,FALSE)+(G901-1))</f>
        <v>3780319</v>
      </c>
    </row>
    <row r="902" spans="1:15" s="1" customFormat="1" ht="15" customHeight="1" x14ac:dyDescent="0.25">
      <c r="A902" s="18" t="s">
        <v>163</v>
      </c>
      <c r="B902" s="18" t="s">
        <v>23</v>
      </c>
      <c r="C902" s="5">
        <v>1815</v>
      </c>
      <c r="E902" s="1" t="s">
        <v>2</v>
      </c>
      <c r="F902" s="18">
        <v>2173</v>
      </c>
      <c r="G902" s="18">
        <v>64</v>
      </c>
      <c r="H902" s="5">
        <v>122</v>
      </c>
      <c r="I902" s="1">
        <v>95</v>
      </c>
      <c r="J902" s="1">
        <v>201</v>
      </c>
      <c r="L902" t="str">
        <f t="shared" si="14"/>
        <v>http://www.badatelna.eu/reprodukce/?fondId=1073&amp;zaznamId=1108959&amp;reproId=3780057</v>
      </c>
      <c r="M902">
        <f>VLOOKUP(F902,Sheet2!$B$1:$E$19,2,FALSE)</f>
        <v>1073</v>
      </c>
      <c r="N902">
        <f>VLOOKUP(F902,Sheet2!$B$1:$E$19,3,FALSE)</f>
        <v>1108959</v>
      </c>
      <c r="O902">
        <f>IF(G902="Not available","",VLOOKUP(F902,Sheet2!$B$1:$E$19,4,FALSE)+(G902-1))</f>
        <v>3780057</v>
      </c>
    </row>
    <row r="903" spans="1:15" s="1" customFormat="1" ht="15" customHeight="1" x14ac:dyDescent="0.25">
      <c r="A903" s="18" t="s">
        <v>163</v>
      </c>
      <c r="B903" s="18" t="s">
        <v>38</v>
      </c>
      <c r="C903" s="5">
        <v>1805</v>
      </c>
      <c r="E903" s="1" t="s">
        <v>2</v>
      </c>
      <c r="F903" s="18">
        <v>2173</v>
      </c>
      <c r="G903" s="18">
        <v>50</v>
      </c>
      <c r="H903" s="5">
        <v>95</v>
      </c>
      <c r="I903" s="1">
        <v>95</v>
      </c>
      <c r="J903" s="1">
        <v>201</v>
      </c>
      <c r="L903" t="str">
        <f t="shared" si="14"/>
        <v>http://www.badatelna.eu/reprodukce/?fondId=1073&amp;zaznamId=1108959&amp;reproId=3780043</v>
      </c>
      <c r="M903">
        <f>VLOOKUP(F903,Sheet2!$B$1:$E$19,2,FALSE)</f>
        <v>1073</v>
      </c>
      <c r="N903">
        <f>VLOOKUP(F903,Sheet2!$B$1:$E$19,3,FALSE)</f>
        <v>1108959</v>
      </c>
      <c r="O903">
        <f>IF(G903="Not available","",VLOOKUP(F903,Sheet2!$B$1:$E$19,4,FALSE)+(G903-1))</f>
        <v>3780043</v>
      </c>
    </row>
    <row r="904" spans="1:15" s="1" customFormat="1" ht="15" customHeight="1" x14ac:dyDescent="0.25">
      <c r="A904" s="18" t="s">
        <v>163</v>
      </c>
      <c r="B904" s="18" t="s">
        <v>846</v>
      </c>
      <c r="C904" s="5">
        <v>1847</v>
      </c>
      <c r="D904" s="1" t="s">
        <v>21</v>
      </c>
      <c r="E904" s="1" t="s">
        <v>2</v>
      </c>
      <c r="F904" s="18">
        <v>2164</v>
      </c>
      <c r="G904" s="18">
        <v>34</v>
      </c>
      <c r="H904" s="5">
        <v>32</v>
      </c>
      <c r="I904" s="1">
        <v>126</v>
      </c>
      <c r="J904" s="1" t="s">
        <v>3271</v>
      </c>
      <c r="L904" t="str">
        <f t="shared" si="14"/>
        <v>http://www.badatelna.eu/reprodukce/?fondId=1073&amp;zaznamId=1108951&amp;reproId=3778748</v>
      </c>
      <c r="M904">
        <f>VLOOKUP(F904,Sheet2!$B$1:$E$19,2,FALSE)</f>
        <v>1073</v>
      </c>
      <c r="N904">
        <f>VLOOKUP(F904,Sheet2!$B$1:$E$19,3,FALSE)</f>
        <v>1108951</v>
      </c>
      <c r="O904">
        <f>IF(G904="Not available","",VLOOKUP(F904,Sheet2!$B$1:$E$19,4,FALSE)+(G904-1))</f>
        <v>3778748</v>
      </c>
    </row>
    <row r="905" spans="1:15" s="1" customFormat="1" ht="15" customHeight="1" x14ac:dyDescent="0.25">
      <c r="A905" s="18" t="s">
        <v>163</v>
      </c>
      <c r="B905" s="18" t="s">
        <v>108</v>
      </c>
      <c r="C905" s="5">
        <v>1810</v>
      </c>
      <c r="E905" s="1" t="s">
        <v>2</v>
      </c>
      <c r="F905" s="18">
        <v>2173</v>
      </c>
      <c r="G905" s="18">
        <v>56</v>
      </c>
      <c r="H905" s="5">
        <v>107</v>
      </c>
      <c r="I905" s="1">
        <v>95</v>
      </c>
      <c r="J905" s="1">
        <v>201</v>
      </c>
      <c r="L905" t="str">
        <f t="shared" si="14"/>
        <v>http://www.badatelna.eu/reprodukce/?fondId=1073&amp;zaznamId=1108959&amp;reproId=3780049</v>
      </c>
      <c r="M905">
        <f>VLOOKUP(F905,Sheet2!$B$1:$E$19,2,FALSE)</f>
        <v>1073</v>
      </c>
      <c r="N905">
        <f>VLOOKUP(F905,Sheet2!$B$1:$E$19,3,FALSE)</f>
        <v>1108959</v>
      </c>
      <c r="O905">
        <f>IF(G905="Not available","",VLOOKUP(F905,Sheet2!$B$1:$E$19,4,FALSE)+(G905-1))</f>
        <v>3780049</v>
      </c>
    </row>
    <row r="906" spans="1:15" s="1" customFormat="1" ht="15" customHeight="1" x14ac:dyDescent="0.25">
      <c r="A906" s="18" t="s">
        <v>163</v>
      </c>
      <c r="B906" s="18" t="s">
        <v>848</v>
      </c>
      <c r="C906" s="5">
        <v>1849</v>
      </c>
      <c r="D906" s="1" t="s">
        <v>168</v>
      </c>
      <c r="E906" s="1" t="s">
        <v>2</v>
      </c>
      <c r="F906" s="18">
        <v>2164</v>
      </c>
      <c r="G906" s="18">
        <v>56</v>
      </c>
      <c r="H906" s="5">
        <v>54</v>
      </c>
      <c r="I906" s="1">
        <v>126</v>
      </c>
      <c r="J906" s="1" t="s">
        <v>3271</v>
      </c>
      <c r="L906" t="str">
        <f t="shared" si="14"/>
        <v>http://www.badatelna.eu/reprodukce/?fondId=1073&amp;zaznamId=1108951&amp;reproId=3778770</v>
      </c>
      <c r="M906">
        <f>VLOOKUP(F906,Sheet2!$B$1:$E$19,2,FALSE)</f>
        <v>1073</v>
      </c>
      <c r="N906">
        <f>VLOOKUP(F906,Sheet2!$B$1:$E$19,3,FALSE)</f>
        <v>1108951</v>
      </c>
      <c r="O906">
        <f>IF(G906="Not available","",VLOOKUP(F906,Sheet2!$B$1:$E$19,4,FALSE)+(G906-1))</f>
        <v>3778770</v>
      </c>
    </row>
    <row r="907" spans="1:15" s="1" customFormat="1" ht="15" customHeight="1" x14ac:dyDescent="0.25">
      <c r="A907" s="18" t="s">
        <v>163</v>
      </c>
      <c r="B907" s="18" t="s">
        <v>647</v>
      </c>
      <c r="C907" s="5">
        <v>1845</v>
      </c>
      <c r="D907" s="1" t="s">
        <v>603</v>
      </c>
      <c r="E907" s="1" t="s">
        <v>2</v>
      </c>
      <c r="F907" s="18">
        <v>2174</v>
      </c>
      <c r="G907" s="18">
        <v>155</v>
      </c>
      <c r="H907" s="6" t="s">
        <v>3221</v>
      </c>
      <c r="I907" s="1">
        <v>183</v>
      </c>
      <c r="J907" s="1">
        <v>208</v>
      </c>
      <c r="L907" t="str">
        <f t="shared" si="14"/>
        <v>http://www.badatelna.eu/reprodukce/?fondId=1073&amp;zaznamId=1108960&amp;reproId=3780379</v>
      </c>
      <c r="M907">
        <f>VLOOKUP(F907,Sheet2!$B$1:$E$19,2,FALSE)</f>
        <v>1073</v>
      </c>
      <c r="N907">
        <f>VLOOKUP(F907,Sheet2!$B$1:$E$19,3,FALSE)</f>
        <v>1108960</v>
      </c>
      <c r="O907">
        <f>IF(G907="Not available","",VLOOKUP(F907,Sheet2!$B$1:$E$19,4,FALSE)+(G907-1))</f>
        <v>3780379</v>
      </c>
    </row>
    <row r="908" spans="1:15" s="1" customFormat="1" ht="15" customHeight="1" x14ac:dyDescent="0.25">
      <c r="A908" s="18" t="s">
        <v>643</v>
      </c>
      <c r="B908" s="18" t="s">
        <v>644</v>
      </c>
      <c r="C908" s="5">
        <v>1842</v>
      </c>
      <c r="D908" s="1" t="s">
        <v>12</v>
      </c>
      <c r="E908" s="1" t="s">
        <v>2</v>
      </c>
      <c r="F908" s="18">
        <v>2174</v>
      </c>
      <c r="G908" s="18">
        <v>129</v>
      </c>
      <c r="H908" s="6" t="s">
        <v>3195</v>
      </c>
      <c r="I908" s="1">
        <v>183</v>
      </c>
      <c r="J908" s="1">
        <v>208</v>
      </c>
      <c r="L908" t="str">
        <f t="shared" si="14"/>
        <v>http://www.badatelna.eu/reprodukce/?fondId=1073&amp;zaznamId=1108960&amp;reproId=3780353</v>
      </c>
      <c r="M908">
        <f>VLOOKUP(F908,Sheet2!$B$1:$E$19,2,FALSE)</f>
        <v>1073</v>
      </c>
      <c r="N908">
        <f>VLOOKUP(F908,Sheet2!$B$1:$E$19,3,FALSE)</f>
        <v>1108960</v>
      </c>
      <c r="O908">
        <f>IF(G908="Not available","",VLOOKUP(F908,Sheet2!$B$1:$E$19,4,FALSE)+(G908-1))</f>
        <v>3780353</v>
      </c>
    </row>
    <row r="909" spans="1:15" s="1" customFormat="1" ht="15" customHeight="1" x14ac:dyDescent="0.25">
      <c r="A909" s="18" t="s">
        <v>642</v>
      </c>
      <c r="B909" s="18" t="s">
        <v>646</v>
      </c>
      <c r="C909" s="5">
        <v>1843</v>
      </c>
      <c r="D909" s="1" t="s">
        <v>12</v>
      </c>
      <c r="E909" s="1" t="s">
        <v>2</v>
      </c>
      <c r="F909" s="18">
        <v>2174</v>
      </c>
      <c r="G909" s="18">
        <v>140</v>
      </c>
      <c r="H909" s="6" t="s">
        <v>3205</v>
      </c>
      <c r="I909" s="1">
        <v>183</v>
      </c>
      <c r="J909" s="1">
        <v>208</v>
      </c>
      <c r="L909" t="str">
        <f t="shared" si="14"/>
        <v>http://www.badatelna.eu/reprodukce/?fondId=1073&amp;zaznamId=1108960&amp;reproId=3780364</v>
      </c>
      <c r="M909">
        <f>VLOOKUP(F909,Sheet2!$B$1:$E$19,2,FALSE)</f>
        <v>1073</v>
      </c>
      <c r="N909">
        <f>VLOOKUP(F909,Sheet2!$B$1:$E$19,3,FALSE)</f>
        <v>1108960</v>
      </c>
      <c r="O909">
        <f>IF(G909="Not available","",VLOOKUP(F909,Sheet2!$B$1:$E$19,4,FALSE)+(G909-1))</f>
        <v>3780364</v>
      </c>
    </row>
    <row r="910" spans="1:15" s="1" customFormat="1" ht="15" customHeight="1" x14ac:dyDescent="0.25">
      <c r="A910" s="18" t="s">
        <v>164</v>
      </c>
      <c r="B910" s="18" t="s">
        <v>74</v>
      </c>
      <c r="C910" s="5">
        <v>1811</v>
      </c>
      <c r="E910" s="1" t="s">
        <v>2</v>
      </c>
      <c r="F910" s="18">
        <v>2173</v>
      </c>
      <c r="G910" s="18">
        <v>58</v>
      </c>
      <c r="H910" s="5">
        <v>110</v>
      </c>
      <c r="I910" s="1">
        <v>95</v>
      </c>
      <c r="J910" s="1">
        <v>201</v>
      </c>
      <c r="L910" t="str">
        <f t="shared" si="14"/>
        <v>http://www.badatelna.eu/reprodukce/?fondId=1073&amp;zaznamId=1108959&amp;reproId=3780051</v>
      </c>
      <c r="M910">
        <f>VLOOKUP(F910,Sheet2!$B$1:$E$19,2,FALSE)</f>
        <v>1073</v>
      </c>
      <c r="N910">
        <f>VLOOKUP(F910,Sheet2!$B$1:$E$19,3,FALSE)</f>
        <v>1108959</v>
      </c>
      <c r="O910">
        <f>IF(G910="Not available","",VLOOKUP(F910,Sheet2!$B$1:$E$19,4,FALSE)+(G910-1))</f>
        <v>3780051</v>
      </c>
    </row>
    <row r="911" spans="1:15" s="1" customFormat="1" ht="15" customHeight="1" x14ac:dyDescent="0.25">
      <c r="A911" s="18" t="s">
        <v>164</v>
      </c>
      <c r="B911" s="18" t="s">
        <v>74</v>
      </c>
      <c r="C911" s="5">
        <v>1826</v>
      </c>
      <c r="E911" s="1" t="s">
        <v>2</v>
      </c>
      <c r="F911" s="18">
        <v>2173</v>
      </c>
      <c r="G911" s="18">
        <v>78</v>
      </c>
      <c r="H911" s="5">
        <v>149</v>
      </c>
      <c r="I911" s="1">
        <v>95</v>
      </c>
      <c r="J911" s="1">
        <v>201</v>
      </c>
      <c r="L911" t="str">
        <f t="shared" si="14"/>
        <v>http://www.badatelna.eu/reprodukce/?fondId=1073&amp;zaznamId=1108959&amp;reproId=3780071</v>
      </c>
      <c r="M911">
        <f>VLOOKUP(F911,Sheet2!$B$1:$E$19,2,FALSE)</f>
        <v>1073</v>
      </c>
      <c r="N911">
        <f>VLOOKUP(F911,Sheet2!$B$1:$E$19,3,FALSE)</f>
        <v>1108959</v>
      </c>
      <c r="O911">
        <f>IF(G911="Not available","",VLOOKUP(F911,Sheet2!$B$1:$E$19,4,FALSE)+(G911-1))</f>
        <v>3780071</v>
      </c>
    </row>
    <row r="912" spans="1:15" s="1" customFormat="1" ht="15" customHeight="1" x14ac:dyDescent="0.25">
      <c r="A912" s="18" t="s">
        <v>164</v>
      </c>
      <c r="B912" s="18" t="s">
        <v>14</v>
      </c>
      <c r="C912" s="5">
        <v>1814</v>
      </c>
      <c r="E912" s="1" t="s">
        <v>2</v>
      </c>
      <c r="F912" s="18">
        <v>2173</v>
      </c>
      <c r="G912" s="18">
        <v>62</v>
      </c>
      <c r="H912" s="5">
        <v>119</v>
      </c>
      <c r="I912" s="1">
        <v>95</v>
      </c>
      <c r="J912" s="1">
        <v>201</v>
      </c>
      <c r="L912" t="str">
        <f t="shared" si="14"/>
        <v>http://www.badatelna.eu/reprodukce/?fondId=1073&amp;zaznamId=1108959&amp;reproId=3780055</v>
      </c>
      <c r="M912">
        <f>VLOOKUP(F912,Sheet2!$B$1:$E$19,2,FALSE)</f>
        <v>1073</v>
      </c>
      <c r="N912">
        <f>VLOOKUP(F912,Sheet2!$B$1:$E$19,3,FALSE)</f>
        <v>1108959</v>
      </c>
      <c r="O912">
        <f>IF(G912="Not available","",VLOOKUP(F912,Sheet2!$B$1:$E$19,4,FALSE)+(G912-1))</f>
        <v>3780055</v>
      </c>
    </row>
    <row r="913" spans="1:15" s="1" customFormat="1" ht="15" customHeight="1" x14ac:dyDescent="0.25">
      <c r="A913" s="18" t="s">
        <v>164</v>
      </c>
      <c r="B913" s="19" t="s">
        <v>564</v>
      </c>
      <c r="C913" s="5">
        <v>1799</v>
      </c>
      <c r="E913" s="1" t="s">
        <v>2</v>
      </c>
      <c r="F913" s="18">
        <v>2173</v>
      </c>
      <c r="G913" s="18">
        <v>41</v>
      </c>
      <c r="H913" s="5">
        <v>76</v>
      </c>
      <c r="I913" s="1">
        <v>95</v>
      </c>
      <c r="J913" s="1">
        <v>201</v>
      </c>
      <c r="L913" t="str">
        <f t="shared" si="14"/>
        <v>http://www.badatelna.eu/reprodukce/?fondId=1073&amp;zaznamId=1108959&amp;reproId=3780034</v>
      </c>
      <c r="M913">
        <f>VLOOKUP(F913,Sheet2!$B$1:$E$19,2,FALSE)</f>
        <v>1073</v>
      </c>
      <c r="N913">
        <f>VLOOKUP(F913,Sheet2!$B$1:$E$19,3,FALSE)</f>
        <v>1108959</v>
      </c>
      <c r="O913">
        <f>IF(G913="Not available","",VLOOKUP(F913,Sheet2!$B$1:$E$19,4,FALSE)+(G913-1))</f>
        <v>3780034</v>
      </c>
    </row>
    <row r="914" spans="1:15" s="1" customFormat="1" ht="15" customHeight="1" x14ac:dyDescent="0.25">
      <c r="A914" s="18" t="s">
        <v>164</v>
      </c>
      <c r="B914" s="18" t="s">
        <v>87</v>
      </c>
      <c r="C914" s="5">
        <v>1823</v>
      </c>
      <c r="E914" s="1" t="s">
        <v>2</v>
      </c>
      <c r="F914" s="18">
        <v>2173</v>
      </c>
      <c r="G914" s="18">
        <v>74</v>
      </c>
      <c r="H914" s="5">
        <v>140</v>
      </c>
      <c r="I914" s="1">
        <v>95</v>
      </c>
      <c r="J914" s="1">
        <v>201</v>
      </c>
      <c r="L914" t="str">
        <f t="shared" si="14"/>
        <v>http://www.badatelna.eu/reprodukce/?fondId=1073&amp;zaznamId=1108959&amp;reproId=3780067</v>
      </c>
      <c r="M914">
        <f>VLOOKUP(F914,Sheet2!$B$1:$E$19,2,FALSE)</f>
        <v>1073</v>
      </c>
      <c r="N914">
        <f>VLOOKUP(F914,Sheet2!$B$1:$E$19,3,FALSE)</f>
        <v>1108959</v>
      </c>
      <c r="O914">
        <f>IF(G914="Not available","",VLOOKUP(F914,Sheet2!$B$1:$E$19,4,FALSE)+(G914-1))</f>
        <v>3780067</v>
      </c>
    </row>
    <row r="915" spans="1:15" s="1" customFormat="1" ht="15" customHeight="1" x14ac:dyDescent="0.25">
      <c r="A915" s="18" t="s">
        <v>164</v>
      </c>
      <c r="B915" s="18" t="s">
        <v>129</v>
      </c>
      <c r="C915" s="5">
        <v>1804</v>
      </c>
      <c r="E915" s="1" t="s">
        <v>2</v>
      </c>
      <c r="F915" s="18">
        <v>2173</v>
      </c>
      <c r="G915" s="18">
        <v>48</v>
      </c>
      <c r="H915" s="5">
        <v>91</v>
      </c>
      <c r="I915" s="1">
        <v>95</v>
      </c>
      <c r="J915" s="1">
        <v>201</v>
      </c>
      <c r="L915" t="str">
        <f t="shared" si="14"/>
        <v>http://www.badatelna.eu/reprodukce/?fondId=1073&amp;zaznamId=1108959&amp;reproId=3780041</v>
      </c>
      <c r="M915">
        <f>VLOOKUP(F915,Sheet2!$B$1:$E$19,2,FALSE)</f>
        <v>1073</v>
      </c>
      <c r="N915">
        <f>VLOOKUP(F915,Sheet2!$B$1:$E$19,3,FALSE)</f>
        <v>1108959</v>
      </c>
      <c r="O915">
        <f>IF(G915="Not available","",VLOOKUP(F915,Sheet2!$B$1:$E$19,4,FALSE)+(G915-1))</f>
        <v>3780041</v>
      </c>
    </row>
    <row r="916" spans="1:15" s="1" customFormat="1" ht="15" customHeight="1" x14ac:dyDescent="0.25">
      <c r="A916" s="18" t="s">
        <v>164</v>
      </c>
      <c r="B916" s="18" t="s">
        <v>8</v>
      </c>
      <c r="C916" s="5">
        <v>1789</v>
      </c>
      <c r="D916" s="1" t="s">
        <v>28</v>
      </c>
      <c r="E916" s="1" t="s">
        <v>2</v>
      </c>
      <c r="F916" s="18">
        <v>2173</v>
      </c>
      <c r="G916" s="18">
        <v>21</v>
      </c>
      <c r="H916" s="5">
        <v>36</v>
      </c>
      <c r="I916" s="1">
        <v>95</v>
      </c>
      <c r="J916" s="1">
        <v>201</v>
      </c>
      <c r="L916" t="str">
        <f t="shared" si="14"/>
        <v>http://www.badatelna.eu/reprodukce/?fondId=1073&amp;zaznamId=1108959&amp;reproId=3780014</v>
      </c>
      <c r="M916">
        <f>VLOOKUP(F916,Sheet2!$B$1:$E$19,2,FALSE)</f>
        <v>1073</v>
      </c>
      <c r="N916">
        <f>VLOOKUP(F916,Sheet2!$B$1:$E$19,3,FALSE)</f>
        <v>1108959</v>
      </c>
      <c r="O916">
        <f>IF(G916="Not available","",VLOOKUP(F916,Sheet2!$B$1:$E$19,4,FALSE)+(G916-1))</f>
        <v>3780014</v>
      </c>
    </row>
    <row r="917" spans="1:15" s="1" customFormat="1" ht="15" customHeight="1" x14ac:dyDescent="0.25">
      <c r="A917" s="18" t="s">
        <v>164</v>
      </c>
      <c r="B917" s="18" t="s">
        <v>12</v>
      </c>
      <c r="C917" s="5">
        <v>1793</v>
      </c>
      <c r="D917" s="1" t="s">
        <v>162</v>
      </c>
      <c r="E917" s="1" t="s">
        <v>2</v>
      </c>
      <c r="F917" s="18">
        <v>2173</v>
      </c>
      <c r="G917" s="18">
        <v>30</v>
      </c>
      <c r="H917" s="5">
        <v>55</v>
      </c>
      <c r="I917" s="1">
        <v>95</v>
      </c>
      <c r="J917" s="1">
        <v>201</v>
      </c>
      <c r="L917" t="str">
        <f t="shared" si="14"/>
        <v>http://www.badatelna.eu/reprodukce/?fondId=1073&amp;zaznamId=1108959&amp;reproId=3780023</v>
      </c>
      <c r="M917">
        <f>VLOOKUP(F917,Sheet2!$B$1:$E$19,2,FALSE)</f>
        <v>1073</v>
      </c>
      <c r="N917">
        <f>VLOOKUP(F917,Sheet2!$B$1:$E$19,3,FALSE)</f>
        <v>1108959</v>
      </c>
      <c r="O917">
        <f>IF(G917="Not available","",VLOOKUP(F917,Sheet2!$B$1:$E$19,4,FALSE)+(G917-1))</f>
        <v>3780023</v>
      </c>
    </row>
    <row r="918" spans="1:15" s="1" customFormat="1" ht="15" customHeight="1" x14ac:dyDescent="0.25">
      <c r="A918" s="18" t="s">
        <v>164</v>
      </c>
      <c r="B918" s="18" t="s">
        <v>51</v>
      </c>
      <c r="C918" s="5">
        <v>1816</v>
      </c>
      <c r="E918" s="1" t="s">
        <v>2</v>
      </c>
      <c r="F918" s="18">
        <v>2173</v>
      </c>
      <c r="G918" s="18">
        <v>65</v>
      </c>
      <c r="H918" s="5">
        <v>125</v>
      </c>
      <c r="I918" s="1">
        <v>95</v>
      </c>
      <c r="J918" s="1">
        <v>201</v>
      </c>
      <c r="L918" t="str">
        <f t="shared" si="14"/>
        <v>http://www.badatelna.eu/reprodukce/?fondId=1073&amp;zaznamId=1108959&amp;reproId=3780058</v>
      </c>
      <c r="M918">
        <f>VLOOKUP(F918,Sheet2!$B$1:$E$19,2,FALSE)</f>
        <v>1073</v>
      </c>
      <c r="N918">
        <f>VLOOKUP(F918,Sheet2!$B$1:$E$19,3,FALSE)</f>
        <v>1108959</v>
      </c>
      <c r="O918">
        <f>IF(G918="Not available","",VLOOKUP(F918,Sheet2!$B$1:$E$19,4,FALSE)+(G918-1))</f>
        <v>3780058</v>
      </c>
    </row>
    <row r="919" spans="1:15" s="1" customFormat="1" ht="15" customHeight="1" x14ac:dyDescent="0.25">
      <c r="A919" s="18" t="s">
        <v>164</v>
      </c>
      <c r="B919" s="18" t="s">
        <v>169</v>
      </c>
      <c r="C919" s="5">
        <v>1817</v>
      </c>
      <c r="D919" s="4" t="s">
        <v>44</v>
      </c>
      <c r="E919" s="1" t="s">
        <v>2</v>
      </c>
      <c r="F919" s="18">
        <v>2173</v>
      </c>
      <c r="G919" s="18">
        <v>67</v>
      </c>
      <c r="H919" s="6" t="s">
        <v>2999</v>
      </c>
      <c r="I919" s="1">
        <v>95</v>
      </c>
      <c r="J919" s="1">
        <v>201</v>
      </c>
      <c r="L919" t="str">
        <f t="shared" si="14"/>
        <v>http://www.badatelna.eu/reprodukce/?fondId=1073&amp;zaznamId=1108959&amp;reproId=3780060</v>
      </c>
      <c r="M919">
        <f>VLOOKUP(F919,Sheet2!$B$1:$E$19,2,FALSE)</f>
        <v>1073</v>
      </c>
      <c r="N919">
        <f>VLOOKUP(F919,Sheet2!$B$1:$E$19,3,FALSE)</f>
        <v>1108959</v>
      </c>
      <c r="O919">
        <f>IF(G919="Not available","",VLOOKUP(F919,Sheet2!$B$1:$E$19,4,FALSE)+(G919-1))</f>
        <v>3780060</v>
      </c>
    </row>
    <row r="920" spans="1:15" s="1" customFormat="1" ht="15" customHeight="1" x14ac:dyDescent="0.25">
      <c r="A920" s="18" t="s">
        <v>164</v>
      </c>
      <c r="B920" s="18" t="s">
        <v>172</v>
      </c>
      <c r="C920" s="6" t="s">
        <v>3336</v>
      </c>
      <c r="D920" s="4" t="s">
        <v>3337</v>
      </c>
      <c r="E920" s="1" t="s">
        <v>2</v>
      </c>
      <c r="F920" s="18">
        <v>2173</v>
      </c>
      <c r="G920" s="18">
        <v>82</v>
      </c>
      <c r="H920" s="6" t="s">
        <v>3335</v>
      </c>
      <c r="I920" s="1">
        <v>95</v>
      </c>
      <c r="J920" s="1">
        <v>201</v>
      </c>
      <c r="L920" t="str">
        <f t="shared" si="14"/>
        <v>http://www.badatelna.eu/reprodukce/?fondId=1073&amp;zaznamId=1108959&amp;reproId=3780075</v>
      </c>
      <c r="M920">
        <f>VLOOKUP(F920,Sheet2!$B$1:$E$19,2,FALSE)</f>
        <v>1073</v>
      </c>
      <c r="N920">
        <f>VLOOKUP(F920,Sheet2!$B$1:$E$19,3,FALSE)</f>
        <v>1108959</v>
      </c>
      <c r="O920">
        <f>IF(G920="Not available","",VLOOKUP(F920,Sheet2!$B$1:$E$19,4,FALSE)+(G920-1))</f>
        <v>3780075</v>
      </c>
    </row>
    <row r="921" spans="1:15" s="1" customFormat="1" ht="15" customHeight="1" x14ac:dyDescent="0.25">
      <c r="A921" s="18" t="s">
        <v>164</v>
      </c>
      <c r="B921" s="18" t="s">
        <v>170</v>
      </c>
      <c r="C921" s="5">
        <v>1821</v>
      </c>
      <c r="E921" s="1" t="s">
        <v>2</v>
      </c>
      <c r="F921" s="18">
        <v>2173</v>
      </c>
      <c r="G921" s="18">
        <v>71</v>
      </c>
      <c r="H921" s="5">
        <v>134</v>
      </c>
      <c r="I921" s="1">
        <v>95</v>
      </c>
      <c r="J921" s="1">
        <v>201</v>
      </c>
      <c r="L921" t="str">
        <f t="shared" si="14"/>
        <v>http://www.badatelna.eu/reprodukce/?fondId=1073&amp;zaznamId=1108959&amp;reproId=3780064</v>
      </c>
      <c r="M921">
        <f>VLOOKUP(F921,Sheet2!$B$1:$E$19,2,FALSE)</f>
        <v>1073</v>
      </c>
      <c r="N921">
        <f>VLOOKUP(F921,Sheet2!$B$1:$E$19,3,FALSE)</f>
        <v>1108959</v>
      </c>
      <c r="O921">
        <f>IF(G921="Not available","",VLOOKUP(F921,Sheet2!$B$1:$E$19,4,FALSE)+(G921-1))</f>
        <v>3780064</v>
      </c>
    </row>
    <row r="922" spans="1:15" s="1" customFormat="1" ht="15" customHeight="1" x14ac:dyDescent="0.25">
      <c r="A922" s="18" t="s">
        <v>164</v>
      </c>
      <c r="B922" s="18" t="s">
        <v>44</v>
      </c>
      <c r="C922" s="5">
        <v>1787</v>
      </c>
      <c r="D922" s="1" t="s">
        <v>28</v>
      </c>
      <c r="E922" s="1" t="s">
        <v>2</v>
      </c>
      <c r="F922" s="18">
        <v>2173</v>
      </c>
      <c r="G922" s="18">
        <v>14</v>
      </c>
      <c r="H922" s="5">
        <v>22</v>
      </c>
      <c r="I922" s="1">
        <v>95</v>
      </c>
      <c r="J922" s="1">
        <v>201</v>
      </c>
      <c r="L922" t="str">
        <f t="shared" si="14"/>
        <v>http://www.badatelna.eu/reprodukce/?fondId=1073&amp;zaznamId=1108959&amp;reproId=3780007</v>
      </c>
      <c r="M922">
        <f>VLOOKUP(F922,Sheet2!$B$1:$E$19,2,FALSE)</f>
        <v>1073</v>
      </c>
      <c r="N922">
        <f>VLOOKUP(F922,Sheet2!$B$1:$E$19,3,FALSE)</f>
        <v>1108959</v>
      </c>
      <c r="O922">
        <f>IF(G922="Not available","",VLOOKUP(F922,Sheet2!$B$1:$E$19,4,FALSE)+(G922-1))</f>
        <v>3780007</v>
      </c>
    </row>
    <row r="923" spans="1:15" s="1" customFormat="1" ht="15" customHeight="1" x14ac:dyDescent="0.25">
      <c r="A923" s="18" t="s">
        <v>164</v>
      </c>
      <c r="B923" s="18" t="s">
        <v>23</v>
      </c>
      <c r="C923" s="5">
        <v>1812</v>
      </c>
      <c r="E923" s="1" t="s">
        <v>2</v>
      </c>
      <c r="F923" s="18">
        <v>2173</v>
      </c>
      <c r="G923" s="18">
        <v>59</v>
      </c>
      <c r="H923" s="5">
        <v>113</v>
      </c>
      <c r="I923" s="1">
        <v>95</v>
      </c>
      <c r="J923" s="1">
        <v>201</v>
      </c>
      <c r="L923" t="str">
        <f t="shared" si="14"/>
        <v>http://www.badatelna.eu/reprodukce/?fondId=1073&amp;zaznamId=1108959&amp;reproId=3780052</v>
      </c>
      <c r="M923">
        <f>VLOOKUP(F923,Sheet2!$B$1:$E$19,2,FALSE)</f>
        <v>1073</v>
      </c>
      <c r="N923">
        <f>VLOOKUP(F923,Sheet2!$B$1:$E$19,3,FALSE)</f>
        <v>1108959</v>
      </c>
      <c r="O923">
        <f>IF(G923="Not available","",VLOOKUP(F923,Sheet2!$B$1:$E$19,4,FALSE)+(G923-1))</f>
        <v>3780052</v>
      </c>
    </row>
    <row r="924" spans="1:15" s="1" customFormat="1" ht="15" customHeight="1" x14ac:dyDescent="0.25">
      <c r="A924" s="18" t="s">
        <v>3353</v>
      </c>
      <c r="B924" s="18" t="s">
        <v>92</v>
      </c>
      <c r="C924" s="6" t="s">
        <v>2015</v>
      </c>
      <c r="D924" s="4" t="s">
        <v>2152</v>
      </c>
      <c r="E924" s="4" t="s">
        <v>2</v>
      </c>
      <c r="F924" s="18">
        <v>2176</v>
      </c>
      <c r="G924" s="18" t="s">
        <v>3271</v>
      </c>
      <c r="H924" s="6" t="s">
        <v>1955</v>
      </c>
      <c r="I924" s="1">
        <v>10</v>
      </c>
      <c r="J924" s="1" t="s">
        <v>3271</v>
      </c>
      <c r="K924" s="3"/>
      <c r="L924" t="str">
        <f t="shared" si="14"/>
        <v/>
      </c>
      <c r="M924">
        <f>VLOOKUP(F924,Sheet2!$B$1:$E$19,2,FALSE)</f>
        <v>1073</v>
      </c>
      <c r="N924">
        <f>VLOOKUP(F924,Sheet2!$B$1:$E$19,3,FALSE)</f>
        <v>1108963</v>
      </c>
      <c r="O924" t="str">
        <f>IF(G924="Not available","",VLOOKUP(F924,Sheet2!$B$1:$E$19,4,FALSE)+(G924-1))</f>
        <v/>
      </c>
    </row>
    <row r="925" spans="1:15" s="1" customFormat="1" ht="15" customHeight="1" x14ac:dyDescent="0.25">
      <c r="A925" s="18" t="s">
        <v>1156</v>
      </c>
      <c r="B925" s="18" t="s">
        <v>478</v>
      </c>
      <c r="C925" s="6" t="s">
        <v>2043</v>
      </c>
      <c r="D925" s="4" t="s">
        <v>2152</v>
      </c>
      <c r="E925" s="4" t="s">
        <v>2</v>
      </c>
      <c r="F925" s="18">
        <v>2176</v>
      </c>
      <c r="G925" s="18" t="s">
        <v>3271</v>
      </c>
      <c r="H925" s="6" t="s">
        <v>2065</v>
      </c>
      <c r="I925" s="1">
        <v>10</v>
      </c>
      <c r="J925" s="1" t="s">
        <v>3271</v>
      </c>
      <c r="K925" s="3"/>
      <c r="L925" t="str">
        <f t="shared" si="14"/>
        <v/>
      </c>
      <c r="M925">
        <f>VLOOKUP(F925,Sheet2!$B$1:$E$19,2,FALSE)</f>
        <v>1073</v>
      </c>
      <c r="N925">
        <f>VLOOKUP(F925,Sheet2!$B$1:$E$19,3,FALSE)</f>
        <v>1108963</v>
      </c>
      <c r="O925" t="str">
        <f>IF(G925="Not available","",VLOOKUP(F925,Sheet2!$B$1:$E$19,4,FALSE)+(G925-1))</f>
        <v/>
      </c>
    </row>
    <row r="926" spans="1:15" s="1" customFormat="1" ht="15" customHeight="1" x14ac:dyDescent="0.25">
      <c r="A926" s="18" t="s">
        <v>1156</v>
      </c>
      <c r="B926" s="18" t="s">
        <v>520</v>
      </c>
      <c r="C926" s="5">
        <v>1885</v>
      </c>
      <c r="D926" s="1" t="s">
        <v>1115</v>
      </c>
      <c r="E926" s="1" t="s">
        <v>2</v>
      </c>
      <c r="F926" s="18">
        <v>2165</v>
      </c>
      <c r="G926" s="18">
        <v>202</v>
      </c>
      <c r="H926" s="5">
        <v>4</v>
      </c>
      <c r="I926" s="1">
        <v>204</v>
      </c>
      <c r="J926" s="1">
        <v>187</v>
      </c>
      <c r="L926" t="str">
        <f t="shared" si="14"/>
        <v>http://www.badatelna.eu/reprodukce/?fondId=1073&amp;zaznamId=1108952&amp;reproId=3779063</v>
      </c>
      <c r="M926">
        <f>VLOOKUP(F926,Sheet2!$B$1:$E$19,2,FALSE)</f>
        <v>1073</v>
      </c>
      <c r="N926">
        <f>VLOOKUP(F926,Sheet2!$B$1:$E$19,3,FALSE)</f>
        <v>1108952</v>
      </c>
      <c r="O926">
        <f>IF(G926="Not available","",VLOOKUP(F926,Sheet2!$B$1:$E$19,4,FALSE)+(G926-1))</f>
        <v>3779063</v>
      </c>
    </row>
    <row r="927" spans="1:15" s="1" customFormat="1" ht="15" customHeight="1" x14ac:dyDescent="0.25">
      <c r="A927" s="18" t="s">
        <v>1156</v>
      </c>
      <c r="B927" s="18" t="s">
        <v>1113</v>
      </c>
      <c r="C927" s="6" t="s">
        <v>2026</v>
      </c>
      <c r="D927" s="4" t="s">
        <v>2152</v>
      </c>
      <c r="E927" s="4" t="s">
        <v>2</v>
      </c>
      <c r="F927" s="18">
        <v>2176</v>
      </c>
      <c r="G927" s="18" t="s">
        <v>3271</v>
      </c>
      <c r="H927" s="6" t="s">
        <v>2065</v>
      </c>
      <c r="I927" s="1">
        <v>10</v>
      </c>
      <c r="J927" s="4" t="s">
        <v>3271</v>
      </c>
      <c r="K927" s="3"/>
      <c r="L927" t="str">
        <f t="shared" si="14"/>
        <v/>
      </c>
      <c r="M927">
        <f>VLOOKUP(F927,Sheet2!$B$1:$E$19,2,FALSE)</f>
        <v>1073</v>
      </c>
      <c r="N927">
        <f>VLOOKUP(F927,Sheet2!$B$1:$E$19,3,FALSE)</f>
        <v>1108963</v>
      </c>
      <c r="O927" t="str">
        <f>IF(G927="Not available","",VLOOKUP(F927,Sheet2!$B$1:$E$19,4,FALSE)+(G927-1))</f>
        <v/>
      </c>
    </row>
    <row r="928" spans="1:15" s="1" customFormat="1" ht="15" customHeight="1" x14ac:dyDescent="0.25">
      <c r="A928" s="18" t="s">
        <v>1156</v>
      </c>
      <c r="B928" s="18" t="s">
        <v>593</v>
      </c>
      <c r="C928" s="10" t="s">
        <v>2041</v>
      </c>
      <c r="D928" s="3" t="s">
        <v>2152</v>
      </c>
      <c r="E928" s="4" t="s">
        <v>2</v>
      </c>
      <c r="F928" s="18">
        <v>2176</v>
      </c>
      <c r="G928" s="18" t="s">
        <v>3271</v>
      </c>
      <c r="H928" s="10" t="s">
        <v>1954</v>
      </c>
      <c r="I928" s="3">
        <v>13</v>
      </c>
      <c r="J928" s="3" t="s">
        <v>3271</v>
      </c>
      <c r="K928" s="3"/>
      <c r="L928" t="str">
        <f t="shared" si="14"/>
        <v/>
      </c>
      <c r="M928">
        <f>VLOOKUP(F928,Sheet2!$B$1:$E$19,2,FALSE)</f>
        <v>1073</v>
      </c>
      <c r="N928">
        <f>VLOOKUP(F928,Sheet2!$B$1:$E$19,3,FALSE)</f>
        <v>1108963</v>
      </c>
      <c r="O928" t="str">
        <f>IF(G928="Not available","",VLOOKUP(F928,Sheet2!$B$1:$E$19,4,FALSE)+(G928-1))</f>
        <v/>
      </c>
    </row>
    <row r="929" spans="1:15" s="1" customFormat="1" ht="15" customHeight="1" x14ac:dyDescent="0.25">
      <c r="A929" s="18" t="s">
        <v>1156</v>
      </c>
      <c r="B929" s="18" t="s">
        <v>593</v>
      </c>
      <c r="C929" s="5">
        <v>1884</v>
      </c>
      <c r="D929" s="1" t="s">
        <v>434</v>
      </c>
      <c r="E929" s="1" t="s">
        <v>2</v>
      </c>
      <c r="F929" s="18">
        <v>2165</v>
      </c>
      <c r="G929" s="18">
        <v>193</v>
      </c>
      <c r="H929" s="5">
        <v>1</v>
      </c>
      <c r="I929" s="1">
        <v>196</v>
      </c>
      <c r="J929" s="1">
        <v>173</v>
      </c>
      <c r="L929" t="str">
        <f t="shared" si="14"/>
        <v>http://www.badatelna.eu/reprodukce/?fondId=1073&amp;zaznamId=1108952&amp;reproId=3779054</v>
      </c>
      <c r="M929">
        <f>VLOOKUP(F929,Sheet2!$B$1:$E$19,2,FALSE)</f>
        <v>1073</v>
      </c>
      <c r="N929">
        <f>VLOOKUP(F929,Sheet2!$B$1:$E$19,3,FALSE)</f>
        <v>1108952</v>
      </c>
      <c r="O929">
        <f>IF(G929="Not available","",VLOOKUP(F929,Sheet2!$B$1:$E$19,4,FALSE)+(G929-1))</f>
        <v>3779054</v>
      </c>
    </row>
    <row r="930" spans="1:15" s="1" customFormat="1" ht="15" customHeight="1" x14ac:dyDescent="0.25">
      <c r="A930" s="18" t="s">
        <v>1156</v>
      </c>
      <c r="B930" s="18" t="s">
        <v>1055</v>
      </c>
      <c r="C930" s="6" t="s">
        <v>2015</v>
      </c>
      <c r="D930" s="4" t="s">
        <v>2152</v>
      </c>
      <c r="E930" s="4" t="s">
        <v>2</v>
      </c>
      <c r="F930" s="18">
        <v>2176</v>
      </c>
      <c r="G930" s="18" t="s">
        <v>3271</v>
      </c>
      <c r="H930" s="6" t="s">
        <v>1955</v>
      </c>
      <c r="I930" s="1">
        <v>10</v>
      </c>
      <c r="J930" s="1" t="s">
        <v>3271</v>
      </c>
      <c r="K930" s="3"/>
      <c r="L930" t="str">
        <f t="shared" si="14"/>
        <v/>
      </c>
      <c r="M930">
        <f>VLOOKUP(F930,Sheet2!$B$1:$E$19,2,FALSE)</f>
        <v>1073</v>
      </c>
      <c r="N930">
        <f>VLOOKUP(F930,Sheet2!$B$1:$E$19,3,FALSE)</f>
        <v>1108963</v>
      </c>
      <c r="O930" t="str">
        <f>IF(G930="Not available","",VLOOKUP(F930,Sheet2!$B$1:$E$19,4,FALSE)+(G930-1))</f>
        <v/>
      </c>
    </row>
    <row r="931" spans="1:15" s="1" customFormat="1" ht="15" customHeight="1" x14ac:dyDescent="0.25">
      <c r="A931" s="18" t="s">
        <v>1156</v>
      </c>
      <c r="B931" s="18" t="s">
        <v>2082</v>
      </c>
      <c r="C931" s="6" t="s">
        <v>2025</v>
      </c>
      <c r="D931" s="4" t="s">
        <v>2152</v>
      </c>
      <c r="E931" s="4" t="s">
        <v>2</v>
      </c>
      <c r="F931" s="18">
        <v>2176</v>
      </c>
      <c r="G931" s="18" t="s">
        <v>3271</v>
      </c>
      <c r="H931" s="6" t="s">
        <v>2146</v>
      </c>
      <c r="I931" s="1">
        <v>10</v>
      </c>
      <c r="J931" s="1" t="s">
        <v>3271</v>
      </c>
      <c r="K931" s="3"/>
      <c r="L931" t="str">
        <f t="shared" si="14"/>
        <v/>
      </c>
      <c r="M931">
        <f>VLOOKUP(F931,Sheet2!$B$1:$E$19,2,FALSE)</f>
        <v>1073</v>
      </c>
      <c r="N931">
        <f>VLOOKUP(F931,Sheet2!$B$1:$E$19,3,FALSE)</f>
        <v>1108963</v>
      </c>
      <c r="O931" t="str">
        <f>IF(G931="Not available","",VLOOKUP(F931,Sheet2!$B$1:$E$19,4,FALSE)+(G931-1))</f>
        <v/>
      </c>
    </row>
    <row r="932" spans="1:15" s="1" customFormat="1" ht="15" customHeight="1" x14ac:dyDescent="0.25">
      <c r="A932" s="18" t="s">
        <v>1156</v>
      </c>
      <c r="B932" s="18" t="s">
        <v>2188</v>
      </c>
      <c r="C932" s="10" t="s">
        <v>2015</v>
      </c>
      <c r="D932" s="3" t="s">
        <v>2152</v>
      </c>
      <c r="E932" s="4" t="s">
        <v>2</v>
      </c>
      <c r="F932" s="18">
        <v>2176</v>
      </c>
      <c r="G932" s="18" t="s">
        <v>3271</v>
      </c>
      <c r="H932" s="10" t="s">
        <v>1955</v>
      </c>
      <c r="I932" s="1">
        <v>12</v>
      </c>
      <c r="J932" s="3" t="s">
        <v>3271</v>
      </c>
      <c r="K932" s="3"/>
      <c r="L932" t="str">
        <f t="shared" si="14"/>
        <v/>
      </c>
      <c r="M932">
        <f>VLOOKUP(F932,Sheet2!$B$1:$E$19,2,FALSE)</f>
        <v>1073</v>
      </c>
      <c r="N932">
        <f>VLOOKUP(F932,Sheet2!$B$1:$E$19,3,FALSE)</f>
        <v>1108963</v>
      </c>
      <c r="O932" t="str">
        <f>IF(G932="Not available","",VLOOKUP(F932,Sheet2!$B$1:$E$19,4,FALSE)+(G932-1))</f>
        <v/>
      </c>
    </row>
    <row r="933" spans="1:15" s="1" customFormat="1" ht="15" customHeight="1" x14ac:dyDescent="0.25">
      <c r="A933" s="18" t="s">
        <v>1114</v>
      </c>
      <c r="B933" s="18" t="s">
        <v>92</v>
      </c>
      <c r="C933" s="10" t="s">
        <v>2015</v>
      </c>
      <c r="D933" s="3" t="s">
        <v>2152</v>
      </c>
      <c r="E933" s="4" t="s">
        <v>2</v>
      </c>
      <c r="F933" s="18">
        <v>2176</v>
      </c>
      <c r="G933" s="18" t="s">
        <v>3271</v>
      </c>
      <c r="H933" s="10" t="s">
        <v>1955</v>
      </c>
      <c r="I933" s="1">
        <v>12</v>
      </c>
      <c r="J933" s="3" t="s">
        <v>3271</v>
      </c>
      <c r="K933" s="3"/>
      <c r="L933" t="str">
        <f t="shared" si="14"/>
        <v/>
      </c>
      <c r="M933">
        <f>VLOOKUP(F933,Sheet2!$B$1:$E$19,2,FALSE)</f>
        <v>1073</v>
      </c>
      <c r="N933">
        <f>VLOOKUP(F933,Sheet2!$B$1:$E$19,3,FALSE)</f>
        <v>1108963</v>
      </c>
      <c r="O933" t="str">
        <f>IF(G933="Not available","",VLOOKUP(F933,Sheet2!$B$1:$E$19,4,FALSE)+(G933-1))</f>
        <v/>
      </c>
    </row>
    <row r="934" spans="1:15" s="1" customFormat="1" ht="15" customHeight="1" x14ac:dyDescent="0.25">
      <c r="A934" s="22" t="s">
        <v>1114</v>
      </c>
      <c r="B934" s="18" t="s">
        <v>1113</v>
      </c>
      <c r="C934" s="5" t="s">
        <v>1715</v>
      </c>
      <c r="D934" s="1" t="s">
        <v>434</v>
      </c>
      <c r="E934" s="1" t="s">
        <v>2</v>
      </c>
      <c r="F934" s="18">
        <v>2165</v>
      </c>
      <c r="G934" s="18">
        <v>168</v>
      </c>
      <c r="H934" s="5">
        <v>4</v>
      </c>
      <c r="I934" s="1">
        <v>170</v>
      </c>
      <c r="J934" s="1">
        <v>148</v>
      </c>
      <c r="L934" t="str">
        <f t="shared" si="14"/>
        <v>http://www.badatelna.eu/reprodukce/?fondId=1073&amp;zaznamId=1108952&amp;reproId=3779029</v>
      </c>
      <c r="M934">
        <f>VLOOKUP(F934,Sheet2!$B$1:$E$19,2,FALSE)</f>
        <v>1073</v>
      </c>
      <c r="N934">
        <f>VLOOKUP(F934,Sheet2!$B$1:$E$19,3,FALSE)</f>
        <v>1108952</v>
      </c>
      <c r="O934">
        <f>IF(G934="Not available","",VLOOKUP(F934,Sheet2!$B$1:$E$19,4,FALSE)+(G934-1))</f>
        <v>3779029</v>
      </c>
    </row>
    <row r="935" spans="1:15" s="1" customFormat="1" ht="15" customHeight="1" x14ac:dyDescent="0.25">
      <c r="A935" s="18" t="s">
        <v>1128</v>
      </c>
      <c r="B935" s="18" t="s">
        <v>1968</v>
      </c>
      <c r="C935" s="10" t="s">
        <v>2079</v>
      </c>
      <c r="D935" s="3" t="s">
        <v>2235</v>
      </c>
      <c r="E935" s="4" t="s">
        <v>2</v>
      </c>
      <c r="F935" s="18">
        <v>2176</v>
      </c>
      <c r="G935" s="18" t="s">
        <v>3271</v>
      </c>
      <c r="H935" s="10" t="s">
        <v>2061</v>
      </c>
      <c r="I935" s="3">
        <v>14</v>
      </c>
      <c r="J935" s="3" t="s">
        <v>3271</v>
      </c>
      <c r="K935" s="3"/>
      <c r="L935" t="str">
        <f t="shared" si="14"/>
        <v/>
      </c>
      <c r="M935">
        <f>VLOOKUP(F935,Sheet2!$B$1:$E$19,2,FALSE)</f>
        <v>1073</v>
      </c>
      <c r="N935">
        <f>VLOOKUP(F935,Sheet2!$B$1:$E$19,3,FALSE)</f>
        <v>1108963</v>
      </c>
      <c r="O935" t="str">
        <f>IF(G935="Not available","",VLOOKUP(F935,Sheet2!$B$1:$E$19,4,FALSE)+(G935-1))</f>
        <v/>
      </c>
    </row>
    <row r="936" spans="1:15" s="1" customFormat="1" ht="15" customHeight="1" x14ac:dyDescent="0.25">
      <c r="A936" s="18" t="s">
        <v>1128</v>
      </c>
      <c r="B936" s="18" t="s">
        <v>1051</v>
      </c>
      <c r="C936" s="5" t="s">
        <v>1797</v>
      </c>
      <c r="D936" s="1" t="s">
        <v>602</v>
      </c>
      <c r="E936" s="1" t="s">
        <v>2</v>
      </c>
      <c r="F936" s="18">
        <v>2165</v>
      </c>
      <c r="G936" s="18">
        <v>242</v>
      </c>
      <c r="H936" s="5">
        <v>2</v>
      </c>
      <c r="I936" s="1">
        <v>244</v>
      </c>
      <c r="J936" s="1">
        <v>220</v>
      </c>
      <c r="L936" t="str">
        <f t="shared" si="14"/>
        <v>http://www.badatelna.eu/reprodukce/?fondId=1073&amp;zaznamId=1108952&amp;reproId=3779103</v>
      </c>
      <c r="M936">
        <f>VLOOKUP(F936,Sheet2!$B$1:$E$19,2,FALSE)</f>
        <v>1073</v>
      </c>
      <c r="N936">
        <f>VLOOKUP(F936,Sheet2!$B$1:$E$19,3,FALSE)</f>
        <v>1108952</v>
      </c>
      <c r="O936">
        <f>IF(G936="Not available","",VLOOKUP(F936,Sheet2!$B$1:$E$19,4,FALSE)+(G936-1))</f>
        <v>3779103</v>
      </c>
    </row>
    <row r="937" spans="1:15" s="1" customFormat="1" ht="15" customHeight="1" x14ac:dyDescent="0.25">
      <c r="A937" s="18" t="s">
        <v>1128</v>
      </c>
      <c r="B937" s="18" t="s">
        <v>769</v>
      </c>
      <c r="C937" s="10" t="s">
        <v>2257</v>
      </c>
      <c r="D937" s="3" t="s">
        <v>2252</v>
      </c>
      <c r="E937" s="4" t="s">
        <v>2</v>
      </c>
      <c r="F937" s="18">
        <v>2176</v>
      </c>
      <c r="G937" s="18" t="s">
        <v>3271</v>
      </c>
      <c r="H937" s="10" t="s">
        <v>2088</v>
      </c>
      <c r="I937" s="3">
        <v>14</v>
      </c>
      <c r="J937" s="3" t="s">
        <v>3271</v>
      </c>
      <c r="K937" s="3"/>
      <c r="L937" t="str">
        <f t="shared" si="14"/>
        <v/>
      </c>
      <c r="M937">
        <f>VLOOKUP(F937,Sheet2!$B$1:$E$19,2,FALSE)</f>
        <v>1073</v>
      </c>
      <c r="N937">
        <f>VLOOKUP(F937,Sheet2!$B$1:$E$19,3,FALSE)</f>
        <v>1108963</v>
      </c>
      <c r="O937" t="str">
        <f>IF(G937="Not available","",VLOOKUP(F937,Sheet2!$B$1:$E$19,4,FALSE)+(G937-1))</f>
        <v/>
      </c>
    </row>
    <row r="938" spans="1:15" s="1" customFormat="1" ht="15" customHeight="1" x14ac:dyDescent="0.25">
      <c r="A938" s="18" t="s">
        <v>1128</v>
      </c>
      <c r="B938" s="18" t="s">
        <v>2245</v>
      </c>
      <c r="C938" s="10" t="s">
        <v>2244</v>
      </c>
      <c r="D938" s="3" t="s">
        <v>2235</v>
      </c>
      <c r="E938" s="4" t="s">
        <v>2</v>
      </c>
      <c r="F938" s="18">
        <v>2176</v>
      </c>
      <c r="G938" s="18" t="s">
        <v>3271</v>
      </c>
      <c r="H938" s="10" t="s">
        <v>1976</v>
      </c>
      <c r="I938" s="3">
        <v>14</v>
      </c>
      <c r="J938" s="3" t="s">
        <v>3271</v>
      </c>
      <c r="K938" s="3"/>
      <c r="L938" t="str">
        <f t="shared" si="14"/>
        <v/>
      </c>
      <c r="M938">
        <f>VLOOKUP(F938,Sheet2!$B$1:$E$19,2,FALSE)</f>
        <v>1073</v>
      </c>
      <c r="N938">
        <f>VLOOKUP(F938,Sheet2!$B$1:$E$19,3,FALSE)</f>
        <v>1108963</v>
      </c>
      <c r="O938" t="str">
        <f>IF(G938="Not available","",VLOOKUP(F938,Sheet2!$B$1:$E$19,4,FALSE)+(G938-1))</f>
        <v/>
      </c>
    </row>
    <row r="939" spans="1:15" s="1" customFormat="1" ht="15" customHeight="1" x14ac:dyDescent="0.25">
      <c r="A939" s="18" t="s">
        <v>1128</v>
      </c>
      <c r="B939" s="18" t="s">
        <v>1262</v>
      </c>
      <c r="C939" s="14" t="s">
        <v>2244</v>
      </c>
      <c r="D939" s="4" t="s">
        <v>1263</v>
      </c>
      <c r="E939" s="1" t="s">
        <v>2</v>
      </c>
      <c r="F939" s="18">
        <v>2165</v>
      </c>
      <c r="G939" s="18">
        <v>298</v>
      </c>
      <c r="H939" s="5">
        <v>2</v>
      </c>
      <c r="I939" s="1">
        <v>300</v>
      </c>
      <c r="J939" s="1">
        <v>273</v>
      </c>
      <c r="L939" t="str">
        <f t="shared" si="14"/>
        <v>http://www.badatelna.eu/reprodukce/?fondId=1073&amp;zaznamId=1108952&amp;reproId=3779159</v>
      </c>
      <c r="M939">
        <f>VLOOKUP(F939,Sheet2!$B$1:$E$19,2,FALSE)</f>
        <v>1073</v>
      </c>
      <c r="N939">
        <f>VLOOKUP(F939,Sheet2!$B$1:$E$19,3,FALSE)</f>
        <v>1108952</v>
      </c>
      <c r="O939">
        <f>IF(G939="Not available","",VLOOKUP(F939,Sheet2!$B$1:$E$19,4,FALSE)+(G939-1))</f>
        <v>3779159</v>
      </c>
    </row>
    <row r="940" spans="1:15" s="1" customFormat="1" ht="15" customHeight="1" x14ac:dyDescent="0.25">
      <c r="A940" s="18" t="s">
        <v>1128</v>
      </c>
      <c r="B940" s="18" t="s">
        <v>1175</v>
      </c>
      <c r="C940" s="10" t="s">
        <v>2103</v>
      </c>
      <c r="D940" s="3" t="s">
        <v>2252</v>
      </c>
      <c r="E940" s="4" t="s">
        <v>2</v>
      </c>
      <c r="F940" s="18">
        <v>2176</v>
      </c>
      <c r="G940" s="18" t="s">
        <v>3271</v>
      </c>
      <c r="H940" s="10" t="s">
        <v>1954</v>
      </c>
      <c r="I940" s="3">
        <v>14</v>
      </c>
      <c r="J940" s="3" t="s">
        <v>3271</v>
      </c>
      <c r="K940" s="3"/>
      <c r="L940" t="str">
        <f t="shared" si="14"/>
        <v/>
      </c>
      <c r="M940">
        <f>VLOOKUP(F940,Sheet2!$B$1:$E$19,2,FALSE)</f>
        <v>1073</v>
      </c>
      <c r="N940">
        <f>VLOOKUP(F940,Sheet2!$B$1:$E$19,3,FALSE)</f>
        <v>1108963</v>
      </c>
      <c r="O940" t="str">
        <f>IF(G940="Not available","",VLOOKUP(F940,Sheet2!$B$1:$E$19,4,FALSE)+(G940-1))</f>
        <v/>
      </c>
    </row>
    <row r="941" spans="1:15" s="1" customFormat="1" ht="15" customHeight="1" x14ac:dyDescent="0.25">
      <c r="A941" s="18" t="s">
        <v>1128</v>
      </c>
      <c r="B941" s="18" t="s">
        <v>1962</v>
      </c>
      <c r="C941" s="10" t="s">
        <v>2265</v>
      </c>
      <c r="D941" s="3" t="s">
        <v>2252</v>
      </c>
      <c r="E941" s="4" t="s">
        <v>2</v>
      </c>
      <c r="F941" s="18">
        <v>2176</v>
      </c>
      <c r="G941" s="18" t="s">
        <v>3271</v>
      </c>
      <c r="H941" s="10" t="s">
        <v>2088</v>
      </c>
      <c r="I941" s="3">
        <v>15</v>
      </c>
      <c r="J941" s="3" t="s">
        <v>3271</v>
      </c>
      <c r="K941" s="3"/>
      <c r="L941" t="str">
        <f t="shared" si="14"/>
        <v/>
      </c>
      <c r="M941">
        <f>VLOOKUP(F941,Sheet2!$B$1:$E$19,2,FALSE)</f>
        <v>1073</v>
      </c>
      <c r="N941">
        <f>VLOOKUP(F941,Sheet2!$B$1:$E$19,3,FALSE)</f>
        <v>1108963</v>
      </c>
      <c r="O941" t="str">
        <f>IF(G941="Not available","",VLOOKUP(F941,Sheet2!$B$1:$E$19,4,FALSE)+(G941-1))</f>
        <v/>
      </c>
    </row>
    <row r="942" spans="1:15" s="1" customFormat="1" ht="15" customHeight="1" x14ac:dyDescent="0.25">
      <c r="A942" s="18" t="s">
        <v>1128</v>
      </c>
      <c r="B942" s="18" t="s">
        <v>1078</v>
      </c>
      <c r="C942" s="5">
        <v>1882</v>
      </c>
      <c r="D942" s="1" t="s">
        <v>602</v>
      </c>
      <c r="E942" s="1" t="s">
        <v>2</v>
      </c>
      <c r="F942" s="18">
        <v>2165</v>
      </c>
      <c r="G942" s="18">
        <v>177</v>
      </c>
      <c r="H942" s="5">
        <v>1</v>
      </c>
      <c r="I942" s="1">
        <v>182</v>
      </c>
      <c r="J942" s="1">
        <v>159</v>
      </c>
      <c r="L942" t="str">
        <f t="shared" si="14"/>
        <v>http://www.badatelna.eu/reprodukce/?fondId=1073&amp;zaznamId=1108952&amp;reproId=3779038</v>
      </c>
      <c r="M942">
        <f>VLOOKUP(F942,Sheet2!$B$1:$E$19,2,FALSE)</f>
        <v>1073</v>
      </c>
      <c r="N942">
        <f>VLOOKUP(F942,Sheet2!$B$1:$E$19,3,FALSE)</f>
        <v>1108952</v>
      </c>
      <c r="O942">
        <f>IF(G942="Not available","",VLOOKUP(F942,Sheet2!$B$1:$E$19,4,FALSE)+(G942-1))</f>
        <v>3779038</v>
      </c>
    </row>
    <row r="943" spans="1:15" s="1" customFormat="1" ht="15" customHeight="1" x14ac:dyDescent="0.25">
      <c r="A943" s="18" t="s">
        <v>1128</v>
      </c>
      <c r="B943" s="18" t="s">
        <v>1078</v>
      </c>
      <c r="C943" s="10" t="s">
        <v>1285</v>
      </c>
      <c r="D943" s="3" t="s">
        <v>2212</v>
      </c>
      <c r="E943" s="4" t="s">
        <v>2</v>
      </c>
      <c r="F943" s="18">
        <v>2176</v>
      </c>
      <c r="G943" s="18" t="s">
        <v>3271</v>
      </c>
      <c r="H943" s="10" t="s">
        <v>1954</v>
      </c>
      <c r="I943" s="3">
        <v>13</v>
      </c>
      <c r="J943" s="3" t="s">
        <v>3271</v>
      </c>
      <c r="K943" s="3"/>
      <c r="L943" t="str">
        <f t="shared" si="14"/>
        <v/>
      </c>
      <c r="M943">
        <f>VLOOKUP(F943,Sheet2!$B$1:$E$19,2,FALSE)</f>
        <v>1073</v>
      </c>
      <c r="N943">
        <f>VLOOKUP(F943,Sheet2!$B$1:$E$19,3,FALSE)</f>
        <v>1108963</v>
      </c>
      <c r="O943" t="str">
        <f>IF(G943="Not available","",VLOOKUP(F943,Sheet2!$B$1:$E$19,4,FALSE)+(G943-1))</f>
        <v/>
      </c>
    </row>
    <row r="944" spans="1:15" s="1" customFormat="1" ht="15" customHeight="1" x14ac:dyDescent="0.25">
      <c r="A944" s="18" t="s">
        <v>1128</v>
      </c>
      <c r="B944" s="18" t="s">
        <v>1078</v>
      </c>
      <c r="C944" s="10" t="s">
        <v>2262</v>
      </c>
      <c r="D944" s="3" t="s">
        <v>2252</v>
      </c>
      <c r="E944" s="4" t="s">
        <v>2</v>
      </c>
      <c r="F944" s="18">
        <v>2176</v>
      </c>
      <c r="G944" s="18" t="s">
        <v>3271</v>
      </c>
      <c r="H944" s="10" t="s">
        <v>2083</v>
      </c>
      <c r="I944" s="3">
        <v>15</v>
      </c>
      <c r="J944" s="3" t="s">
        <v>3271</v>
      </c>
      <c r="K944" s="3"/>
      <c r="L944" t="str">
        <f t="shared" si="14"/>
        <v/>
      </c>
      <c r="M944">
        <f>VLOOKUP(F944,Sheet2!$B$1:$E$19,2,FALSE)</f>
        <v>1073</v>
      </c>
      <c r="N944">
        <f>VLOOKUP(F944,Sheet2!$B$1:$E$19,3,FALSE)</f>
        <v>1108963</v>
      </c>
      <c r="O944" t="str">
        <f>IF(G944="Not available","",VLOOKUP(F944,Sheet2!$B$1:$E$19,4,FALSE)+(G944-1))</f>
        <v/>
      </c>
    </row>
    <row r="945" spans="1:15" s="1" customFormat="1" ht="15" customHeight="1" x14ac:dyDescent="0.25">
      <c r="A945" s="19" t="s">
        <v>2247</v>
      </c>
      <c r="B945" s="18" t="s">
        <v>900</v>
      </c>
      <c r="C945" s="6" t="s">
        <v>2100</v>
      </c>
      <c r="D945" s="4" t="s">
        <v>233</v>
      </c>
      <c r="E945" s="1" t="s">
        <v>2</v>
      </c>
      <c r="F945" s="18">
        <v>2165</v>
      </c>
      <c r="G945" s="18">
        <v>308</v>
      </c>
      <c r="H945" s="5">
        <v>1</v>
      </c>
      <c r="I945" s="1">
        <v>311</v>
      </c>
      <c r="J945" s="1">
        <v>284</v>
      </c>
      <c r="L945" t="str">
        <f t="shared" si="14"/>
        <v>http://www.badatelna.eu/reprodukce/?fondId=1073&amp;zaznamId=1108952&amp;reproId=3779169</v>
      </c>
      <c r="M945">
        <f>VLOOKUP(F945,Sheet2!$B$1:$E$19,2,FALSE)</f>
        <v>1073</v>
      </c>
      <c r="N945">
        <f>VLOOKUP(F945,Sheet2!$B$1:$E$19,3,FALSE)</f>
        <v>1108952</v>
      </c>
      <c r="O945">
        <f>IF(G945="Not available","",VLOOKUP(F945,Sheet2!$B$1:$E$19,4,FALSE)+(G945-1))</f>
        <v>3779169</v>
      </c>
    </row>
    <row r="946" spans="1:15" s="1" customFormat="1" ht="15" customHeight="1" x14ac:dyDescent="0.25">
      <c r="A946" s="18" t="s">
        <v>2247</v>
      </c>
      <c r="B946" s="18" t="s">
        <v>900</v>
      </c>
      <c r="C946" s="10" t="s">
        <v>2100</v>
      </c>
      <c r="D946" s="3" t="s">
        <v>2248</v>
      </c>
      <c r="E946" s="4" t="s">
        <v>2</v>
      </c>
      <c r="F946" s="18">
        <v>2176</v>
      </c>
      <c r="G946" s="18" t="s">
        <v>3271</v>
      </c>
      <c r="H946" s="10" t="s">
        <v>2083</v>
      </c>
      <c r="I946" s="3">
        <v>14</v>
      </c>
      <c r="J946" s="3" t="s">
        <v>3271</v>
      </c>
      <c r="K946" s="3"/>
      <c r="L946" t="str">
        <f t="shared" si="14"/>
        <v/>
      </c>
      <c r="M946">
        <f>VLOOKUP(F946,Sheet2!$B$1:$E$19,2,FALSE)</f>
        <v>1073</v>
      </c>
      <c r="N946">
        <f>VLOOKUP(F946,Sheet2!$B$1:$E$19,3,FALSE)</f>
        <v>1108963</v>
      </c>
      <c r="O946" t="str">
        <f>IF(G946="Not available","",VLOOKUP(F946,Sheet2!$B$1:$E$19,4,FALSE)+(G946-1))</f>
        <v/>
      </c>
    </row>
    <row r="947" spans="1:15" s="1" customFormat="1" ht="15" customHeight="1" x14ac:dyDescent="0.25">
      <c r="A947" s="18" t="s">
        <v>181</v>
      </c>
      <c r="B947" s="19" t="s">
        <v>847</v>
      </c>
      <c r="C947" s="6" t="s">
        <v>3319</v>
      </c>
      <c r="E947" s="1" t="s">
        <v>2</v>
      </c>
      <c r="F947" s="18">
        <v>2173</v>
      </c>
      <c r="G947" s="18">
        <v>85</v>
      </c>
      <c r="H947" s="5">
        <v>160</v>
      </c>
      <c r="I947" s="1">
        <v>97</v>
      </c>
      <c r="J947" s="1">
        <v>206</v>
      </c>
      <c r="L947" t="str">
        <f t="shared" si="14"/>
        <v>http://www.badatelna.eu/reprodukce/?fondId=1073&amp;zaznamId=1108959&amp;reproId=3780078</v>
      </c>
      <c r="M947">
        <f>VLOOKUP(F947,Sheet2!$B$1:$E$19,2,FALSE)</f>
        <v>1073</v>
      </c>
      <c r="N947">
        <f>VLOOKUP(F947,Sheet2!$B$1:$E$19,3,FALSE)</f>
        <v>1108959</v>
      </c>
      <c r="O947">
        <f>IF(G947="Not available","",VLOOKUP(F947,Sheet2!$B$1:$E$19,4,FALSE)+(G947-1))</f>
        <v>3780078</v>
      </c>
    </row>
    <row r="948" spans="1:15" s="1" customFormat="1" ht="15" customHeight="1" x14ac:dyDescent="0.25">
      <c r="A948" s="18" t="s">
        <v>181</v>
      </c>
      <c r="B948" s="18" t="s">
        <v>92</v>
      </c>
      <c r="C948" s="5">
        <v>1793</v>
      </c>
      <c r="D948" s="1" t="s">
        <v>26</v>
      </c>
      <c r="E948" s="1" t="s">
        <v>2</v>
      </c>
      <c r="F948" s="18">
        <v>2173</v>
      </c>
      <c r="G948" s="18">
        <v>31</v>
      </c>
      <c r="H948" s="5">
        <v>57</v>
      </c>
      <c r="I948" s="1">
        <v>96</v>
      </c>
      <c r="J948" s="1">
        <v>201</v>
      </c>
      <c r="L948" t="str">
        <f t="shared" si="14"/>
        <v>http://www.badatelna.eu/reprodukce/?fondId=1073&amp;zaznamId=1108959&amp;reproId=3780024</v>
      </c>
      <c r="M948">
        <f>VLOOKUP(F948,Sheet2!$B$1:$E$19,2,FALSE)</f>
        <v>1073</v>
      </c>
      <c r="N948">
        <f>VLOOKUP(F948,Sheet2!$B$1:$E$19,3,FALSE)</f>
        <v>1108959</v>
      </c>
      <c r="O948">
        <f>IF(G948="Not available","",VLOOKUP(F948,Sheet2!$B$1:$E$19,4,FALSE)+(G948-1))</f>
        <v>3780024</v>
      </c>
    </row>
    <row r="949" spans="1:15" s="1" customFormat="1" ht="15" customHeight="1" x14ac:dyDescent="0.25">
      <c r="A949" s="18" t="s">
        <v>181</v>
      </c>
      <c r="B949" s="18" t="s">
        <v>1968</v>
      </c>
      <c r="C949" s="10" t="s">
        <v>2109</v>
      </c>
      <c r="D949" s="3" t="s">
        <v>2258</v>
      </c>
      <c r="E949" s="4" t="s">
        <v>2</v>
      </c>
      <c r="F949" s="18">
        <v>2176</v>
      </c>
      <c r="G949" s="18" t="s">
        <v>3271</v>
      </c>
      <c r="H949" s="10" t="s">
        <v>1954</v>
      </c>
      <c r="I949" s="3">
        <v>14</v>
      </c>
      <c r="J949" s="3" t="s">
        <v>3271</v>
      </c>
      <c r="K949" s="3"/>
      <c r="L949" t="str">
        <f t="shared" si="14"/>
        <v/>
      </c>
      <c r="M949">
        <f>VLOOKUP(F949,Sheet2!$B$1:$E$19,2,FALSE)</f>
        <v>1073</v>
      </c>
      <c r="N949">
        <f>VLOOKUP(F949,Sheet2!$B$1:$E$19,3,FALSE)</f>
        <v>1108963</v>
      </c>
      <c r="O949" t="str">
        <f>IF(G949="Not available","",VLOOKUP(F949,Sheet2!$B$1:$E$19,4,FALSE)+(G949-1))</f>
        <v/>
      </c>
    </row>
    <row r="950" spans="1:15" s="1" customFormat="1" ht="15" customHeight="1" x14ac:dyDescent="0.25">
      <c r="A950" s="18" t="s">
        <v>181</v>
      </c>
      <c r="B950" s="19" t="s">
        <v>2096</v>
      </c>
      <c r="C950" s="10" t="s">
        <v>2026</v>
      </c>
      <c r="D950" s="3" t="s">
        <v>2206</v>
      </c>
      <c r="E950" s="4" t="s">
        <v>2</v>
      </c>
      <c r="F950" s="18">
        <v>2176</v>
      </c>
      <c r="G950" s="18" t="s">
        <v>3271</v>
      </c>
      <c r="H950" s="10" t="s">
        <v>2142</v>
      </c>
      <c r="I950" s="1">
        <v>13</v>
      </c>
      <c r="J950" s="3" t="s">
        <v>3271</v>
      </c>
      <c r="K950" s="3"/>
      <c r="L950" t="str">
        <f t="shared" si="14"/>
        <v/>
      </c>
      <c r="M950">
        <f>VLOOKUP(F950,Sheet2!$B$1:$E$19,2,FALSE)</f>
        <v>1073</v>
      </c>
      <c r="N950">
        <f>VLOOKUP(F950,Sheet2!$B$1:$E$19,3,FALSE)</f>
        <v>1108963</v>
      </c>
      <c r="O950" t="str">
        <f>IF(G950="Not available","",VLOOKUP(F950,Sheet2!$B$1:$E$19,4,FALSE)+(G950-1))</f>
        <v/>
      </c>
    </row>
    <row r="951" spans="1:15" s="1" customFormat="1" ht="15" customHeight="1" x14ac:dyDescent="0.25">
      <c r="A951" s="18" t="s">
        <v>181</v>
      </c>
      <c r="B951" s="18" t="s">
        <v>1043</v>
      </c>
      <c r="C951" s="10" t="s">
        <v>2025</v>
      </c>
      <c r="D951" s="3" t="s">
        <v>2190</v>
      </c>
      <c r="E951" s="4" t="s">
        <v>2</v>
      </c>
      <c r="F951" s="18">
        <v>2176</v>
      </c>
      <c r="G951" s="18" t="s">
        <v>3271</v>
      </c>
      <c r="H951" s="10" t="s">
        <v>2047</v>
      </c>
      <c r="I951" s="1">
        <v>13</v>
      </c>
      <c r="J951" s="3" t="s">
        <v>3271</v>
      </c>
      <c r="K951" s="3"/>
      <c r="L951" t="str">
        <f t="shared" si="14"/>
        <v/>
      </c>
      <c r="M951">
        <f>VLOOKUP(F951,Sheet2!$B$1:$E$19,2,FALSE)</f>
        <v>1073</v>
      </c>
      <c r="N951">
        <f>VLOOKUP(F951,Sheet2!$B$1:$E$19,3,FALSE)</f>
        <v>1108963</v>
      </c>
      <c r="O951" t="str">
        <f>IF(G951="Not available","",VLOOKUP(F951,Sheet2!$B$1:$E$19,4,FALSE)+(G951-1))</f>
        <v/>
      </c>
    </row>
    <row r="952" spans="1:15" s="1" customFormat="1" ht="15" customHeight="1" x14ac:dyDescent="0.25">
      <c r="A952" s="18" t="s">
        <v>181</v>
      </c>
      <c r="B952" s="18" t="s">
        <v>2189</v>
      </c>
      <c r="C952" s="10" t="s">
        <v>2015</v>
      </c>
      <c r="D952" s="3" t="s">
        <v>2190</v>
      </c>
      <c r="E952" s="4" t="s">
        <v>2</v>
      </c>
      <c r="F952" s="18">
        <v>2176</v>
      </c>
      <c r="G952" s="18" t="s">
        <v>3271</v>
      </c>
      <c r="H952" s="10" t="s">
        <v>2080</v>
      </c>
      <c r="I952" s="1">
        <v>12</v>
      </c>
      <c r="J952" s="3" t="s">
        <v>3271</v>
      </c>
      <c r="K952" s="3"/>
      <c r="L952" t="str">
        <f t="shared" si="14"/>
        <v/>
      </c>
      <c r="M952">
        <f>VLOOKUP(F952,Sheet2!$B$1:$E$19,2,FALSE)</f>
        <v>1073</v>
      </c>
      <c r="N952">
        <f>VLOOKUP(F952,Sheet2!$B$1:$E$19,3,FALSE)</f>
        <v>1108963</v>
      </c>
      <c r="O952" t="str">
        <f>IF(G952="Not available","",VLOOKUP(F952,Sheet2!$B$1:$E$19,4,FALSE)+(G952-1))</f>
        <v/>
      </c>
    </row>
    <row r="953" spans="1:15" s="1" customFormat="1" ht="15" customHeight="1" x14ac:dyDescent="0.25">
      <c r="A953" s="18" t="s">
        <v>181</v>
      </c>
      <c r="B953" s="18" t="s">
        <v>816</v>
      </c>
      <c r="C953" s="5" t="s">
        <v>1369</v>
      </c>
      <c r="D953" s="1" t="s">
        <v>434</v>
      </c>
      <c r="E953" s="1" t="s">
        <v>2</v>
      </c>
      <c r="F953" s="18">
        <v>2165</v>
      </c>
      <c r="G953" s="18">
        <v>31</v>
      </c>
      <c r="H953" s="14" t="s">
        <v>2906</v>
      </c>
      <c r="I953" s="1">
        <v>82</v>
      </c>
      <c r="J953" s="1" t="s">
        <v>3271</v>
      </c>
      <c r="L953" t="str">
        <f t="shared" si="14"/>
        <v>http://www.badatelna.eu/reprodukce/?fondId=1073&amp;zaznamId=1108952&amp;reproId=3778892</v>
      </c>
      <c r="M953">
        <f>VLOOKUP(F953,Sheet2!$B$1:$E$19,2,FALSE)</f>
        <v>1073</v>
      </c>
      <c r="N953">
        <f>VLOOKUP(F953,Sheet2!$B$1:$E$19,3,FALSE)</f>
        <v>1108952</v>
      </c>
      <c r="O953">
        <f>IF(G953="Not available","",VLOOKUP(F953,Sheet2!$B$1:$E$19,4,FALSE)+(G953-1))</f>
        <v>3778892</v>
      </c>
    </row>
    <row r="954" spans="1:15" s="1" customFormat="1" ht="15" customHeight="1" x14ac:dyDescent="0.25">
      <c r="A954" s="18" t="s">
        <v>181</v>
      </c>
      <c r="B954" s="18" t="s">
        <v>1019</v>
      </c>
      <c r="C954" s="5" t="s">
        <v>1388</v>
      </c>
      <c r="D954" s="1" t="s">
        <v>434</v>
      </c>
      <c r="E954" s="1" t="s">
        <v>2</v>
      </c>
      <c r="F954" s="18">
        <v>2165</v>
      </c>
      <c r="G954" s="18">
        <v>69</v>
      </c>
      <c r="H954" s="14">
        <v>66</v>
      </c>
      <c r="I954" s="1">
        <v>82</v>
      </c>
      <c r="J954" s="1" t="s">
        <v>3271</v>
      </c>
      <c r="L954" t="str">
        <f t="shared" si="14"/>
        <v>http://www.badatelna.eu/reprodukce/?fondId=1073&amp;zaznamId=1108952&amp;reproId=3778930</v>
      </c>
      <c r="M954">
        <f>VLOOKUP(F954,Sheet2!$B$1:$E$19,2,FALSE)</f>
        <v>1073</v>
      </c>
      <c r="N954">
        <f>VLOOKUP(F954,Sheet2!$B$1:$E$19,3,FALSE)</f>
        <v>1108952</v>
      </c>
      <c r="O954">
        <f>IF(G954="Not available","",VLOOKUP(F954,Sheet2!$B$1:$E$19,4,FALSE)+(G954-1))</f>
        <v>3778930</v>
      </c>
    </row>
    <row r="955" spans="1:15" s="1" customFormat="1" ht="15" customHeight="1" x14ac:dyDescent="0.25">
      <c r="A955" s="18" t="s">
        <v>181</v>
      </c>
      <c r="B955" s="18" t="s">
        <v>2271</v>
      </c>
      <c r="C955" s="10" t="s">
        <v>1960</v>
      </c>
      <c r="D955" s="3" t="s">
        <v>2258</v>
      </c>
      <c r="E955" s="4" t="s">
        <v>2</v>
      </c>
      <c r="F955" s="18">
        <v>2176</v>
      </c>
      <c r="G955" s="18" t="s">
        <v>3271</v>
      </c>
      <c r="H955" s="10" t="s">
        <v>2142</v>
      </c>
      <c r="I955" s="3">
        <v>15</v>
      </c>
      <c r="J955" s="3" t="s">
        <v>3271</v>
      </c>
      <c r="K955" s="3"/>
      <c r="L955" t="str">
        <f t="shared" si="14"/>
        <v/>
      </c>
      <c r="M955">
        <f>VLOOKUP(F955,Sheet2!$B$1:$E$19,2,FALSE)</f>
        <v>1073</v>
      </c>
      <c r="N955">
        <f>VLOOKUP(F955,Sheet2!$B$1:$E$19,3,FALSE)</f>
        <v>1108963</v>
      </c>
      <c r="O955" t="str">
        <f>IF(G955="Not available","",VLOOKUP(F955,Sheet2!$B$1:$E$19,4,FALSE)+(G955-1))</f>
        <v/>
      </c>
    </row>
    <row r="956" spans="1:15" s="1" customFormat="1" ht="15" customHeight="1" x14ac:dyDescent="0.25">
      <c r="A956" s="18" t="s">
        <v>181</v>
      </c>
      <c r="B956" s="18" t="s">
        <v>191</v>
      </c>
      <c r="C956" s="5">
        <v>1812</v>
      </c>
      <c r="E956" s="1" t="s">
        <v>2</v>
      </c>
      <c r="F956" s="18">
        <v>2173</v>
      </c>
      <c r="G956" s="18">
        <v>59</v>
      </c>
      <c r="H956" s="5">
        <v>112</v>
      </c>
      <c r="I956" s="1">
        <v>96</v>
      </c>
      <c r="J956" s="1">
        <v>205</v>
      </c>
      <c r="L956" t="str">
        <f t="shared" si="14"/>
        <v>http://www.badatelna.eu/reprodukce/?fondId=1073&amp;zaznamId=1108959&amp;reproId=3780052</v>
      </c>
      <c r="M956">
        <f>VLOOKUP(F956,Sheet2!$B$1:$E$19,2,FALSE)</f>
        <v>1073</v>
      </c>
      <c r="N956">
        <f>VLOOKUP(F956,Sheet2!$B$1:$E$19,3,FALSE)</f>
        <v>1108959</v>
      </c>
      <c r="O956">
        <f>IF(G956="Not available","",VLOOKUP(F956,Sheet2!$B$1:$E$19,4,FALSE)+(G956-1))</f>
        <v>3780052</v>
      </c>
    </row>
    <row r="957" spans="1:15" s="1" customFormat="1" ht="15" customHeight="1" x14ac:dyDescent="0.25">
      <c r="A957" s="18" t="s">
        <v>181</v>
      </c>
      <c r="B957" s="18" t="s">
        <v>135</v>
      </c>
      <c r="C957" s="5" t="s">
        <v>1362</v>
      </c>
      <c r="D957" s="1" t="s">
        <v>434</v>
      </c>
      <c r="E957" s="1" t="s">
        <v>2</v>
      </c>
      <c r="F957" s="18">
        <v>2165</v>
      </c>
      <c r="G957" s="18">
        <v>19</v>
      </c>
      <c r="H957" s="14" t="s">
        <v>2897</v>
      </c>
      <c r="I957" s="1">
        <v>82</v>
      </c>
      <c r="J957" s="1" t="s">
        <v>3271</v>
      </c>
      <c r="L957" t="str">
        <f t="shared" si="14"/>
        <v>http://www.badatelna.eu/reprodukce/?fondId=1073&amp;zaznamId=1108952&amp;reproId=3778880</v>
      </c>
      <c r="M957">
        <f>VLOOKUP(F957,Sheet2!$B$1:$E$19,2,FALSE)</f>
        <v>1073</v>
      </c>
      <c r="N957">
        <f>VLOOKUP(F957,Sheet2!$B$1:$E$19,3,FALSE)</f>
        <v>1108952</v>
      </c>
      <c r="O957">
        <f>IF(G957="Not available","",VLOOKUP(F957,Sheet2!$B$1:$E$19,4,FALSE)+(G957-1))</f>
        <v>3778880</v>
      </c>
    </row>
    <row r="958" spans="1:15" s="1" customFormat="1" ht="15" customHeight="1" x14ac:dyDescent="0.25">
      <c r="A958" s="18" t="s">
        <v>181</v>
      </c>
      <c r="B958" s="18" t="s">
        <v>1069</v>
      </c>
      <c r="C958" s="5" t="s">
        <v>1716</v>
      </c>
      <c r="D958" s="1" t="s">
        <v>1115</v>
      </c>
      <c r="E958" s="1" t="s">
        <v>2</v>
      </c>
      <c r="F958" s="18">
        <v>2165</v>
      </c>
      <c r="G958" s="18">
        <v>165</v>
      </c>
      <c r="H958" s="5">
        <v>1</v>
      </c>
      <c r="I958" s="1">
        <v>170</v>
      </c>
      <c r="J958" s="1">
        <v>148</v>
      </c>
      <c r="L958" t="str">
        <f t="shared" si="14"/>
        <v>http://www.badatelna.eu/reprodukce/?fondId=1073&amp;zaznamId=1108952&amp;reproId=3779026</v>
      </c>
      <c r="M958">
        <f>VLOOKUP(F958,Sheet2!$B$1:$E$19,2,FALSE)</f>
        <v>1073</v>
      </c>
      <c r="N958">
        <f>VLOOKUP(F958,Sheet2!$B$1:$E$19,3,FALSE)</f>
        <v>1108952</v>
      </c>
      <c r="O958">
        <f>IF(G958="Not available","",VLOOKUP(F958,Sheet2!$B$1:$E$19,4,FALSE)+(G958-1))</f>
        <v>3779026</v>
      </c>
    </row>
    <row r="959" spans="1:15" s="1" customFormat="1" ht="15" customHeight="1" x14ac:dyDescent="0.25">
      <c r="A959" s="18" t="s">
        <v>181</v>
      </c>
      <c r="B959" s="18" t="s">
        <v>2112</v>
      </c>
      <c r="C959" s="10" t="s">
        <v>2110</v>
      </c>
      <c r="D959" s="3" t="s">
        <v>2258</v>
      </c>
      <c r="E959" s="4" t="s">
        <v>2</v>
      </c>
      <c r="F959" s="18">
        <v>2176</v>
      </c>
      <c r="G959" s="18" t="s">
        <v>3271</v>
      </c>
      <c r="H959" s="10" t="s">
        <v>2083</v>
      </c>
      <c r="I959" s="3">
        <v>14</v>
      </c>
      <c r="J959" s="3" t="s">
        <v>3271</v>
      </c>
      <c r="K959" s="3"/>
      <c r="L959" t="str">
        <f t="shared" si="14"/>
        <v/>
      </c>
      <c r="M959">
        <f>VLOOKUP(F959,Sheet2!$B$1:$E$19,2,FALSE)</f>
        <v>1073</v>
      </c>
      <c r="N959">
        <f>VLOOKUP(F959,Sheet2!$B$1:$E$19,3,FALSE)</f>
        <v>1108963</v>
      </c>
      <c r="O959" t="str">
        <f>IF(G959="Not available","",VLOOKUP(F959,Sheet2!$B$1:$E$19,4,FALSE)+(G959-1))</f>
        <v/>
      </c>
    </row>
    <row r="960" spans="1:15" s="1" customFormat="1" ht="15" customHeight="1" x14ac:dyDescent="0.25">
      <c r="A960" s="18" t="s">
        <v>181</v>
      </c>
      <c r="B960" s="18" t="s">
        <v>495</v>
      </c>
      <c r="C960" s="5">
        <v>1839</v>
      </c>
      <c r="D960" s="1" t="s">
        <v>233</v>
      </c>
      <c r="E960" s="1" t="s">
        <v>2</v>
      </c>
      <c r="F960" s="18">
        <v>2174</v>
      </c>
      <c r="G960" s="18">
        <v>104</v>
      </c>
      <c r="H960" s="6" t="s">
        <v>3174</v>
      </c>
      <c r="I960" s="1">
        <v>185</v>
      </c>
      <c r="J960" s="1">
        <v>212</v>
      </c>
      <c r="L960" t="str">
        <f t="shared" si="14"/>
        <v>http://www.badatelna.eu/reprodukce/?fondId=1073&amp;zaznamId=1108960&amp;reproId=3780328</v>
      </c>
      <c r="M960">
        <f>VLOOKUP(F960,Sheet2!$B$1:$E$19,2,FALSE)</f>
        <v>1073</v>
      </c>
      <c r="N960">
        <f>VLOOKUP(F960,Sheet2!$B$1:$E$19,3,FALSE)</f>
        <v>1108960</v>
      </c>
      <c r="O960">
        <f>IF(G960="Not available","",VLOOKUP(F960,Sheet2!$B$1:$E$19,4,FALSE)+(G960-1))</f>
        <v>3780328</v>
      </c>
    </row>
    <row r="961" spans="1:15" s="1" customFormat="1" ht="15" customHeight="1" x14ac:dyDescent="0.25">
      <c r="A961" s="18" t="s">
        <v>181</v>
      </c>
      <c r="B961" s="18" t="s">
        <v>180</v>
      </c>
      <c r="C961" s="5">
        <v>1789</v>
      </c>
      <c r="D961" s="1" t="s">
        <v>26</v>
      </c>
      <c r="E961" s="1" t="s">
        <v>2</v>
      </c>
      <c r="F961" s="18">
        <v>2173</v>
      </c>
      <c r="G961" s="18">
        <v>18</v>
      </c>
      <c r="H961" s="5">
        <v>30</v>
      </c>
      <c r="I961" s="1">
        <v>96</v>
      </c>
      <c r="J961" s="1">
        <v>201</v>
      </c>
      <c r="L961" t="str">
        <f t="shared" si="14"/>
        <v>http://www.badatelna.eu/reprodukce/?fondId=1073&amp;zaznamId=1108959&amp;reproId=3780011</v>
      </c>
      <c r="M961">
        <f>VLOOKUP(F961,Sheet2!$B$1:$E$19,2,FALSE)</f>
        <v>1073</v>
      </c>
      <c r="N961">
        <f>VLOOKUP(F961,Sheet2!$B$1:$E$19,3,FALSE)</f>
        <v>1108959</v>
      </c>
      <c r="O961">
        <f>IF(G961="Not available","",VLOOKUP(F961,Sheet2!$B$1:$E$19,4,FALSE)+(G961-1))</f>
        <v>3780011</v>
      </c>
    </row>
    <row r="962" spans="1:15" s="1" customFormat="1" ht="15" customHeight="1" x14ac:dyDescent="0.25">
      <c r="A962" s="18" t="s">
        <v>181</v>
      </c>
      <c r="B962" s="18" t="s">
        <v>2224</v>
      </c>
      <c r="C962" s="10" t="s">
        <v>2041</v>
      </c>
      <c r="D962" s="3" t="s">
        <v>2214</v>
      </c>
      <c r="E962" s="4" t="s">
        <v>2</v>
      </c>
      <c r="F962" s="18">
        <v>2176</v>
      </c>
      <c r="G962" s="18" t="s">
        <v>3271</v>
      </c>
      <c r="H962" s="10" t="s">
        <v>2051</v>
      </c>
      <c r="I962" s="3">
        <v>13</v>
      </c>
      <c r="J962" s="3" t="s">
        <v>3271</v>
      </c>
      <c r="K962" s="3"/>
      <c r="L962" t="str">
        <f t="shared" si="14"/>
        <v/>
      </c>
      <c r="M962">
        <f>VLOOKUP(F962,Sheet2!$B$1:$E$19,2,FALSE)</f>
        <v>1073</v>
      </c>
      <c r="N962">
        <f>VLOOKUP(F962,Sheet2!$B$1:$E$19,3,FALSE)</f>
        <v>1108963</v>
      </c>
      <c r="O962" t="str">
        <f>IF(G962="Not available","",VLOOKUP(F962,Sheet2!$B$1:$E$19,4,FALSE)+(G962-1))</f>
        <v/>
      </c>
    </row>
    <row r="963" spans="1:15" s="1" customFormat="1" ht="15" customHeight="1" x14ac:dyDescent="0.25">
      <c r="A963" s="18" t="s">
        <v>181</v>
      </c>
      <c r="B963" s="18" t="s">
        <v>1158</v>
      </c>
      <c r="C963" s="5">
        <v>1884</v>
      </c>
      <c r="D963" s="1" t="s">
        <v>1115</v>
      </c>
      <c r="E963" s="1" t="s">
        <v>2</v>
      </c>
      <c r="F963" s="18">
        <v>2165</v>
      </c>
      <c r="G963" s="18">
        <v>194</v>
      </c>
      <c r="H963" s="5">
        <v>2</v>
      </c>
      <c r="I963" s="1">
        <v>196</v>
      </c>
      <c r="J963" s="1">
        <v>173</v>
      </c>
      <c r="L963" t="str">
        <f t="shared" ref="L963:L1026" si="15">IF(G963="Not available","","http://www.badatelna.eu/reprodukce/?fondId="&amp;M963&amp;"&amp;zaznamId="&amp;N963&amp;"&amp;reproId="&amp;O963)</f>
        <v>http://www.badatelna.eu/reprodukce/?fondId=1073&amp;zaznamId=1108952&amp;reproId=3779055</v>
      </c>
      <c r="M963">
        <f>VLOOKUP(F963,Sheet2!$B$1:$E$19,2,FALSE)</f>
        <v>1073</v>
      </c>
      <c r="N963">
        <f>VLOOKUP(F963,Sheet2!$B$1:$E$19,3,FALSE)</f>
        <v>1108952</v>
      </c>
      <c r="O963">
        <f>IF(G963="Not available","",VLOOKUP(F963,Sheet2!$B$1:$E$19,4,FALSE)+(G963-1))</f>
        <v>3779055</v>
      </c>
    </row>
    <row r="964" spans="1:15" s="1" customFormat="1" ht="15" customHeight="1" x14ac:dyDescent="0.25">
      <c r="A964" s="18" t="s">
        <v>181</v>
      </c>
      <c r="B964" s="18" t="s">
        <v>34</v>
      </c>
      <c r="C964" s="5">
        <v>1796</v>
      </c>
      <c r="D964" s="1" t="s">
        <v>26</v>
      </c>
      <c r="E964" s="1" t="s">
        <v>2</v>
      </c>
      <c r="F964" s="18">
        <v>2173</v>
      </c>
      <c r="G964" s="18">
        <v>34</v>
      </c>
      <c r="H964" s="5">
        <v>63</v>
      </c>
      <c r="I964" s="1">
        <v>96</v>
      </c>
      <c r="J964" s="1">
        <v>201</v>
      </c>
      <c r="L964" t="str">
        <f t="shared" si="15"/>
        <v>http://www.badatelna.eu/reprodukce/?fondId=1073&amp;zaznamId=1108959&amp;reproId=3780027</v>
      </c>
      <c r="M964">
        <f>VLOOKUP(F964,Sheet2!$B$1:$E$19,2,FALSE)</f>
        <v>1073</v>
      </c>
      <c r="N964">
        <f>VLOOKUP(F964,Sheet2!$B$1:$E$19,3,FALSE)</f>
        <v>1108959</v>
      </c>
      <c r="O964">
        <f>IF(G964="Not available","",VLOOKUP(F964,Sheet2!$B$1:$E$19,4,FALSE)+(G964-1))</f>
        <v>3780027</v>
      </c>
    </row>
    <row r="965" spans="1:15" s="1" customFormat="1" ht="15" customHeight="1" x14ac:dyDescent="0.25">
      <c r="A965" s="18" t="s">
        <v>181</v>
      </c>
      <c r="B965" s="18" t="s">
        <v>2089</v>
      </c>
      <c r="C965" s="6" t="s">
        <v>1987</v>
      </c>
      <c r="D965" s="4" t="s">
        <v>2172</v>
      </c>
      <c r="E965" s="4" t="s">
        <v>2</v>
      </c>
      <c r="F965" s="18">
        <v>2176</v>
      </c>
      <c r="G965" s="18" t="s">
        <v>3271</v>
      </c>
      <c r="H965" s="6" t="s">
        <v>1955</v>
      </c>
      <c r="I965" s="1">
        <v>12</v>
      </c>
      <c r="J965" s="1" t="s">
        <v>3271</v>
      </c>
      <c r="L965" t="str">
        <f t="shared" si="15"/>
        <v/>
      </c>
      <c r="M965">
        <f>VLOOKUP(F965,Sheet2!$B$1:$E$19,2,FALSE)</f>
        <v>1073</v>
      </c>
      <c r="N965">
        <f>VLOOKUP(F965,Sheet2!$B$1:$E$19,3,FALSE)</f>
        <v>1108963</v>
      </c>
      <c r="O965" t="str">
        <f>IF(G965="Not available","",VLOOKUP(F965,Sheet2!$B$1:$E$19,4,FALSE)+(G965-1))</f>
        <v/>
      </c>
    </row>
    <row r="966" spans="1:15" s="1" customFormat="1" ht="15" customHeight="1" x14ac:dyDescent="0.25">
      <c r="A966" s="18" t="s">
        <v>181</v>
      </c>
      <c r="B966" s="18" t="s">
        <v>51</v>
      </c>
      <c r="C966" s="5">
        <v>1865</v>
      </c>
      <c r="E966" s="1" t="s">
        <v>939</v>
      </c>
      <c r="F966" s="18">
        <v>999</v>
      </c>
      <c r="G966" s="18">
        <v>57</v>
      </c>
      <c r="H966" s="5">
        <v>55</v>
      </c>
      <c r="I966" s="1">
        <v>66</v>
      </c>
      <c r="J966" s="1">
        <v>100</v>
      </c>
      <c r="L966" t="str">
        <f t="shared" si="15"/>
        <v>http://www.badatelna.eu/reprodukce/?fondId=241&amp;zaznamId=1133739&amp;reproId=3885786</v>
      </c>
      <c r="M966">
        <f>VLOOKUP(F966,Sheet2!$B$1:$E$19,2,FALSE)</f>
        <v>241</v>
      </c>
      <c r="N966">
        <f>VLOOKUP(F966,Sheet2!$B$1:$E$19,3,FALSE)</f>
        <v>1133739</v>
      </c>
      <c r="O966">
        <f>IF(G966="Not available","",VLOOKUP(F966,Sheet2!$B$1:$E$19,4,FALSE)+(G966-1))</f>
        <v>3885786</v>
      </c>
    </row>
    <row r="967" spans="1:15" s="1" customFormat="1" ht="15" customHeight="1" x14ac:dyDescent="0.25">
      <c r="A967" s="18" t="s">
        <v>181</v>
      </c>
      <c r="B967" s="18" t="s">
        <v>51</v>
      </c>
      <c r="C967" s="5" t="s">
        <v>1357</v>
      </c>
      <c r="D967" s="1" t="s">
        <v>434</v>
      </c>
      <c r="E967" s="1" t="s">
        <v>2</v>
      </c>
      <c r="F967" s="18">
        <v>2165</v>
      </c>
      <c r="G967" s="18">
        <v>10</v>
      </c>
      <c r="H967" s="14" t="s">
        <v>2898</v>
      </c>
      <c r="I967" s="1">
        <v>82</v>
      </c>
      <c r="J967" s="1" t="s">
        <v>3271</v>
      </c>
      <c r="L967" t="str">
        <f t="shared" si="15"/>
        <v>http://www.badatelna.eu/reprodukce/?fondId=1073&amp;zaznamId=1108952&amp;reproId=3778871</v>
      </c>
      <c r="M967">
        <f>VLOOKUP(F967,Sheet2!$B$1:$E$19,2,FALSE)</f>
        <v>1073</v>
      </c>
      <c r="N967">
        <f>VLOOKUP(F967,Sheet2!$B$1:$E$19,3,FALSE)</f>
        <v>1108952</v>
      </c>
      <c r="O967">
        <f>IF(G967="Not available","",VLOOKUP(F967,Sheet2!$B$1:$E$19,4,FALSE)+(G967-1))</f>
        <v>3778871</v>
      </c>
    </row>
    <row r="968" spans="1:15" s="1" customFormat="1" ht="15" customHeight="1" x14ac:dyDescent="0.25">
      <c r="A968" s="18" t="s">
        <v>181</v>
      </c>
      <c r="B968" s="18" t="s">
        <v>26</v>
      </c>
      <c r="C968" s="5">
        <v>1833</v>
      </c>
      <c r="D968" s="1" t="s">
        <v>536</v>
      </c>
      <c r="E968" s="1" t="s">
        <v>2</v>
      </c>
      <c r="F968" s="18">
        <v>2174</v>
      </c>
      <c r="G968" s="18">
        <v>73</v>
      </c>
      <c r="H968" s="6" t="s">
        <v>3138</v>
      </c>
      <c r="I968" s="1">
        <v>185</v>
      </c>
      <c r="J968" s="1">
        <v>212</v>
      </c>
      <c r="L968" t="str">
        <f t="shared" si="15"/>
        <v>http://www.badatelna.eu/reprodukce/?fondId=1073&amp;zaznamId=1108960&amp;reproId=3780297</v>
      </c>
      <c r="M968">
        <f>VLOOKUP(F968,Sheet2!$B$1:$E$19,2,FALSE)</f>
        <v>1073</v>
      </c>
      <c r="N968">
        <f>VLOOKUP(F968,Sheet2!$B$1:$E$19,3,FALSE)</f>
        <v>1108960</v>
      </c>
      <c r="O968">
        <f>IF(G968="Not available","",VLOOKUP(F968,Sheet2!$B$1:$E$19,4,FALSE)+(G968-1))</f>
        <v>3780297</v>
      </c>
    </row>
    <row r="969" spans="1:15" s="1" customFormat="1" ht="15" customHeight="1" x14ac:dyDescent="0.25">
      <c r="A969" s="18" t="s">
        <v>181</v>
      </c>
      <c r="B969" s="18" t="s">
        <v>26</v>
      </c>
      <c r="C969" s="5">
        <v>1835</v>
      </c>
      <c r="D969" s="1" t="s">
        <v>233</v>
      </c>
      <c r="E969" s="1" t="s">
        <v>2</v>
      </c>
      <c r="F969" s="18">
        <v>2174</v>
      </c>
      <c r="G969" s="18">
        <v>81</v>
      </c>
      <c r="H969" s="6" t="s">
        <v>3148</v>
      </c>
      <c r="I969" s="1">
        <v>185</v>
      </c>
      <c r="J969" s="1">
        <v>212</v>
      </c>
      <c r="L969" t="str">
        <f t="shared" si="15"/>
        <v>http://www.badatelna.eu/reprodukce/?fondId=1073&amp;zaznamId=1108960&amp;reproId=3780305</v>
      </c>
      <c r="M969">
        <f>VLOOKUP(F969,Sheet2!$B$1:$E$19,2,FALSE)</f>
        <v>1073</v>
      </c>
      <c r="N969">
        <f>VLOOKUP(F969,Sheet2!$B$1:$E$19,3,FALSE)</f>
        <v>1108960</v>
      </c>
      <c r="O969">
        <f>IF(G969="Not available","",VLOOKUP(F969,Sheet2!$B$1:$E$19,4,FALSE)+(G969-1))</f>
        <v>3780305</v>
      </c>
    </row>
    <row r="970" spans="1:15" s="1" customFormat="1" ht="15" customHeight="1" x14ac:dyDescent="0.25">
      <c r="A970" s="18" t="s">
        <v>181</v>
      </c>
      <c r="B970" s="18" t="s">
        <v>26</v>
      </c>
      <c r="C970" s="5">
        <v>1843</v>
      </c>
      <c r="D970" s="1" t="s">
        <v>24</v>
      </c>
      <c r="E970" s="1" t="s">
        <v>2</v>
      </c>
      <c r="F970" s="18">
        <v>2174</v>
      </c>
      <c r="G970" s="18">
        <v>136</v>
      </c>
      <c r="H970" s="6" t="s">
        <v>3202</v>
      </c>
      <c r="I970" s="1">
        <v>185</v>
      </c>
      <c r="J970" s="1">
        <v>212</v>
      </c>
      <c r="L970" t="str">
        <f t="shared" si="15"/>
        <v>http://www.badatelna.eu/reprodukce/?fondId=1073&amp;zaznamId=1108960&amp;reproId=3780360</v>
      </c>
      <c r="M970">
        <f>VLOOKUP(F970,Sheet2!$B$1:$E$19,2,FALSE)</f>
        <v>1073</v>
      </c>
      <c r="N970">
        <f>VLOOKUP(F970,Sheet2!$B$1:$E$19,3,FALSE)</f>
        <v>1108960</v>
      </c>
      <c r="O970">
        <f>IF(G970="Not available","",VLOOKUP(F970,Sheet2!$B$1:$E$19,4,FALSE)+(G970-1))</f>
        <v>3780360</v>
      </c>
    </row>
    <row r="971" spans="1:15" s="1" customFormat="1" ht="15" customHeight="1" x14ac:dyDescent="0.25">
      <c r="A971" s="18" t="s">
        <v>181</v>
      </c>
      <c r="B971" s="18" t="s">
        <v>26</v>
      </c>
      <c r="C971" s="5">
        <v>1847</v>
      </c>
      <c r="D971" s="1" t="s">
        <v>24</v>
      </c>
      <c r="E971" s="1" t="s">
        <v>2</v>
      </c>
      <c r="F971" s="18">
        <v>2164</v>
      </c>
      <c r="G971" s="18">
        <v>5</v>
      </c>
      <c r="H971" s="5">
        <v>3</v>
      </c>
      <c r="I971" s="1">
        <v>127</v>
      </c>
      <c r="J971" s="1" t="s">
        <v>3271</v>
      </c>
      <c r="L971" t="str">
        <f t="shared" si="15"/>
        <v>http://www.badatelna.eu/reprodukce/?fondId=1073&amp;zaznamId=1108951&amp;reproId=3778719</v>
      </c>
      <c r="M971">
        <f>VLOOKUP(F971,Sheet2!$B$1:$E$19,2,FALSE)</f>
        <v>1073</v>
      </c>
      <c r="N971">
        <f>VLOOKUP(F971,Sheet2!$B$1:$E$19,3,FALSE)</f>
        <v>1108951</v>
      </c>
      <c r="O971">
        <f>IF(G971="Not available","",VLOOKUP(F971,Sheet2!$B$1:$E$19,4,FALSE)+(G971-1))</f>
        <v>3778719</v>
      </c>
    </row>
    <row r="972" spans="1:15" s="1" customFormat="1" ht="15" customHeight="1" x14ac:dyDescent="0.25">
      <c r="A972" s="18" t="s">
        <v>181</v>
      </c>
      <c r="B972" s="18" t="s">
        <v>4</v>
      </c>
      <c r="C972" s="5">
        <v>1805</v>
      </c>
      <c r="E972" s="1" t="s">
        <v>2</v>
      </c>
      <c r="F972" s="18">
        <v>2173</v>
      </c>
      <c r="G972" s="18">
        <v>49</v>
      </c>
      <c r="H972" s="5">
        <v>93</v>
      </c>
      <c r="I972" s="1">
        <v>96</v>
      </c>
      <c r="J972" s="1">
        <v>205</v>
      </c>
      <c r="L972" t="str">
        <f t="shared" si="15"/>
        <v>http://www.badatelna.eu/reprodukce/?fondId=1073&amp;zaznamId=1108959&amp;reproId=3780042</v>
      </c>
      <c r="M972">
        <f>VLOOKUP(F972,Sheet2!$B$1:$E$19,2,FALSE)</f>
        <v>1073</v>
      </c>
      <c r="N972">
        <f>VLOOKUP(F972,Sheet2!$B$1:$E$19,3,FALSE)</f>
        <v>1108959</v>
      </c>
      <c r="O972">
        <f>IF(G972="Not available","",VLOOKUP(F972,Sheet2!$B$1:$E$19,4,FALSE)+(G972-1))</f>
        <v>3780042</v>
      </c>
    </row>
    <row r="973" spans="1:15" s="1" customFormat="1" ht="15" customHeight="1" x14ac:dyDescent="0.25">
      <c r="A973" s="18" t="s">
        <v>181</v>
      </c>
      <c r="B973" s="18" t="s">
        <v>602</v>
      </c>
      <c r="C973" s="5" t="s">
        <v>1385</v>
      </c>
      <c r="D973" s="1" t="s">
        <v>434</v>
      </c>
      <c r="E973" s="1" t="s">
        <v>2</v>
      </c>
      <c r="F973" s="18">
        <v>2165</v>
      </c>
      <c r="G973" s="18">
        <v>63</v>
      </c>
      <c r="H973" s="5">
        <v>60</v>
      </c>
      <c r="I973" s="1">
        <v>82</v>
      </c>
      <c r="J973" s="1" t="s">
        <v>3271</v>
      </c>
      <c r="L973" t="str">
        <f t="shared" si="15"/>
        <v>http://www.badatelna.eu/reprodukce/?fondId=1073&amp;zaznamId=1108952&amp;reproId=3778924</v>
      </c>
      <c r="M973">
        <f>VLOOKUP(F973,Sheet2!$B$1:$E$19,2,FALSE)</f>
        <v>1073</v>
      </c>
      <c r="N973">
        <f>VLOOKUP(F973,Sheet2!$B$1:$E$19,3,FALSE)</f>
        <v>1108952</v>
      </c>
      <c r="O973">
        <f>IF(G973="Not available","",VLOOKUP(F973,Sheet2!$B$1:$E$19,4,FALSE)+(G973-1))</f>
        <v>3778924</v>
      </c>
    </row>
    <row r="974" spans="1:15" s="1" customFormat="1" ht="15" customHeight="1" x14ac:dyDescent="0.25">
      <c r="A974" s="18" t="s">
        <v>181</v>
      </c>
      <c r="B974" s="18" t="s">
        <v>2027</v>
      </c>
      <c r="C974" s="10" t="s">
        <v>2005</v>
      </c>
      <c r="D974" s="3" t="s">
        <v>2172</v>
      </c>
      <c r="E974" s="4" t="s">
        <v>2</v>
      </c>
      <c r="F974" s="18">
        <v>2176</v>
      </c>
      <c r="G974" s="18" t="s">
        <v>3271</v>
      </c>
      <c r="H974" s="10" t="s">
        <v>2080</v>
      </c>
      <c r="I974" s="1">
        <v>12</v>
      </c>
      <c r="J974" s="3" t="s">
        <v>3271</v>
      </c>
      <c r="L974" t="str">
        <f t="shared" si="15"/>
        <v/>
      </c>
      <c r="M974">
        <f>VLOOKUP(F974,Sheet2!$B$1:$E$19,2,FALSE)</f>
        <v>1073</v>
      </c>
      <c r="N974">
        <f>VLOOKUP(F974,Sheet2!$B$1:$E$19,3,FALSE)</f>
        <v>1108963</v>
      </c>
      <c r="O974" t="str">
        <f>IF(G974="Not available","",VLOOKUP(F974,Sheet2!$B$1:$E$19,4,FALSE)+(G974-1))</f>
        <v/>
      </c>
    </row>
    <row r="975" spans="1:15" s="1" customFormat="1" ht="15" customHeight="1" x14ac:dyDescent="0.25">
      <c r="A975" s="18" t="s">
        <v>181</v>
      </c>
      <c r="B975" s="18" t="s">
        <v>652</v>
      </c>
      <c r="C975" s="5">
        <v>1845</v>
      </c>
      <c r="D975" s="1" t="s">
        <v>24</v>
      </c>
      <c r="E975" s="1" t="s">
        <v>2</v>
      </c>
      <c r="F975" s="18">
        <v>2174</v>
      </c>
      <c r="G975" s="18">
        <v>151</v>
      </c>
      <c r="H975" s="6" t="s">
        <v>3218</v>
      </c>
      <c r="I975" s="1">
        <v>185</v>
      </c>
      <c r="J975" s="1">
        <v>212</v>
      </c>
      <c r="L975" t="str">
        <f t="shared" si="15"/>
        <v>http://www.badatelna.eu/reprodukce/?fondId=1073&amp;zaznamId=1108960&amp;reproId=3780375</v>
      </c>
      <c r="M975">
        <f>VLOOKUP(F975,Sheet2!$B$1:$E$19,2,FALSE)</f>
        <v>1073</v>
      </c>
      <c r="N975">
        <f>VLOOKUP(F975,Sheet2!$B$1:$E$19,3,FALSE)</f>
        <v>1108960</v>
      </c>
      <c r="O975">
        <f>IF(G975="Not available","",VLOOKUP(F975,Sheet2!$B$1:$E$19,4,FALSE)+(G975-1))</f>
        <v>3780375</v>
      </c>
    </row>
    <row r="976" spans="1:15" s="1" customFormat="1" ht="15" customHeight="1" x14ac:dyDescent="0.25">
      <c r="A976" s="18" t="s">
        <v>181</v>
      </c>
      <c r="B976" s="18" t="s">
        <v>549</v>
      </c>
      <c r="C976" s="5">
        <v>1841</v>
      </c>
      <c r="D976" s="1" t="s">
        <v>233</v>
      </c>
      <c r="E976" s="1" t="s">
        <v>2</v>
      </c>
      <c r="F976" s="18">
        <v>2174</v>
      </c>
      <c r="G976" s="18">
        <v>137</v>
      </c>
      <c r="H976" s="6" t="s">
        <v>3190</v>
      </c>
      <c r="I976" s="1">
        <v>185</v>
      </c>
      <c r="J976" s="1">
        <v>212</v>
      </c>
      <c r="L976" t="str">
        <f t="shared" si="15"/>
        <v>http://www.badatelna.eu/reprodukce/?fondId=1073&amp;zaznamId=1108960&amp;reproId=3780361</v>
      </c>
      <c r="M976">
        <f>VLOOKUP(F976,Sheet2!$B$1:$E$19,2,FALSE)</f>
        <v>1073</v>
      </c>
      <c r="N976">
        <f>VLOOKUP(F976,Sheet2!$B$1:$E$19,3,FALSE)</f>
        <v>1108960</v>
      </c>
      <c r="O976">
        <f>IF(G976="Not available","",VLOOKUP(F976,Sheet2!$B$1:$E$19,4,FALSE)+(G976-1))</f>
        <v>3780361</v>
      </c>
    </row>
    <row r="977" spans="1:15" s="1" customFormat="1" ht="15" customHeight="1" x14ac:dyDescent="0.25">
      <c r="A977" s="18" t="s">
        <v>181</v>
      </c>
      <c r="B977" s="18" t="s">
        <v>7</v>
      </c>
      <c r="C977" s="5">
        <v>1808</v>
      </c>
      <c r="E977" s="1" t="s">
        <v>2</v>
      </c>
      <c r="F977" s="18">
        <v>2173</v>
      </c>
      <c r="G977" s="18">
        <v>53</v>
      </c>
      <c r="H977" s="5">
        <v>101</v>
      </c>
      <c r="I977" s="1">
        <v>96</v>
      </c>
      <c r="J977" s="1">
        <v>205</v>
      </c>
      <c r="L977" t="str">
        <f t="shared" si="15"/>
        <v>http://www.badatelna.eu/reprodukce/?fondId=1073&amp;zaznamId=1108959&amp;reproId=3780046</v>
      </c>
      <c r="M977">
        <f>VLOOKUP(F977,Sheet2!$B$1:$E$19,2,FALSE)</f>
        <v>1073</v>
      </c>
      <c r="N977">
        <f>VLOOKUP(F977,Sheet2!$B$1:$E$19,3,FALSE)</f>
        <v>1108959</v>
      </c>
      <c r="O977">
        <f>IF(G977="Not available","",VLOOKUP(F977,Sheet2!$B$1:$E$19,4,FALSE)+(G977-1))</f>
        <v>3780046</v>
      </c>
    </row>
    <row r="978" spans="1:15" s="1" customFormat="1" ht="15" customHeight="1" x14ac:dyDescent="0.25">
      <c r="A978" s="18" t="s">
        <v>181</v>
      </c>
      <c r="B978" s="18" t="s">
        <v>20</v>
      </c>
      <c r="C978" s="5">
        <v>1798</v>
      </c>
      <c r="D978" s="1" t="s">
        <v>26</v>
      </c>
      <c r="E978" s="1" t="s">
        <v>2</v>
      </c>
      <c r="F978" s="18">
        <v>2173</v>
      </c>
      <c r="G978" s="18">
        <v>37</v>
      </c>
      <c r="H978" s="5">
        <v>68</v>
      </c>
      <c r="I978" s="1">
        <v>96</v>
      </c>
      <c r="J978" s="1">
        <v>201</v>
      </c>
      <c r="L978" t="str">
        <f t="shared" si="15"/>
        <v>http://www.badatelna.eu/reprodukce/?fondId=1073&amp;zaznamId=1108959&amp;reproId=3780030</v>
      </c>
      <c r="M978">
        <f>VLOOKUP(F978,Sheet2!$B$1:$E$19,2,FALSE)</f>
        <v>1073</v>
      </c>
      <c r="N978">
        <f>VLOOKUP(F978,Sheet2!$B$1:$E$19,3,FALSE)</f>
        <v>1108959</v>
      </c>
      <c r="O978">
        <f>IF(G978="Not available","",VLOOKUP(F978,Sheet2!$B$1:$E$19,4,FALSE)+(G978-1))</f>
        <v>3780030</v>
      </c>
    </row>
    <row r="979" spans="1:15" s="1" customFormat="1" ht="15" customHeight="1" x14ac:dyDescent="0.25">
      <c r="A979" s="18" t="s">
        <v>181</v>
      </c>
      <c r="B979" s="18" t="s">
        <v>434</v>
      </c>
      <c r="C979" s="5">
        <v>1838</v>
      </c>
      <c r="D979" s="1" t="s">
        <v>24</v>
      </c>
      <c r="E979" s="1" t="s">
        <v>2</v>
      </c>
      <c r="F979" s="18">
        <v>2174</v>
      </c>
      <c r="G979" s="18">
        <v>96</v>
      </c>
      <c r="H979" s="6" t="s">
        <v>3164</v>
      </c>
      <c r="I979" s="1">
        <v>185</v>
      </c>
      <c r="J979" s="1">
        <v>212</v>
      </c>
      <c r="L979" t="str">
        <f t="shared" si="15"/>
        <v>http://www.badatelna.eu/reprodukce/?fondId=1073&amp;zaznamId=1108960&amp;reproId=3780320</v>
      </c>
      <c r="M979">
        <f>VLOOKUP(F979,Sheet2!$B$1:$E$19,2,FALSE)</f>
        <v>1073</v>
      </c>
      <c r="N979">
        <f>VLOOKUP(F979,Sheet2!$B$1:$E$19,3,FALSE)</f>
        <v>1108960</v>
      </c>
      <c r="O979">
        <f>IF(G979="Not available","",VLOOKUP(F979,Sheet2!$B$1:$E$19,4,FALSE)+(G979-1))</f>
        <v>3780320</v>
      </c>
    </row>
    <row r="980" spans="1:15" s="1" customFormat="1" ht="15" customHeight="1" x14ac:dyDescent="0.25">
      <c r="A980" s="18" t="s">
        <v>181</v>
      </c>
      <c r="B980" s="18" t="s">
        <v>476</v>
      </c>
      <c r="C980" s="5">
        <v>1835</v>
      </c>
      <c r="D980" s="1" t="s">
        <v>24</v>
      </c>
      <c r="E980" s="1" t="s">
        <v>2</v>
      </c>
      <c r="F980" s="18">
        <v>2174</v>
      </c>
      <c r="G980" s="18">
        <v>87</v>
      </c>
      <c r="H980" s="6" t="s">
        <v>3151</v>
      </c>
      <c r="I980" s="1">
        <v>185</v>
      </c>
      <c r="J980" s="1">
        <v>212</v>
      </c>
      <c r="L980" t="str">
        <f t="shared" si="15"/>
        <v>http://www.badatelna.eu/reprodukce/?fondId=1073&amp;zaznamId=1108960&amp;reproId=3780311</v>
      </c>
      <c r="M980">
        <f>VLOOKUP(F980,Sheet2!$B$1:$E$19,2,FALSE)</f>
        <v>1073</v>
      </c>
      <c r="N980">
        <f>VLOOKUP(F980,Sheet2!$B$1:$E$19,3,FALSE)</f>
        <v>1108960</v>
      </c>
      <c r="O980">
        <f>IF(G980="Not available","",VLOOKUP(F980,Sheet2!$B$1:$E$19,4,FALSE)+(G980-1))</f>
        <v>3780311</v>
      </c>
    </row>
    <row r="981" spans="1:15" s="1" customFormat="1" ht="15" customHeight="1" x14ac:dyDescent="0.25">
      <c r="A981" s="18" t="s">
        <v>181</v>
      </c>
      <c r="B981" s="18" t="s">
        <v>476</v>
      </c>
      <c r="C981" s="5">
        <v>1837</v>
      </c>
      <c r="D981" s="1" t="s">
        <v>233</v>
      </c>
      <c r="E981" s="1" t="s">
        <v>2</v>
      </c>
      <c r="F981" s="18">
        <v>2174</v>
      </c>
      <c r="G981" s="18">
        <v>92</v>
      </c>
      <c r="H981" s="6" t="s">
        <v>3160</v>
      </c>
      <c r="I981" s="1">
        <v>185</v>
      </c>
      <c r="J981" s="1">
        <v>212</v>
      </c>
      <c r="L981" t="str">
        <f t="shared" si="15"/>
        <v>http://www.badatelna.eu/reprodukce/?fondId=1073&amp;zaznamId=1108960&amp;reproId=3780316</v>
      </c>
      <c r="M981">
        <f>VLOOKUP(F981,Sheet2!$B$1:$E$19,2,FALSE)</f>
        <v>1073</v>
      </c>
      <c r="N981">
        <f>VLOOKUP(F981,Sheet2!$B$1:$E$19,3,FALSE)</f>
        <v>1108960</v>
      </c>
      <c r="O981">
        <f>IF(G981="Not available","",VLOOKUP(F981,Sheet2!$B$1:$E$19,4,FALSE)+(G981-1))</f>
        <v>3780316</v>
      </c>
    </row>
    <row r="982" spans="1:15" s="1" customFormat="1" ht="15" customHeight="1" x14ac:dyDescent="0.25">
      <c r="A982" s="18" t="s">
        <v>181</v>
      </c>
      <c r="B982" s="18" t="s">
        <v>476</v>
      </c>
      <c r="C982" s="5">
        <v>1840</v>
      </c>
      <c r="D982" s="1" t="s">
        <v>24</v>
      </c>
      <c r="E982" s="1" t="s">
        <v>2</v>
      </c>
      <c r="F982" s="18">
        <v>2174</v>
      </c>
      <c r="G982" s="18">
        <v>111</v>
      </c>
      <c r="H982" s="16" t="s">
        <v>3181</v>
      </c>
      <c r="I982" s="1">
        <v>185</v>
      </c>
      <c r="J982" s="1">
        <v>212</v>
      </c>
      <c r="L982" t="str">
        <f t="shared" si="15"/>
        <v>http://www.badatelna.eu/reprodukce/?fondId=1073&amp;zaznamId=1108960&amp;reproId=3780335</v>
      </c>
      <c r="M982">
        <f>VLOOKUP(F982,Sheet2!$B$1:$E$19,2,FALSE)</f>
        <v>1073</v>
      </c>
      <c r="N982">
        <f>VLOOKUP(F982,Sheet2!$B$1:$E$19,3,FALSE)</f>
        <v>1108960</v>
      </c>
      <c r="O982">
        <f>IF(G982="Not available","",VLOOKUP(F982,Sheet2!$B$1:$E$19,4,FALSE)+(G982-1))</f>
        <v>3780335</v>
      </c>
    </row>
    <row r="983" spans="1:15" s="1" customFormat="1" ht="15" customHeight="1" x14ac:dyDescent="0.25">
      <c r="A983" s="18" t="s">
        <v>181</v>
      </c>
      <c r="B983" s="18" t="s">
        <v>651</v>
      </c>
      <c r="C983" s="5">
        <v>1841</v>
      </c>
      <c r="D983" s="1" t="s">
        <v>24</v>
      </c>
      <c r="E983" s="1" t="s">
        <v>2</v>
      </c>
      <c r="F983" s="18">
        <v>2174</v>
      </c>
      <c r="G983" s="18">
        <v>130</v>
      </c>
      <c r="H983" s="6" t="s">
        <v>3191</v>
      </c>
      <c r="I983" s="1">
        <v>185</v>
      </c>
      <c r="J983" s="1">
        <v>212</v>
      </c>
      <c r="L983" t="str">
        <f t="shared" si="15"/>
        <v>http://www.badatelna.eu/reprodukce/?fondId=1073&amp;zaznamId=1108960&amp;reproId=3780354</v>
      </c>
      <c r="M983">
        <f>VLOOKUP(F983,Sheet2!$B$1:$E$19,2,FALSE)</f>
        <v>1073</v>
      </c>
      <c r="N983">
        <f>VLOOKUP(F983,Sheet2!$B$1:$E$19,3,FALSE)</f>
        <v>1108960</v>
      </c>
      <c r="O983">
        <f>IF(G983="Not available","",VLOOKUP(F983,Sheet2!$B$1:$E$19,4,FALSE)+(G983-1))</f>
        <v>3780354</v>
      </c>
    </row>
    <row r="984" spans="1:15" s="1" customFormat="1" ht="15" customHeight="1" x14ac:dyDescent="0.25">
      <c r="A984" s="18" t="s">
        <v>181</v>
      </c>
      <c r="B984" s="18" t="s">
        <v>1014</v>
      </c>
      <c r="C984" s="5" t="s">
        <v>1372</v>
      </c>
      <c r="D984" s="1" t="s">
        <v>434</v>
      </c>
      <c r="E984" s="1" t="s">
        <v>2</v>
      </c>
      <c r="F984" s="18">
        <v>2165</v>
      </c>
      <c r="G984" s="18">
        <v>39</v>
      </c>
      <c r="H984" s="14" t="s">
        <v>2913</v>
      </c>
      <c r="I984" s="1">
        <v>82</v>
      </c>
      <c r="J984" s="1" t="s">
        <v>3271</v>
      </c>
      <c r="L984" t="str">
        <f t="shared" si="15"/>
        <v>http://www.badatelna.eu/reprodukce/?fondId=1073&amp;zaznamId=1108952&amp;reproId=3778900</v>
      </c>
      <c r="M984">
        <f>VLOOKUP(F984,Sheet2!$B$1:$E$19,2,FALSE)</f>
        <v>1073</v>
      </c>
      <c r="N984">
        <f>VLOOKUP(F984,Sheet2!$B$1:$E$19,3,FALSE)</f>
        <v>1108952</v>
      </c>
      <c r="O984">
        <f>IF(G984="Not available","",VLOOKUP(F984,Sheet2!$B$1:$E$19,4,FALSE)+(G984-1))</f>
        <v>3778900</v>
      </c>
    </row>
    <row r="985" spans="1:15" s="1" customFormat="1" ht="15" customHeight="1" x14ac:dyDescent="0.25">
      <c r="A985" s="18" t="s">
        <v>181</v>
      </c>
      <c r="B985" s="18" t="s">
        <v>1007</v>
      </c>
      <c r="C985" s="10" t="s">
        <v>2036</v>
      </c>
      <c r="D985" s="3" t="s">
        <v>2214</v>
      </c>
      <c r="E985" s="4" t="s">
        <v>2</v>
      </c>
      <c r="F985" s="18">
        <v>2176</v>
      </c>
      <c r="G985" s="18" t="s">
        <v>3271</v>
      </c>
      <c r="H985" s="10" t="s">
        <v>1954</v>
      </c>
      <c r="I985" s="3">
        <v>13</v>
      </c>
      <c r="J985" s="3" t="s">
        <v>3271</v>
      </c>
      <c r="K985" s="3"/>
      <c r="L985" t="str">
        <f t="shared" si="15"/>
        <v/>
      </c>
      <c r="M985">
        <f>VLOOKUP(F985,Sheet2!$B$1:$E$19,2,FALSE)</f>
        <v>1073</v>
      </c>
      <c r="N985">
        <f>VLOOKUP(F985,Sheet2!$B$1:$E$19,3,FALSE)</f>
        <v>1108963</v>
      </c>
      <c r="O985" t="str">
        <f>IF(G985="Not available","",VLOOKUP(F985,Sheet2!$B$1:$E$19,4,FALSE)+(G985-1))</f>
        <v/>
      </c>
    </row>
    <row r="986" spans="1:15" s="1" customFormat="1" ht="15" customHeight="1" x14ac:dyDescent="0.25">
      <c r="A986" s="18" t="s">
        <v>181</v>
      </c>
      <c r="B986" s="18" t="s">
        <v>1007</v>
      </c>
      <c r="C986" s="5">
        <v>1883</v>
      </c>
      <c r="D986" s="1" t="s">
        <v>434</v>
      </c>
      <c r="E986" s="1" t="s">
        <v>2</v>
      </c>
      <c r="F986" s="18">
        <v>2165</v>
      </c>
      <c r="G986" s="18">
        <v>185</v>
      </c>
      <c r="H986" s="5">
        <v>1</v>
      </c>
      <c r="I986" s="1">
        <v>190</v>
      </c>
      <c r="J986" s="1">
        <v>167</v>
      </c>
      <c r="L986" t="str">
        <f t="shared" si="15"/>
        <v>http://www.badatelna.eu/reprodukce/?fondId=1073&amp;zaznamId=1108952&amp;reproId=3779046</v>
      </c>
      <c r="M986">
        <f>VLOOKUP(F986,Sheet2!$B$1:$E$19,2,FALSE)</f>
        <v>1073</v>
      </c>
      <c r="N986">
        <f>VLOOKUP(F986,Sheet2!$B$1:$E$19,3,FALSE)</f>
        <v>1108952</v>
      </c>
      <c r="O986">
        <f>IF(G986="Not available","",VLOOKUP(F986,Sheet2!$B$1:$E$19,4,FALSE)+(G986-1))</f>
        <v>3779046</v>
      </c>
    </row>
    <row r="987" spans="1:15" s="1" customFormat="1" ht="15" customHeight="1" x14ac:dyDescent="0.25">
      <c r="A987" s="18" t="s">
        <v>181</v>
      </c>
      <c r="B987" s="18" t="s">
        <v>17</v>
      </c>
      <c r="C987" s="5">
        <v>1803</v>
      </c>
      <c r="E987" s="1" t="s">
        <v>2</v>
      </c>
      <c r="F987" s="18">
        <v>2173</v>
      </c>
      <c r="G987" s="18">
        <v>46</v>
      </c>
      <c r="H987" s="5">
        <v>87</v>
      </c>
      <c r="I987" s="1">
        <v>96</v>
      </c>
      <c r="J987" s="1">
        <v>205</v>
      </c>
      <c r="L987" t="str">
        <f t="shared" si="15"/>
        <v>http://www.badatelna.eu/reprodukce/?fondId=1073&amp;zaznamId=1108959&amp;reproId=3780039</v>
      </c>
      <c r="M987">
        <f>VLOOKUP(F987,Sheet2!$B$1:$E$19,2,FALSE)</f>
        <v>1073</v>
      </c>
      <c r="N987">
        <f>VLOOKUP(F987,Sheet2!$B$1:$E$19,3,FALSE)</f>
        <v>1108959</v>
      </c>
      <c r="O987">
        <f>IF(G987="Not available","",VLOOKUP(F987,Sheet2!$B$1:$E$19,4,FALSE)+(G987-1))</f>
        <v>3780039</v>
      </c>
    </row>
    <row r="988" spans="1:15" s="1" customFormat="1" ht="15" customHeight="1" x14ac:dyDescent="0.25">
      <c r="A988" s="18" t="s">
        <v>181</v>
      </c>
      <c r="B988" s="18" t="s">
        <v>23</v>
      </c>
      <c r="C988" s="5">
        <v>1799</v>
      </c>
      <c r="E988" s="1" t="s">
        <v>2</v>
      </c>
      <c r="F988" s="18">
        <v>2173</v>
      </c>
      <c r="G988" s="18">
        <v>42</v>
      </c>
      <c r="H988" s="5">
        <v>79</v>
      </c>
      <c r="I988" s="1">
        <v>96</v>
      </c>
      <c r="J988" s="1">
        <v>201</v>
      </c>
      <c r="L988" t="str">
        <f t="shared" si="15"/>
        <v>http://www.badatelna.eu/reprodukce/?fondId=1073&amp;zaznamId=1108959&amp;reproId=3780035</v>
      </c>
      <c r="M988">
        <f>VLOOKUP(F988,Sheet2!$B$1:$E$19,2,FALSE)</f>
        <v>1073</v>
      </c>
      <c r="N988">
        <f>VLOOKUP(F988,Sheet2!$B$1:$E$19,3,FALSE)</f>
        <v>1108959</v>
      </c>
      <c r="O988">
        <f>IF(G988="Not available","",VLOOKUP(F988,Sheet2!$B$1:$E$19,4,FALSE)+(G988-1))</f>
        <v>3780035</v>
      </c>
    </row>
    <row r="989" spans="1:15" s="1" customFormat="1" ht="15" customHeight="1" x14ac:dyDescent="0.25">
      <c r="A989" s="18" t="s">
        <v>181</v>
      </c>
      <c r="B989" s="18" t="s">
        <v>924</v>
      </c>
      <c r="C989" s="5" t="s">
        <v>1377</v>
      </c>
      <c r="D989" s="1" t="s">
        <v>434</v>
      </c>
      <c r="E989" s="1" t="s">
        <v>2</v>
      </c>
      <c r="F989" s="18">
        <v>2165</v>
      </c>
      <c r="G989" s="18">
        <v>46</v>
      </c>
      <c r="H989" s="14" t="s">
        <v>2886</v>
      </c>
      <c r="I989" s="1">
        <v>82</v>
      </c>
      <c r="J989" s="1" t="s">
        <v>3271</v>
      </c>
      <c r="L989" t="str">
        <f t="shared" si="15"/>
        <v>http://www.badatelna.eu/reprodukce/?fondId=1073&amp;zaznamId=1108952&amp;reproId=3778907</v>
      </c>
      <c r="M989">
        <f>VLOOKUP(F989,Sheet2!$B$1:$E$19,2,FALSE)</f>
        <v>1073</v>
      </c>
      <c r="N989">
        <f>VLOOKUP(F989,Sheet2!$B$1:$E$19,3,FALSE)</f>
        <v>1108952</v>
      </c>
      <c r="O989">
        <f>IF(G989="Not available","",VLOOKUP(F989,Sheet2!$B$1:$E$19,4,FALSE)+(G989-1))</f>
        <v>3778907</v>
      </c>
    </row>
    <row r="990" spans="1:15" s="1" customFormat="1" ht="15" customHeight="1" x14ac:dyDescent="0.25">
      <c r="A990" s="18" t="s">
        <v>181</v>
      </c>
      <c r="B990" s="18" t="s">
        <v>465</v>
      </c>
      <c r="C990" s="5">
        <v>1839</v>
      </c>
      <c r="D990" s="1" t="s">
        <v>24</v>
      </c>
      <c r="E990" s="1" t="s">
        <v>2</v>
      </c>
      <c r="F990" s="18">
        <v>2174</v>
      </c>
      <c r="G990" s="18">
        <v>106</v>
      </c>
      <c r="H990" s="6" t="s">
        <v>3173</v>
      </c>
      <c r="I990" s="1">
        <v>185</v>
      </c>
      <c r="J990" s="1">
        <v>212</v>
      </c>
      <c r="L990" t="str">
        <f t="shared" si="15"/>
        <v>http://www.badatelna.eu/reprodukce/?fondId=1073&amp;zaznamId=1108960&amp;reproId=3780330</v>
      </c>
      <c r="M990">
        <f>VLOOKUP(F990,Sheet2!$B$1:$E$19,2,FALSE)</f>
        <v>1073</v>
      </c>
      <c r="N990">
        <f>VLOOKUP(F990,Sheet2!$B$1:$E$19,3,FALSE)</f>
        <v>1108960</v>
      </c>
      <c r="O990">
        <f>IF(G990="Not available","",VLOOKUP(F990,Sheet2!$B$1:$E$19,4,FALSE)+(G990-1))</f>
        <v>3780330</v>
      </c>
    </row>
    <row r="991" spans="1:15" s="1" customFormat="1" ht="15" customHeight="1" x14ac:dyDescent="0.25">
      <c r="A991" s="18" t="s">
        <v>181</v>
      </c>
      <c r="B991" s="18" t="s">
        <v>76</v>
      </c>
      <c r="C991" s="5">
        <v>1841</v>
      </c>
      <c r="D991" s="1" t="s">
        <v>24</v>
      </c>
      <c r="E991" s="1" t="s">
        <v>2</v>
      </c>
      <c r="F991" s="18">
        <v>2174</v>
      </c>
      <c r="G991" s="18">
        <v>119</v>
      </c>
      <c r="H991" s="6" t="s">
        <v>3188</v>
      </c>
      <c r="I991" s="1">
        <v>185</v>
      </c>
      <c r="J991" s="1">
        <v>212</v>
      </c>
      <c r="L991" t="str">
        <f t="shared" si="15"/>
        <v>http://www.badatelna.eu/reprodukce/?fondId=1073&amp;zaznamId=1108960&amp;reproId=3780343</v>
      </c>
      <c r="M991">
        <f>VLOOKUP(F991,Sheet2!$B$1:$E$19,2,FALSE)</f>
        <v>1073</v>
      </c>
      <c r="N991">
        <f>VLOOKUP(F991,Sheet2!$B$1:$E$19,3,FALSE)</f>
        <v>1108960</v>
      </c>
      <c r="O991">
        <f>IF(G991="Not available","",VLOOKUP(F991,Sheet2!$B$1:$E$19,4,FALSE)+(G991-1))</f>
        <v>3780343</v>
      </c>
    </row>
    <row r="992" spans="1:15" s="1" customFormat="1" ht="15" customHeight="1" x14ac:dyDescent="0.25">
      <c r="A992" s="18" t="s">
        <v>181</v>
      </c>
      <c r="B992" s="18" t="s">
        <v>76</v>
      </c>
      <c r="C992" s="5" t="s">
        <v>1392</v>
      </c>
      <c r="D992" s="1" t="s">
        <v>434</v>
      </c>
      <c r="E992" s="1" t="s">
        <v>2</v>
      </c>
      <c r="F992" s="18">
        <v>2165</v>
      </c>
      <c r="G992" s="18">
        <v>76</v>
      </c>
      <c r="H992" s="5">
        <v>73</v>
      </c>
      <c r="I992" s="1">
        <v>82</v>
      </c>
      <c r="J992" s="1" t="s">
        <v>3271</v>
      </c>
      <c r="L992" t="str">
        <f t="shared" si="15"/>
        <v>http://www.badatelna.eu/reprodukce/?fondId=1073&amp;zaznamId=1108952&amp;reproId=3778937</v>
      </c>
      <c r="M992">
        <f>VLOOKUP(F992,Sheet2!$B$1:$E$19,2,FALSE)</f>
        <v>1073</v>
      </c>
      <c r="N992">
        <f>VLOOKUP(F992,Sheet2!$B$1:$E$19,3,FALSE)</f>
        <v>1108952</v>
      </c>
      <c r="O992">
        <f>IF(G992="Not available","",VLOOKUP(F992,Sheet2!$B$1:$E$19,4,FALSE)+(G992-1))</f>
        <v>3778937</v>
      </c>
    </row>
    <row r="993" spans="1:15" s="1" customFormat="1" ht="15" customHeight="1" x14ac:dyDescent="0.25">
      <c r="A993" s="18" t="s">
        <v>1228</v>
      </c>
      <c r="B993" s="18" t="s">
        <v>1968</v>
      </c>
      <c r="C993" s="10" t="s">
        <v>2087</v>
      </c>
      <c r="D993" s="3" t="s">
        <v>2237</v>
      </c>
      <c r="E993" s="4" t="s">
        <v>2</v>
      </c>
      <c r="F993" s="18">
        <v>2176</v>
      </c>
      <c r="G993" s="18" t="s">
        <v>3271</v>
      </c>
      <c r="H993" s="10" t="s">
        <v>1976</v>
      </c>
      <c r="I993" s="3">
        <v>14</v>
      </c>
      <c r="J993" s="3" t="s">
        <v>3271</v>
      </c>
      <c r="K993" s="3"/>
      <c r="L993" t="str">
        <f t="shared" si="15"/>
        <v/>
      </c>
      <c r="M993">
        <f>VLOOKUP(F993,Sheet2!$B$1:$E$19,2,FALSE)</f>
        <v>1073</v>
      </c>
      <c r="N993">
        <f>VLOOKUP(F993,Sheet2!$B$1:$E$19,3,FALSE)</f>
        <v>1108963</v>
      </c>
      <c r="O993" t="str">
        <f>IF(G993="Not available","",VLOOKUP(F993,Sheet2!$B$1:$E$19,4,FALSE)+(G993-1))</f>
        <v/>
      </c>
    </row>
    <row r="994" spans="1:15" s="1" customFormat="1" ht="15" customHeight="1" x14ac:dyDescent="0.25">
      <c r="A994" s="18" t="s">
        <v>1228</v>
      </c>
      <c r="B994" s="18" t="s">
        <v>1051</v>
      </c>
      <c r="C994" s="5" t="s">
        <v>1863</v>
      </c>
      <c r="D994" s="1" t="s">
        <v>847</v>
      </c>
      <c r="E994" s="1" t="s">
        <v>2</v>
      </c>
      <c r="F994" s="18">
        <v>2165</v>
      </c>
      <c r="G994" s="18">
        <v>261</v>
      </c>
      <c r="H994" s="5">
        <v>2</v>
      </c>
      <c r="I994" s="1">
        <v>265</v>
      </c>
      <c r="J994" s="1">
        <v>239</v>
      </c>
      <c r="L994" t="str">
        <f t="shared" si="15"/>
        <v>http://www.badatelna.eu/reprodukce/?fondId=1073&amp;zaznamId=1108952&amp;reproId=3779122</v>
      </c>
      <c r="M994">
        <f>VLOOKUP(F994,Sheet2!$B$1:$E$19,2,FALSE)</f>
        <v>1073</v>
      </c>
      <c r="N994">
        <f>VLOOKUP(F994,Sheet2!$B$1:$E$19,3,FALSE)</f>
        <v>1108952</v>
      </c>
      <c r="O994">
        <f>IF(G994="Not available","",VLOOKUP(F994,Sheet2!$B$1:$E$19,4,FALSE)+(G994-1))</f>
        <v>3779122</v>
      </c>
    </row>
    <row r="995" spans="1:15" s="1" customFormat="1" ht="15" customHeight="1" x14ac:dyDescent="0.25">
      <c r="A995" s="18" t="s">
        <v>1228</v>
      </c>
      <c r="B995" s="18" t="s">
        <v>1227</v>
      </c>
      <c r="C995" s="14" t="s">
        <v>2095</v>
      </c>
      <c r="D995" s="1" t="s">
        <v>847</v>
      </c>
      <c r="E995" s="1" t="s">
        <v>2</v>
      </c>
      <c r="F995" s="18">
        <v>2165</v>
      </c>
      <c r="G995" s="18">
        <v>289</v>
      </c>
      <c r="H995" s="5">
        <v>2</v>
      </c>
      <c r="I995" s="1">
        <v>286</v>
      </c>
      <c r="J995" s="1">
        <v>260</v>
      </c>
      <c r="L995" t="str">
        <f t="shared" si="15"/>
        <v>http://www.badatelna.eu/reprodukce/?fondId=1073&amp;zaznamId=1108952&amp;reproId=3779150</v>
      </c>
      <c r="M995">
        <f>VLOOKUP(F995,Sheet2!$B$1:$E$19,2,FALSE)</f>
        <v>1073</v>
      </c>
      <c r="N995">
        <f>VLOOKUP(F995,Sheet2!$B$1:$E$19,3,FALSE)</f>
        <v>1108952</v>
      </c>
      <c r="O995">
        <f>IF(G995="Not available","",VLOOKUP(F995,Sheet2!$B$1:$E$19,4,FALSE)+(G995-1))</f>
        <v>3779150</v>
      </c>
    </row>
    <row r="996" spans="1:15" s="1" customFormat="1" ht="15" customHeight="1" x14ac:dyDescent="0.25">
      <c r="A996" s="18" t="s">
        <v>1228</v>
      </c>
      <c r="B996" s="18" t="s">
        <v>1227</v>
      </c>
      <c r="C996" s="14" t="s">
        <v>2098</v>
      </c>
      <c r="D996" s="4" t="s">
        <v>847</v>
      </c>
      <c r="E996" s="1" t="s">
        <v>2</v>
      </c>
      <c r="F996" s="18">
        <v>2165</v>
      </c>
      <c r="G996" s="18">
        <v>303</v>
      </c>
      <c r="H996" s="5">
        <v>2</v>
      </c>
      <c r="I996" s="1">
        <v>305</v>
      </c>
      <c r="J996" s="1">
        <v>278</v>
      </c>
      <c r="L996" t="str">
        <f t="shared" si="15"/>
        <v>http://www.badatelna.eu/reprodukce/?fondId=1073&amp;zaznamId=1108952&amp;reproId=3779164</v>
      </c>
      <c r="M996">
        <f>VLOOKUP(F996,Sheet2!$B$1:$E$19,2,FALSE)</f>
        <v>1073</v>
      </c>
      <c r="N996">
        <f>VLOOKUP(F996,Sheet2!$B$1:$E$19,3,FALSE)</f>
        <v>1108952</v>
      </c>
      <c r="O996">
        <f>IF(G996="Not available","",VLOOKUP(F996,Sheet2!$B$1:$E$19,4,FALSE)+(G996-1))</f>
        <v>3779164</v>
      </c>
    </row>
    <row r="997" spans="1:15" s="1" customFormat="1" ht="15" customHeight="1" x14ac:dyDescent="0.25">
      <c r="A997" s="18" t="s">
        <v>1228</v>
      </c>
      <c r="B997" s="18" t="s">
        <v>2112</v>
      </c>
      <c r="C997" s="10" t="s">
        <v>2095</v>
      </c>
      <c r="D997" s="3" t="s">
        <v>2237</v>
      </c>
      <c r="E997" s="4" t="s">
        <v>2</v>
      </c>
      <c r="F997" s="18">
        <v>2176</v>
      </c>
      <c r="G997" s="18" t="s">
        <v>3271</v>
      </c>
      <c r="H997" s="10" t="s">
        <v>2006</v>
      </c>
      <c r="I997" s="3">
        <v>14</v>
      </c>
      <c r="J997" s="3" t="s">
        <v>3271</v>
      </c>
      <c r="K997" s="3"/>
      <c r="L997" t="str">
        <f t="shared" si="15"/>
        <v/>
      </c>
      <c r="M997">
        <f>VLOOKUP(F997,Sheet2!$B$1:$E$19,2,FALSE)</f>
        <v>1073</v>
      </c>
      <c r="N997">
        <f>VLOOKUP(F997,Sheet2!$B$1:$E$19,3,FALSE)</f>
        <v>1108963</v>
      </c>
      <c r="O997" t="str">
        <f>IF(G997="Not available","",VLOOKUP(F997,Sheet2!$B$1:$E$19,4,FALSE)+(G997-1))</f>
        <v/>
      </c>
    </row>
    <row r="998" spans="1:15" s="1" customFormat="1" ht="15" customHeight="1" x14ac:dyDescent="0.25">
      <c r="A998" s="18" t="s">
        <v>1228</v>
      </c>
      <c r="B998" s="18" t="s">
        <v>2112</v>
      </c>
      <c r="C998" s="10" t="s">
        <v>2098</v>
      </c>
      <c r="D998" s="3" t="s">
        <v>2237</v>
      </c>
      <c r="E998" s="4" t="s">
        <v>2</v>
      </c>
      <c r="F998" s="18">
        <v>2176</v>
      </c>
      <c r="G998" s="18" t="s">
        <v>3271</v>
      </c>
      <c r="H998" s="10" t="s">
        <v>1979</v>
      </c>
      <c r="I998" s="3">
        <v>14</v>
      </c>
      <c r="J998" s="3" t="s">
        <v>3271</v>
      </c>
      <c r="K998" s="3"/>
      <c r="L998" t="str">
        <f t="shared" si="15"/>
        <v/>
      </c>
      <c r="M998">
        <f>VLOOKUP(F998,Sheet2!$B$1:$E$19,2,FALSE)</f>
        <v>1073</v>
      </c>
      <c r="N998">
        <f>VLOOKUP(F998,Sheet2!$B$1:$E$19,3,FALSE)</f>
        <v>1108963</v>
      </c>
      <c r="O998" t="str">
        <f>IF(G998="Not available","",VLOOKUP(F998,Sheet2!$B$1:$E$19,4,FALSE)+(G998-1))</f>
        <v/>
      </c>
    </row>
    <row r="999" spans="1:15" s="1" customFormat="1" ht="15" customHeight="1" x14ac:dyDescent="0.25">
      <c r="A999" s="18" t="s">
        <v>1228</v>
      </c>
      <c r="B999" s="18" t="s">
        <v>2077</v>
      </c>
      <c r="C999" s="10" t="s">
        <v>2095</v>
      </c>
      <c r="D999" s="3" t="s">
        <v>2237</v>
      </c>
      <c r="E999" s="4" t="s">
        <v>2</v>
      </c>
      <c r="F999" s="18">
        <v>2176</v>
      </c>
      <c r="G999" s="18" t="s">
        <v>3271</v>
      </c>
      <c r="H999" s="10" t="s">
        <v>2016</v>
      </c>
      <c r="I999" s="3">
        <v>14</v>
      </c>
      <c r="J999" s="3" t="s">
        <v>3271</v>
      </c>
      <c r="K999" s="3"/>
      <c r="L999" t="str">
        <f t="shared" si="15"/>
        <v/>
      </c>
      <c r="M999">
        <f>VLOOKUP(F999,Sheet2!$B$1:$E$19,2,FALSE)</f>
        <v>1073</v>
      </c>
      <c r="N999">
        <f>VLOOKUP(F999,Sheet2!$B$1:$E$19,3,FALSE)</f>
        <v>1108963</v>
      </c>
      <c r="O999" t="str">
        <f>IF(G999="Not available","",VLOOKUP(F999,Sheet2!$B$1:$E$19,4,FALSE)+(G999-1))</f>
        <v/>
      </c>
    </row>
    <row r="1000" spans="1:15" s="1" customFormat="1" ht="15" customHeight="1" x14ac:dyDescent="0.25">
      <c r="A1000" s="18" t="s">
        <v>1228</v>
      </c>
      <c r="B1000" s="18" t="s">
        <v>593</v>
      </c>
      <c r="C1000" s="10" t="s">
        <v>2097</v>
      </c>
      <c r="D1000" s="3" t="s">
        <v>2237</v>
      </c>
      <c r="E1000" s="4" t="s">
        <v>2</v>
      </c>
      <c r="F1000" s="18">
        <v>2176</v>
      </c>
      <c r="G1000" s="18" t="s">
        <v>3271</v>
      </c>
      <c r="H1000" s="10" t="s">
        <v>2006</v>
      </c>
      <c r="I1000" s="3">
        <v>14</v>
      </c>
      <c r="J1000" s="3" t="s">
        <v>3271</v>
      </c>
      <c r="K1000" s="3"/>
      <c r="L1000" t="str">
        <f t="shared" si="15"/>
        <v/>
      </c>
      <c r="M1000">
        <f>VLOOKUP(F1000,Sheet2!$B$1:$E$19,2,FALSE)</f>
        <v>1073</v>
      </c>
      <c r="N1000">
        <f>VLOOKUP(F1000,Sheet2!$B$1:$E$19,3,FALSE)</f>
        <v>1108963</v>
      </c>
      <c r="O1000" t="str">
        <f>IF(G1000="Not available","",VLOOKUP(F1000,Sheet2!$B$1:$E$19,4,FALSE)+(G1000-1))</f>
        <v/>
      </c>
    </row>
    <row r="1001" spans="1:15" s="1" customFormat="1" ht="15" customHeight="1" x14ac:dyDescent="0.25">
      <c r="A1001" s="18" t="s">
        <v>1228</v>
      </c>
      <c r="B1001" s="18" t="s">
        <v>593</v>
      </c>
      <c r="C1001" s="14" t="s">
        <v>2097</v>
      </c>
      <c r="D1001" s="4" t="s">
        <v>847</v>
      </c>
      <c r="E1001" s="1" t="s">
        <v>2</v>
      </c>
      <c r="F1001" s="18">
        <v>2165</v>
      </c>
      <c r="G1001" s="18">
        <v>293</v>
      </c>
      <c r="H1001" s="5">
        <v>2</v>
      </c>
      <c r="I1001" s="1">
        <v>295</v>
      </c>
      <c r="J1001" s="1">
        <v>268</v>
      </c>
      <c r="L1001" t="str">
        <f t="shared" si="15"/>
        <v>http://www.badatelna.eu/reprodukce/?fondId=1073&amp;zaznamId=1108952&amp;reproId=3779154</v>
      </c>
      <c r="M1001">
        <f>VLOOKUP(F1001,Sheet2!$B$1:$E$19,2,FALSE)</f>
        <v>1073</v>
      </c>
      <c r="N1001">
        <f>VLOOKUP(F1001,Sheet2!$B$1:$E$19,3,FALSE)</f>
        <v>1108952</v>
      </c>
      <c r="O1001">
        <f>IF(G1001="Not available","",VLOOKUP(F1001,Sheet2!$B$1:$E$19,4,FALSE)+(G1001-1))</f>
        <v>3779154</v>
      </c>
    </row>
    <row r="1002" spans="1:15" s="1" customFormat="1" ht="15" customHeight="1" x14ac:dyDescent="0.25">
      <c r="A1002" s="18" t="s">
        <v>1228</v>
      </c>
      <c r="B1002" s="18" t="s">
        <v>1171</v>
      </c>
      <c r="C1002" s="10" t="s">
        <v>2093</v>
      </c>
      <c r="D1002" s="3" t="s">
        <v>2237</v>
      </c>
      <c r="E1002" s="4" t="s">
        <v>2</v>
      </c>
      <c r="F1002" s="18">
        <v>2176</v>
      </c>
      <c r="G1002" s="18" t="s">
        <v>3271</v>
      </c>
      <c r="H1002" s="10" t="s">
        <v>2241</v>
      </c>
      <c r="I1002" s="3">
        <v>14</v>
      </c>
      <c r="J1002" s="3" t="s">
        <v>3271</v>
      </c>
      <c r="K1002" s="3"/>
      <c r="L1002" t="str">
        <f t="shared" si="15"/>
        <v/>
      </c>
      <c r="M1002">
        <f>VLOOKUP(F1002,Sheet2!$B$1:$E$19,2,FALSE)</f>
        <v>1073</v>
      </c>
      <c r="N1002">
        <f>VLOOKUP(F1002,Sheet2!$B$1:$E$19,3,FALSE)</f>
        <v>1108963</v>
      </c>
      <c r="O1002" t="str">
        <f>IF(G1002="Not available","",VLOOKUP(F1002,Sheet2!$B$1:$E$19,4,FALSE)+(G1002-1))</f>
        <v/>
      </c>
    </row>
    <row r="1003" spans="1:15" s="1" customFormat="1" ht="15" customHeight="1" x14ac:dyDescent="0.25">
      <c r="A1003" s="18" t="s">
        <v>1228</v>
      </c>
      <c r="B1003" s="18" t="s">
        <v>1197</v>
      </c>
      <c r="C1003" s="5" t="s">
        <v>1908</v>
      </c>
      <c r="D1003" s="1" t="s">
        <v>847</v>
      </c>
      <c r="E1003" s="1" t="s">
        <v>2</v>
      </c>
      <c r="F1003" s="18">
        <v>2165</v>
      </c>
      <c r="G1003" s="18">
        <v>277</v>
      </c>
      <c r="H1003" s="5">
        <v>3</v>
      </c>
      <c r="I1003" s="1">
        <v>278</v>
      </c>
      <c r="J1003" s="1">
        <v>252</v>
      </c>
      <c r="L1003" t="str">
        <f t="shared" si="15"/>
        <v>http://www.badatelna.eu/reprodukce/?fondId=1073&amp;zaznamId=1108952&amp;reproId=3779138</v>
      </c>
      <c r="M1003">
        <f>VLOOKUP(F1003,Sheet2!$B$1:$E$19,2,FALSE)</f>
        <v>1073</v>
      </c>
      <c r="N1003">
        <f>VLOOKUP(F1003,Sheet2!$B$1:$E$19,3,FALSE)</f>
        <v>1108952</v>
      </c>
      <c r="O1003">
        <f>IF(G1003="Not available","",VLOOKUP(F1003,Sheet2!$B$1:$E$19,4,FALSE)+(G1003-1))</f>
        <v>3779138</v>
      </c>
    </row>
    <row r="1004" spans="1:15" s="1" customFormat="1" ht="15" customHeight="1" x14ac:dyDescent="0.25">
      <c r="A1004" s="18" t="s">
        <v>185</v>
      </c>
      <c r="B1004" s="18" t="s">
        <v>963</v>
      </c>
      <c r="C1004" s="14" t="s">
        <v>2095</v>
      </c>
      <c r="D1004" s="1" t="s">
        <v>546</v>
      </c>
      <c r="E1004" s="1" t="s">
        <v>2</v>
      </c>
      <c r="F1004" s="18">
        <v>2165</v>
      </c>
      <c r="G1004" s="18">
        <v>289</v>
      </c>
      <c r="H1004" s="5">
        <v>2</v>
      </c>
      <c r="I1004" s="1">
        <v>286</v>
      </c>
      <c r="J1004" s="1">
        <v>260</v>
      </c>
      <c r="L1004" t="str">
        <f t="shared" si="15"/>
        <v>http://www.badatelna.eu/reprodukce/?fondId=1073&amp;zaznamId=1108952&amp;reproId=3779150</v>
      </c>
      <c r="M1004">
        <f>VLOOKUP(F1004,Sheet2!$B$1:$E$19,2,FALSE)</f>
        <v>1073</v>
      </c>
      <c r="N1004">
        <f>VLOOKUP(F1004,Sheet2!$B$1:$E$19,3,FALSE)</f>
        <v>1108952</v>
      </c>
      <c r="O1004">
        <f>IF(G1004="Not available","",VLOOKUP(F1004,Sheet2!$B$1:$E$19,4,FALSE)+(G1004-1))</f>
        <v>3779150</v>
      </c>
    </row>
    <row r="1005" spans="1:15" s="1" customFormat="1" ht="15" customHeight="1" x14ac:dyDescent="0.25">
      <c r="A1005" s="18" t="s">
        <v>185</v>
      </c>
      <c r="B1005" s="18" t="s">
        <v>963</v>
      </c>
      <c r="C1005" s="10" t="s">
        <v>2095</v>
      </c>
      <c r="D1005" s="3" t="s">
        <v>2243</v>
      </c>
      <c r="E1005" s="4" t="s">
        <v>2</v>
      </c>
      <c r="F1005" s="18">
        <v>2176</v>
      </c>
      <c r="G1005" s="18" t="s">
        <v>3271</v>
      </c>
      <c r="H1005" s="10" t="s">
        <v>1974</v>
      </c>
      <c r="I1005" s="3">
        <v>14</v>
      </c>
      <c r="J1005" s="3" t="s">
        <v>3271</v>
      </c>
      <c r="K1005" s="3"/>
      <c r="L1005" t="str">
        <f t="shared" si="15"/>
        <v/>
      </c>
      <c r="M1005">
        <f>VLOOKUP(F1005,Sheet2!$B$1:$E$19,2,FALSE)</f>
        <v>1073</v>
      </c>
      <c r="N1005">
        <f>VLOOKUP(F1005,Sheet2!$B$1:$E$19,3,FALSE)</f>
        <v>1108963</v>
      </c>
      <c r="O1005" t="str">
        <f>IF(G1005="Not available","",VLOOKUP(F1005,Sheet2!$B$1:$E$19,4,FALSE)+(G1005-1))</f>
        <v/>
      </c>
    </row>
    <row r="1006" spans="1:15" s="1" customFormat="1" ht="15" customHeight="1" x14ac:dyDescent="0.25">
      <c r="A1006" s="18" t="s">
        <v>185</v>
      </c>
      <c r="B1006" s="18" t="s">
        <v>850</v>
      </c>
      <c r="C1006" s="5" t="s">
        <v>1379</v>
      </c>
      <c r="D1006" s="1" t="s">
        <v>197</v>
      </c>
      <c r="E1006" s="1" t="s">
        <v>2</v>
      </c>
      <c r="F1006" s="18">
        <v>2165</v>
      </c>
      <c r="G1006" s="18">
        <v>51</v>
      </c>
      <c r="H1006" s="14" t="s">
        <v>2916</v>
      </c>
      <c r="I1006" s="1">
        <v>82</v>
      </c>
      <c r="J1006" s="1" t="s">
        <v>3271</v>
      </c>
      <c r="L1006" t="str">
        <f t="shared" si="15"/>
        <v>http://www.badatelna.eu/reprodukce/?fondId=1073&amp;zaznamId=1108952&amp;reproId=3778912</v>
      </c>
      <c r="M1006">
        <f>VLOOKUP(F1006,Sheet2!$B$1:$E$19,2,FALSE)</f>
        <v>1073</v>
      </c>
      <c r="N1006">
        <f>VLOOKUP(F1006,Sheet2!$B$1:$E$19,3,FALSE)</f>
        <v>1108952</v>
      </c>
      <c r="O1006">
        <f>IF(G1006="Not available","",VLOOKUP(F1006,Sheet2!$B$1:$E$19,4,FALSE)+(G1006-1))</f>
        <v>3778912</v>
      </c>
    </row>
    <row r="1007" spans="1:15" s="1" customFormat="1" ht="15" customHeight="1" x14ac:dyDescent="0.25">
      <c r="A1007" s="18" t="s">
        <v>185</v>
      </c>
      <c r="B1007" s="18" t="s">
        <v>1968</v>
      </c>
      <c r="C1007" s="10" t="s">
        <v>2025</v>
      </c>
      <c r="D1007" s="3" t="s">
        <v>2195</v>
      </c>
      <c r="E1007" s="4" t="s">
        <v>2</v>
      </c>
      <c r="F1007" s="18">
        <v>2176</v>
      </c>
      <c r="G1007" s="18" t="s">
        <v>3271</v>
      </c>
      <c r="H1007" s="10" t="s">
        <v>2006</v>
      </c>
      <c r="I1007" s="1">
        <v>13</v>
      </c>
      <c r="J1007" s="3" t="s">
        <v>3271</v>
      </c>
      <c r="K1007" s="3"/>
      <c r="L1007" t="str">
        <f t="shared" si="15"/>
        <v/>
      </c>
      <c r="M1007">
        <f>VLOOKUP(F1007,Sheet2!$B$1:$E$19,2,FALSE)</f>
        <v>1073</v>
      </c>
      <c r="N1007">
        <f>VLOOKUP(F1007,Sheet2!$B$1:$E$19,3,FALSE)</f>
        <v>1108963</v>
      </c>
      <c r="O1007" t="str">
        <f>IF(G1007="Not available","",VLOOKUP(F1007,Sheet2!$B$1:$E$19,4,FALSE)+(G1007-1))</f>
        <v/>
      </c>
    </row>
    <row r="1008" spans="1:15" s="1" customFormat="1" ht="15" customHeight="1" x14ac:dyDescent="0.25">
      <c r="A1008" s="18" t="s">
        <v>185</v>
      </c>
      <c r="B1008" s="18" t="s">
        <v>2096</v>
      </c>
      <c r="C1008" s="10" t="s">
        <v>2244</v>
      </c>
      <c r="D1008" s="3" t="s">
        <v>2240</v>
      </c>
      <c r="E1008" s="4" t="s">
        <v>2</v>
      </c>
      <c r="F1008" s="18">
        <v>2176</v>
      </c>
      <c r="G1008" s="18" t="s">
        <v>3271</v>
      </c>
      <c r="H1008" s="10" t="s">
        <v>2073</v>
      </c>
      <c r="I1008" s="3">
        <v>14</v>
      </c>
      <c r="J1008" s="3" t="s">
        <v>3271</v>
      </c>
      <c r="K1008" s="3"/>
      <c r="L1008" t="str">
        <f t="shared" si="15"/>
        <v/>
      </c>
      <c r="M1008">
        <f>VLOOKUP(F1008,Sheet2!$B$1:$E$19,2,FALSE)</f>
        <v>1073</v>
      </c>
      <c r="N1008">
        <f>VLOOKUP(F1008,Sheet2!$B$1:$E$19,3,FALSE)</f>
        <v>1108963</v>
      </c>
      <c r="O1008" t="str">
        <f>IF(G1008="Not available","",VLOOKUP(F1008,Sheet2!$B$1:$E$19,4,FALSE)+(G1008-1))</f>
        <v/>
      </c>
    </row>
    <row r="1009" spans="1:15" s="1" customFormat="1" ht="15" customHeight="1" x14ac:dyDescent="0.25">
      <c r="A1009" s="18" t="s">
        <v>185</v>
      </c>
      <c r="B1009" s="18" t="s">
        <v>2261</v>
      </c>
      <c r="C1009" s="10" t="s">
        <v>2111</v>
      </c>
      <c r="D1009" s="3" t="s">
        <v>2240</v>
      </c>
      <c r="E1009" s="4" t="s">
        <v>2</v>
      </c>
      <c r="F1009" s="18">
        <v>2176</v>
      </c>
      <c r="G1009" s="18" t="s">
        <v>3271</v>
      </c>
      <c r="H1009" s="10" t="s">
        <v>2142</v>
      </c>
      <c r="I1009" s="3">
        <v>14</v>
      </c>
      <c r="J1009" s="3" t="s">
        <v>3271</v>
      </c>
      <c r="K1009" s="3"/>
      <c r="L1009" t="str">
        <f t="shared" si="15"/>
        <v/>
      </c>
      <c r="M1009">
        <f>VLOOKUP(F1009,Sheet2!$B$1:$E$19,2,FALSE)</f>
        <v>1073</v>
      </c>
      <c r="N1009">
        <f>VLOOKUP(F1009,Sheet2!$B$1:$E$19,3,FALSE)</f>
        <v>1108963</v>
      </c>
      <c r="O1009" t="str">
        <f>IF(G1009="Not available","",VLOOKUP(F1009,Sheet2!$B$1:$E$19,4,FALSE)+(G1009-1))</f>
        <v/>
      </c>
    </row>
    <row r="1010" spans="1:15" s="1" customFormat="1" ht="15" customHeight="1" x14ac:dyDescent="0.25">
      <c r="A1010" s="18" t="s">
        <v>185</v>
      </c>
      <c r="B1010" s="18" t="s">
        <v>1209</v>
      </c>
      <c r="C1010" s="14" t="s">
        <v>2244</v>
      </c>
      <c r="D1010" s="4" t="s">
        <v>546</v>
      </c>
      <c r="E1010" s="1" t="s">
        <v>2</v>
      </c>
      <c r="F1010" s="18">
        <v>2165</v>
      </c>
      <c r="G1010" s="18">
        <v>299</v>
      </c>
      <c r="H1010" s="5">
        <v>3</v>
      </c>
      <c r="I1010" s="1">
        <v>300</v>
      </c>
      <c r="J1010" s="1">
        <v>273</v>
      </c>
      <c r="L1010" t="str">
        <f t="shared" si="15"/>
        <v>http://www.badatelna.eu/reprodukce/?fondId=1073&amp;zaznamId=1108952&amp;reproId=3779160</v>
      </c>
      <c r="M1010">
        <f>VLOOKUP(F1010,Sheet2!$B$1:$E$19,2,FALSE)</f>
        <v>1073</v>
      </c>
      <c r="N1010">
        <f>VLOOKUP(F1010,Sheet2!$B$1:$E$19,3,FALSE)</f>
        <v>1108952</v>
      </c>
      <c r="O1010">
        <f>IF(G1010="Not available","",VLOOKUP(F1010,Sheet2!$B$1:$E$19,4,FALSE)+(G1010-1))</f>
        <v>3779160</v>
      </c>
    </row>
    <row r="1011" spans="1:15" s="1" customFormat="1" ht="15" customHeight="1" x14ac:dyDescent="0.25">
      <c r="A1011" s="18" t="s">
        <v>185</v>
      </c>
      <c r="B1011" s="18" t="s">
        <v>2134</v>
      </c>
      <c r="C1011" s="10" t="s">
        <v>2263</v>
      </c>
      <c r="D1011" s="3" t="s">
        <v>2264</v>
      </c>
      <c r="E1011" s="4" t="s">
        <v>2</v>
      </c>
      <c r="F1011" s="18">
        <v>2176</v>
      </c>
      <c r="G1011" s="18" t="s">
        <v>3271</v>
      </c>
      <c r="H1011" s="10" t="s">
        <v>1954</v>
      </c>
      <c r="I1011" s="3">
        <v>15</v>
      </c>
      <c r="J1011" s="3" t="s">
        <v>3271</v>
      </c>
      <c r="K1011" s="3"/>
      <c r="L1011" t="str">
        <f t="shared" si="15"/>
        <v/>
      </c>
      <c r="M1011">
        <f>VLOOKUP(F1011,Sheet2!$B$1:$E$19,2,FALSE)</f>
        <v>1073</v>
      </c>
      <c r="N1011">
        <f>VLOOKUP(F1011,Sheet2!$B$1:$E$19,3,FALSE)</f>
        <v>1108963</v>
      </c>
      <c r="O1011" t="str">
        <f>IF(G1011="Not available","",VLOOKUP(F1011,Sheet2!$B$1:$E$19,4,FALSE)+(G1011-1))</f>
        <v/>
      </c>
    </row>
    <row r="1012" spans="1:15" s="1" customFormat="1" ht="15" customHeight="1" x14ac:dyDescent="0.25">
      <c r="A1012" s="18" t="s">
        <v>185</v>
      </c>
      <c r="B1012" s="18" t="s">
        <v>219</v>
      </c>
      <c r="C1012" s="5" t="s">
        <v>1386</v>
      </c>
      <c r="D1012" s="1" t="s">
        <v>197</v>
      </c>
      <c r="E1012" s="1" t="s">
        <v>2</v>
      </c>
      <c r="F1012" s="18">
        <v>2165</v>
      </c>
      <c r="G1012" s="18">
        <v>63</v>
      </c>
      <c r="H1012" s="5">
        <v>60</v>
      </c>
      <c r="I1012" s="1">
        <v>82</v>
      </c>
      <c r="J1012" s="1" t="s">
        <v>3271</v>
      </c>
      <c r="L1012" t="str">
        <f t="shared" si="15"/>
        <v>http://www.badatelna.eu/reprodukce/?fondId=1073&amp;zaznamId=1108952&amp;reproId=3778924</v>
      </c>
      <c r="M1012">
        <f>VLOOKUP(F1012,Sheet2!$B$1:$E$19,2,FALSE)</f>
        <v>1073</v>
      </c>
      <c r="N1012">
        <f>VLOOKUP(F1012,Sheet2!$B$1:$E$19,3,FALSE)</f>
        <v>1108952</v>
      </c>
      <c r="O1012">
        <f>IF(G1012="Not available","",VLOOKUP(F1012,Sheet2!$B$1:$E$19,4,FALSE)+(G1012-1))</f>
        <v>3778924</v>
      </c>
    </row>
    <row r="1013" spans="1:15" s="1" customFormat="1" ht="15" customHeight="1" x14ac:dyDescent="0.25">
      <c r="A1013" s="18" t="s">
        <v>185</v>
      </c>
      <c r="B1013" s="18" t="s">
        <v>51</v>
      </c>
      <c r="C1013" s="5" t="s">
        <v>1391</v>
      </c>
      <c r="D1013" s="1" t="s">
        <v>197</v>
      </c>
      <c r="E1013" s="1" t="s">
        <v>2</v>
      </c>
      <c r="F1013" s="18">
        <v>2165</v>
      </c>
      <c r="G1013" s="18">
        <v>75</v>
      </c>
      <c r="H1013" s="5">
        <v>72</v>
      </c>
      <c r="I1013" s="1">
        <v>82</v>
      </c>
      <c r="J1013" s="1" t="s">
        <v>3271</v>
      </c>
      <c r="L1013" t="str">
        <f t="shared" si="15"/>
        <v>http://www.badatelna.eu/reprodukce/?fondId=1073&amp;zaznamId=1108952&amp;reproId=3778936</v>
      </c>
      <c r="M1013">
        <f>VLOOKUP(F1013,Sheet2!$B$1:$E$19,2,FALSE)</f>
        <v>1073</v>
      </c>
      <c r="N1013">
        <f>VLOOKUP(F1013,Sheet2!$B$1:$E$19,3,FALSE)</f>
        <v>1108952</v>
      </c>
      <c r="O1013">
        <f>IF(G1013="Not available","",VLOOKUP(F1013,Sheet2!$B$1:$E$19,4,FALSE)+(G1013-1))</f>
        <v>3778936</v>
      </c>
    </row>
    <row r="1014" spans="1:15" s="1" customFormat="1" ht="15" customHeight="1" x14ac:dyDescent="0.25">
      <c r="A1014" s="18" t="s">
        <v>185</v>
      </c>
      <c r="B1014" s="18" t="s">
        <v>2027</v>
      </c>
      <c r="C1014" s="10" t="s">
        <v>2093</v>
      </c>
      <c r="D1014" s="3" t="s">
        <v>2240</v>
      </c>
      <c r="E1014" s="4" t="s">
        <v>2</v>
      </c>
      <c r="F1014" s="18">
        <v>2176</v>
      </c>
      <c r="G1014" s="18" t="s">
        <v>3271</v>
      </c>
      <c r="H1014" s="10" t="s">
        <v>2080</v>
      </c>
      <c r="I1014" s="3">
        <v>14</v>
      </c>
      <c r="J1014" s="3" t="s">
        <v>3271</v>
      </c>
      <c r="K1014" s="3"/>
      <c r="L1014" t="str">
        <f t="shared" si="15"/>
        <v/>
      </c>
      <c r="M1014">
        <f>VLOOKUP(F1014,Sheet2!$B$1:$E$19,2,FALSE)</f>
        <v>1073</v>
      </c>
      <c r="N1014">
        <f>VLOOKUP(F1014,Sheet2!$B$1:$E$19,3,FALSE)</f>
        <v>1108963</v>
      </c>
      <c r="O1014" t="str">
        <f>IF(G1014="Not available","",VLOOKUP(F1014,Sheet2!$B$1:$E$19,4,FALSE)+(G1014-1))</f>
        <v/>
      </c>
    </row>
    <row r="1015" spans="1:15" s="1" customFormat="1" ht="15" customHeight="1" x14ac:dyDescent="0.25">
      <c r="A1015" s="18" t="s">
        <v>185</v>
      </c>
      <c r="B1015" s="18" t="s">
        <v>847</v>
      </c>
      <c r="C1015" s="5" t="s">
        <v>1907</v>
      </c>
      <c r="D1015" s="1" t="s">
        <v>546</v>
      </c>
      <c r="E1015" s="1" t="s">
        <v>2</v>
      </c>
      <c r="F1015" s="18">
        <v>2165</v>
      </c>
      <c r="G1015" s="18">
        <v>277</v>
      </c>
      <c r="H1015" s="5">
        <v>3</v>
      </c>
      <c r="I1015" s="1">
        <v>278</v>
      </c>
      <c r="J1015" s="1">
        <v>252</v>
      </c>
      <c r="L1015" t="str">
        <f t="shared" si="15"/>
        <v>http://www.badatelna.eu/reprodukce/?fondId=1073&amp;zaznamId=1108952&amp;reproId=3779138</v>
      </c>
      <c r="M1015">
        <f>VLOOKUP(F1015,Sheet2!$B$1:$E$19,2,FALSE)</f>
        <v>1073</v>
      </c>
      <c r="N1015">
        <f>VLOOKUP(F1015,Sheet2!$B$1:$E$19,3,FALSE)</f>
        <v>1108952</v>
      </c>
      <c r="O1015">
        <f>IF(G1015="Not available","",VLOOKUP(F1015,Sheet2!$B$1:$E$19,4,FALSE)+(G1015-1))</f>
        <v>3779138</v>
      </c>
    </row>
    <row r="1016" spans="1:15" s="1" customFormat="1" ht="15" customHeight="1" x14ac:dyDescent="0.25">
      <c r="A1016" s="18" t="s">
        <v>185</v>
      </c>
      <c r="B1016" s="18" t="s">
        <v>25</v>
      </c>
      <c r="C1016" s="5">
        <v>1860</v>
      </c>
      <c r="E1016" s="1" t="s">
        <v>939</v>
      </c>
      <c r="F1016" s="18">
        <v>999</v>
      </c>
      <c r="G1016" s="18">
        <v>20</v>
      </c>
      <c r="H1016" s="5">
        <v>18</v>
      </c>
      <c r="I1016" s="1">
        <v>66</v>
      </c>
      <c r="J1016" s="1">
        <v>100</v>
      </c>
      <c r="L1016" t="str">
        <f t="shared" si="15"/>
        <v>http://www.badatelna.eu/reprodukce/?fondId=241&amp;zaznamId=1133739&amp;reproId=3885749</v>
      </c>
      <c r="M1016">
        <f>VLOOKUP(F1016,Sheet2!$B$1:$E$19,2,FALSE)</f>
        <v>241</v>
      </c>
      <c r="N1016">
        <f>VLOOKUP(F1016,Sheet2!$B$1:$E$19,3,FALSE)</f>
        <v>1133739</v>
      </c>
      <c r="O1016">
        <f>IF(G1016="Not available","",VLOOKUP(F1016,Sheet2!$B$1:$E$19,4,FALSE)+(G1016-1))</f>
        <v>3885749</v>
      </c>
    </row>
    <row r="1017" spans="1:15" s="1" customFormat="1" ht="15" customHeight="1" x14ac:dyDescent="0.25">
      <c r="A1017" s="18" t="s">
        <v>185</v>
      </c>
      <c r="B1017" s="18" t="s">
        <v>1033</v>
      </c>
      <c r="C1017" s="10" t="s">
        <v>1285</v>
      </c>
      <c r="D1017" s="3" t="s">
        <v>2280</v>
      </c>
      <c r="E1017" s="4" t="s">
        <v>2</v>
      </c>
      <c r="F1017" s="18">
        <v>2176</v>
      </c>
      <c r="G1017" s="18" t="s">
        <v>3271</v>
      </c>
      <c r="H1017" s="10" t="s">
        <v>2047</v>
      </c>
      <c r="I1017" s="3">
        <v>13</v>
      </c>
      <c r="J1017" s="3" t="s">
        <v>3271</v>
      </c>
      <c r="K1017" s="3"/>
      <c r="L1017" t="str">
        <f t="shared" si="15"/>
        <v/>
      </c>
      <c r="M1017">
        <f>VLOOKUP(F1017,Sheet2!$B$1:$E$19,2,FALSE)</f>
        <v>1073</v>
      </c>
      <c r="N1017">
        <f>VLOOKUP(F1017,Sheet2!$B$1:$E$19,3,FALSE)</f>
        <v>1108963</v>
      </c>
      <c r="O1017" t="str">
        <f>IF(G1017="Not available","",VLOOKUP(F1017,Sheet2!$B$1:$E$19,4,FALSE)+(G1017-1))</f>
        <v/>
      </c>
    </row>
    <row r="1018" spans="1:15" s="1" customFormat="1" ht="15" customHeight="1" x14ac:dyDescent="0.25">
      <c r="A1018" s="18" t="s">
        <v>185</v>
      </c>
      <c r="B1018" s="18" t="s">
        <v>1033</v>
      </c>
      <c r="C1018" s="5">
        <v>1882</v>
      </c>
      <c r="D1018" s="1" t="s">
        <v>377</v>
      </c>
      <c r="E1018" s="1" t="s">
        <v>2</v>
      </c>
      <c r="F1018" s="18">
        <v>2165</v>
      </c>
      <c r="G1018" s="18">
        <v>181</v>
      </c>
      <c r="H1018" s="5">
        <v>5</v>
      </c>
      <c r="I1018" s="1">
        <v>182</v>
      </c>
      <c r="J1018" s="1">
        <v>159</v>
      </c>
      <c r="L1018" t="str">
        <f t="shared" si="15"/>
        <v>http://www.badatelna.eu/reprodukce/?fondId=1073&amp;zaznamId=1108952&amp;reproId=3779042</v>
      </c>
      <c r="M1018">
        <f>VLOOKUP(F1018,Sheet2!$B$1:$E$19,2,FALSE)</f>
        <v>1073</v>
      </c>
      <c r="N1018">
        <f>VLOOKUP(F1018,Sheet2!$B$1:$E$19,3,FALSE)</f>
        <v>1108952</v>
      </c>
      <c r="O1018">
        <f>IF(G1018="Not available","",VLOOKUP(F1018,Sheet2!$B$1:$E$19,4,FALSE)+(G1018-1))</f>
        <v>3779042</v>
      </c>
    </row>
    <row r="1019" spans="1:15" s="1" customFormat="1" ht="15" customHeight="1" x14ac:dyDescent="0.25">
      <c r="A1019" s="18" t="s">
        <v>185</v>
      </c>
      <c r="B1019" s="18" t="s">
        <v>1078</v>
      </c>
      <c r="C1019" s="10" t="s">
        <v>2024</v>
      </c>
      <c r="D1019" s="3" t="s">
        <v>2200</v>
      </c>
      <c r="E1019" s="4" t="s">
        <v>2</v>
      </c>
      <c r="F1019" s="18">
        <v>2176</v>
      </c>
      <c r="G1019" s="18" t="s">
        <v>3271</v>
      </c>
      <c r="H1019" s="10" t="s">
        <v>2201</v>
      </c>
      <c r="I1019" s="1">
        <v>13</v>
      </c>
      <c r="J1019" s="3" t="s">
        <v>3271</v>
      </c>
      <c r="K1019" s="3"/>
      <c r="L1019" t="str">
        <f t="shared" si="15"/>
        <v/>
      </c>
      <c r="M1019">
        <f>VLOOKUP(F1019,Sheet2!$B$1:$E$19,2,FALSE)</f>
        <v>1073</v>
      </c>
      <c r="N1019">
        <f>VLOOKUP(F1019,Sheet2!$B$1:$E$19,3,FALSE)</f>
        <v>1108963</v>
      </c>
      <c r="O1019" t="str">
        <f>IF(G1019="Not available","",VLOOKUP(F1019,Sheet2!$B$1:$E$19,4,FALSE)+(G1019-1))</f>
        <v/>
      </c>
    </row>
    <row r="1020" spans="1:15" s="1" customFormat="1" ht="15" customHeight="1" x14ac:dyDescent="0.25">
      <c r="A1020" s="18" t="s">
        <v>185</v>
      </c>
      <c r="B1020" s="18" t="s">
        <v>143</v>
      </c>
      <c r="C1020" s="5">
        <v>1856</v>
      </c>
      <c r="D1020" s="1" t="s">
        <v>123</v>
      </c>
      <c r="E1020" s="1" t="s">
        <v>2</v>
      </c>
      <c r="F1020" s="18">
        <v>2164</v>
      </c>
      <c r="G1020" s="18">
        <v>117</v>
      </c>
      <c r="H1020" s="5">
        <v>115</v>
      </c>
      <c r="I1020" s="1">
        <v>127</v>
      </c>
      <c r="J1020" s="3" t="s">
        <v>3271</v>
      </c>
      <c r="L1020" t="str">
        <f t="shared" si="15"/>
        <v>http://www.badatelna.eu/reprodukce/?fondId=1073&amp;zaznamId=1108951&amp;reproId=3778831</v>
      </c>
      <c r="M1020">
        <f>VLOOKUP(F1020,Sheet2!$B$1:$E$19,2,FALSE)</f>
        <v>1073</v>
      </c>
      <c r="N1020">
        <f>VLOOKUP(F1020,Sheet2!$B$1:$E$19,3,FALSE)</f>
        <v>1108951</v>
      </c>
      <c r="O1020">
        <f>IF(G1020="Not available","",VLOOKUP(F1020,Sheet2!$B$1:$E$19,4,FALSE)+(G1020-1))</f>
        <v>3778831</v>
      </c>
    </row>
    <row r="1021" spans="1:15" s="1" customFormat="1" ht="15" customHeight="1" x14ac:dyDescent="0.25">
      <c r="A1021" s="18" t="s">
        <v>185</v>
      </c>
      <c r="B1021" s="18" t="s">
        <v>2256</v>
      </c>
      <c r="C1021" s="10" t="s">
        <v>2106</v>
      </c>
      <c r="D1021" s="3" t="s">
        <v>2240</v>
      </c>
      <c r="E1021" s="4" t="s">
        <v>2</v>
      </c>
      <c r="F1021" s="18">
        <v>2176</v>
      </c>
      <c r="G1021" s="18" t="s">
        <v>3271</v>
      </c>
      <c r="H1021" s="10" t="s">
        <v>2105</v>
      </c>
      <c r="I1021" s="3">
        <v>14</v>
      </c>
      <c r="J1021" s="3" t="s">
        <v>3271</v>
      </c>
      <c r="K1021" s="3"/>
      <c r="L1021" t="str">
        <f t="shared" si="15"/>
        <v/>
      </c>
      <c r="M1021">
        <f>VLOOKUP(F1021,Sheet2!$B$1:$E$19,2,FALSE)</f>
        <v>1073</v>
      </c>
      <c r="N1021">
        <f>VLOOKUP(F1021,Sheet2!$B$1:$E$19,3,FALSE)</f>
        <v>1108963</v>
      </c>
      <c r="O1021" t="str">
        <f>IF(G1021="Not available","",VLOOKUP(F1021,Sheet2!$B$1:$E$19,4,FALSE)+(G1021-1))</f>
        <v/>
      </c>
    </row>
    <row r="1022" spans="1:15" s="1" customFormat="1" ht="15" customHeight="1" x14ac:dyDescent="0.25">
      <c r="A1022" s="18" t="s">
        <v>185</v>
      </c>
      <c r="B1022" s="18" t="s">
        <v>398</v>
      </c>
      <c r="C1022" s="10" t="s">
        <v>2025</v>
      </c>
      <c r="D1022" s="3" t="s">
        <v>2192</v>
      </c>
      <c r="E1022" s="4" t="s">
        <v>2</v>
      </c>
      <c r="F1022" s="18">
        <v>2176</v>
      </c>
      <c r="G1022" s="18" t="s">
        <v>3271</v>
      </c>
      <c r="H1022" s="10" t="s">
        <v>2083</v>
      </c>
      <c r="I1022" s="1">
        <v>12</v>
      </c>
      <c r="J1022" s="3" t="s">
        <v>3271</v>
      </c>
      <c r="K1022" s="3"/>
      <c r="L1022" t="str">
        <f t="shared" si="15"/>
        <v/>
      </c>
      <c r="M1022">
        <f>VLOOKUP(F1022,Sheet2!$B$1:$E$19,2,FALSE)</f>
        <v>1073</v>
      </c>
      <c r="N1022">
        <f>VLOOKUP(F1022,Sheet2!$B$1:$E$19,3,FALSE)</f>
        <v>1108963</v>
      </c>
      <c r="O1022" t="str">
        <f>IF(G1022="Not available","",VLOOKUP(F1022,Sheet2!$B$1:$E$19,4,FALSE)+(G1022-1))</f>
        <v/>
      </c>
    </row>
    <row r="1023" spans="1:15" s="1" customFormat="1" ht="15" customHeight="1" x14ac:dyDescent="0.25">
      <c r="A1023" s="18" t="s">
        <v>185</v>
      </c>
      <c r="B1023" s="18" t="s">
        <v>1007</v>
      </c>
      <c r="C1023" s="14" t="s">
        <v>2097</v>
      </c>
      <c r="D1023" s="4" t="s">
        <v>546</v>
      </c>
      <c r="E1023" s="1" t="s">
        <v>2</v>
      </c>
      <c r="F1023" s="18">
        <v>2165</v>
      </c>
      <c r="G1023" s="18">
        <v>293</v>
      </c>
      <c r="H1023" s="5">
        <v>2</v>
      </c>
      <c r="I1023" s="1">
        <v>295</v>
      </c>
      <c r="J1023" s="1">
        <v>268</v>
      </c>
      <c r="L1023" t="str">
        <f t="shared" si="15"/>
        <v>http://www.badatelna.eu/reprodukce/?fondId=1073&amp;zaznamId=1108952&amp;reproId=3779154</v>
      </c>
      <c r="M1023">
        <f>VLOOKUP(F1023,Sheet2!$B$1:$E$19,2,FALSE)</f>
        <v>1073</v>
      </c>
      <c r="N1023">
        <f>VLOOKUP(F1023,Sheet2!$B$1:$E$19,3,FALSE)</f>
        <v>1108952</v>
      </c>
      <c r="O1023">
        <f>IF(G1023="Not available","",VLOOKUP(F1023,Sheet2!$B$1:$E$19,4,FALSE)+(G1023-1))</f>
        <v>3779154</v>
      </c>
    </row>
    <row r="1024" spans="1:15" s="1" customFormat="1" ht="15" customHeight="1" x14ac:dyDescent="0.25">
      <c r="A1024" s="18" t="s">
        <v>185</v>
      </c>
      <c r="B1024" s="18" t="s">
        <v>1007</v>
      </c>
      <c r="C1024" s="10" t="s">
        <v>2097</v>
      </c>
      <c r="D1024" s="3" t="s">
        <v>2240</v>
      </c>
      <c r="E1024" s="4" t="s">
        <v>2</v>
      </c>
      <c r="F1024" s="18">
        <v>2176</v>
      </c>
      <c r="G1024" s="18" t="s">
        <v>3271</v>
      </c>
      <c r="H1024" s="10" t="s">
        <v>1974</v>
      </c>
      <c r="I1024" s="3">
        <v>14</v>
      </c>
      <c r="J1024" s="3" t="s">
        <v>3271</v>
      </c>
      <c r="K1024" s="3"/>
      <c r="L1024" t="str">
        <f t="shared" si="15"/>
        <v/>
      </c>
      <c r="M1024">
        <f>VLOOKUP(F1024,Sheet2!$B$1:$E$19,2,FALSE)</f>
        <v>1073</v>
      </c>
      <c r="N1024">
        <f>VLOOKUP(F1024,Sheet2!$B$1:$E$19,3,FALSE)</f>
        <v>1108963</v>
      </c>
      <c r="O1024" t="str">
        <f>IF(G1024="Not available","",VLOOKUP(F1024,Sheet2!$B$1:$E$19,4,FALSE)+(G1024-1))</f>
        <v/>
      </c>
    </row>
    <row r="1025" spans="1:15" s="1" customFormat="1" ht="15" customHeight="1" x14ac:dyDescent="0.25">
      <c r="A1025" s="18" t="s">
        <v>185</v>
      </c>
      <c r="B1025" s="18" t="s">
        <v>177</v>
      </c>
      <c r="C1025" s="5">
        <v>1793</v>
      </c>
      <c r="D1025" s="1" t="s">
        <v>180</v>
      </c>
      <c r="E1025" s="1" t="s">
        <v>2</v>
      </c>
      <c r="F1025" s="18">
        <v>2173</v>
      </c>
      <c r="G1025" s="18">
        <v>30</v>
      </c>
      <c r="H1025" s="5">
        <v>55</v>
      </c>
      <c r="I1025" s="1">
        <v>96</v>
      </c>
      <c r="J1025" s="1">
        <v>201</v>
      </c>
      <c r="L1025" t="str">
        <f t="shared" si="15"/>
        <v>http://www.badatelna.eu/reprodukce/?fondId=1073&amp;zaznamId=1108959&amp;reproId=3780023</v>
      </c>
      <c r="M1025">
        <f>VLOOKUP(F1025,Sheet2!$B$1:$E$19,2,FALSE)</f>
        <v>1073</v>
      </c>
      <c r="N1025">
        <f>VLOOKUP(F1025,Sheet2!$B$1:$E$19,3,FALSE)</f>
        <v>1108959</v>
      </c>
      <c r="O1025">
        <f>IF(G1025="Not available","",VLOOKUP(F1025,Sheet2!$B$1:$E$19,4,FALSE)+(G1025-1))</f>
        <v>3780023</v>
      </c>
    </row>
    <row r="1026" spans="1:15" s="1" customFormat="1" ht="15" customHeight="1" x14ac:dyDescent="0.25">
      <c r="A1026" s="18" t="s">
        <v>185</v>
      </c>
      <c r="B1026" s="18" t="s">
        <v>1061</v>
      </c>
      <c r="C1026" s="5">
        <v>1884</v>
      </c>
      <c r="D1026" s="1" t="s">
        <v>377</v>
      </c>
      <c r="E1026" s="1" t="s">
        <v>2</v>
      </c>
      <c r="F1026" s="18">
        <v>2165</v>
      </c>
      <c r="G1026" s="18">
        <v>194</v>
      </c>
      <c r="H1026" s="5">
        <v>2</v>
      </c>
      <c r="I1026" s="1">
        <v>196</v>
      </c>
      <c r="J1026" s="1">
        <v>173</v>
      </c>
      <c r="L1026" t="str">
        <f t="shared" si="15"/>
        <v>http://www.badatelna.eu/reprodukce/?fondId=1073&amp;zaznamId=1108952&amp;reproId=3779055</v>
      </c>
      <c r="M1026">
        <f>VLOOKUP(F1026,Sheet2!$B$1:$E$19,2,FALSE)</f>
        <v>1073</v>
      </c>
      <c r="N1026">
        <f>VLOOKUP(F1026,Sheet2!$B$1:$E$19,3,FALSE)</f>
        <v>1108952</v>
      </c>
      <c r="O1026">
        <f>IF(G1026="Not available","",VLOOKUP(F1026,Sheet2!$B$1:$E$19,4,FALSE)+(G1026-1))</f>
        <v>3779055</v>
      </c>
    </row>
    <row r="1027" spans="1:15" s="1" customFormat="1" ht="15" customHeight="1" x14ac:dyDescent="0.25">
      <c r="A1027" s="18" t="s">
        <v>185</v>
      </c>
      <c r="B1027" s="18" t="s">
        <v>1275</v>
      </c>
      <c r="C1027" s="10" t="s">
        <v>2041</v>
      </c>
      <c r="D1027" s="3" t="s">
        <v>2281</v>
      </c>
      <c r="E1027" s="4" t="s">
        <v>2</v>
      </c>
      <c r="F1027" s="18">
        <v>2176</v>
      </c>
      <c r="G1027" s="18" t="s">
        <v>3271</v>
      </c>
      <c r="H1027" s="10" t="s">
        <v>2006</v>
      </c>
      <c r="I1027" s="3">
        <v>13</v>
      </c>
      <c r="J1027" s="3" t="s">
        <v>3271</v>
      </c>
      <c r="K1027" s="3"/>
      <c r="L1027" t="str">
        <f t="shared" ref="L1027:L1090" si="16">IF(G1027="Not available","","http://www.badatelna.eu/reprodukce/?fondId="&amp;M1027&amp;"&amp;zaznamId="&amp;N1027&amp;"&amp;reproId="&amp;O1027)</f>
        <v/>
      </c>
      <c r="M1027">
        <f>VLOOKUP(F1027,Sheet2!$B$1:$E$19,2,FALSE)</f>
        <v>1073</v>
      </c>
      <c r="N1027">
        <f>VLOOKUP(F1027,Sheet2!$B$1:$E$19,3,FALSE)</f>
        <v>1108963</v>
      </c>
      <c r="O1027" t="str">
        <f>IF(G1027="Not available","",VLOOKUP(F1027,Sheet2!$B$1:$E$19,4,FALSE)+(G1027-1))</f>
        <v/>
      </c>
    </row>
    <row r="1028" spans="1:15" s="1" customFormat="1" ht="15" customHeight="1" x14ac:dyDescent="0.25">
      <c r="A1028" s="18" t="s">
        <v>185</v>
      </c>
      <c r="B1028" s="18" t="s">
        <v>1972</v>
      </c>
      <c r="C1028" s="10" t="s">
        <v>2005</v>
      </c>
      <c r="D1028" s="3" t="s">
        <v>2185</v>
      </c>
      <c r="E1028" s="4" t="s">
        <v>2</v>
      </c>
      <c r="F1028" s="18">
        <v>2176</v>
      </c>
      <c r="G1028" s="18" t="s">
        <v>3271</v>
      </c>
      <c r="H1028" s="10" t="s">
        <v>2186</v>
      </c>
      <c r="I1028" s="1">
        <v>12</v>
      </c>
      <c r="J1028" s="3" t="s">
        <v>3271</v>
      </c>
      <c r="L1028" t="str">
        <f t="shared" si="16"/>
        <v/>
      </c>
      <c r="M1028">
        <f>VLOOKUP(F1028,Sheet2!$B$1:$E$19,2,FALSE)</f>
        <v>1073</v>
      </c>
      <c r="N1028">
        <f>VLOOKUP(F1028,Sheet2!$B$1:$E$19,3,FALSE)</f>
        <v>1108963</v>
      </c>
      <c r="O1028" t="str">
        <f>IF(G1028="Not available","",VLOOKUP(F1028,Sheet2!$B$1:$E$19,4,FALSE)+(G1028-1))</f>
        <v/>
      </c>
    </row>
    <row r="1029" spans="1:15" s="1" customFormat="1" ht="15" customHeight="1" x14ac:dyDescent="0.25">
      <c r="A1029" s="18" t="s">
        <v>189</v>
      </c>
      <c r="B1029" s="18" t="s">
        <v>59</v>
      </c>
      <c r="C1029" s="5">
        <v>1808</v>
      </c>
      <c r="E1029" s="1" t="s">
        <v>2</v>
      </c>
      <c r="F1029" s="18">
        <v>2173</v>
      </c>
      <c r="G1029" s="18">
        <v>54</v>
      </c>
      <c r="H1029" s="5">
        <v>102</v>
      </c>
      <c r="I1029" s="1">
        <v>96</v>
      </c>
      <c r="J1029" s="1">
        <v>205</v>
      </c>
      <c r="L1029" t="str">
        <f t="shared" si="16"/>
        <v>http://www.badatelna.eu/reprodukce/?fondId=1073&amp;zaznamId=1108959&amp;reproId=3780047</v>
      </c>
      <c r="M1029">
        <f>VLOOKUP(F1029,Sheet2!$B$1:$E$19,2,FALSE)</f>
        <v>1073</v>
      </c>
      <c r="N1029">
        <f>VLOOKUP(F1029,Sheet2!$B$1:$E$19,3,FALSE)</f>
        <v>1108959</v>
      </c>
      <c r="O1029">
        <f>IF(G1029="Not available","",VLOOKUP(F1029,Sheet2!$B$1:$E$19,4,FALSE)+(G1029-1))</f>
        <v>3780047</v>
      </c>
    </row>
    <row r="1030" spans="1:15" s="1" customFormat="1" ht="15" customHeight="1" x14ac:dyDescent="0.25">
      <c r="A1030" s="18" t="s">
        <v>189</v>
      </c>
      <c r="B1030" s="18" t="s">
        <v>64</v>
      </c>
      <c r="C1030" s="5">
        <v>1806</v>
      </c>
      <c r="E1030" s="1" t="s">
        <v>2</v>
      </c>
      <c r="F1030" s="18">
        <v>2173</v>
      </c>
      <c r="G1030" s="18">
        <v>51</v>
      </c>
      <c r="H1030" s="5">
        <v>96</v>
      </c>
      <c r="I1030" s="1">
        <v>96</v>
      </c>
      <c r="J1030" s="1">
        <v>205</v>
      </c>
      <c r="L1030" t="str">
        <f t="shared" si="16"/>
        <v>http://www.badatelna.eu/reprodukce/?fondId=1073&amp;zaznamId=1108959&amp;reproId=3780044</v>
      </c>
      <c r="M1030">
        <f>VLOOKUP(F1030,Sheet2!$B$1:$E$19,2,FALSE)</f>
        <v>1073</v>
      </c>
      <c r="N1030">
        <f>VLOOKUP(F1030,Sheet2!$B$1:$E$19,3,FALSE)</f>
        <v>1108959</v>
      </c>
      <c r="O1030">
        <f>IF(G1030="Not available","",VLOOKUP(F1030,Sheet2!$B$1:$E$19,4,FALSE)+(G1030-1))</f>
        <v>3780044</v>
      </c>
    </row>
    <row r="1031" spans="1:15" s="1" customFormat="1" ht="15" customHeight="1" x14ac:dyDescent="0.25">
      <c r="A1031" s="18" t="s">
        <v>189</v>
      </c>
      <c r="B1031" s="19" t="s">
        <v>2930</v>
      </c>
      <c r="C1031" s="5">
        <v>1818</v>
      </c>
      <c r="E1031" s="1" t="s">
        <v>2</v>
      </c>
      <c r="F1031" s="18">
        <v>2173</v>
      </c>
      <c r="G1031" s="18">
        <v>69</v>
      </c>
      <c r="H1031" s="5">
        <v>130</v>
      </c>
      <c r="I1031" s="1">
        <v>97</v>
      </c>
      <c r="J1031" s="1">
        <v>206</v>
      </c>
      <c r="K1031" s="4" t="s">
        <v>363</v>
      </c>
      <c r="L1031" t="str">
        <f t="shared" si="16"/>
        <v>http://www.badatelna.eu/reprodukce/?fondId=1073&amp;zaznamId=1108959&amp;reproId=3780062</v>
      </c>
      <c r="M1031">
        <f>VLOOKUP(F1031,Sheet2!$B$1:$E$19,2,FALSE)</f>
        <v>1073</v>
      </c>
      <c r="N1031">
        <f>VLOOKUP(F1031,Sheet2!$B$1:$E$19,3,FALSE)</f>
        <v>1108959</v>
      </c>
      <c r="O1031">
        <f>IF(G1031="Not available","",VLOOKUP(F1031,Sheet2!$B$1:$E$19,4,FALSE)+(G1031-1))</f>
        <v>3780062</v>
      </c>
    </row>
    <row r="1032" spans="1:15" s="1" customFormat="1" ht="15" customHeight="1" x14ac:dyDescent="0.25">
      <c r="A1032" s="18" t="s">
        <v>189</v>
      </c>
      <c r="B1032" s="18" t="s">
        <v>22</v>
      </c>
      <c r="C1032" s="5">
        <v>1811</v>
      </c>
      <c r="E1032" s="1" t="s">
        <v>2</v>
      </c>
      <c r="F1032" s="18">
        <v>2173</v>
      </c>
      <c r="G1032" s="18">
        <v>58</v>
      </c>
      <c r="H1032" s="5">
        <v>111</v>
      </c>
      <c r="I1032" s="1">
        <v>96</v>
      </c>
      <c r="J1032" s="1">
        <v>205</v>
      </c>
      <c r="L1032" t="str">
        <f t="shared" si="16"/>
        <v>http://www.badatelna.eu/reprodukce/?fondId=1073&amp;zaznamId=1108959&amp;reproId=3780051</v>
      </c>
      <c r="M1032">
        <f>VLOOKUP(F1032,Sheet2!$B$1:$E$19,2,FALSE)</f>
        <v>1073</v>
      </c>
      <c r="N1032">
        <f>VLOOKUP(F1032,Sheet2!$B$1:$E$19,3,FALSE)</f>
        <v>1108959</v>
      </c>
      <c r="O1032">
        <f>IF(G1032="Not available","",VLOOKUP(F1032,Sheet2!$B$1:$E$19,4,FALSE)+(G1032-1))</f>
        <v>3780051</v>
      </c>
    </row>
    <row r="1033" spans="1:15" s="1" customFormat="1" ht="15" customHeight="1" x14ac:dyDescent="0.25">
      <c r="A1033" s="18" t="s">
        <v>189</v>
      </c>
      <c r="B1033" s="18" t="s">
        <v>115</v>
      </c>
      <c r="C1033" s="5">
        <v>1814</v>
      </c>
      <c r="E1033" s="1" t="s">
        <v>2</v>
      </c>
      <c r="F1033" s="18">
        <v>2173</v>
      </c>
      <c r="G1033" s="18">
        <v>60</v>
      </c>
      <c r="H1033" s="5">
        <v>114</v>
      </c>
      <c r="I1033" s="1">
        <v>96</v>
      </c>
      <c r="J1033" s="1">
        <v>205</v>
      </c>
      <c r="L1033" t="str">
        <f t="shared" si="16"/>
        <v>http://www.badatelna.eu/reprodukce/?fondId=1073&amp;zaznamId=1108959&amp;reproId=3780053</v>
      </c>
      <c r="M1033">
        <f>VLOOKUP(F1033,Sheet2!$B$1:$E$19,2,FALSE)</f>
        <v>1073</v>
      </c>
      <c r="N1033">
        <f>VLOOKUP(F1033,Sheet2!$B$1:$E$19,3,FALSE)</f>
        <v>1108959</v>
      </c>
      <c r="O1033">
        <f>IF(G1033="Not available","",VLOOKUP(F1033,Sheet2!$B$1:$E$19,4,FALSE)+(G1033-1))</f>
        <v>3780053</v>
      </c>
    </row>
    <row r="1034" spans="1:15" s="1" customFormat="1" ht="15" customHeight="1" x14ac:dyDescent="0.25">
      <c r="A1034" s="18" t="s">
        <v>189</v>
      </c>
      <c r="B1034" s="18" t="s">
        <v>23</v>
      </c>
      <c r="C1034" s="5">
        <v>1818</v>
      </c>
      <c r="E1034" s="1" t="s">
        <v>2</v>
      </c>
      <c r="F1034" s="18">
        <v>2173</v>
      </c>
      <c r="G1034" s="18">
        <v>69</v>
      </c>
      <c r="H1034" s="5">
        <v>130</v>
      </c>
      <c r="I1034" s="1">
        <v>97</v>
      </c>
      <c r="J1034" s="1">
        <v>206</v>
      </c>
      <c r="K1034" s="4" t="s">
        <v>363</v>
      </c>
      <c r="L1034" t="str">
        <f t="shared" si="16"/>
        <v>http://www.badatelna.eu/reprodukce/?fondId=1073&amp;zaznamId=1108959&amp;reproId=3780062</v>
      </c>
      <c r="M1034">
        <f>VLOOKUP(F1034,Sheet2!$B$1:$E$19,2,FALSE)</f>
        <v>1073</v>
      </c>
      <c r="N1034">
        <f>VLOOKUP(F1034,Sheet2!$B$1:$E$19,3,FALSE)</f>
        <v>1108959</v>
      </c>
      <c r="O1034">
        <f>IF(G1034="Not available","",VLOOKUP(F1034,Sheet2!$B$1:$E$19,4,FALSE)+(G1034-1))</f>
        <v>3780062</v>
      </c>
    </row>
    <row r="1035" spans="1:15" s="1" customFormat="1" ht="15" customHeight="1" x14ac:dyDescent="0.25">
      <c r="A1035" s="18" t="s">
        <v>189</v>
      </c>
      <c r="B1035" s="18" t="s">
        <v>58</v>
      </c>
      <c r="C1035" s="5">
        <v>1810</v>
      </c>
      <c r="E1035" s="1" t="s">
        <v>2</v>
      </c>
      <c r="F1035" s="18">
        <v>2173</v>
      </c>
      <c r="G1035" s="18">
        <v>56</v>
      </c>
      <c r="H1035" s="5">
        <v>107</v>
      </c>
      <c r="I1035" s="1">
        <v>96</v>
      </c>
      <c r="J1035" s="1">
        <v>205</v>
      </c>
      <c r="L1035" t="str">
        <f t="shared" si="16"/>
        <v>http://www.badatelna.eu/reprodukce/?fondId=1073&amp;zaznamId=1108959&amp;reproId=3780049</v>
      </c>
      <c r="M1035">
        <f>VLOOKUP(F1035,Sheet2!$B$1:$E$19,2,FALSE)</f>
        <v>1073</v>
      </c>
      <c r="N1035">
        <f>VLOOKUP(F1035,Sheet2!$B$1:$E$19,3,FALSE)</f>
        <v>1108959</v>
      </c>
      <c r="O1035">
        <f>IF(G1035="Not available","",VLOOKUP(F1035,Sheet2!$B$1:$E$19,4,FALSE)+(G1035-1))</f>
        <v>3780049</v>
      </c>
    </row>
    <row r="1036" spans="1:15" s="1" customFormat="1" ht="15" customHeight="1" x14ac:dyDescent="0.25">
      <c r="A1036" s="18" t="s">
        <v>853</v>
      </c>
      <c r="B1036" s="18" t="s">
        <v>1052</v>
      </c>
      <c r="C1036" s="10" t="s">
        <v>1969</v>
      </c>
      <c r="D1036" s="3" t="s">
        <v>2854</v>
      </c>
      <c r="E1036" s="4" t="s">
        <v>2</v>
      </c>
      <c r="F1036" s="18">
        <v>2176</v>
      </c>
      <c r="G1036" s="18" t="s">
        <v>3271</v>
      </c>
      <c r="H1036" s="10" t="s">
        <v>2142</v>
      </c>
      <c r="I1036" s="1">
        <v>12</v>
      </c>
      <c r="J1036" s="3" t="s">
        <v>3271</v>
      </c>
      <c r="L1036" t="str">
        <f t="shared" si="16"/>
        <v/>
      </c>
      <c r="M1036">
        <f>VLOOKUP(F1036,Sheet2!$B$1:$E$19,2,FALSE)</f>
        <v>1073</v>
      </c>
      <c r="N1036">
        <f>VLOOKUP(F1036,Sheet2!$B$1:$E$19,3,FALSE)</f>
        <v>1108963</v>
      </c>
      <c r="O1036" t="str">
        <f>IF(G1036="Not available","",VLOOKUP(F1036,Sheet2!$B$1:$E$19,4,FALSE)+(G1036-1))</f>
        <v/>
      </c>
    </row>
    <row r="1037" spans="1:15" s="1" customFormat="1" ht="15" customHeight="1" x14ac:dyDescent="0.25">
      <c r="A1037" s="18" t="s">
        <v>853</v>
      </c>
      <c r="B1037" s="18" t="s">
        <v>7</v>
      </c>
      <c r="C1037" s="5">
        <v>1856</v>
      </c>
      <c r="D1037" s="1" t="s">
        <v>58</v>
      </c>
      <c r="E1037" s="1" t="s">
        <v>2</v>
      </c>
      <c r="F1037" s="18">
        <v>2164</v>
      </c>
      <c r="G1037" s="18">
        <v>116</v>
      </c>
      <c r="H1037" s="5">
        <v>114</v>
      </c>
      <c r="I1037" s="1">
        <v>127</v>
      </c>
      <c r="J1037" s="1" t="s">
        <v>3271</v>
      </c>
      <c r="L1037" t="str">
        <f t="shared" si="16"/>
        <v>http://www.badatelna.eu/reprodukce/?fondId=1073&amp;zaznamId=1108951&amp;reproId=3778830</v>
      </c>
      <c r="M1037">
        <f>VLOOKUP(F1037,Sheet2!$B$1:$E$19,2,FALSE)</f>
        <v>1073</v>
      </c>
      <c r="N1037">
        <f>VLOOKUP(F1037,Sheet2!$B$1:$E$19,3,FALSE)</f>
        <v>1108951</v>
      </c>
      <c r="O1037">
        <f>IF(G1037="Not available","",VLOOKUP(F1037,Sheet2!$B$1:$E$19,4,FALSE)+(G1037-1))</f>
        <v>3778830</v>
      </c>
    </row>
    <row r="1038" spans="1:15" s="1" customFormat="1" ht="15" customHeight="1" x14ac:dyDescent="0.25">
      <c r="A1038" s="18" t="s">
        <v>853</v>
      </c>
      <c r="B1038" s="18" t="s">
        <v>2066</v>
      </c>
      <c r="C1038" s="10" t="s">
        <v>2005</v>
      </c>
      <c r="D1038" s="3" t="s">
        <v>2191</v>
      </c>
      <c r="E1038" s="4" t="s">
        <v>2</v>
      </c>
      <c r="F1038" s="18">
        <v>2176</v>
      </c>
      <c r="G1038" s="18" t="s">
        <v>3271</v>
      </c>
      <c r="H1038" s="10" t="s">
        <v>1984</v>
      </c>
      <c r="I1038" s="1">
        <v>12</v>
      </c>
      <c r="J1038" s="3" t="s">
        <v>3271</v>
      </c>
      <c r="L1038" t="str">
        <f t="shared" si="16"/>
        <v/>
      </c>
      <c r="M1038">
        <f>VLOOKUP(F1038,Sheet2!$B$1:$E$19,2,FALSE)</f>
        <v>1073</v>
      </c>
      <c r="N1038">
        <f>VLOOKUP(F1038,Sheet2!$B$1:$E$19,3,FALSE)</f>
        <v>1108963</v>
      </c>
      <c r="O1038" t="str">
        <f>IF(G1038="Not available","",VLOOKUP(F1038,Sheet2!$B$1:$E$19,4,FALSE)+(G1038-1))</f>
        <v/>
      </c>
    </row>
    <row r="1039" spans="1:15" s="1" customFormat="1" ht="15" customHeight="1" x14ac:dyDescent="0.25">
      <c r="A1039" s="18" t="s">
        <v>853</v>
      </c>
      <c r="B1039" s="18" t="s">
        <v>778</v>
      </c>
      <c r="C1039" s="5">
        <v>1852</v>
      </c>
      <c r="D1039" s="1" t="s">
        <v>58</v>
      </c>
      <c r="E1039" s="1" t="s">
        <v>2</v>
      </c>
      <c r="F1039" s="18">
        <v>2164</v>
      </c>
      <c r="G1039" s="18">
        <v>86</v>
      </c>
      <c r="H1039" s="5">
        <v>84</v>
      </c>
      <c r="I1039" s="1">
        <v>127</v>
      </c>
      <c r="J1039" s="1" t="s">
        <v>3271</v>
      </c>
      <c r="L1039" t="str">
        <f t="shared" si="16"/>
        <v>http://www.badatelna.eu/reprodukce/?fondId=1073&amp;zaznamId=1108951&amp;reproId=3778800</v>
      </c>
      <c r="M1039">
        <f>VLOOKUP(F1039,Sheet2!$B$1:$E$19,2,FALSE)</f>
        <v>1073</v>
      </c>
      <c r="N1039">
        <f>VLOOKUP(F1039,Sheet2!$B$1:$E$19,3,FALSE)</f>
        <v>1108951</v>
      </c>
      <c r="O1039">
        <f>IF(G1039="Not available","",VLOOKUP(F1039,Sheet2!$B$1:$E$19,4,FALSE)+(G1039-1))</f>
        <v>3778800</v>
      </c>
    </row>
    <row r="1040" spans="1:15" s="1" customFormat="1" ht="15" customHeight="1" x14ac:dyDescent="0.25">
      <c r="A1040" s="18" t="s">
        <v>853</v>
      </c>
      <c r="B1040" s="18" t="s">
        <v>100</v>
      </c>
      <c r="C1040" s="5">
        <v>1855</v>
      </c>
      <c r="D1040" s="1" t="s">
        <v>58</v>
      </c>
      <c r="E1040" s="1" t="s">
        <v>2</v>
      </c>
      <c r="F1040" s="18">
        <v>2164</v>
      </c>
      <c r="G1040" s="18">
        <v>101</v>
      </c>
      <c r="H1040" s="5">
        <v>99</v>
      </c>
      <c r="I1040" s="1">
        <v>127</v>
      </c>
      <c r="J1040" s="1" t="s">
        <v>3271</v>
      </c>
      <c r="L1040" t="str">
        <f t="shared" si="16"/>
        <v>http://www.badatelna.eu/reprodukce/?fondId=1073&amp;zaznamId=1108951&amp;reproId=3778815</v>
      </c>
      <c r="M1040">
        <f>VLOOKUP(F1040,Sheet2!$B$1:$E$19,2,FALSE)</f>
        <v>1073</v>
      </c>
      <c r="N1040">
        <f>VLOOKUP(F1040,Sheet2!$B$1:$E$19,3,FALSE)</f>
        <v>1108951</v>
      </c>
      <c r="O1040">
        <f>IF(G1040="Not available","",VLOOKUP(F1040,Sheet2!$B$1:$E$19,4,FALSE)+(G1040-1))</f>
        <v>3778815</v>
      </c>
    </row>
    <row r="1041" spans="1:15" s="1" customFormat="1" ht="15" customHeight="1" x14ac:dyDescent="0.25">
      <c r="A1041" s="18" t="s">
        <v>853</v>
      </c>
      <c r="B1041" s="18" t="s">
        <v>1113</v>
      </c>
      <c r="C1041" s="10" t="s">
        <v>2024</v>
      </c>
      <c r="D1041" s="3" t="s">
        <v>2191</v>
      </c>
      <c r="E1041" s="4" t="s">
        <v>2</v>
      </c>
      <c r="F1041" s="18">
        <v>2176</v>
      </c>
      <c r="G1041" s="18" t="s">
        <v>3271</v>
      </c>
      <c r="H1041" s="10" t="s">
        <v>2083</v>
      </c>
      <c r="I1041" s="1">
        <v>13</v>
      </c>
      <c r="J1041" s="3" t="s">
        <v>3271</v>
      </c>
      <c r="K1041" s="3"/>
      <c r="L1041" t="str">
        <f t="shared" si="16"/>
        <v/>
      </c>
      <c r="M1041">
        <f>VLOOKUP(F1041,Sheet2!$B$1:$E$19,2,FALSE)</f>
        <v>1073</v>
      </c>
      <c r="N1041">
        <f>VLOOKUP(F1041,Sheet2!$B$1:$E$19,3,FALSE)</f>
        <v>1108963</v>
      </c>
      <c r="O1041" t="str">
        <f>IF(G1041="Not available","",VLOOKUP(F1041,Sheet2!$B$1:$E$19,4,FALSE)+(G1041-1))</f>
        <v/>
      </c>
    </row>
    <row r="1042" spans="1:15" s="1" customFormat="1" ht="15" customHeight="1" x14ac:dyDescent="0.25">
      <c r="A1042" s="18" t="s">
        <v>853</v>
      </c>
      <c r="B1042" s="18" t="s">
        <v>58</v>
      </c>
      <c r="C1042" s="10" t="s">
        <v>2015</v>
      </c>
      <c r="D1042" s="3" t="s">
        <v>2855</v>
      </c>
      <c r="E1042" s="4" t="s">
        <v>2</v>
      </c>
      <c r="F1042" s="18">
        <v>2176</v>
      </c>
      <c r="G1042" s="18" t="s">
        <v>3271</v>
      </c>
      <c r="H1042" s="10" t="s">
        <v>2086</v>
      </c>
      <c r="I1042" s="1">
        <v>12</v>
      </c>
      <c r="J1042" s="3" t="s">
        <v>3271</v>
      </c>
      <c r="K1042" s="3"/>
      <c r="L1042" t="str">
        <f t="shared" si="16"/>
        <v/>
      </c>
      <c r="M1042">
        <f>VLOOKUP(F1042,Sheet2!$B$1:$E$19,2,FALSE)</f>
        <v>1073</v>
      </c>
      <c r="N1042">
        <f>VLOOKUP(F1042,Sheet2!$B$1:$E$19,3,FALSE)</f>
        <v>1108963</v>
      </c>
      <c r="O1042" t="str">
        <f>IF(G1042="Not available","",VLOOKUP(F1042,Sheet2!$B$1:$E$19,4,FALSE)+(G1042-1))</f>
        <v/>
      </c>
    </row>
    <row r="1043" spans="1:15" s="1" customFormat="1" ht="15" customHeight="1" x14ac:dyDescent="0.25">
      <c r="A1043" s="18" t="s">
        <v>183</v>
      </c>
      <c r="B1043" s="25" t="s">
        <v>33</v>
      </c>
      <c r="C1043" s="14" t="s">
        <v>2928</v>
      </c>
      <c r="D1043" s="1" t="s">
        <v>17</v>
      </c>
      <c r="E1043" s="1" t="s">
        <v>2</v>
      </c>
      <c r="F1043" s="18">
        <v>2173</v>
      </c>
      <c r="G1043" s="18">
        <v>33</v>
      </c>
      <c r="H1043" s="5">
        <v>61</v>
      </c>
      <c r="I1043" s="1">
        <v>96</v>
      </c>
      <c r="J1043" s="1">
        <v>201</v>
      </c>
      <c r="L1043" t="str">
        <f t="shared" si="16"/>
        <v>http://www.badatelna.eu/reprodukce/?fondId=1073&amp;zaznamId=1108959&amp;reproId=3780026</v>
      </c>
      <c r="M1043">
        <f>VLOOKUP(F1043,Sheet2!$B$1:$E$19,2,FALSE)</f>
        <v>1073</v>
      </c>
      <c r="N1043">
        <f>VLOOKUP(F1043,Sheet2!$B$1:$E$19,3,FALSE)</f>
        <v>1108959</v>
      </c>
      <c r="O1043">
        <f>IF(G1043="Not available","",VLOOKUP(F1043,Sheet2!$B$1:$E$19,4,FALSE)+(G1043-1))</f>
        <v>3780026</v>
      </c>
    </row>
    <row r="1044" spans="1:15" s="1" customFormat="1" ht="15" customHeight="1" x14ac:dyDescent="0.25">
      <c r="A1044" s="18" t="s">
        <v>183</v>
      </c>
      <c r="B1044" s="18" t="s">
        <v>486</v>
      </c>
      <c r="C1044" s="5">
        <v>1837</v>
      </c>
      <c r="D1044" s="1" t="s">
        <v>536</v>
      </c>
      <c r="E1044" s="1" t="s">
        <v>2</v>
      </c>
      <c r="F1044" s="18">
        <v>2174</v>
      </c>
      <c r="G1044" s="18">
        <v>92</v>
      </c>
      <c r="H1044" s="6" t="s">
        <v>3160</v>
      </c>
      <c r="I1044" s="1">
        <v>185</v>
      </c>
      <c r="J1044" s="1">
        <v>212</v>
      </c>
      <c r="L1044" t="str">
        <f t="shared" si="16"/>
        <v>http://www.badatelna.eu/reprodukce/?fondId=1073&amp;zaznamId=1108960&amp;reproId=3780316</v>
      </c>
      <c r="M1044">
        <f>VLOOKUP(F1044,Sheet2!$B$1:$E$19,2,FALSE)</f>
        <v>1073</v>
      </c>
      <c r="N1044">
        <f>VLOOKUP(F1044,Sheet2!$B$1:$E$19,3,FALSE)</f>
        <v>1108960</v>
      </c>
      <c r="O1044">
        <f>IF(G1044="Not available","",VLOOKUP(F1044,Sheet2!$B$1:$E$19,4,FALSE)+(G1044-1))</f>
        <v>3780316</v>
      </c>
    </row>
    <row r="1045" spans="1:15" s="1" customFormat="1" ht="15" customHeight="1" x14ac:dyDescent="0.25">
      <c r="A1045" s="18" t="s">
        <v>183</v>
      </c>
      <c r="B1045" s="18" t="s">
        <v>963</v>
      </c>
      <c r="C1045" s="10" t="s">
        <v>2015</v>
      </c>
      <c r="D1045" s="3" t="s">
        <v>2182</v>
      </c>
      <c r="E1045" s="4" t="s">
        <v>2</v>
      </c>
      <c r="F1045" s="18">
        <v>2176</v>
      </c>
      <c r="G1045" s="18" t="s">
        <v>3271</v>
      </c>
      <c r="H1045" s="10" t="s">
        <v>1959</v>
      </c>
      <c r="I1045" s="1">
        <v>12</v>
      </c>
      <c r="J1045" s="3" t="s">
        <v>3271</v>
      </c>
      <c r="K1045" s="3"/>
      <c r="L1045" t="str">
        <f t="shared" si="16"/>
        <v/>
      </c>
      <c r="M1045">
        <f>VLOOKUP(F1045,Sheet2!$B$1:$E$19,2,FALSE)</f>
        <v>1073</v>
      </c>
      <c r="N1045">
        <f>VLOOKUP(F1045,Sheet2!$B$1:$E$19,3,FALSE)</f>
        <v>1108963</v>
      </c>
      <c r="O1045" t="str">
        <f>IF(G1045="Not available","",VLOOKUP(F1045,Sheet2!$B$1:$E$19,4,FALSE)+(G1045-1))</f>
        <v/>
      </c>
    </row>
    <row r="1046" spans="1:15" s="1" customFormat="1" ht="15" customHeight="1" x14ac:dyDescent="0.25">
      <c r="A1046" s="18" t="s">
        <v>183</v>
      </c>
      <c r="B1046" s="18" t="s">
        <v>92</v>
      </c>
      <c r="C1046" s="5">
        <v>1884</v>
      </c>
      <c r="D1046" s="1" t="s">
        <v>197</v>
      </c>
      <c r="E1046" s="1" t="s">
        <v>2</v>
      </c>
      <c r="F1046" s="18">
        <v>2165</v>
      </c>
      <c r="G1046" s="18">
        <v>195</v>
      </c>
      <c r="H1046" s="5">
        <v>3</v>
      </c>
      <c r="I1046" s="1">
        <v>196</v>
      </c>
      <c r="J1046" s="1">
        <v>173</v>
      </c>
      <c r="L1046" t="str">
        <f t="shared" si="16"/>
        <v>http://www.badatelna.eu/reprodukce/?fondId=1073&amp;zaznamId=1108952&amp;reproId=3779056</v>
      </c>
      <c r="M1046">
        <f>VLOOKUP(F1046,Sheet2!$B$1:$E$19,2,FALSE)</f>
        <v>1073</v>
      </c>
      <c r="N1046">
        <f>VLOOKUP(F1046,Sheet2!$B$1:$E$19,3,FALSE)</f>
        <v>1108952</v>
      </c>
      <c r="O1046">
        <f>IF(G1046="Not available","",VLOOKUP(F1046,Sheet2!$B$1:$E$19,4,FALSE)+(G1046-1))</f>
        <v>3779056</v>
      </c>
    </row>
    <row r="1047" spans="1:15" s="1" customFormat="1" ht="15" customHeight="1" x14ac:dyDescent="0.25">
      <c r="A1047" s="18" t="s">
        <v>183</v>
      </c>
      <c r="B1047" s="18" t="s">
        <v>92</v>
      </c>
      <c r="C1047" s="10" t="s">
        <v>2041</v>
      </c>
      <c r="D1047" s="3" t="s">
        <v>2207</v>
      </c>
      <c r="E1047" s="4" t="s">
        <v>2</v>
      </c>
      <c r="F1047" s="18">
        <v>2176</v>
      </c>
      <c r="G1047" s="18" t="s">
        <v>3271</v>
      </c>
      <c r="H1047" s="10" t="s">
        <v>2073</v>
      </c>
      <c r="I1047" s="3">
        <v>13</v>
      </c>
      <c r="J1047" s="3" t="s">
        <v>3271</v>
      </c>
      <c r="K1047" s="3"/>
      <c r="L1047" t="str">
        <f t="shared" si="16"/>
        <v/>
      </c>
      <c r="M1047">
        <f>VLOOKUP(F1047,Sheet2!$B$1:$E$19,2,FALSE)</f>
        <v>1073</v>
      </c>
      <c r="N1047">
        <f>VLOOKUP(F1047,Sheet2!$B$1:$E$19,3,FALSE)</f>
        <v>1108963</v>
      </c>
      <c r="O1047" t="str">
        <f>IF(G1047="Not available","",VLOOKUP(F1047,Sheet2!$B$1:$E$19,4,FALSE)+(G1047-1))</f>
        <v/>
      </c>
    </row>
    <row r="1048" spans="1:15" s="1" customFormat="1" ht="15" customHeight="1" x14ac:dyDescent="0.25">
      <c r="A1048" s="18" t="s">
        <v>183</v>
      </c>
      <c r="B1048" s="19" t="s">
        <v>3097</v>
      </c>
      <c r="C1048" s="5">
        <v>1805</v>
      </c>
      <c r="D1048" s="4" t="s">
        <v>17</v>
      </c>
      <c r="E1048" s="1" t="s">
        <v>2</v>
      </c>
      <c r="F1048" s="18">
        <v>2173</v>
      </c>
      <c r="G1048" s="18">
        <v>49</v>
      </c>
      <c r="H1048" s="5">
        <v>93</v>
      </c>
      <c r="I1048" s="1">
        <v>96</v>
      </c>
      <c r="J1048" s="1">
        <v>205</v>
      </c>
      <c r="L1048" t="str">
        <f t="shared" si="16"/>
        <v>http://www.badatelna.eu/reprodukce/?fondId=1073&amp;zaznamId=1108959&amp;reproId=3780042</v>
      </c>
      <c r="M1048">
        <f>VLOOKUP(F1048,Sheet2!$B$1:$E$19,2,FALSE)</f>
        <v>1073</v>
      </c>
      <c r="N1048">
        <f>VLOOKUP(F1048,Sheet2!$B$1:$E$19,3,FALSE)</f>
        <v>1108959</v>
      </c>
      <c r="O1048">
        <f>IF(G1048="Not available","",VLOOKUP(F1048,Sheet2!$B$1:$E$19,4,FALSE)+(G1048-1))</f>
        <v>3780042</v>
      </c>
    </row>
    <row r="1049" spans="1:15" s="1" customFormat="1" ht="15" customHeight="1" x14ac:dyDescent="0.25">
      <c r="A1049" s="18" t="s">
        <v>183</v>
      </c>
      <c r="B1049" s="18" t="s">
        <v>14</v>
      </c>
      <c r="C1049" s="5">
        <v>1793</v>
      </c>
      <c r="D1049" s="1" t="s">
        <v>17</v>
      </c>
      <c r="E1049" s="1" t="s">
        <v>2</v>
      </c>
      <c r="F1049" s="18">
        <v>2173</v>
      </c>
      <c r="G1049" s="18">
        <v>29</v>
      </c>
      <c r="H1049" s="5">
        <v>53</v>
      </c>
      <c r="I1049" s="1">
        <v>96</v>
      </c>
      <c r="J1049" s="1">
        <v>201</v>
      </c>
      <c r="L1049" t="str">
        <f t="shared" si="16"/>
        <v>http://www.badatelna.eu/reprodukce/?fondId=1073&amp;zaznamId=1108959&amp;reproId=3780022</v>
      </c>
      <c r="M1049">
        <f>VLOOKUP(F1049,Sheet2!$B$1:$E$19,2,FALSE)</f>
        <v>1073</v>
      </c>
      <c r="N1049">
        <f>VLOOKUP(F1049,Sheet2!$B$1:$E$19,3,FALSE)</f>
        <v>1108959</v>
      </c>
      <c r="O1049">
        <f>IF(G1049="Not available","",VLOOKUP(F1049,Sheet2!$B$1:$E$19,4,FALSE)+(G1049-1))</f>
        <v>3780022</v>
      </c>
    </row>
    <row r="1050" spans="1:15" s="1" customFormat="1" ht="15" customHeight="1" x14ac:dyDescent="0.25">
      <c r="A1050" s="18" t="s">
        <v>183</v>
      </c>
      <c r="B1050" s="18" t="s">
        <v>897</v>
      </c>
      <c r="C1050" s="5">
        <v>1882</v>
      </c>
      <c r="D1050" s="1" t="s">
        <v>197</v>
      </c>
      <c r="E1050" s="1" t="s">
        <v>2</v>
      </c>
      <c r="F1050" s="18">
        <v>2165</v>
      </c>
      <c r="G1050" s="18">
        <v>181</v>
      </c>
      <c r="H1050" s="5">
        <v>4</v>
      </c>
      <c r="I1050" s="1">
        <v>182</v>
      </c>
      <c r="J1050" s="1">
        <v>159</v>
      </c>
      <c r="L1050" t="str">
        <f t="shared" si="16"/>
        <v>http://www.badatelna.eu/reprodukce/?fondId=1073&amp;zaznamId=1108952&amp;reproId=3779042</v>
      </c>
      <c r="M1050">
        <f>VLOOKUP(F1050,Sheet2!$B$1:$E$19,2,FALSE)</f>
        <v>1073</v>
      </c>
      <c r="N1050">
        <f>VLOOKUP(F1050,Sheet2!$B$1:$E$19,3,FALSE)</f>
        <v>1108952</v>
      </c>
      <c r="O1050">
        <f>IF(G1050="Not available","",VLOOKUP(F1050,Sheet2!$B$1:$E$19,4,FALSE)+(G1050-1))</f>
        <v>3779042</v>
      </c>
    </row>
    <row r="1051" spans="1:15" s="1" customFormat="1" ht="15" customHeight="1" x14ac:dyDescent="0.25">
      <c r="A1051" s="18" t="s">
        <v>183</v>
      </c>
      <c r="B1051" s="18" t="s">
        <v>2189</v>
      </c>
      <c r="C1051" s="10" t="s">
        <v>1285</v>
      </c>
      <c r="D1051" s="3" t="s">
        <v>2207</v>
      </c>
      <c r="E1051" s="4" t="s">
        <v>2</v>
      </c>
      <c r="F1051" s="18">
        <v>2176</v>
      </c>
      <c r="G1051" s="18" t="s">
        <v>3271</v>
      </c>
      <c r="H1051" s="10" t="s">
        <v>2091</v>
      </c>
      <c r="I1051" s="3">
        <v>13</v>
      </c>
      <c r="J1051" s="3" t="s">
        <v>3271</v>
      </c>
      <c r="K1051" s="3"/>
      <c r="L1051" t="str">
        <f t="shared" si="16"/>
        <v/>
      </c>
      <c r="M1051">
        <f>VLOOKUP(F1051,Sheet2!$B$1:$E$19,2,FALSE)</f>
        <v>1073</v>
      </c>
      <c r="N1051">
        <f>VLOOKUP(F1051,Sheet2!$B$1:$E$19,3,FALSE)</f>
        <v>1108963</v>
      </c>
      <c r="O1051" t="str">
        <f>IF(G1051="Not available","",VLOOKUP(F1051,Sheet2!$B$1:$E$19,4,FALSE)+(G1051-1))</f>
        <v/>
      </c>
    </row>
    <row r="1052" spans="1:15" s="1" customFormat="1" ht="15" customHeight="1" x14ac:dyDescent="0.25">
      <c r="A1052" s="18" t="s">
        <v>183</v>
      </c>
      <c r="B1052" s="18" t="s">
        <v>2189</v>
      </c>
      <c r="C1052" s="10" t="s">
        <v>2024</v>
      </c>
      <c r="D1052" s="3" t="s">
        <v>2182</v>
      </c>
      <c r="E1052" s="4" t="s">
        <v>2</v>
      </c>
      <c r="F1052" s="18">
        <v>2176</v>
      </c>
      <c r="G1052" s="18" t="s">
        <v>3271</v>
      </c>
      <c r="H1052" s="10" t="s">
        <v>1955</v>
      </c>
      <c r="I1052" s="1">
        <v>13</v>
      </c>
      <c r="J1052" s="3" t="s">
        <v>3271</v>
      </c>
      <c r="K1052" s="3"/>
      <c r="L1052" t="str">
        <f t="shared" si="16"/>
        <v/>
      </c>
      <c r="M1052">
        <f>VLOOKUP(F1052,Sheet2!$B$1:$E$19,2,FALSE)</f>
        <v>1073</v>
      </c>
      <c r="N1052">
        <f>VLOOKUP(F1052,Sheet2!$B$1:$E$19,3,FALSE)</f>
        <v>1108963</v>
      </c>
      <c r="O1052" t="str">
        <f>IF(G1052="Not available","",VLOOKUP(F1052,Sheet2!$B$1:$E$19,4,FALSE)+(G1052-1))</f>
        <v/>
      </c>
    </row>
    <row r="1053" spans="1:15" s="1" customFormat="1" ht="15" customHeight="1" x14ac:dyDescent="0.25">
      <c r="A1053" s="18" t="s">
        <v>183</v>
      </c>
      <c r="B1053" s="18" t="s">
        <v>1004</v>
      </c>
      <c r="C1053" s="10" t="s">
        <v>2026</v>
      </c>
      <c r="D1053" s="3" t="s">
        <v>2207</v>
      </c>
      <c r="E1053" s="4" t="s">
        <v>2</v>
      </c>
      <c r="F1053" s="18">
        <v>2176</v>
      </c>
      <c r="G1053" s="18" t="s">
        <v>3271</v>
      </c>
      <c r="H1053" s="10" t="s">
        <v>2069</v>
      </c>
      <c r="I1053" s="1">
        <v>13</v>
      </c>
      <c r="J1053" s="3" t="s">
        <v>3271</v>
      </c>
      <c r="K1053" s="3"/>
      <c r="L1053" t="str">
        <f t="shared" si="16"/>
        <v/>
      </c>
      <c r="M1053">
        <f>VLOOKUP(F1053,Sheet2!$B$1:$E$19,2,FALSE)</f>
        <v>1073</v>
      </c>
      <c r="N1053">
        <f>VLOOKUP(F1053,Sheet2!$B$1:$E$19,3,FALSE)</f>
        <v>1108963</v>
      </c>
      <c r="O1053" t="str">
        <f>IF(G1053="Not available","",VLOOKUP(F1053,Sheet2!$B$1:$E$19,4,FALSE)+(G1053-1))</f>
        <v/>
      </c>
    </row>
    <row r="1054" spans="1:15" s="1" customFormat="1" ht="15" customHeight="1" x14ac:dyDescent="0.25">
      <c r="A1054" s="18" t="s">
        <v>183</v>
      </c>
      <c r="B1054" s="18" t="s">
        <v>1004</v>
      </c>
      <c r="C1054" s="5" t="s">
        <v>1718</v>
      </c>
      <c r="D1054" s="1" t="s">
        <v>197</v>
      </c>
      <c r="E1054" s="1" t="s">
        <v>2</v>
      </c>
      <c r="F1054" s="18">
        <v>2165</v>
      </c>
      <c r="G1054" s="18">
        <v>165</v>
      </c>
      <c r="H1054" s="5">
        <v>1</v>
      </c>
      <c r="I1054" s="1">
        <v>170</v>
      </c>
      <c r="J1054" s="1">
        <v>148</v>
      </c>
      <c r="L1054" t="str">
        <f t="shared" si="16"/>
        <v>http://www.badatelna.eu/reprodukce/?fondId=1073&amp;zaznamId=1108952&amp;reproId=3779026</v>
      </c>
      <c r="M1054">
        <f>VLOOKUP(F1054,Sheet2!$B$1:$E$19,2,FALSE)</f>
        <v>1073</v>
      </c>
      <c r="N1054">
        <f>VLOOKUP(F1054,Sheet2!$B$1:$E$19,3,FALSE)</f>
        <v>1108952</v>
      </c>
      <c r="O1054">
        <f>IF(G1054="Not available","",VLOOKUP(F1054,Sheet2!$B$1:$E$19,4,FALSE)+(G1054-1))</f>
        <v>3779026</v>
      </c>
    </row>
    <row r="1055" spans="1:15" s="1" customFormat="1" ht="15" customHeight="1" x14ac:dyDescent="0.25">
      <c r="A1055" s="18" t="s">
        <v>183</v>
      </c>
      <c r="B1055" s="18" t="s">
        <v>816</v>
      </c>
      <c r="C1055" s="5">
        <v>1852</v>
      </c>
      <c r="D1055" s="1" t="s">
        <v>700</v>
      </c>
      <c r="E1055" s="1" t="s">
        <v>2</v>
      </c>
      <c r="F1055" s="18">
        <v>2164</v>
      </c>
      <c r="G1055" s="18">
        <v>82</v>
      </c>
      <c r="H1055" s="5">
        <v>80</v>
      </c>
      <c r="I1055" s="1">
        <v>127</v>
      </c>
      <c r="J1055" s="1" t="s">
        <v>3271</v>
      </c>
      <c r="L1055" t="str">
        <f t="shared" si="16"/>
        <v>http://www.badatelna.eu/reprodukce/?fondId=1073&amp;zaznamId=1108951&amp;reproId=3778796</v>
      </c>
      <c r="M1055">
        <f>VLOOKUP(F1055,Sheet2!$B$1:$E$19,2,FALSE)</f>
        <v>1073</v>
      </c>
      <c r="N1055">
        <f>VLOOKUP(F1055,Sheet2!$B$1:$E$19,3,FALSE)</f>
        <v>1108951</v>
      </c>
      <c r="O1055">
        <f>IF(G1055="Not available","",VLOOKUP(F1055,Sheet2!$B$1:$E$19,4,FALSE)+(G1055-1))</f>
        <v>3778796</v>
      </c>
    </row>
    <row r="1056" spans="1:15" s="1" customFormat="1" ht="15" customHeight="1" x14ac:dyDescent="0.25">
      <c r="A1056" s="18" t="s">
        <v>183</v>
      </c>
      <c r="B1056" s="18" t="s">
        <v>439</v>
      </c>
      <c r="C1056" s="5">
        <v>1856</v>
      </c>
      <c r="D1056" s="1" t="s">
        <v>8</v>
      </c>
      <c r="E1056" s="1" t="s">
        <v>2</v>
      </c>
      <c r="F1056" s="18">
        <v>2164</v>
      </c>
      <c r="G1056" s="18">
        <v>112</v>
      </c>
      <c r="H1056" s="5">
        <v>110</v>
      </c>
      <c r="I1056" s="1">
        <v>127</v>
      </c>
      <c r="J1056" s="1" t="s">
        <v>3271</v>
      </c>
      <c r="L1056" t="str">
        <f t="shared" si="16"/>
        <v>http://www.badatelna.eu/reprodukce/?fondId=1073&amp;zaznamId=1108951&amp;reproId=3778826</v>
      </c>
      <c r="M1056">
        <f>VLOOKUP(F1056,Sheet2!$B$1:$E$19,2,FALSE)</f>
        <v>1073</v>
      </c>
      <c r="N1056">
        <f>VLOOKUP(F1056,Sheet2!$B$1:$E$19,3,FALSE)</f>
        <v>1108951</v>
      </c>
      <c r="O1056">
        <f>IF(G1056="Not available","",VLOOKUP(F1056,Sheet2!$B$1:$E$19,4,FALSE)+(G1056-1))</f>
        <v>3778826</v>
      </c>
    </row>
    <row r="1057" spans="1:15" s="1" customFormat="1" ht="15" customHeight="1" x14ac:dyDescent="0.25">
      <c r="A1057" s="18" t="s">
        <v>183</v>
      </c>
      <c r="B1057" s="18" t="s">
        <v>6</v>
      </c>
      <c r="C1057" s="6" t="s">
        <v>3319</v>
      </c>
      <c r="D1057" s="4" t="s">
        <v>3338</v>
      </c>
      <c r="E1057" s="1" t="s">
        <v>2</v>
      </c>
      <c r="F1057" s="18">
        <v>2173</v>
      </c>
      <c r="G1057" s="18">
        <v>87</v>
      </c>
      <c r="H1057" s="5">
        <v>162</v>
      </c>
      <c r="I1057" s="1">
        <v>97</v>
      </c>
      <c r="J1057" s="1">
        <v>206</v>
      </c>
      <c r="L1057" t="str">
        <f t="shared" si="16"/>
        <v>http://www.badatelna.eu/reprodukce/?fondId=1073&amp;zaznamId=1108959&amp;reproId=3780080</v>
      </c>
      <c r="M1057">
        <f>VLOOKUP(F1057,Sheet2!$B$1:$E$19,2,FALSE)</f>
        <v>1073</v>
      </c>
      <c r="N1057">
        <f>VLOOKUP(F1057,Sheet2!$B$1:$E$19,3,FALSE)</f>
        <v>1108959</v>
      </c>
      <c r="O1057">
        <f>IF(G1057="Not available","",VLOOKUP(F1057,Sheet2!$B$1:$E$19,4,FALSE)+(G1057-1))</f>
        <v>3780080</v>
      </c>
    </row>
    <row r="1058" spans="1:15" s="1" customFormat="1" ht="15" customHeight="1" x14ac:dyDescent="0.25">
      <c r="A1058" s="18" t="s">
        <v>183</v>
      </c>
      <c r="B1058" s="18" t="s">
        <v>59</v>
      </c>
      <c r="C1058" s="5">
        <v>1833</v>
      </c>
      <c r="D1058" s="1" t="s">
        <v>536</v>
      </c>
      <c r="E1058" s="1" t="s">
        <v>2</v>
      </c>
      <c r="F1058" s="18">
        <v>2174</v>
      </c>
      <c r="G1058" s="18">
        <v>73</v>
      </c>
      <c r="H1058" s="6" t="s">
        <v>3138</v>
      </c>
      <c r="I1058" s="1">
        <v>185</v>
      </c>
      <c r="J1058" s="1">
        <v>212</v>
      </c>
      <c r="L1058" t="str">
        <f t="shared" si="16"/>
        <v>http://www.badatelna.eu/reprodukce/?fondId=1073&amp;zaznamId=1108960&amp;reproId=3780297</v>
      </c>
      <c r="M1058">
        <f>VLOOKUP(F1058,Sheet2!$B$1:$E$19,2,FALSE)</f>
        <v>1073</v>
      </c>
      <c r="N1058">
        <f>VLOOKUP(F1058,Sheet2!$B$1:$E$19,3,FALSE)</f>
        <v>1108960</v>
      </c>
      <c r="O1058">
        <f>IF(G1058="Not available","",VLOOKUP(F1058,Sheet2!$B$1:$E$19,4,FALSE)+(G1058-1))</f>
        <v>3780297</v>
      </c>
    </row>
    <row r="1059" spans="1:15" s="1" customFormat="1" ht="15" customHeight="1" x14ac:dyDescent="0.25">
      <c r="A1059" s="18" t="s">
        <v>183</v>
      </c>
      <c r="B1059" s="18" t="s">
        <v>104</v>
      </c>
      <c r="C1059" s="5">
        <v>1798</v>
      </c>
      <c r="D1059" s="1" t="s">
        <v>17</v>
      </c>
      <c r="E1059" s="1" t="s">
        <v>2</v>
      </c>
      <c r="F1059" s="18">
        <v>2173</v>
      </c>
      <c r="G1059" s="18">
        <v>37</v>
      </c>
      <c r="H1059" s="5">
        <v>68</v>
      </c>
      <c r="I1059" s="1">
        <v>96</v>
      </c>
      <c r="J1059" s="1">
        <v>201</v>
      </c>
      <c r="L1059" t="str">
        <f t="shared" si="16"/>
        <v>http://www.badatelna.eu/reprodukce/?fondId=1073&amp;zaznamId=1108959&amp;reproId=3780030</v>
      </c>
      <c r="M1059">
        <f>VLOOKUP(F1059,Sheet2!$B$1:$E$19,2,FALSE)</f>
        <v>1073</v>
      </c>
      <c r="N1059">
        <f>VLOOKUP(F1059,Sheet2!$B$1:$E$19,3,FALSE)</f>
        <v>1108959</v>
      </c>
      <c r="O1059">
        <f>IF(G1059="Not available","",VLOOKUP(F1059,Sheet2!$B$1:$E$19,4,FALSE)+(G1059-1))</f>
        <v>3780030</v>
      </c>
    </row>
    <row r="1060" spans="1:15" s="1" customFormat="1" ht="15" customHeight="1" x14ac:dyDescent="0.25">
      <c r="A1060" s="18" t="s">
        <v>183</v>
      </c>
      <c r="B1060" s="18" t="s">
        <v>8</v>
      </c>
      <c r="C1060" s="5">
        <v>1827</v>
      </c>
      <c r="E1060" s="1" t="s">
        <v>2</v>
      </c>
      <c r="F1060" s="18">
        <v>2173</v>
      </c>
      <c r="G1060" s="18">
        <v>79</v>
      </c>
      <c r="H1060" s="5">
        <v>151</v>
      </c>
      <c r="I1060" s="1">
        <v>97</v>
      </c>
      <c r="J1060" s="1">
        <v>206</v>
      </c>
      <c r="L1060" t="str">
        <f t="shared" si="16"/>
        <v>http://www.badatelna.eu/reprodukce/?fondId=1073&amp;zaznamId=1108959&amp;reproId=3780072</v>
      </c>
      <c r="M1060">
        <f>VLOOKUP(F1060,Sheet2!$B$1:$E$19,2,FALSE)</f>
        <v>1073</v>
      </c>
      <c r="N1060">
        <f>VLOOKUP(F1060,Sheet2!$B$1:$E$19,3,FALSE)</f>
        <v>1108959</v>
      </c>
      <c r="O1060">
        <f>IF(G1060="Not available","",VLOOKUP(F1060,Sheet2!$B$1:$E$19,4,FALSE)+(G1060-1))</f>
        <v>3780072</v>
      </c>
    </row>
    <row r="1061" spans="1:15" s="1" customFormat="1" ht="15" customHeight="1" x14ac:dyDescent="0.25">
      <c r="A1061" s="18" t="s">
        <v>183</v>
      </c>
      <c r="B1061" s="18" t="s">
        <v>809</v>
      </c>
      <c r="C1061" s="5">
        <v>1856</v>
      </c>
      <c r="D1061" s="1" t="s">
        <v>700</v>
      </c>
      <c r="E1061" s="1" t="s">
        <v>2</v>
      </c>
      <c r="F1061" s="18">
        <v>2164</v>
      </c>
      <c r="G1061" s="18">
        <v>109</v>
      </c>
      <c r="H1061" s="5">
        <v>107</v>
      </c>
      <c r="I1061" s="1">
        <v>127</v>
      </c>
      <c r="J1061" s="1" t="s">
        <v>3271</v>
      </c>
      <c r="L1061" t="str">
        <f t="shared" si="16"/>
        <v>http://www.badatelna.eu/reprodukce/?fondId=1073&amp;zaznamId=1108951&amp;reproId=3778823</v>
      </c>
      <c r="M1061">
        <f>VLOOKUP(F1061,Sheet2!$B$1:$E$19,2,FALSE)</f>
        <v>1073</v>
      </c>
      <c r="N1061">
        <f>VLOOKUP(F1061,Sheet2!$B$1:$E$19,3,FALSE)</f>
        <v>1108951</v>
      </c>
      <c r="O1061">
        <f>IF(G1061="Not available","",VLOOKUP(F1061,Sheet2!$B$1:$E$19,4,FALSE)+(G1061-1))</f>
        <v>3778823</v>
      </c>
    </row>
    <row r="1062" spans="1:15" s="1" customFormat="1" ht="15" customHeight="1" x14ac:dyDescent="0.25">
      <c r="A1062" s="18" t="s">
        <v>183</v>
      </c>
      <c r="B1062" s="18" t="s">
        <v>186</v>
      </c>
      <c r="C1062" s="5">
        <v>1802</v>
      </c>
      <c r="E1062" s="1" t="s">
        <v>2</v>
      </c>
      <c r="F1062" s="18">
        <v>2173</v>
      </c>
      <c r="G1062" s="18">
        <v>46</v>
      </c>
      <c r="H1062" s="5">
        <v>86</v>
      </c>
      <c r="I1062" s="1">
        <v>96</v>
      </c>
      <c r="J1062" s="1">
        <v>205</v>
      </c>
      <c r="L1062" t="str">
        <f t="shared" si="16"/>
        <v>http://www.badatelna.eu/reprodukce/?fondId=1073&amp;zaznamId=1108959&amp;reproId=3780039</v>
      </c>
      <c r="M1062">
        <f>VLOOKUP(F1062,Sheet2!$B$1:$E$19,2,FALSE)</f>
        <v>1073</v>
      </c>
      <c r="N1062">
        <f>VLOOKUP(F1062,Sheet2!$B$1:$E$19,3,FALSE)</f>
        <v>1108959</v>
      </c>
      <c r="O1062">
        <f>IF(G1062="Not available","",VLOOKUP(F1062,Sheet2!$B$1:$E$19,4,FALSE)+(G1062-1))</f>
        <v>3780039</v>
      </c>
    </row>
    <row r="1063" spans="1:15" s="1" customFormat="1" ht="15" customHeight="1" x14ac:dyDescent="0.25">
      <c r="A1063" s="18" t="s">
        <v>183</v>
      </c>
      <c r="B1063" s="18" t="s">
        <v>12</v>
      </c>
      <c r="C1063" s="5">
        <v>1828</v>
      </c>
      <c r="E1063" s="1" t="s">
        <v>2</v>
      </c>
      <c r="F1063" s="18">
        <v>2173</v>
      </c>
      <c r="G1063" s="18">
        <v>86</v>
      </c>
      <c r="H1063" s="5">
        <v>160</v>
      </c>
      <c r="I1063" s="1">
        <v>97</v>
      </c>
      <c r="J1063" s="1">
        <v>206</v>
      </c>
      <c r="L1063" t="str">
        <f t="shared" si="16"/>
        <v>http://www.badatelna.eu/reprodukce/?fondId=1073&amp;zaznamId=1108959&amp;reproId=3780079</v>
      </c>
      <c r="M1063">
        <f>VLOOKUP(F1063,Sheet2!$B$1:$E$19,2,FALSE)</f>
        <v>1073</v>
      </c>
      <c r="N1063">
        <f>VLOOKUP(F1063,Sheet2!$B$1:$E$19,3,FALSE)</f>
        <v>1108959</v>
      </c>
      <c r="O1063">
        <f>IF(G1063="Not available","",VLOOKUP(F1063,Sheet2!$B$1:$E$19,4,FALSE)+(G1063-1))</f>
        <v>3780079</v>
      </c>
    </row>
    <row r="1064" spans="1:15" s="1" customFormat="1" ht="15" customHeight="1" x14ac:dyDescent="0.25">
      <c r="A1064" s="18" t="s">
        <v>183</v>
      </c>
      <c r="B1064" s="18" t="s">
        <v>4</v>
      </c>
      <c r="C1064" s="5">
        <v>1823</v>
      </c>
      <c r="E1064" s="1" t="s">
        <v>2</v>
      </c>
      <c r="F1064" s="18">
        <v>2173</v>
      </c>
      <c r="G1064" s="18">
        <v>77</v>
      </c>
      <c r="H1064" s="5">
        <v>147</v>
      </c>
      <c r="I1064" s="1">
        <v>97</v>
      </c>
      <c r="J1064" s="1">
        <v>206</v>
      </c>
      <c r="L1064" t="str">
        <f t="shared" si="16"/>
        <v>http://www.badatelna.eu/reprodukce/?fondId=1073&amp;zaznamId=1108959&amp;reproId=3780070</v>
      </c>
      <c r="M1064">
        <f>VLOOKUP(F1064,Sheet2!$B$1:$E$19,2,FALSE)</f>
        <v>1073</v>
      </c>
      <c r="N1064">
        <f>VLOOKUP(F1064,Sheet2!$B$1:$E$19,3,FALSE)</f>
        <v>1108959</v>
      </c>
      <c r="O1064">
        <f>IF(G1064="Not available","",VLOOKUP(F1064,Sheet2!$B$1:$E$19,4,FALSE)+(G1064-1))</f>
        <v>3780070</v>
      </c>
    </row>
    <row r="1065" spans="1:15" s="1" customFormat="1" ht="15" customHeight="1" x14ac:dyDescent="0.25">
      <c r="A1065" s="18" t="s">
        <v>183</v>
      </c>
      <c r="B1065" s="18" t="s">
        <v>2027</v>
      </c>
      <c r="C1065" s="6" t="s">
        <v>1987</v>
      </c>
      <c r="D1065" s="4" t="s">
        <v>2171</v>
      </c>
      <c r="E1065" s="4" t="s">
        <v>2</v>
      </c>
      <c r="F1065" s="18">
        <v>2176</v>
      </c>
      <c r="G1065" s="18" t="s">
        <v>3271</v>
      </c>
      <c r="H1065" s="6" t="s">
        <v>2088</v>
      </c>
      <c r="I1065" s="1">
        <v>12</v>
      </c>
      <c r="J1065" s="1" t="s">
        <v>3271</v>
      </c>
      <c r="L1065" t="str">
        <f t="shared" si="16"/>
        <v/>
      </c>
      <c r="M1065">
        <f>VLOOKUP(F1065,Sheet2!$B$1:$E$19,2,FALSE)</f>
        <v>1073</v>
      </c>
      <c r="N1065">
        <f>VLOOKUP(F1065,Sheet2!$B$1:$E$19,3,FALSE)</f>
        <v>1108963</v>
      </c>
      <c r="O1065" t="str">
        <f>IF(G1065="Not available","",VLOOKUP(F1065,Sheet2!$B$1:$E$19,4,FALSE)+(G1065-1))</f>
        <v/>
      </c>
    </row>
    <row r="1066" spans="1:15" s="1" customFormat="1" ht="15" customHeight="1" x14ac:dyDescent="0.25">
      <c r="A1066" s="18" t="s">
        <v>183</v>
      </c>
      <c r="B1066" s="18" t="s">
        <v>25</v>
      </c>
      <c r="C1066" s="5">
        <v>1835</v>
      </c>
      <c r="D1066" s="1" t="s">
        <v>536</v>
      </c>
      <c r="E1066" s="1" t="s">
        <v>2</v>
      </c>
      <c r="F1066" s="18">
        <v>2174</v>
      </c>
      <c r="G1066" s="18">
        <v>83</v>
      </c>
      <c r="H1066" s="6" t="s">
        <v>3147</v>
      </c>
      <c r="I1066" s="1">
        <v>185</v>
      </c>
      <c r="J1066" s="1">
        <v>212</v>
      </c>
      <c r="L1066" t="str">
        <f t="shared" si="16"/>
        <v>http://www.badatelna.eu/reprodukce/?fondId=1073&amp;zaznamId=1108960&amp;reproId=3780307</v>
      </c>
      <c r="M1066">
        <f>VLOOKUP(F1066,Sheet2!$B$1:$E$19,2,FALSE)</f>
        <v>1073</v>
      </c>
      <c r="N1066">
        <f>VLOOKUP(F1066,Sheet2!$B$1:$E$19,3,FALSE)</f>
        <v>1108960</v>
      </c>
      <c r="O1066">
        <f>IF(G1066="Not available","",VLOOKUP(F1066,Sheet2!$B$1:$E$19,4,FALSE)+(G1066-1))</f>
        <v>3780307</v>
      </c>
    </row>
    <row r="1067" spans="1:15" s="1" customFormat="1" ht="15" customHeight="1" x14ac:dyDescent="0.25">
      <c r="A1067" s="18" t="s">
        <v>183</v>
      </c>
      <c r="B1067" s="18" t="s">
        <v>432</v>
      </c>
      <c r="C1067" s="5">
        <v>1864</v>
      </c>
      <c r="E1067" s="1" t="s">
        <v>939</v>
      </c>
      <c r="F1067" s="18">
        <v>999</v>
      </c>
      <c r="G1067" s="18">
        <v>45</v>
      </c>
      <c r="H1067" s="5">
        <v>43</v>
      </c>
      <c r="I1067" s="1">
        <v>66</v>
      </c>
      <c r="J1067" s="1">
        <v>100</v>
      </c>
      <c r="L1067" t="str">
        <f t="shared" si="16"/>
        <v>http://www.badatelna.eu/reprodukce/?fondId=241&amp;zaznamId=1133739&amp;reproId=3885774</v>
      </c>
      <c r="M1067">
        <f>VLOOKUP(F1067,Sheet2!$B$1:$E$19,2,FALSE)</f>
        <v>241</v>
      </c>
      <c r="N1067">
        <f>VLOOKUP(F1067,Sheet2!$B$1:$E$19,3,FALSE)</f>
        <v>1133739</v>
      </c>
      <c r="O1067">
        <f>IF(G1067="Not available","",VLOOKUP(F1067,Sheet2!$B$1:$E$19,4,FALSE)+(G1067-1))</f>
        <v>3885774</v>
      </c>
    </row>
    <row r="1068" spans="1:15" s="1" customFormat="1" ht="15" customHeight="1" x14ac:dyDescent="0.25">
      <c r="A1068" s="18" t="s">
        <v>183</v>
      </c>
      <c r="B1068" s="18" t="s">
        <v>103</v>
      </c>
      <c r="C1068" s="5">
        <v>1801</v>
      </c>
      <c r="E1068" s="1" t="s">
        <v>2</v>
      </c>
      <c r="F1068" s="18">
        <v>2173</v>
      </c>
      <c r="G1068" s="18">
        <v>43</v>
      </c>
      <c r="H1068" s="5">
        <v>80</v>
      </c>
      <c r="I1068" s="1">
        <v>96</v>
      </c>
      <c r="J1068" s="1">
        <v>201</v>
      </c>
      <c r="L1068" t="str">
        <f t="shared" si="16"/>
        <v>http://www.badatelna.eu/reprodukce/?fondId=1073&amp;zaznamId=1108959&amp;reproId=3780036</v>
      </c>
      <c r="M1068">
        <f>VLOOKUP(F1068,Sheet2!$B$1:$E$19,2,FALSE)</f>
        <v>1073</v>
      </c>
      <c r="N1068">
        <f>VLOOKUP(F1068,Sheet2!$B$1:$E$19,3,FALSE)</f>
        <v>1108959</v>
      </c>
      <c r="O1068">
        <f>IF(G1068="Not available","",VLOOKUP(F1068,Sheet2!$B$1:$E$19,4,FALSE)+(G1068-1))</f>
        <v>3780036</v>
      </c>
    </row>
    <row r="1069" spans="1:15" s="1" customFormat="1" ht="15" customHeight="1" x14ac:dyDescent="0.25">
      <c r="A1069" s="18" t="s">
        <v>183</v>
      </c>
      <c r="B1069" s="18" t="s">
        <v>145</v>
      </c>
      <c r="C1069" s="5">
        <v>1832</v>
      </c>
      <c r="D1069" s="1" t="s">
        <v>536</v>
      </c>
      <c r="E1069" s="1" t="s">
        <v>2</v>
      </c>
      <c r="F1069" s="18">
        <v>2174</v>
      </c>
      <c r="G1069" s="18">
        <v>66</v>
      </c>
      <c r="H1069" s="6" t="s">
        <v>3133</v>
      </c>
      <c r="I1069" s="1">
        <v>185</v>
      </c>
      <c r="J1069" s="1">
        <v>212</v>
      </c>
      <c r="L1069" t="str">
        <f t="shared" si="16"/>
        <v>http://www.badatelna.eu/reprodukce/?fondId=1073&amp;zaznamId=1108960&amp;reproId=3780290</v>
      </c>
      <c r="M1069">
        <f>VLOOKUP(F1069,Sheet2!$B$1:$E$19,2,FALSE)</f>
        <v>1073</v>
      </c>
      <c r="N1069">
        <f>VLOOKUP(F1069,Sheet2!$B$1:$E$19,3,FALSE)</f>
        <v>1108960</v>
      </c>
      <c r="O1069">
        <f>IF(G1069="Not available","",VLOOKUP(F1069,Sheet2!$B$1:$E$19,4,FALSE)+(G1069-1))</f>
        <v>3780290</v>
      </c>
    </row>
    <row r="1070" spans="1:15" s="1" customFormat="1" ht="15" customHeight="1" x14ac:dyDescent="0.25">
      <c r="A1070" s="18" t="s">
        <v>183</v>
      </c>
      <c r="B1070" s="18" t="s">
        <v>145</v>
      </c>
      <c r="C1070" s="5">
        <v>1854</v>
      </c>
      <c r="D1070" s="1" t="s">
        <v>700</v>
      </c>
      <c r="E1070" s="1" t="s">
        <v>2</v>
      </c>
      <c r="F1070" s="18">
        <v>2164</v>
      </c>
      <c r="G1070" s="18">
        <v>96</v>
      </c>
      <c r="H1070" s="5">
        <v>94</v>
      </c>
      <c r="I1070" s="1">
        <v>127</v>
      </c>
      <c r="J1070" s="1" t="s">
        <v>3271</v>
      </c>
      <c r="L1070" t="str">
        <f t="shared" si="16"/>
        <v>http://www.badatelna.eu/reprodukce/?fondId=1073&amp;zaznamId=1108951&amp;reproId=3778810</v>
      </c>
      <c r="M1070">
        <f>VLOOKUP(F1070,Sheet2!$B$1:$E$19,2,FALSE)</f>
        <v>1073</v>
      </c>
      <c r="N1070">
        <f>VLOOKUP(F1070,Sheet2!$B$1:$E$19,3,FALSE)</f>
        <v>1108951</v>
      </c>
      <c r="O1070">
        <f>IF(G1070="Not available","",VLOOKUP(F1070,Sheet2!$B$1:$E$19,4,FALSE)+(G1070-1))</f>
        <v>3778810</v>
      </c>
    </row>
    <row r="1071" spans="1:15" s="1" customFormat="1" ht="15" customHeight="1" x14ac:dyDescent="0.25">
      <c r="A1071" s="18" t="s">
        <v>183</v>
      </c>
      <c r="B1071" s="18" t="s">
        <v>545</v>
      </c>
      <c r="C1071" s="5">
        <v>1833</v>
      </c>
      <c r="D1071" s="1" t="s">
        <v>536</v>
      </c>
      <c r="E1071" s="1" t="s">
        <v>2</v>
      </c>
      <c r="F1071" s="18">
        <v>2174</v>
      </c>
      <c r="G1071" s="18">
        <v>73</v>
      </c>
      <c r="H1071" s="6" t="s">
        <v>3138</v>
      </c>
      <c r="I1071" s="1">
        <v>185</v>
      </c>
      <c r="J1071" s="1">
        <v>212</v>
      </c>
      <c r="L1071" t="str">
        <f t="shared" si="16"/>
        <v>http://www.badatelna.eu/reprodukce/?fondId=1073&amp;zaznamId=1108960&amp;reproId=3780297</v>
      </c>
      <c r="M1071">
        <f>VLOOKUP(F1071,Sheet2!$B$1:$E$19,2,FALSE)</f>
        <v>1073</v>
      </c>
      <c r="N1071">
        <f>VLOOKUP(F1071,Sheet2!$B$1:$E$19,3,FALSE)</f>
        <v>1108960</v>
      </c>
      <c r="O1071">
        <f>IF(G1071="Not available","",VLOOKUP(F1071,Sheet2!$B$1:$E$19,4,FALSE)+(G1071-1))</f>
        <v>3780297</v>
      </c>
    </row>
    <row r="1072" spans="1:15" s="1" customFormat="1" ht="15" customHeight="1" x14ac:dyDescent="0.25">
      <c r="A1072" s="19" t="s">
        <v>3126</v>
      </c>
      <c r="B1072" s="18" t="s">
        <v>1944</v>
      </c>
      <c r="C1072" s="10" t="s">
        <v>2005</v>
      </c>
      <c r="D1072" s="3" t="s">
        <v>2182</v>
      </c>
      <c r="E1072" s="4" t="s">
        <v>2</v>
      </c>
      <c r="F1072" s="18">
        <v>2176</v>
      </c>
      <c r="G1072" s="18" t="s">
        <v>3271</v>
      </c>
      <c r="H1072" s="10" t="s">
        <v>2088</v>
      </c>
      <c r="I1072" s="1">
        <v>12</v>
      </c>
      <c r="J1072" s="3" t="s">
        <v>3271</v>
      </c>
      <c r="L1072" t="str">
        <f t="shared" si="16"/>
        <v/>
      </c>
      <c r="M1072">
        <f>VLOOKUP(F1072,Sheet2!$B$1:$E$19,2,FALSE)</f>
        <v>1073</v>
      </c>
      <c r="N1072">
        <f>VLOOKUP(F1072,Sheet2!$B$1:$E$19,3,FALSE)</f>
        <v>1108963</v>
      </c>
      <c r="O1072" t="str">
        <f>IF(G1072="Not available","",VLOOKUP(F1072,Sheet2!$B$1:$E$19,4,FALSE)+(G1072-1))</f>
        <v/>
      </c>
    </row>
    <row r="1073" spans="1:15" s="1" customFormat="1" ht="15" customHeight="1" x14ac:dyDescent="0.25">
      <c r="A1073" s="18" t="s">
        <v>176</v>
      </c>
      <c r="B1073" s="18" t="s">
        <v>50</v>
      </c>
      <c r="C1073" s="5">
        <v>1810</v>
      </c>
      <c r="E1073" s="1" t="s">
        <v>2</v>
      </c>
      <c r="F1073" s="18">
        <v>2173</v>
      </c>
      <c r="G1073" s="18">
        <v>57</v>
      </c>
      <c r="H1073" s="5">
        <v>108</v>
      </c>
      <c r="I1073" s="1">
        <v>96</v>
      </c>
      <c r="J1073" s="1">
        <v>205</v>
      </c>
      <c r="L1073" t="str">
        <f t="shared" si="16"/>
        <v>http://www.badatelna.eu/reprodukce/?fondId=1073&amp;zaznamId=1108959&amp;reproId=3780050</v>
      </c>
      <c r="M1073">
        <f>VLOOKUP(F1073,Sheet2!$B$1:$E$19,2,FALSE)</f>
        <v>1073</v>
      </c>
      <c r="N1073">
        <f>VLOOKUP(F1073,Sheet2!$B$1:$E$19,3,FALSE)</f>
        <v>1108959</v>
      </c>
      <c r="O1073">
        <f>IF(G1073="Not available","",VLOOKUP(F1073,Sheet2!$B$1:$E$19,4,FALSE)+(G1073-1))</f>
        <v>3780050</v>
      </c>
    </row>
    <row r="1074" spans="1:15" s="1" customFormat="1" ht="15" customHeight="1" x14ac:dyDescent="0.25">
      <c r="A1074" s="18" t="s">
        <v>176</v>
      </c>
      <c r="B1074" s="18" t="s">
        <v>92</v>
      </c>
      <c r="C1074" s="5">
        <v>1804</v>
      </c>
      <c r="E1074" s="1" t="s">
        <v>2</v>
      </c>
      <c r="F1074" s="18">
        <v>2173</v>
      </c>
      <c r="G1074" s="18">
        <v>49</v>
      </c>
      <c r="H1074" s="5">
        <v>92</v>
      </c>
      <c r="I1074" s="1">
        <v>96</v>
      </c>
      <c r="J1074" s="1">
        <v>205</v>
      </c>
      <c r="L1074" t="str">
        <f t="shared" si="16"/>
        <v>http://www.badatelna.eu/reprodukce/?fondId=1073&amp;zaznamId=1108959&amp;reproId=3780042</v>
      </c>
      <c r="M1074">
        <f>VLOOKUP(F1074,Sheet2!$B$1:$E$19,2,FALSE)</f>
        <v>1073</v>
      </c>
      <c r="N1074">
        <f>VLOOKUP(F1074,Sheet2!$B$1:$E$19,3,FALSE)</f>
        <v>1108959</v>
      </c>
      <c r="O1074">
        <f>IF(G1074="Not available","",VLOOKUP(F1074,Sheet2!$B$1:$E$19,4,FALSE)+(G1074-1))</f>
        <v>3780042</v>
      </c>
    </row>
    <row r="1075" spans="1:15" s="1" customFormat="1" ht="15" customHeight="1" x14ac:dyDescent="0.25">
      <c r="A1075" s="18" t="s">
        <v>176</v>
      </c>
      <c r="B1075" s="18" t="s">
        <v>16</v>
      </c>
      <c r="C1075" s="5">
        <v>1816</v>
      </c>
      <c r="E1075" s="1" t="s">
        <v>2</v>
      </c>
      <c r="F1075" s="18">
        <v>2173</v>
      </c>
      <c r="G1075" s="18">
        <v>66</v>
      </c>
      <c r="H1075" s="5">
        <v>126</v>
      </c>
      <c r="I1075" s="1">
        <v>97</v>
      </c>
      <c r="J1075" s="1">
        <v>206</v>
      </c>
      <c r="L1075" t="str">
        <f t="shared" si="16"/>
        <v>http://www.badatelna.eu/reprodukce/?fondId=1073&amp;zaznamId=1108959&amp;reproId=3780059</v>
      </c>
      <c r="M1075">
        <f>VLOOKUP(F1075,Sheet2!$B$1:$E$19,2,FALSE)</f>
        <v>1073</v>
      </c>
      <c r="N1075">
        <f>VLOOKUP(F1075,Sheet2!$B$1:$E$19,3,FALSE)</f>
        <v>1108959</v>
      </c>
      <c r="O1075">
        <f>IF(G1075="Not available","",VLOOKUP(F1075,Sheet2!$B$1:$E$19,4,FALSE)+(G1075-1))</f>
        <v>3780059</v>
      </c>
    </row>
    <row r="1076" spans="1:15" s="1" customFormat="1" ht="15" customHeight="1" x14ac:dyDescent="0.25">
      <c r="A1076" s="18" t="s">
        <v>176</v>
      </c>
      <c r="B1076" s="18" t="s">
        <v>4</v>
      </c>
      <c r="C1076" s="5">
        <v>1807</v>
      </c>
      <c r="E1076" s="1" t="s">
        <v>2</v>
      </c>
      <c r="F1076" s="18">
        <v>2173</v>
      </c>
      <c r="G1076" s="18">
        <v>52</v>
      </c>
      <c r="H1076" s="5">
        <v>98</v>
      </c>
      <c r="I1076" s="1">
        <v>96</v>
      </c>
      <c r="J1076" s="1">
        <v>205</v>
      </c>
      <c r="L1076" t="str">
        <f t="shared" si="16"/>
        <v>http://www.badatelna.eu/reprodukce/?fondId=1073&amp;zaznamId=1108959&amp;reproId=3780045</v>
      </c>
      <c r="M1076">
        <f>VLOOKUP(F1076,Sheet2!$B$1:$E$19,2,FALSE)</f>
        <v>1073</v>
      </c>
      <c r="N1076">
        <f>VLOOKUP(F1076,Sheet2!$B$1:$E$19,3,FALSE)</f>
        <v>1108959</v>
      </c>
      <c r="O1076">
        <f>IF(G1076="Not available","",VLOOKUP(F1076,Sheet2!$B$1:$E$19,4,FALSE)+(G1076-1))</f>
        <v>3780045</v>
      </c>
    </row>
    <row r="1077" spans="1:15" s="1" customFormat="1" ht="15" customHeight="1" x14ac:dyDescent="0.25">
      <c r="A1077" s="18" t="s">
        <v>176</v>
      </c>
      <c r="B1077" s="18" t="s">
        <v>187</v>
      </c>
      <c r="C1077" s="5">
        <v>1803</v>
      </c>
      <c r="E1077" s="1" t="s">
        <v>2</v>
      </c>
      <c r="F1077" s="18">
        <v>2173</v>
      </c>
      <c r="G1077" s="18">
        <v>47</v>
      </c>
      <c r="H1077" s="5">
        <v>88</v>
      </c>
      <c r="I1077" s="1">
        <v>96</v>
      </c>
      <c r="J1077" s="1">
        <v>205</v>
      </c>
      <c r="L1077" t="str">
        <f t="shared" si="16"/>
        <v>http://www.badatelna.eu/reprodukce/?fondId=1073&amp;zaznamId=1108959&amp;reproId=3780040</v>
      </c>
      <c r="M1077">
        <f>VLOOKUP(F1077,Sheet2!$B$1:$E$19,2,FALSE)</f>
        <v>1073</v>
      </c>
      <c r="N1077">
        <f>VLOOKUP(F1077,Sheet2!$B$1:$E$19,3,FALSE)</f>
        <v>1108959</v>
      </c>
      <c r="O1077">
        <f>IF(G1077="Not available","",VLOOKUP(F1077,Sheet2!$B$1:$E$19,4,FALSE)+(G1077-1))</f>
        <v>3780040</v>
      </c>
    </row>
    <row r="1078" spans="1:15" s="1" customFormat="1" ht="15" customHeight="1" x14ac:dyDescent="0.25">
      <c r="A1078" s="18" t="s">
        <v>176</v>
      </c>
      <c r="B1078" s="19" t="s">
        <v>2929</v>
      </c>
      <c r="C1078" s="5">
        <v>1812</v>
      </c>
      <c r="E1078" s="1" t="s">
        <v>2</v>
      </c>
      <c r="F1078" s="18">
        <v>2173</v>
      </c>
      <c r="G1078" s="18">
        <v>59</v>
      </c>
      <c r="H1078" s="5">
        <v>113</v>
      </c>
      <c r="I1078" s="1">
        <v>96</v>
      </c>
      <c r="J1078" s="1">
        <v>205</v>
      </c>
      <c r="L1078" t="str">
        <f t="shared" si="16"/>
        <v>http://www.badatelna.eu/reprodukce/?fondId=1073&amp;zaznamId=1108959&amp;reproId=3780052</v>
      </c>
      <c r="M1078">
        <f>VLOOKUP(F1078,Sheet2!$B$1:$E$19,2,FALSE)</f>
        <v>1073</v>
      </c>
      <c r="N1078">
        <f>VLOOKUP(F1078,Sheet2!$B$1:$E$19,3,FALSE)</f>
        <v>1108959</v>
      </c>
      <c r="O1078">
        <f>IF(G1078="Not available","",VLOOKUP(F1078,Sheet2!$B$1:$E$19,4,FALSE)+(G1078-1))</f>
        <v>3780052</v>
      </c>
    </row>
    <row r="1079" spans="1:15" s="1" customFormat="1" ht="15" customHeight="1" x14ac:dyDescent="0.25">
      <c r="A1079" s="18" t="s">
        <v>176</v>
      </c>
      <c r="B1079" s="18" t="s">
        <v>25</v>
      </c>
      <c r="C1079" s="5">
        <v>1802</v>
      </c>
      <c r="E1079" s="1" t="s">
        <v>2</v>
      </c>
      <c r="F1079" s="18">
        <v>2173</v>
      </c>
      <c r="G1079" s="18">
        <v>45</v>
      </c>
      <c r="H1079" s="5">
        <v>85</v>
      </c>
      <c r="I1079" s="1">
        <v>96</v>
      </c>
      <c r="J1079" s="1">
        <v>205</v>
      </c>
      <c r="L1079" t="str">
        <f t="shared" si="16"/>
        <v>http://www.badatelna.eu/reprodukce/?fondId=1073&amp;zaznamId=1108959&amp;reproId=3780038</v>
      </c>
      <c r="M1079">
        <f>VLOOKUP(F1079,Sheet2!$B$1:$E$19,2,FALSE)</f>
        <v>1073</v>
      </c>
      <c r="N1079">
        <f>VLOOKUP(F1079,Sheet2!$B$1:$E$19,3,FALSE)</f>
        <v>1108959</v>
      </c>
      <c r="O1079">
        <f>IF(G1079="Not available","",VLOOKUP(F1079,Sheet2!$B$1:$E$19,4,FALSE)+(G1079-1))</f>
        <v>3780038</v>
      </c>
    </row>
    <row r="1080" spans="1:15" s="1" customFormat="1" ht="15" customHeight="1" x14ac:dyDescent="0.25">
      <c r="A1080" s="18" t="s">
        <v>176</v>
      </c>
      <c r="B1080" s="18" t="s">
        <v>177</v>
      </c>
      <c r="C1080" s="5">
        <v>1787</v>
      </c>
      <c r="D1080" s="1" t="s">
        <v>13</v>
      </c>
      <c r="E1080" s="1" t="s">
        <v>2</v>
      </c>
      <c r="F1080" s="18">
        <v>2173</v>
      </c>
      <c r="G1080" s="18">
        <v>13</v>
      </c>
      <c r="H1080" s="5">
        <v>21</v>
      </c>
      <c r="I1080" s="1">
        <v>96</v>
      </c>
      <c r="J1080" s="1">
        <v>201</v>
      </c>
      <c r="L1080" t="str">
        <f t="shared" si="16"/>
        <v>http://www.badatelna.eu/reprodukce/?fondId=1073&amp;zaznamId=1108959&amp;reproId=3780006</v>
      </c>
      <c r="M1080">
        <f>VLOOKUP(F1080,Sheet2!$B$1:$E$19,2,FALSE)</f>
        <v>1073</v>
      </c>
      <c r="N1080">
        <f>VLOOKUP(F1080,Sheet2!$B$1:$E$19,3,FALSE)</f>
        <v>1108959</v>
      </c>
      <c r="O1080">
        <f>IF(G1080="Not available","",VLOOKUP(F1080,Sheet2!$B$1:$E$19,4,FALSE)+(G1080-1))</f>
        <v>3780006</v>
      </c>
    </row>
    <row r="1081" spans="1:15" s="1" customFormat="1" ht="15" customHeight="1" x14ac:dyDescent="0.25">
      <c r="A1081" s="18" t="s">
        <v>176</v>
      </c>
      <c r="B1081" s="18" t="s">
        <v>58</v>
      </c>
      <c r="C1081" s="5">
        <v>1803</v>
      </c>
      <c r="E1081" s="1" t="s">
        <v>2</v>
      </c>
      <c r="F1081" s="18">
        <v>2173</v>
      </c>
      <c r="G1081" s="18">
        <v>47</v>
      </c>
      <c r="H1081" s="5">
        <v>88</v>
      </c>
      <c r="I1081" s="1">
        <v>96</v>
      </c>
      <c r="J1081" s="1">
        <v>205</v>
      </c>
      <c r="L1081" t="str">
        <f t="shared" si="16"/>
        <v>http://www.badatelna.eu/reprodukce/?fondId=1073&amp;zaznamId=1108959&amp;reproId=3780040</v>
      </c>
      <c r="M1081">
        <f>VLOOKUP(F1081,Sheet2!$B$1:$E$19,2,FALSE)</f>
        <v>1073</v>
      </c>
      <c r="N1081">
        <f>VLOOKUP(F1081,Sheet2!$B$1:$E$19,3,FALSE)</f>
        <v>1108959</v>
      </c>
      <c r="O1081">
        <f>IF(G1081="Not available","",VLOOKUP(F1081,Sheet2!$B$1:$E$19,4,FALSE)+(G1081-1))</f>
        <v>3780040</v>
      </c>
    </row>
    <row r="1082" spans="1:15" s="1" customFormat="1" ht="15" customHeight="1" x14ac:dyDescent="0.25">
      <c r="A1082" s="18" t="s">
        <v>184</v>
      </c>
      <c r="B1082" s="18" t="s">
        <v>9</v>
      </c>
      <c r="C1082" s="5">
        <v>1793</v>
      </c>
      <c r="D1082" s="1" t="s">
        <v>4</v>
      </c>
      <c r="E1082" s="1" t="s">
        <v>2</v>
      </c>
      <c r="F1082" s="18">
        <v>2173</v>
      </c>
      <c r="G1082" s="18">
        <v>30</v>
      </c>
      <c r="H1082" s="5">
        <v>54</v>
      </c>
      <c r="I1082" s="1">
        <v>96</v>
      </c>
      <c r="J1082" s="1">
        <v>201</v>
      </c>
      <c r="L1082" t="str">
        <f t="shared" si="16"/>
        <v>http://www.badatelna.eu/reprodukce/?fondId=1073&amp;zaznamId=1108959&amp;reproId=3780023</v>
      </c>
      <c r="M1082">
        <f>VLOOKUP(F1082,Sheet2!$B$1:$E$19,2,FALSE)</f>
        <v>1073</v>
      </c>
      <c r="N1082">
        <f>VLOOKUP(F1082,Sheet2!$B$1:$E$19,3,FALSE)</f>
        <v>1108959</v>
      </c>
      <c r="O1082">
        <f>IF(G1082="Not available","",VLOOKUP(F1082,Sheet2!$B$1:$E$19,4,FALSE)+(G1082-1))</f>
        <v>3780023</v>
      </c>
    </row>
    <row r="1083" spans="1:15" s="1" customFormat="1" ht="15" customHeight="1" x14ac:dyDescent="0.25">
      <c r="A1083" s="18" t="s">
        <v>1229</v>
      </c>
      <c r="B1083" s="18" t="s">
        <v>92</v>
      </c>
      <c r="C1083" s="10" t="s">
        <v>2087</v>
      </c>
      <c r="D1083" s="3" t="s">
        <v>2238</v>
      </c>
      <c r="E1083" s="4" t="s">
        <v>2</v>
      </c>
      <c r="F1083" s="18">
        <v>2176</v>
      </c>
      <c r="G1083" s="18" t="s">
        <v>3271</v>
      </c>
      <c r="H1083" s="10" t="s">
        <v>2080</v>
      </c>
      <c r="I1083" s="3">
        <v>14</v>
      </c>
      <c r="J1083" s="3" t="s">
        <v>3271</v>
      </c>
      <c r="K1083" s="3"/>
      <c r="L1083" t="str">
        <f t="shared" si="16"/>
        <v/>
      </c>
      <c r="M1083">
        <f>VLOOKUP(F1083,Sheet2!$B$1:$E$19,2,FALSE)</f>
        <v>1073</v>
      </c>
      <c r="N1083">
        <f>VLOOKUP(F1083,Sheet2!$B$1:$E$19,3,FALSE)</f>
        <v>1108963</v>
      </c>
      <c r="O1083" t="str">
        <f>IF(G1083="Not available","",VLOOKUP(F1083,Sheet2!$B$1:$E$19,4,FALSE)+(G1083-1))</f>
        <v/>
      </c>
    </row>
    <row r="1084" spans="1:15" s="1" customFormat="1" ht="15" customHeight="1" x14ac:dyDescent="0.25">
      <c r="A1084" s="18" t="s">
        <v>1229</v>
      </c>
      <c r="B1084" s="18" t="s">
        <v>92</v>
      </c>
      <c r="C1084" s="5" t="s">
        <v>1864</v>
      </c>
      <c r="D1084" s="1" t="s">
        <v>1115</v>
      </c>
      <c r="E1084" s="1" t="s">
        <v>2</v>
      </c>
      <c r="F1084" s="18">
        <v>2165</v>
      </c>
      <c r="G1084" s="18">
        <v>262</v>
      </c>
      <c r="H1084" s="5">
        <v>3</v>
      </c>
      <c r="I1084" s="1">
        <v>265</v>
      </c>
      <c r="J1084" s="1">
        <v>239</v>
      </c>
      <c r="L1084" t="str">
        <f t="shared" si="16"/>
        <v>http://www.badatelna.eu/reprodukce/?fondId=1073&amp;zaznamId=1108952&amp;reproId=3779123</v>
      </c>
      <c r="M1084">
        <f>VLOOKUP(F1084,Sheet2!$B$1:$E$19,2,FALSE)</f>
        <v>1073</v>
      </c>
      <c r="N1084">
        <f>VLOOKUP(F1084,Sheet2!$B$1:$E$19,3,FALSE)</f>
        <v>1108952</v>
      </c>
      <c r="O1084">
        <f>IF(G1084="Not available","",VLOOKUP(F1084,Sheet2!$B$1:$E$19,4,FALSE)+(G1084-1))</f>
        <v>3779123</v>
      </c>
    </row>
    <row r="1085" spans="1:15" s="1" customFormat="1" ht="15" customHeight="1" x14ac:dyDescent="0.25">
      <c r="A1085" s="18" t="s">
        <v>1229</v>
      </c>
      <c r="B1085" s="18" t="s">
        <v>432</v>
      </c>
      <c r="C1085" s="10" t="s">
        <v>2093</v>
      </c>
      <c r="D1085" s="3" t="s">
        <v>2238</v>
      </c>
      <c r="E1085" s="4" t="s">
        <v>2</v>
      </c>
      <c r="F1085" s="18">
        <v>2176</v>
      </c>
      <c r="G1085" s="18" t="s">
        <v>3271</v>
      </c>
      <c r="H1085" s="10" t="s">
        <v>1954</v>
      </c>
      <c r="I1085" s="3">
        <v>14</v>
      </c>
      <c r="J1085" s="3" t="s">
        <v>3271</v>
      </c>
      <c r="K1085" s="3"/>
      <c r="L1085" t="str">
        <f t="shared" si="16"/>
        <v/>
      </c>
      <c r="M1085">
        <f>VLOOKUP(F1085,Sheet2!$B$1:$E$19,2,FALSE)</f>
        <v>1073</v>
      </c>
      <c r="N1085">
        <f>VLOOKUP(F1085,Sheet2!$B$1:$E$19,3,FALSE)</f>
        <v>1108963</v>
      </c>
      <c r="O1085" t="str">
        <f>IF(G1085="Not available","",VLOOKUP(F1085,Sheet2!$B$1:$E$19,4,FALSE)+(G1085-1))</f>
        <v/>
      </c>
    </row>
    <row r="1086" spans="1:15" s="1" customFormat="1" ht="15" customHeight="1" x14ac:dyDescent="0.25">
      <c r="A1086" s="18" t="s">
        <v>1229</v>
      </c>
      <c r="B1086" s="18" t="s">
        <v>432</v>
      </c>
      <c r="C1086" s="5" t="s">
        <v>1906</v>
      </c>
      <c r="D1086" s="1" t="s">
        <v>1115</v>
      </c>
      <c r="E1086" s="1" t="s">
        <v>2</v>
      </c>
      <c r="F1086" s="18">
        <v>2165</v>
      </c>
      <c r="G1086" s="18">
        <v>275</v>
      </c>
      <c r="H1086" s="5">
        <v>1</v>
      </c>
      <c r="I1086" s="1">
        <v>278</v>
      </c>
      <c r="J1086" s="1">
        <v>252</v>
      </c>
      <c r="L1086" t="str">
        <f t="shared" si="16"/>
        <v>http://www.badatelna.eu/reprodukce/?fondId=1073&amp;zaznamId=1108952&amp;reproId=3779136</v>
      </c>
      <c r="M1086">
        <f>VLOOKUP(F1086,Sheet2!$B$1:$E$19,2,FALSE)</f>
        <v>1073</v>
      </c>
      <c r="N1086">
        <f>VLOOKUP(F1086,Sheet2!$B$1:$E$19,3,FALSE)</f>
        <v>1108952</v>
      </c>
      <c r="O1086">
        <f>IF(G1086="Not available","",VLOOKUP(F1086,Sheet2!$B$1:$E$19,4,FALSE)+(G1086-1))</f>
        <v>3779136</v>
      </c>
    </row>
    <row r="1087" spans="1:15" s="1" customFormat="1" ht="15" customHeight="1" x14ac:dyDescent="0.25">
      <c r="A1087" s="18" t="s">
        <v>1018</v>
      </c>
      <c r="B1087" s="18" t="s">
        <v>1222</v>
      </c>
      <c r="C1087" s="5" t="s">
        <v>1839</v>
      </c>
      <c r="D1087" s="1" t="s">
        <v>477</v>
      </c>
      <c r="E1087" s="1" t="s">
        <v>2</v>
      </c>
      <c r="F1087" s="18">
        <v>2165</v>
      </c>
      <c r="G1087" s="18">
        <v>257</v>
      </c>
      <c r="H1087" s="5">
        <v>4</v>
      </c>
      <c r="I1087" s="1">
        <v>252</v>
      </c>
      <c r="J1087" s="1">
        <v>228</v>
      </c>
      <c r="L1087" t="str">
        <f t="shared" si="16"/>
        <v>http://www.badatelna.eu/reprodukce/?fondId=1073&amp;zaznamId=1108952&amp;reproId=3779118</v>
      </c>
      <c r="M1087">
        <f>VLOOKUP(F1087,Sheet2!$B$1:$E$19,2,FALSE)</f>
        <v>1073</v>
      </c>
      <c r="N1087">
        <f>VLOOKUP(F1087,Sheet2!$B$1:$E$19,3,FALSE)</f>
        <v>1108952</v>
      </c>
      <c r="O1087">
        <f>IF(G1087="Not available","",VLOOKUP(F1087,Sheet2!$B$1:$E$19,4,FALSE)+(G1087-1))</f>
        <v>3779118</v>
      </c>
    </row>
    <row r="1088" spans="1:15" s="1" customFormat="1" ht="15" customHeight="1" x14ac:dyDescent="0.25">
      <c r="A1088" s="18" t="s">
        <v>1018</v>
      </c>
      <c r="B1088" s="18" t="s">
        <v>2236</v>
      </c>
      <c r="C1088" s="10" t="s">
        <v>1952</v>
      </c>
      <c r="D1088" s="3" t="s">
        <v>2163</v>
      </c>
      <c r="E1088" s="4" t="s">
        <v>2</v>
      </c>
      <c r="F1088" s="18">
        <v>2176</v>
      </c>
      <c r="G1088" s="18" t="s">
        <v>3271</v>
      </c>
      <c r="H1088" s="10" t="s">
        <v>2035</v>
      </c>
      <c r="I1088" s="3">
        <v>14</v>
      </c>
      <c r="J1088" s="3" t="s">
        <v>3271</v>
      </c>
      <c r="K1088" s="3"/>
      <c r="L1088" t="str">
        <f t="shared" si="16"/>
        <v/>
      </c>
      <c r="M1088">
        <f>VLOOKUP(F1088,Sheet2!$B$1:$E$19,2,FALSE)</f>
        <v>1073</v>
      </c>
      <c r="N1088">
        <f>VLOOKUP(F1088,Sheet2!$B$1:$E$19,3,FALSE)</f>
        <v>1108963</v>
      </c>
      <c r="O1088" t="str">
        <f>IF(G1088="Not available","",VLOOKUP(F1088,Sheet2!$B$1:$E$19,4,FALSE)+(G1088-1))</f>
        <v/>
      </c>
    </row>
    <row r="1089" spans="1:15" s="1" customFormat="1" ht="15" customHeight="1" x14ac:dyDescent="0.25">
      <c r="A1089" s="18" t="s">
        <v>1018</v>
      </c>
      <c r="B1089" s="18" t="s">
        <v>1052</v>
      </c>
      <c r="C1089" s="10" t="s">
        <v>2015</v>
      </c>
      <c r="D1089" s="3" t="s">
        <v>2163</v>
      </c>
      <c r="E1089" s="4" t="s">
        <v>2</v>
      </c>
      <c r="F1089" s="18">
        <v>2176</v>
      </c>
      <c r="G1089" s="18" t="s">
        <v>3271</v>
      </c>
      <c r="H1089" s="10" t="s">
        <v>2094</v>
      </c>
      <c r="I1089" s="1">
        <v>12</v>
      </c>
      <c r="J1089" s="3" t="s">
        <v>3271</v>
      </c>
      <c r="K1089" s="3"/>
      <c r="L1089" t="str">
        <f t="shared" si="16"/>
        <v/>
      </c>
      <c r="M1089">
        <f>VLOOKUP(F1089,Sheet2!$B$1:$E$19,2,FALSE)</f>
        <v>1073</v>
      </c>
      <c r="N1089">
        <f>VLOOKUP(F1089,Sheet2!$B$1:$E$19,3,FALSE)</f>
        <v>1108963</v>
      </c>
      <c r="O1089" t="str">
        <f>IF(G1089="Not available","",VLOOKUP(F1089,Sheet2!$B$1:$E$19,4,FALSE)+(G1089-1))</f>
        <v/>
      </c>
    </row>
    <row r="1090" spans="1:15" s="1" customFormat="1" ht="15" customHeight="1" x14ac:dyDescent="0.25">
      <c r="A1090" s="18" t="s">
        <v>1018</v>
      </c>
      <c r="B1090" s="18" t="s">
        <v>2007</v>
      </c>
      <c r="C1090" s="10" t="s">
        <v>2257</v>
      </c>
      <c r="D1090" s="3" t="s">
        <v>2254</v>
      </c>
      <c r="E1090" s="4" t="s">
        <v>2</v>
      </c>
      <c r="F1090" s="18">
        <v>2176</v>
      </c>
      <c r="G1090" s="18" t="s">
        <v>3271</v>
      </c>
      <c r="H1090" s="10" t="s">
        <v>2037</v>
      </c>
      <c r="I1090" s="3">
        <v>14</v>
      </c>
      <c r="J1090" s="3" t="s">
        <v>3271</v>
      </c>
      <c r="K1090" s="3"/>
      <c r="L1090" t="str">
        <f t="shared" si="16"/>
        <v/>
      </c>
      <c r="M1090">
        <f>VLOOKUP(F1090,Sheet2!$B$1:$E$19,2,FALSE)</f>
        <v>1073</v>
      </c>
      <c r="N1090">
        <f>VLOOKUP(F1090,Sheet2!$B$1:$E$19,3,FALSE)</f>
        <v>1108963</v>
      </c>
      <c r="O1090" t="str">
        <f>IF(G1090="Not available","",VLOOKUP(F1090,Sheet2!$B$1:$E$19,4,FALSE)+(G1090-1))</f>
        <v/>
      </c>
    </row>
    <row r="1091" spans="1:15" s="1" customFormat="1" ht="15" customHeight="1" x14ac:dyDescent="0.25">
      <c r="A1091" s="18" t="s">
        <v>1018</v>
      </c>
      <c r="B1091" s="18" t="s">
        <v>197</v>
      </c>
      <c r="C1091" s="5" t="s">
        <v>1387</v>
      </c>
      <c r="D1091" s="1" t="s">
        <v>477</v>
      </c>
      <c r="E1091" s="1" t="s">
        <v>2</v>
      </c>
      <c r="F1091" s="18">
        <v>2165</v>
      </c>
      <c r="G1091" s="18">
        <v>66</v>
      </c>
      <c r="H1091" s="5">
        <v>63</v>
      </c>
      <c r="I1091" s="1">
        <v>82</v>
      </c>
      <c r="J1091" s="1" t="s">
        <v>3271</v>
      </c>
      <c r="L1091" t="str">
        <f t="shared" ref="L1091:L1154" si="17">IF(G1091="Not available","","http://www.badatelna.eu/reprodukce/?fondId="&amp;M1091&amp;"&amp;zaznamId="&amp;N1091&amp;"&amp;reproId="&amp;O1091)</f>
        <v>http://www.badatelna.eu/reprodukce/?fondId=1073&amp;zaznamId=1108952&amp;reproId=3778927</v>
      </c>
      <c r="M1091">
        <f>VLOOKUP(F1091,Sheet2!$B$1:$E$19,2,FALSE)</f>
        <v>1073</v>
      </c>
      <c r="N1091">
        <f>VLOOKUP(F1091,Sheet2!$B$1:$E$19,3,FALSE)</f>
        <v>1108952</v>
      </c>
      <c r="O1091">
        <f>IF(G1091="Not available","",VLOOKUP(F1091,Sheet2!$B$1:$E$19,4,FALSE)+(G1091-1))</f>
        <v>3778927</v>
      </c>
    </row>
    <row r="1092" spans="1:15" s="1" customFormat="1" ht="15" customHeight="1" x14ac:dyDescent="0.25">
      <c r="A1092" s="18" t="s">
        <v>1018</v>
      </c>
      <c r="B1092" s="18" t="s">
        <v>2027</v>
      </c>
      <c r="C1092" s="6" t="s">
        <v>1969</v>
      </c>
      <c r="D1092" s="4" t="s">
        <v>2163</v>
      </c>
      <c r="E1092" s="4" t="s">
        <v>2</v>
      </c>
      <c r="F1092" s="18">
        <v>2176</v>
      </c>
      <c r="G1092" s="18" t="s">
        <v>3271</v>
      </c>
      <c r="H1092" s="6" t="s">
        <v>2088</v>
      </c>
      <c r="I1092" s="1">
        <v>12</v>
      </c>
      <c r="J1092" s="1" t="s">
        <v>3271</v>
      </c>
      <c r="L1092" t="str">
        <f t="shared" si="17"/>
        <v/>
      </c>
      <c r="M1092">
        <f>VLOOKUP(F1092,Sheet2!$B$1:$E$19,2,FALSE)</f>
        <v>1073</v>
      </c>
      <c r="N1092">
        <f>VLOOKUP(F1092,Sheet2!$B$1:$E$19,3,FALSE)</f>
        <v>1108963</v>
      </c>
      <c r="O1092" t="str">
        <f>IF(G1092="Not available","",VLOOKUP(F1092,Sheet2!$B$1:$E$19,4,FALSE)+(G1092-1))</f>
        <v/>
      </c>
    </row>
    <row r="1093" spans="1:15" s="1" customFormat="1" ht="15" customHeight="1" x14ac:dyDescent="0.25">
      <c r="A1093" s="18" t="s">
        <v>1018</v>
      </c>
      <c r="B1093" s="18" t="s">
        <v>25</v>
      </c>
      <c r="C1093" s="5">
        <v>1882</v>
      </c>
      <c r="D1093" s="1" t="s">
        <v>477</v>
      </c>
      <c r="E1093" s="1" t="s">
        <v>2</v>
      </c>
      <c r="F1093" s="18">
        <v>2165</v>
      </c>
      <c r="G1093" s="18">
        <v>178</v>
      </c>
      <c r="H1093" s="5">
        <v>2</v>
      </c>
      <c r="I1093" s="1">
        <v>182</v>
      </c>
      <c r="J1093" s="1">
        <v>159</v>
      </c>
      <c r="L1093" t="str">
        <f t="shared" si="17"/>
        <v>http://www.badatelna.eu/reprodukce/?fondId=1073&amp;zaznamId=1108952&amp;reproId=3779039</v>
      </c>
      <c r="M1093">
        <f>VLOOKUP(F1093,Sheet2!$B$1:$E$19,2,FALSE)</f>
        <v>1073</v>
      </c>
      <c r="N1093">
        <f>VLOOKUP(F1093,Sheet2!$B$1:$E$19,3,FALSE)</f>
        <v>1108952</v>
      </c>
      <c r="O1093">
        <f>IF(G1093="Not available","",VLOOKUP(F1093,Sheet2!$B$1:$E$19,4,FALSE)+(G1093-1))</f>
        <v>3779039</v>
      </c>
    </row>
    <row r="1094" spans="1:15" s="1" customFormat="1" ht="15" customHeight="1" x14ac:dyDescent="0.25">
      <c r="A1094" s="18" t="s">
        <v>1018</v>
      </c>
      <c r="B1094" s="18" t="s">
        <v>25</v>
      </c>
      <c r="C1094" s="10" t="s">
        <v>1285</v>
      </c>
      <c r="D1094" s="3" t="s">
        <v>2163</v>
      </c>
      <c r="E1094" s="4" t="s">
        <v>2</v>
      </c>
      <c r="F1094" s="18">
        <v>2176</v>
      </c>
      <c r="G1094" s="18" t="s">
        <v>3271</v>
      </c>
      <c r="H1094" s="10" t="s">
        <v>1979</v>
      </c>
      <c r="I1094" s="3">
        <v>13</v>
      </c>
      <c r="J1094" s="3" t="s">
        <v>3271</v>
      </c>
      <c r="K1094" s="3"/>
      <c r="L1094" t="str">
        <f t="shared" si="17"/>
        <v/>
      </c>
      <c r="M1094">
        <f>VLOOKUP(F1094,Sheet2!$B$1:$E$19,2,FALSE)</f>
        <v>1073</v>
      </c>
      <c r="N1094">
        <f>VLOOKUP(F1094,Sheet2!$B$1:$E$19,3,FALSE)</f>
        <v>1108963</v>
      </c>
      <c r="O1094" t="str">
        <f>IF(G1094="Not available","",VLOOKUP(F1094,Sheet2!$B$1:$E$19,4,FALSE)+(G1094-1))</f>
        <v/>
      </c>
    </row>
    <row r="1095" spans="1:15" s="1" customFormat="1" ht="15" customHeight="1" x14ac:dyDescent="0.25">
      <c r="A1095" s="18" t="s">
        <v>1018</v>
      </c>
      <c r="B1095" s="18" t="s">
        <v>1157</v>
      </c>
      <c r="C1095" s="5">
        <v>1884</v>
      </c>
      <c r="D1095" s="1" t="s">
        <v>477</v>
      </c>
      <c r="E1095" s="1" t="s">
        <v>2</v>
      </c>
      <c r="F1095" s="18">
        <v>2165</v>
      </c>
      <c r="G1095" s="18">
        <v>194</v>
      </c>
      <c r="H1095" s="5">
        <v>2</v>
      </c>
      <c r="I1095" s="1">
        <v>196</v>
      </c>
      <c r="J1095" s="1">
        <v>173</v>
      </c>
      <c r="L1095" t="str">
        <f t="shared" si="17"/>
        <v>http://www.badatelna.eu/reprodukce/?fondId=1073&amp;zaznamId=1108952&amp;reproId=3779055</v>
      </c>
      <c r="M1095">
        <f>VLOOKUP(F1095,Sheet2!$B$1:$E$19,2,FALSE)</f>
        <v>1073</v>
      </c>
      <c r="N1095">
        <f>VLOOKUP(F1095,Sheet2!$B$1:$E$19,3,FALSE)</f>
        <v>1108952</v>
      </c>
      <c r="O1095">
        <f>IF(G1095="Not available","",VLOOKUP(F1095,Sheet2!$B$1:$E$19,4,FALSE)+(G1095-1))</f>
        <v>3779055</v>
      </c>
    </row>
    <row r="1096" spans="1:15" s="1" customFormat="1" ht="15" customHeight="1" x14ac:dyDescent="0.25">
      <c r="A1096" s="18" t="s">
        <v>1018</v>
      </c>
      <c r="B1096" s="18" t="s">
        <v>1157</v>
      </c>
      <c r="C1096" s="10" t="s">
        <v>2041</v>
      </c>
      <c r="D1096" s="3" t="s">
        <v>2163</v>
      </c>
      <c r="E1096" s="4" t="s">
        <v>2</v>
      </c>
      <c r="F1096" s="18">
        <v>2176</v>
      </c>
      <c r="G1096" s="18" t="s">
        <v>3271</v>
      </c>
      <c r="H1096" s="10" t="s">
        <v>2053</v>
      </c>
      <c r="I1096" s="3">
        <v>13</v>
      </c>
      <c r="J1096" s="3" t="s">
        <v>3271</v>
      </c>
      <c r="K1096" s="3"/>
      <c r="L1096" t="str">
        <f t="shared" si="17"/>
        <v/>
      </c>
      <c r="M1096">
        <f>VLOOKUP(F1096,Sheet2!$B$1:$E$19,2,FALSE)</f>
        <v>1073</v>
      </c>
      <c r="N1096">
        <f>VLOOKUP(F1096,Sheet2!$B$1:$E$19,3,FALSE)</f>
        <v>1108963</v>
      </c>
      <c r="O1096" t="str">
        <f>IF(G1096="Not available","",VLOOKUP(F1096,Sheet2!$B$1:$E$19,4,FALSE)+(G1096-1))</f>
        <v/>
      </c>
    </row>
    <row r="1097" spans="1:15" s="1" customFormat="1" ht="15" customHeight="1" x14ac:dyDescent="0.25">
      <c r="A1097" s="18" t="s">
        <v>1018</v>
      </c>
      <c r="B1097" s="18" t="s">
        <v>1078</v>
      </c>
      <c r="C1097" s="6" t="s">
        <v>1987</v>
      </c>
      <c r="D1097" s="4" t="s">
        <v>2163</v>
      </c>
      <c r="E1097" s="4" t="s">
        <v>2</v>
      </c>
      <c r="F1097" s="18">
        <v>2176</v>
      </c>
      <c r="G1097" s="18" t="s">
        <v>3271</v>
      </c>
      <c r="H1097" s="6" t="s">
        <v>1945</v>
      </c>
      <c r="I1097" s="1">
        <v>12</v>
      </c>
      <c r="J1097" s="1" t="s">
        <v>3271</v>
      </c>
      <c r="L1097" t="str">
        <f t="shared" si="17"/>
        <v/>
      </c>
      <c r="M1097">
        <f>VLOOKUP(F1097,Sheet2!$B$1:$E$19,2,FALSE)</f>
        <v>1073</v>
      </c>
      <c r="N1097">
        <f>VLOOKUP(F1097,Sheet2!$B$1:$E$19,3,FALSE)</f>
        <v>1108963</v>
      </c>
      <c r="O1097" t="str">
        <f>IF(G1097="Not available","",VLOOKUP(F1097,Sheet2!$B$1:$E$19,4,FALSE)+(G1097-1))</f>
        <v/>
      </c>
    </row>
    <row r="1098" spans="1:15" s="1" customFormat="1" ht="15" customHeight="1" x14ac:dyDescent="0.25">
      <c r="A1098" s="18" t="s">
        <v>1018</v>
      </c>
      <c r="B1098" s="18" t="s">
        <v>2253</v>
      </c>
      <c r="C1098" s="10" t="s">
        <v>2106</v>
      </c>
      <c r="D1098" s="3" t="s">
        <v>2254</v>
      </c>
      <c r="E1098" s="4" t="s">
        <v>2</v>
      </c>
      <c r="F1098" s="18">
        <v>2176</v>
      </c>
      <c r="G1098" s="18" t="s">
        <v>3271</v>
      </c>
      <c r="H1098" s="10" t="s">
        <v>2088</v>
      </c>
      <c r="I1098" s="3">
        <v>14</v>
      </c>
      <c r="J1098" s="3" t="s">
        <v>3271</v>
      </c>
      <c r="K1098" s="3"/>
      <c r="L1098" t="str">
        <f t="shared" si="17"/>
        <v/>
      </c>
      <c r="M1098">
        <f>VLOOKUP(F1098,Sheet2!$B$1:$E$19,2,FALSE)</f>
        <v>1073</v>
      </c>
      <c r="N1098">
        <f>VLOOKUP(F1098,Sheet2!$B$1:$E$19,3,FALSE)</f>
        <v>1108963</v>
      </c>
      <c r="O1098" t="str">
        <f>IF(G1098="Not available","",VLOOKUP(F1098,Sheet2!$B$1:$E$19,4,FALSE)+(G1098-1))</f>
        <v/>
      </c>
    </row>
    <row r="1099" spans="1:15" s="1" customFormat="1" ht="15" customHeight="1" x14ac:dyDescent="0.25">
      <c r="A1099" s="18" t="s">
        <v>1018</v>
      </c>
      <c r="B1099" s="18" t="s">
        <v>1113</v>
      </c>
      <c r="C1099" s="10" t="s">
        <v>2024</v>
      </c>
      <c r="D1099" s="3" t="s">
        <v>2163</v>
      </c>
      <c r="E1099" s="4" t="s">
        <v>2</v>
      </c>
      <c r="F1099" s="18">
        <v>2176</v>
      </c>
      <c r="G1099" s="18" t="s">
        <v>3271</v>
      </c>
      <c r="H1099" s="10" t="s">
        <v>2105</v>
      </c>
      <c r="I1099" s="1">
        <v>13</v>
      </c>
      <c r="J1099" s="3" t="s">
        <v>3271</v>
      </c>
      <c r="K1099" s="3"/>
      <c r="L1099" t="str">
        <f t="shared" si="17"/>
        <v/>
      </c>
      <c r="M1099">
        <f>VLOOKUP(F1099,Sheet2!$B$1:$E$19,2,FALSE)</f>
        <v>1073</v>
      </c>
      <c r="N1099">
        <f>VLOOKUP(F1099,Sheet2!$B$1:$E$19,3,FALSE)</f>
        <v>1108963</v>
      </c>
      <c r="O1099" t="str">
        <f>IF(G1099="Not available","",VLOOKUP(F1099,Sheet2!$B$1:$E$19,4,FALSE)+(G1099-1))</f>
        <v/>
      </c>
    </row>
    <row r="1100" spans="1:15" s="1" customFormat="1" ht="15" customHeight="1" x14ac:dyDescent="0.25">
      <c r="A1100" s="18" t="s">
        <v>192</v>
      </c>
      <c r="B1100" s="18" t="s">
        <v>53</v>
      </c>
      <c r="C1100" s="5">
        <v>1848</v>
      </c>
      <c r="D1100" s="1" t="s">
        <v>24</v>
      </c>
      <c r="E1100" s="1" t="s">
        <v>2</v>
      </c>
      <c r="F1100" s="18">
        <v>2164</v>
      </c>
      <c r="G1100" s="18">
        <v>38</v>
      </c>
      <c r="H1100" s="5">
        <v>36</v>
      </c>
      <c r="I1100" s="1">
        <v>127</v>
      </c>
      <c r="J1100" s="1" t="s">
        <v>3271</v>
      </c>
      <c r="L1100" t="str">
        <f t="shared" si="17"/>
        <v>http://www.badatelna.eu/reprodukce/?fondId=1073&amp;zaznamId=1108951&amp;reproId=3778752</v>
      </c>
      <c r="M1100">
        <f>VLOOKUP(F1100,Sheet2!$B$1:$E$19,2,FALSE)</f>
        <v>1073</v>
      </c>
      <c r="N1100">
        <f>VLOOKUP(F1100,Sheet2!$B$1:$E$19,3,FALSE)</f>
        <v>1108951</v>
      </c>
      <c r="O1100">
        <f>IF(G1100="Not available","",VLOOKUP(F1100,Sheet2!$B$1:$E$19,4,FALSE)+(G1100-1))</f>
        <v>3778752</v>
      </c>
    </row>
    <row r="1101" spans="1:15" s="1" customFormat="1" ht="15" customHeight="1" x14ac:dyDescent="0.25">
      <c r="A1101" s="18" t="s">
        <v>192</v>
      </c>
      <c r="B1101" s="18" t="s">
        <v>196</v>
      </c>
      <c r="C1101" s="5" t="s">
        <v>1364</v>
      </c>
      <c r="D1101" s="4" t="s">
        <v>1013</v>
      </c>
      <c r="E1101" s="1" t="s">
        <v>2</v>
      </c>
      <c r="F1101" s="18">
        <v>2165</v>
      </c>
      <c r="G1101" s="18">
        <v>22</v>
      </c>
      <c r="H1101" s="14" t="s">
        <v>2904</v>
      </c>
      <c r="I1101" s="1">
        <v>82</v>
      </c>
      <c r="J1101" s="1" t="s">
        <v>3271</v>
      </c>
      <c r="L1101" t="str">
        <f t="shared" si="17"/>
        <v>http://www.badatelna.eu/reprodukce/?fondId=1073&amp;zaznamId=1108952&amp;reproId=3778883</v>
      </c>
      <c r="M1101">
        <f>VLOOKUP(F1101,Sheet2!$B$1:$E$19,2,FALSE)</f>
        <v>1073</v>
      </c>
      <c r="N1101">
        <f>VLOOKUP(F1101,Sheet2!$B$1:$E$19,3,FALSE)</f>
        <v>1108952</v>
      </c>
      <c r="O1101">
        <f>IF(G1101="Not available","",VLOOKUP(F1101,Sheet2!$B$1:$E$19,4,FALSE)+(G1101-1))</f>
        <v>3778883</v>
      </c>
    </row>
    <row r="1102" spans="1:15" s="1" customFormat="1" ht="15" customHeight="1" x14ac:dyDescent="0.25">
      <c r="A1102" s="18" t="s">
        <v>192</v>
      </c>
      <c r="B1102" s="18" t="s">
        <v>1968</v>
      </c>
      <c r="C1102" s="10" t="s">
        <v>1957</v>
      </c>
      <c r="D1102" s="3" t="s">
        <v>2227</v>
      </c>
      <c r="E1102" s="4" t="s">
        <v>2</v>
      </c>
      <c r="F1102" s="18">
        <v>2176</v>
      </c>
      <c r="G1102" s="18" t="s">
        <v>3271</v>
      </c>
      <c r="H1102" s="10" t="s">
        <v>2088</v>
      </c>
      <c r="I1102" s="3">
        <v>14</v>
      </c>
      <c r="J1102" s="3" t="s">
        <v>3271</v>
      </c>
      <c r="K1102" s="3"/>
      <c r="L1102" t="str">
        <f t="shared" si="17"/>
        <v/>
      </c>
      <c r="M1102">
        <f>VLOOKUP(F1102,Sheet2!$B$1:$E$19,2,FALSE)</f>
        <v>1073</v>
      </c>
      <c r="N1102">
        <f>VLOOKUP(F1102,Sheet2!$B$1:$E$19,3,FALSE)</f>
        <v>1108963</v>
      </c>
      <c r="O1102" t="str">
        <f>IF(G1102="Not available","",VLOOKUP(F1102,Sheet2!$B$1:$E$19,4,FALSE)+(G1102-1))</f>
        <v/>
      </c>
    </row>
    <row r="1103" spans="1:15" s="1" customFormat="1" ht="15" customHeight="1" x14ac:dyDescent="0.25">
      <c r="A1103" s="18" t="s">
        <v>192</v>
      </c>
      <c r="B1103" s="18" t="s">
        <v>985</v>
      </c>
      <c r="C1103" s="5">
        <v>1889</v>
      </c>
      <c r="D1103" s="1" t="s">
        <v>24</v>
      </c>
      <c r="E1103" s="1" t="s">
        <v>2</v>
      </c>
      <c r="F1103" s="18">
        <v>2165</v>
      </c>
      <c r="G1103" s="18">
        <v>222</v>
      </c>
      <c r="H1103" s="5">
        <v>2</v>
      </c>
      <c r="I1103" s="1">
        <v>225</v>
      </c>
      <c r="J1103" s="1">
        <v>201</v>
      </c>
      <c r="L1103" t="str">
        <f t="shared" si="17"/>
        <v>http://www.badatelna.eu/reprodukce/?fondId=1073&amp;zaznamId=1108952&amp;reproId=3779083</v>
      </c>
      <c r="M1103">
        <f>VLOOKUP(F1103,Sheet2!$B$1:$E$19,2,FALSE)</f>
        <v>1073</v>
      </c>
      <c r="N1103">
        <f>VLOOKUP(F1103,Sheet2!$B$1:$E$19,3,FALSE)</f>
        <v>1108952</v>
      </c>
      <c r="O1103">
        <f>IF(G1103="Not available","",VLOOKUP(F1103,Sheet2!$B$1:$E$19,4,FALSE)+(G1103-1))</f>
        <v>3779083</v>
      </c>
    </row>
    <row r="1104" spans="1:15" s="1" customFormat="1" ht="15" customHeight="1" x14ac:dyDescent="0.25">
      <c r="A1104" s="18" t="s">
        <v>192</v>
      </c>
      <c r="B1104" s="18" t="s">
        <v>2154</v>
      </c>
      <c r="C1104" s="10" t="s">
        <v>2068</v>
      </c>
      <c r="D1104" s="3" t="s">
        <v>2227</v>
      </c>
      <c r="E1104" s="4" t="s">
        <v>2</v>
      </c>
      <c r="F1104" s="18">
        <v>2176</v>
      </c>
      <c r="G1104" s="18" t="s">
        <v>3271</v>
      </c>
      <c r="H1104" s="10" t="s">
        <v>2006</v>
      </c>
      <c r="I1104" s="3">
        <v>13</v>
      </c>
      <c r="J1104" s="3" t="s">
        <v>3271</v>
      </c>
      <c r="K1104" s="3"/>
      <c r="L1104" t="str">
        <f t="shared" si="17"/>
        <v/>
      </c>
      <c r="M1104">
        <f>VLOOKUP(F1104,Sheet2!$B$1:$E$19,2,FALSE)</f>
        <v>1073</v>
      </c>
      <c r="N1104">
        <f>VLOOKUP(F1104,Sheet2!$B$1:$E$19,3,FALSE)</f>
        <v>1108963</v>
      </c>
      <c r="O1104" t="str">
        <f>IF(G1104="Not available","",VLOOKUP(F1104,Sheet2!$B$1:$E$19,4,FALSE)+(G1104-1))</f>
        <v/>
      </c>
    </row>
    <row r="1105" spans="1:15" s="1" customFormat="1" ht="15" customHeight="1" x14ac:dyDescent="0.25">
      <c r="A1105" s="18" t="s">
        <v>192</v>
      </c>
      <c r="B1105" s="18" t="s">
        <v>16</v>
      </c>
      <c r="C1105" s="5">
        <v>1816</v>
      </c>
      <c r="E1105" s="1" t="s">
        <v>2</v>
      </c>
      <c r="F1105" s="18">
        <v>2173</v>
      </c>
      <c r="G1105" s="18">
        <v>65</v>
      </c>
      <c r="H1105" s="5">
        <v>124</v>
      </c>
      <c r="I1105" s="1">
        <v>97</v>
      </c>
      <c r="J1105" s="1">
        <v>206</v>
      </c>
      <c r="L1105" t="str">
        <f t="shared" si="17"/>
        <v>http://www.badatelna.eu/reprodukce/?fondId=1073&amp;zaznamId=1108959&amp;reproId=3780058</v>
      </c>
      <c r="M1105">
        <f>VLOOKUP(F1105,Sheet2!$B$1:$E$19,2,FALSE)</f>
        <v>1073</v>
      </c>
      <c r="N1105">
        <f>VLOOKUP(F1105,Sheet2!$B$1:$E$19,3,FALSE)</f>
        <v>1108959</v>
      </c>
      <c r="O1105">
        <f>IF(G1105="Not available","",VLOOKUP(F1105,Sheet2!$B$1:$E$19,4,FALSE)+(G1105-1))</f>
        <v>3780058</v>
      </c>
    </row>
    <row r="1106" spans="1:15" s="1" customFormat="1" ht="15" customHeight="1" x14ac:dyDescent="0.25">
      <c r="A1106" s="18" t="s">
        <v>192</v>
      </c>
      <c r="B1106" s="18" t="s">
        <v>2274</v>
      </c>
      <c r="C1106" s="10" t="s">
        <v>2273</v>
      </c>
      <c r="D1106" s="3" t="s">
        <v>2275</v>
      </c>
      <c r="E1106" s="4" t="s">
        <v>2</v>
      </c>
      <c r="F1106" s="18">
        <v>2176</v>
      </c>
      <c r="G1106" s="18" t="s">
        <v>3271</v>
      </c>
      <c r="H1106" s="10" t="s">
        <v>1954</v>
      </c>
      <c r="I1106" s="3">
        <v>15</v>
      </c>
      <c r="J1106" s="3" t="s">
        <v>3271</v>
      </c>
      <c r="K1106" s="3"/>
      <c r="L1106" t="str">
        <f t="shared" si="17"/>
        <v/>
      </c>
      <c r="M1106">
        <f>VLOOKUP(F1106,Sheet2!$B$1:$E$19,2,FALSE)</f>
        <v>1073</v>
      </c>
      <c r="N1106">
        <f>VLOOKUP(F1106,Sheet2!$B$1:$E$19,3,FALSE)</f>
        <v>1108963</v>
      </c>
      <c r="O1106" t="str">
        <f>IF(G1106="Not available","",VLOOKUP(F1106,Sheet2!$B$1:$E$19,4,FALSE)+(G1106-1))</f>
        <v/>
      </c>
    </row>
    <row r="1107" spans="1:15" s="1" customFormat="1" ht="15" customHeight="1" x14ac:dyDescent="0.25">
      <c r="A1107" s="18" t="s">
        <v>192</v>
      </c>
      <c r="B1107" s="18" t="s">
        <v>1051</v>
      </c>
      <c r="C1107" s="5" t="s">
        <v>1924</v>
      </c>
      <c r="D1107" s="1" t="s">
        <v>24</v>
      </c>
      <c r="E1107" s="1" t="s">
        <v>2</v>
      </c>
      <c r="F1107" s="18">
        <v>2165</v>
      </c>
      <c r="G1107" s="18">
        <v>281</v>
      </c>
      <c r="H1107" s="5">
        <v>1</v>
      </c>
      <c r="I1107" s="1">
        <v>284</v>
      </c>
      <c r="J1107" s="1">
        <v>258</v>
      </c>
      <c r="L1107" t="str">
        <f t="shared" si="17"/>
        <v>http://www.badatelna.eu/reprodukce/?fondId=1073&amp;zaznamId=1108952&amp;reproId=3779142</v>
      </c>
      <c r="M1107">
        <f>VLOOKUP(F1107,Sheet2!$B$1:$E$19,2,FALSE)</f>
        <v>1073</v>
      </c>
      <c r="N1107">
        <f>VLOOKUP(F1107,Sheet2!$B$1:$E$19,3,FALSE)</f>
        <v>1108952</v>
      </c>
      <c r="O1107">
        <f>IF(G1107="Not available","",VLOOKUP(F1107,Sheet2!$B$1:$E$19,4,FALSE)+(G1107-1))</f>
        <v>3779142</v>
      </c>
    </row>
    <row r="1108" spans="1:15" s="1" customFormat="1" ht="15" customHeight="1" x14ac:dyDescent="0.25">
      <c r="A1108" s="18" t="s">
        <v>192</v>
      </c>
      <c r="B1108" s="18" t="s">
        <v>1008</v>
      </c>
      <c r="C1108" s="5">
        <v>1887</v>
      </c>
      <c r="D1108" s="1" t="s">
        <v>53</v>
      </c>
      <c r="E1108" s="1" t="s">
        <v>2</v>
      </c>
      <c r="F1108" s="18">
        <v>2165</v>
      </c>
      <c r="G1108" s="18">
        <v>212</v>
      </c>
      <c r="H1108" s="5">
        <v>1</v>
      </c>
      <c r="I1108" s="1">
        <v>215</v>
      </c>
      <c r="J1108" s="1">
        <v>191</v>
      </c>
      <c r="L1108" t="str">
        <f t="shared" si="17"/>
        <v>http://www.badatelna.eu/reprodukce/?fondId=1073&amp;zaznamId=1108952&amp;reproId=3779073</v>
      </c>
      <c r="M1108">
        <f>VLOOKUP(F1108,Sheet2!$B$1:$E$19,2,FALSE)</f>
        <v>1073</v>
      </c>
      <c r="N1108">
        <f>VLOOKUP(F1108,Sheet2!$B$1:$E$19,3,FALSE)</f>
        <v>1108952</v>
      </c>
      <c r="O1108">
        <f>IF(G1108="Not available","",VLOOKUP(F1108,Sheet2!$B$1:$E$19,4,FALSE)+(G1108-1))</f>
        <v>3779073</v>
      </c>
    </row>
    <row r="1109" spans="1:15" s="1" customFormat="1" ht="15" customHeight="1" x14ac:dyDescent="0.25">
      <c r="A1109" s="18" t="s">
        <v>192</v>
      </c>
      <c r="B1109" s="18" t="s">
        <v>1008</v>
      </c>
      <c r="C1109" s="10" t="s">
        <v>2055</v>
      </c>
      <c r="D1109" s="3" t="s">
        <v>2229</v>
      </c>
      <c r="E1109" s="4" t="s">
        <v>2</v>
      </c>
      <c r="F1109" s="18">
        <v>2176</v>
      </c>
      <c r="G1109" s="18" t="s">
        <v>3271</v>
      </c>
      <c r="H1109" s="10" t="s">
        <v>1955</v>
      </c>
      <c r="I1109" s="3">
        <v>13</v>
      </c>
      <c r="J1109" s="3" t="s">
        <v>3271</v>
      </c>
      <c r="K1109" s="3"/>
      <c r="L1109" t="str">
        <f t="shared" si="17"/>
        <v/>
      </c>
      <c r="M1109">
        <f>VLOOKUP(F1109,Sheet2!$B$1:$E$19,2,FALSE)</f>
        <v>1073</v>
      </c>
      <c r="N1109">
        <f>VLOOKUP(F1109,Sheet2!$B$1:$E$19,3,FALSE)</f>
        <v>1108963</v>
      </c>
      <c r="O1109" t="str">
        <f>IF(G1109="Not available","",VLOOKUP(F1109,Sheet2!$B$1:$E$19,4,FALSE)+(G1109-1))</f>
        <v/>
      </c>
    </row>
    <row r="1110" spans="1:15" s="1" customFormat="1" ht="15" customHeight="1" x14ac:dyDescent="0.25">
      <c r="A1110" s="18" t="s">
        <v>192</v>
      </c>
      <c r="B1110" s="18" t="s">
        <v>99</v>
      </c>
      <c r="C1110" s="5">
        <v>1841</v>
      </c>
      <c r="D1110" s="1" t="s">
        <v>24</v>
      </c>
      <c r="E1110" s="1" t="s">
        <v>2</v>
      </c>
      <c r="F1110" s="18">
        <v>2174</v>
      </c>
      <c r="G1110" s="18">
        <v>116</v>
      </c>
      <c r="H1110" s="6" t="s">
        <v>3186</v>
      </c>
      <c r="I1110" s="1">
        <v>185</v>
      </c>
      <c r="J1110" s="1">
        <v>212</v>
      </c>
      <c r="L1110" t="str">
        <f t="shared" si="17"/>
        <v>http://www.badatelna.eu/reprodukce/?fondId=1073&amp;zaznamId=1108960&amp;reproId=3780340</v>
      </c>
      <c r="M1110">
        <f>VLOOKUP(F1110,Sheet2!$B$1:$E$19,2,FALSE)</f>
        <v>1073</v>
      </c>
      <c r="N1110">
        <f>VLOOKUP(F1110,Sheet2!$B$1:$E$19,3,FALSE)</f>
        <v>1108960</v>
      </c>
      <c r="O1110">
        <f>IF(G1110="Not available","",VLOOKUP(F1110,Sheet2!$B$1:$E$19,4,FALSE)+(G1110-1))</f>
        <v>3780340</v>
      </c>
    </row>
    <row r="1111" spans="1:15" s="1" customFormat="1" ht="15" customHeight="1" x14ac:dyDescent="0.25">
      <c r="A1111" s="18" t="s">
        <v>192</v>
      </c>
      <c r="B1111" s="18" t="s">
        <v>1049</v>
      </c>
      <c r="C1111" s="5">
        <v>1887</v>
      </c>
      <c r="D1111" s="1" t="s">
        <v>24</v>
      </c>
      <c r="E1111" s="1" t="s">
        <v>2</v>
      </c>
      <c r="F1111" s="18">
        <v>2165</v>
      </c>
      <c r="G1111" s="18">
        <v>214</v>
      </c>
      <c r="H1111" s="5">
        <v>3</v>
      </c>
      <c r="I1111" s="1">
        <v>215</v>
      </c>
      <c r="J1111" s="1">
        <v>191</v>
      </c>
      <c r="L1111" t="str">
        <f t="shared" si="17"/>
        <v>http://www.badatelna.eu/reprodukce/?fondId=1073&amp;zaznamId=1108952&amp;reproId=3779075</v>
      </c>
      <c r="M1111">
        <f>VLOOKUP(F1111,Sheet2!$B$1:$E$19,2,FALSE)</f>
        <v>1073</v>
      </c>
      <c r="N1111">
        <f>VLOOKUP(F1111,Sheet2!$B$1:$E$19,3,FALSE)</f>
        <v>1108952</v>
      </c>
      <c r="O1111">
        <f>IF(G1111="Not available","",VLOOKUP(F1111,Sheet2!$B$1:$E$19,4,FALSE)+(G1111-1))</f>
        <v>3779075</v>
      </c>
    </row>
    <row r="1112" spans="1:15" s="1" customFormat="1" ht="15" customHeight="1" x14ac:dyDescent="0.25">
      <c r="A1112" s="18" t="s">
        <v>192</v>
      </c>
      <c r="B1112" s="18" t="s">
        <v>2134</v>
      </c>
      <c r="C1112" s="10" t="s">
        <v>1285</v>
      </c>
      <c r="D1112" s="3" t="s">
        <v>2213</v>
      </c>
      <c r="E1112" s="4" t="s">
        <v>2</v>
      </c>
      <c r="F1112" s="18">
        <v>2176</v>
      </c>
      <c r="G1112" s="18" t="s">
        <v>3271</v>
      </c>
      <c r="H1112" s="10" t="s">
        <v>2031</v>
      </c>
      <c r="I1112" s="3">
        <v>13</v>
      </c>
      <c r="J1112" s="3" t="s">
        <v>3271</v>
      </c>
      <c r="K1112" s="3"/>
      <c r="L1112" t="str">
        <f t="shared" si="17"/>
        <v/>
      </c>
      <c r="M1112">
        <f>VLOOKUP(F1112,Sheet2!$B$1:$E$19,2,FALSE)</f>
        <v>1073</v>
      </c>
      <c r="N1112">
        <f>VLOOKUP(F1112,Sheet2!$B$1:$E$19,3,FALSE)</f>
        <v>1108963</v>
      </c>
      <c r="O1112" t="str">
        <f>IF(G1112="Not available","",VLOOKUP(F1112,Sheet2!$B$1:$E$19,4,FALSE)+(G1112-1))</f>
        <v/>
      </c>
    </row>
    <row r="1113" spans="1:15" s="1" customFormat="1" ht="15" customHeight="1" x14ac:dyDescent="0.25">
      <c r="A1113" s="18" t="s">
        <v>192</v>
      </c>
      <c r="B1113" s="18" t="s">
        <v>917</v>
      </c>
      <c r="C1113" s="5">
        <v>1882</v>
      </c>
      <c r="D1113" s="1" t="s">
        <v>53</v>
      </c>
      <c r="E1113" s="1" t="s">
        <v>2</v>
      </c>
      <c r="F1113" s="18">
        <v>2165</v>
      </c>
      <c r="G1113" s="18">
        <v>179</v>
      </c>
      <c r="H1113" s="5">
        <v>3</v>
      </c>
      <c r="I1113" s="1">
        <v>182</v>
      </c>
      <c r="J1113" s="1">
        <v>159</v>
      </c>
      <c r="L1113" t="str">
        <f t="shared" si="17"/>
        <v>http://www.badatelna.eu/reprodukce/?fondId=1073&amp;zaznamId=1108952&amp;reproId=3779040</v>
      </c>
      <c r="M1113">
        <f>VLOOKUP(F1113,Sheet2!$B$1:$E$19,2,FALSE)</f>
        <v>1073</v>
      </c>
      <c r="N1113">
        <f>VLOOKUP(F1113,Sheet2!$B$1:$E$19,3,FALSE)</f>
        <v>1108952</v>
      </c>
      <c r="O1113">
        <f>IF(G1113="Not available","",VLOOKUP(F1113,Sheet2!$B$1:$E$19,4,FALSE)+(G1113-1))</f>
        <v>3779040</v>
      </c>
    </row>
    <row r="1114" spans="1:15" s="1" customFormat="1" ht="15" customHeight="1" x14ac:dyDescent="0.25">
      <c r="A1114" s="18" t="s">
        <v>192</v>
      </c>
      <c r="B1114" s="18" t="s">
        <v>1208</v>
      </c>
      <c r="C1114" s="10" t="s">
        <v>2074</v>
      </c>
      <c r="D1114" s="3" t="s">
        <v>2232</v>
      </c>
      <c r="E1114" s="4" t="s">
        <v>2</v>
      </c>
      <c r="F1114" s="18">
        <v>2176</v>
      </c>
      <c r="G1114" s="18" t="s">
        <v>3271</v>
      </c>
      <c r="H1114" s="10" t="s">
        <v>1955</v>
      </c>
      <c r="I1114" s="3">
        <v>14</v>
      </c>
      <c r="J1114" s="3" t="s">
        <v>3271</v>
      </c>
      <c r="K1114" s="3"/>
      <c r="L1114" t="str">
        <f t="shared" si="17"/>
        <v/>
      </c>
      <c r="M1114">
        <f>VLOOKUP(F1114,Sheet2!$B$1:$E$19,2,FALSE)</f>
        <v>1073</v>
      </c>
      <c r="N1114">
        <f>VLOOKUP(F1114,Sheet2!$B$1:$E$19,3,FALSE)</f>
        <v>1108963</v>
      </c>
      <c r="O1114" t="str">
        <f>IF(G1114="Not available","",VLOOKUP(F1114,Sheet2!$B$1:$E$19,4,FALSE)+(G1114-1))</f>
        <v/>
      </c>
    </row>
    <row r="1115" spans="1:15" s="1" customFormat="1" ht="15" customHeight="1" x14ac:dyDescent="0.25">
      <c r="A1115" s="18" t="s">
        <v>192</v>
      </c>
      <c r="B1115" s="18" t="s">
        <v>1208</v>
      </c>
      <c r="C1115" s="5" t="s">
        <v>1771</v>
      </c>
      <c r="D1115" s="1" t="s">
        <v>53</v>
      </c>
      <c r="E1115" s="1" t="s">
        <v>2</v>
      </c>
      <c r="F1115" s="18">
        <v>2165</v>
      </c>
      <c r="G1115" s="18">
        <v>234</v>
      </c>
      <c r="H1115" s="5">
        <v>1</v>
      </c>
      <c r="I1115" s="1">
        <v>237</v>
      </c>
      <c r="J1115" s="1">
        <v>213</v>
      </c>
      <c r="L1115" t="str">
        <f t="shared" si="17"/>
        <v>http://www.badatelna.eu/reprodukce/?fondId=1073&amp;zaznamId=1108952&amp;reproId=3779095</v>
      </c>
      <c r="M1115">
        <f>VLOOKUP(F1115,Sheet2!$B$1:$E$19,2,FALSE)</f>
        <v>1073</v>
      </c>
      <c r="N1115">
        <f>VLOOKUP(F1115,Sheet2!$B$1:$E$19,3,FALSE)</f>
        <v>1108952</v>
      </c>
      <c r="O1115">
        <f>IF(G1115="Not available","",VLOOKUP(F1115,Sheet2!$B$1:$E$19,4,FALSE)+(G1115-1))</f>
        <v>3779095</v>
      </c>
    </row>
    <row r="1116" spans="1:15" s="1" customFormat="1" ht="15" customHeight="1" x14ac:dyDescent="0.25">
      <c r="A1116" s="18" t="s">
        <v>192</v>
      </c>
      <c r="B1116" s="18" t="s">
        <v>1052</v>
      </c>
      <c r="C1116" s="10" t="s">
        <v>2081</v>
      </c>
      <c r="D1116" s="3" t="s">
        <v>2227</v>
      </c>
      <c r="E1116" s="4" t="s">
        <v>2</v>
      </c>
      <c r="F1116" s="18">
        <v>2176</v>
      </c>
      <c r="G1116" s="18" t="s">
        <v>3271</v>
      </c>
      <c r="H1116" s="10" t="s">
        <v>1959</v>
      </c>
      <c r="I1116" s="3">
        <v>14</v>
      </c>
      <c r="J1116" s="3" t="s">
        <v>3271</v>
      </c>
      <c r="K1116" s="3"/>
      <c r="L1116" t="str">
        <f t="shared" si="17"/>
        <v/>
      </c>
      <c r="M1116">
        <f>VLOOKUP(F1116,Sheet2!$B$1:$E$19,2,FALSE)</f>
        <v>1073</v>
      </c>
      <c r="N1116">
        <f>VLOOKUP(F1116,Sheet2!$B$1:$E$19,3,FALSE)</f>
        <v>1108963</v>
      </c>
      <c r="O1116" t="str">
        <f>IF(G1116="Not available","",VLOOKUP(F1116,Sheet2!$B$1:$E$19,4,FALSE)+(G1116-1))</f>
        <v/>
      </c>
    </row>
    <row r="1117" spans="1:15" s="1" customFormat="1" ht="15" customHeight="1" x14ac:dyDescent="0.25">
      <c r="A1117" s="18" t="s">
        <v>192</v>
      </c>
      <c r="B1117" s="18" t="s">
        <v>1052</v>
      </c>
      <c r="C1117" s="5" t="s">
        <v>1812</v>
      </c>
      <c r="D1117" s="1" t="s">
        <v>24</v>
      </c>
      <c r="E1117" s="1" t="s">
        <v>2</v>
      </c>
      <c r="F1117" s="18">
        <v>2165</v>
      </c>
      <c r="G1117" s="18">
        <v>249</v>
      </c>
      <c r="H1117" s="5">
        <v>3</v>
      </c>
      <c r="I1117" s="1">
        <v>250</v>
      </c>
      <c r="J1117" s="1">
        <v>226</v>
      </c>
      <c r="L1117" t="str">
        <f t="shared" si="17"/>
        <v>http://www.badatelna.eu/reprodukce/?fondId=1073&amp;zaznamId=1108952&amp;reproId=3779110</v>
      </c>
      <c r="M1117">
        <f>VLOOKUP(F1117,Sheet2!$B$1:$E$19,2,FALSE)</f>
        <v>1073</v>
      </c>
      <c r="N1117">
        <f>VLOOKUP(F1117,Sheet2!$B$1:$E$19,3,FALSE)</f>
        <v>1108952</v>
      </c>
      <c r="O1117">
        <f>IF(G1117="Not available","",VLOOKUP(F1117,Sheet2!$B$1:$E$19,4,FALSE)+(G1117-1))</f>
        <v>3779110</v>
      </c>
    </row>
    <row r="1118" spans="1:15" s="1" customFormat="1" ht="15" customHeight="1" x14ac:dyDescent="0.25">
      <c r="A1118" s="18" t="s">
        <v>192</v>
      </c>
      <c r="B1118" s="18" t="s">
        <v>2168</v>
      </c>
      <c r="C1118" s="6" t="s">
        <v>1969</v>
      </c>
      <c r="D1118" s="4" t="s">
        <v>2169</v>
      </c>
      <c r="E1118" s="4" t="s">
        <v>2</v>
      </c>
      <c r="F1118" s="18">
        <v>2176</v>
      </c>
      <c r="G1118" s="18" t="s">
        <v>3271</v>
      </c>
      <c r="H1118" s="6" t="s">
        <v>2170</v>
      </c>
      <c r="I1118" s="1">
        <v>12</v>
      </c>
      <c r="J1118" s="1" t="s">
        <v>3271</v>
      </c>
      <c r="L1118" t="str">
        <f t="shared" si="17"/>
        <v/>
      </c>
      <c r="M1118">
        <f>VLOOKUP(F1118,Sheet2!$B$1:$E$19,2,FALSE)</f>
        <v>1073</v>
      </c>
      <c r="N1118">
        <f>VLOOKUP(F1118,Sheet2!$B$1:$E$19,3,FALSE)</f>
        <v>1108963</v>
      </c>
      <c r="O1118" t="str">
        <f>IF(G1118="Not available","",VLOOKUP(F1118,Sheet2!$B$1:$E$19,4,FALSE)+(G1118-1))</f>
        <v/>
      </c>
    </row>
    <row r="1119" spans="1:15" s="1" customFormat="1" ht="15" customHeight="1" x14ac:dyDescent="0.25">
      <c r="A1119" s="18" t="s">
        <v>192</v>
      </c>
      <c r="B1119" s="18" t="s">
        <v>1152</v>
      </c>
      <c r="C1119" s="5">
        <v>1886</v>
      </c>
      <c r="D1119" s="1" t="s">
        <v>24</v>
      </c>
      <c r="E1119" s="1" t="s">
        <v>2</v>
      </c>
      <c r="F1119" s="18">
        <v>2165</v>
      </c>
      <c r="G1119" s="18">
        <v>209</v>
      </c>
      <c r="H1119" s="5">
        <v>3</v>
      </c>
      <c r="I1119" s="1">
        <v>210</v>
      </c>
      <c r="J1119" s="1">
        <v>186</v>
      </c>
      <c r="L1119" t="str">
        <f t="shared" si="17"/>
        <v>http://www.badatelna.eu/reprodukce/?fondId=1073&amp;zaznamId=1108952&amp;reproId=3779070</v>
      </c>
      <c r="M1119">
        <f>VLOOKUP(F1119,Sheet2!$B$1:$E$19,2,FALSE)</f>
        <v>1073</v>
      </c>
      <c r="N1119">
        <f>VLOOKUP(F1119,Sheet2!$B$1:$E$19,3,FALSE)</f>
        <v>1108952</v>
      </c>
      <c r="O1119">
        <f>IF(G1119="Not available","",VLOOKUP(F1119,Sheet2!$B$1:$E$19,4,FALSE)+(G1119-1))</f>
        <v>3779070</v>
      </c>
    </row>
    <row r="1120" spans="1:15" s="1" customFormat="1" ht="15" customHeight="1" x14ac:dyDescent="0.25">
      <c r="A1120" s="18" t="s">
        <v>192</v>
      </c>
      <c r="B1120" s="18" t="s">
        <v>1152</v>
      </c>
      <c r="C1120" s="10" t="s">
        <v>2052</v>
      </c>
      <c r="D1120" s="3" t="s">
        <v>2227</v>
      </c>
      <c r="E1120" s="4" t="s">
        <v>2</v>
      </c>
      <c r="F1120" s="18">
        <v>2176</v>
      </c>
      <c r="G1120" s="18" t="s">
        <v>3271</v>
      </c>
      <c r="H1120" s="10" t="s">
        <v>1981</v>
      </c>
      <c r="I1120" s="3">
        <v>13</v>
      </c>
      <c r="J1120" s="3" t="s">
        <v>3271</v>
      </c>
      <c r="K1120" s="3"/>
      <c r="L1120" t="str">
        <f t="shared" si="17"/>
        <v/>
      </c>
      <c r="M1120">
        <f>VLOOKUP(F1120,Sheet2!$B$1:$E$19,2,FALSE)</f>
        <v>1073</v>
      </c>
      <c r="N1120">
        <f>VLOOKUP(F1120,Sheet2!$B$1:$E$19,3,FALSE)</f>
        <v>1108963</v>
      </c>
      <c r="O1120" t="str">
        <f>IF(G1120="Not available","",VLOOKUP(F1120,Sheet2!$B$1:$E$19,4,FALSE)+(G1120-1))</f>
        <v/>
      </c>
    </row>
    <row r="1121" spans="1:15" s="1" customFormat="1" ht="15" customHeight="1" x14ac:dyDescent="0.25">
      <c r="A1121" s="18" t="s">
        <v>192</v>
      </c>
      <c r="B1121" s="18" t="s">
        <v>809</v>
      </c>
      <c r="C1121" s="5" t="s">
        <v>1371</v>
      </c>
      <c r="D1121" s="1" t="s">
        <v>1013</v>
      </c>
      <c r="E1121" s="1" t="s">
        <v>2</v>
      </c>
      <c r="F1121" s="18">
        <v>2165</v>
      </c>
      <c r="G1121" s="18">
        <v>37</v>
      </c>
      <c r="H1121" s="14" t="s">
        <v>2911</v>
      </c>
      <c r="I1121" s="1">
        <v>82</v>
      </c>
      <c r="J1121" s="1" t="s">
        <v>3271</v>
      </c>
      <c r="L1121" t="str">
        <f t="shared" si="17"/>
        <v>http://www.badatelna.eu/reprodukce/?fondId=1073&amp;zaznamId=1108952&amp;reproId=3778898</v>
      </c>
      <c r="M1121">
        <f>VLOOKUP(F1121,Sheet2!$B$1:$E$19,2,FALSE)</f>
        <v>1073</v>
      </c>
      <c r="N1121">
        <f>VLOOKUP(F1121,Sheet2!$B$1:$E$19,3,FALSE)</f>
        <v>1108952</v>
      </c>
      <c r="O1121">
        <f>IF(G1121="Not available","",VLOOKUP(F1121,Sheet2!$B$1:$E$19,4,FALSE)+(G1121-1))</f>
        <v>3778898</v>
      </c>
    </row>
    <row r="1122" spans="1:15" s="1" customFormat="1" ht="15" customHeight="1" x14ac:dyDescent="0.25">
      <c r="A1122" s="18" t="s">
        <v>192</v>
      </c>
      <c r="B1122" s="18" t="s">
        <v>361</v>
      </c>
      <c r="C1122" s="5">
        <v>1863</v>
      </c>
      <c r="E1122" s="1" t="s">
        <v>939</v>
      </c>
      <c r="F1122" s="18">
        <v>999</v>
      </c>
      <c r="G1122" s="18">
        <v>41</v>
      </c>
      <c r="H1122" s="5">
        <v>39</v>
      </c>
      <c r="I1122" s="1">
        <v>66</v>
      </c>
      <c r="J1122" s="1">
        <v>100</v>
      </c>
      <c r="L1122" t="str">
        <f t="shared" si="17"/>
        <v>http://www.badatelna.eu/reprodukce/?fondId=241&amp;zaznamId=1133739&amp;reproId=3885770</v>
      </c>
      <c r="M1122">
        <f>VLOOKUP(F1122,Sheet2!$B$1:$E$19,2,FALSE)</f>
        <v>241</v>
      </c>
      <c r="N1122">
        <f>VLOOKUP(F1122,Sheet2!$B$1:$E$19,3,FALSE)</f>
        <v>1133739</v>
      </c>
      <c r="O1122">
        <f>IF(G1122="Not available","",VLOOKUP(F1122,Sheet2!$B$1:$E$19,4,FALSE)+(G1122-1))</f>
        <v>3885770</v>
      </c>
    </row>
    <row r="1123" spans="1:15" s="1" customFormat="1" ht="15" customHeight="1" x14ac:dyDescent="0.25">
      <c r="A1123" s="18" t="s">
        <v>192</v>
      </c>
      <c r="B1123" s="18" t="s">
        <v>624</v>
      </c>
      <c r="C1123" s="5">
        <v>1845</v>
      </c>
      <c r="D1123" s="1" t="s">
        <v>24</v>
      </c>
      <c r="E1123" s="1" t="s">
        <v>2</v>
      </c>
      <c r="F1123" s="18">
        <v>2174</v>
      </c>
      <c r="G1123" s="18">
        <v>152</v>
      </c>
      <c r="H1123" s="6" t="s">
        <v>3219</v>
      </c>
      <c r="I1123" s="1">
        <v>185</v>
      </c>
      <c r="J1123" s="1">
        <v>212</v>
      </c>
      <c r="L1123" t="str">
        <f t="shared" si="17"/>
        <v>http://www.badatelna.eu/reprodukce/?fondId=1073&amp;zaznamId=1108960&amp;reproId=3780376</v>
      </c>
      <c r="M1123">
        <f>VLOOKUP(F1123,Sheet2!$B$1:$E$19,2,FALSE)</f>
        <v>1073</v>
      </c>
      <c r="N1123">
        <f>VLOOKUP(F1123,Sheet2!$B$1:$E$19,3,FALSE)</f>
        <v>1108960</v>
      </c>
      <c r="O1123">
        <f>IF(G1123="Not available","",VLOOKUP(F1123,Sheet2!$B$1:$E$19,4,FALSE)+(G1123-1))</f>
        <v>3780376</v>
      </c>
    </row>
    <row r="1124" spans="1:15" s="1" customFormat="1" ht="15" customHeight="1" x14ac:dyDescent="0.25">
      <c r="A1124" s="18" t="s">
        <v>192</v>
      </c>
      <c r="B1124" s="18" t="s">
        <v>1175</v>
      </c>
      <c r="C1124" s="10" t="s">
        <v>2273</v>
      </c>
      <c r="D1124" s="3" t="s">
        <v>2270</v>
      </c>
      <c r="E1124" s="4" t="s">
        <v>2</v>
      </c>
      <c r="F1124" s="18">
        <v>2176</v>
      </c>
      <c r="G1124" s="18" t="s">
        <v>3271</v>
      </c>
      <c r="H1124" s="10" t="s">
        <v>2088</v>
      </c>
      <c r="I1124" s="3">
        <v>15</v>
      </c>
      <c r="J1124" s="3" t="s">
        <v>3271</v>
      </c>
      <c r="K1124" s="3"/>
      <c r="L1124" t="str">
        <f t="shared" si="17"/>
        <v/>
      </c>
      <c r="M1124">
        <f>VLOOKUP(F1124,Sheet2!$B$1:$E$19,2,FALSE)</f>
        <v>1073</v>
      </c>
      <c r="N1124">
        <f>VLOOKUP(F1124,Sheet2!$B$1:$E$19,3,FALSE)</f>
        <v>1108963</v>
      </c>
      <c r="O1124" t="str">
        <f>IF(G1124="Not available","",VLOOKUP(F1124,Sheet2!$B$1:$E$19,4,FALSE)+(G1124-1))</f>
        <v/>
      </c>
    </row>
    <row r="1125" spans="1:15" s="1" customFormat="1" ht="15" customHeight="1" x14ac:dyDescent="0.25">
      <c r="A1125" s="18" t="s">
        <v>192</v>
      </c>
      <c r="B1125" s="18" t="s">
        <v>2269</v>
      </c>
      <c r="C1125" s="10" t="s">
        <v>2267</v>
      </c>
      <c r="D1125" s="3" t="s">
        <v>2270</v>
      </c>
      <c r="E1125" s="4" t="s">
        <v>2</v>
      </c>
      <c r="F1125" s="18">
        <v>2176</v>
      </c>
      <c r="G1125" s="18" t="s">
        <v>3271</v>
      </c>
      <c r="H1125" s="10" t="s">
        <v>2075</v>
      </c>
      <c r="I1125" s="3">
        <v>15</v>
      </c>
      <c r="J1125" s="3" t="s">
        <v>3271</v>
      </c>
      <c r="K1125" s="3"/>
      <c r="L1125" t="str">
        <f t="shared" si="17"/>
        <v/>
      </c>
      <c r="M1125">
        <f>VLOOKUP(F1125,Sheet2!$B$1:$E$19,2,FALSE)</f>
        <v>1073</v>
      </c>
      <c r="N1125">
        <f>VLOOKUP(F1125,Sheet2!$B$1:$E$19,3,FALSE)</f>
        <v>1108963</v>
      </c>
      <c r="O1125" t="str">
        <f>IF(G1125="Not available","",VLOOKUP(F1125,Sheet2!$B$1:$E$19,4,FALSE)+(G1125-1))</f>
        <v/>
      </c>
    </row>
    <row r="1126" spans="1:15" s="1" customFormat="1" ht="15" customHeight="1" x14ac:dyDescent="0.25">
      <c r="A1126" s="18" t="s">
        <v>192</v>
      </c>
      <c r="B1126" s="18" t="s">
        <v>937</v>
      </c>
      <c r="C1126" s="5" t="s">
        <v>1381</v>
      </c>
      <c r="D1126" s="1" t="s">
        <v>886</v>
      </c>
      <c r="E1126" s="1" t="s">
        <v>2</v>
      </c>
      <c r="F1126" s="18">
        <v>2165</v>
      </c>
      <c r="G1126" s="18">
        <v>57</v>
      </c>
      <c r="H1126" s="5">
        <v>54</v>
      </c>
      <c r="I1126" s="1">
        <v>82</v>
      </c>
      <c r="J1126" s="1" t="s">
        <v>3271</v>
      </c>
      <c r="L1126" t="str">
        <f t="shared" si="17"/>
        <v>http://www.badatelna.eu/reprodukce/?fondId=1073&amp;zaznamId=1108952&amp;reproId=3778918</v>
      </c>
      <c r="M1126">
        <f>VLOOKUP(F1126,Sheet2!$B$1:$E$19,2,FALSE)</f>
        <v>1073</v>
      </c>
      <c r="N1126">
        <f>VLOOKUP(F1126,Sheet2!$B$1:$E$19,3,FALSE)</f>
        <v>1108952</v>
      </c>
      <c r="O1126">
        <f>IF(G1126="Not available","",VLOOKUP(F1126,Sheet2!$B$1:$E$19,4,FALSE)+(G1126-1))</f>
        <v>3778918</v>
      </c>
    </row>
    <row r="1127" spans="1:15" s="1" customFormat="1" ht="15" customHeight="1" x14ac:dyDescent="0.25">
      <c r="A1127" s="18" t="s">
        <v>192</v>
      </c>
      <c r="B1127" s="18" t="s">
        <v>432</v>
      </c>
      <c r="C1127" s="5">
        <v>1865</v>
      </c>
      <c r="E1127" s="1" t="s">
        <v>939</v>
      </c>
      <c r="F1127" s="18">
        <v>999</v>
      </c>
      <c r="G1127" s="18">
        <v>54</v>
      </c>
      <c r="H1127" s="5">
        <v>52</v>
      </c>
      <c r="I1127" s="1">
        <v>66</v>
      </c>
      <c r="J1127" s="1">
        <v>100</v>
      </c>
      <c r="L1127" t="str">
        <f t="shared" si="17"/>
        <v>http://www.badatelna.eu/reprodukce/?fondId=241&amp;zaznamId=1133739&amp;reproId=3885783</v>
      </c>
      <c r="M1127">
        <f>VLOOKUP(F1127,Sheet2!$B$1:$E$19,2,FALSE)</f>
        <v>241</v>
      </c>
      <c r="N1127">
        <f>VLOOKUP(F1127,Sheet2!$B$1:$E$19,3,FALSE)</f>
        <v>1133739</v>
      </c>
      <c r="O1127">
        <f>IF(G1127="Not available","",VLOOKUP(F1127,Sheet2!$B$1:$E$19,4,FALSE)+(G1127-1))</f>
        <v>3885783</v>
      </c>
    </row>
    <row r="1128" spans="1:15" s="1" customFormat="1" ht="15" customHeight="1" x14ac:dyDescent="0.25">
      <c r="A1128" s="18" t="s">
        <v>192</v>
      </c>
      <c r="B1128" s="18" t="s">
        <v>432</v>
      </c>
      <c r="C1128" s="5" t="s">
        <v>1355</v>
      </c>
      <c r="D1128" s="1" t="s">
        <v>886</v>
      </c>
      <c r="E1128" s="1" t="s">
        <v>2</v>
      </c>
      <c r="F1128" s="18">
        <v>2165</v>
      </c>
      <c r="G1128" s="18">
        <v>7</v>
      </c>
      <c r="H1128" s="14" t="s">
        <v>2899</v>
      </c>
      <c r="I1128" s="1">
        <v>82</v>
      </c>
      <c r="J1128" s="1" t="s">
        <v>3271</v>
      </c>
      <c r="L1128" t="str">
        <f t="shared" si="17"/>
        <v>http://www.badatelna.eu/reprodukce/?fondId=1073&amp;zaznamId=1108952&amp;reproId=3778868</v>
      </c>
      <c r="M1128">
        <f>VLOOKUP(F1128,Sheet2!$B$1:$E$19,2,FALSE)</f>
        <v>1073</v>
      </c>
      <c r="N1128">
        <f>VLOOKUP(F1128,Sheet2!$B$1:$E$19,3,FALSE)</f>
        <v>1108952</v>
      </c>
      <c r="O1128">
        <f>IF(G1128="Not available","",VLOOKUP(F1128,Sheet2!$B$1:$E$19,4,FALSE)+(G1128-1))</f>
        <v>3778868</v>
      </c>
    </row>
    <row r="1129" spans="1:15" s="1" customFormat="1" ht="15" customHeight="1" x14ac:dyDescent="0.25">
      <c r="A1129" s="18" t="s">
        <v>192</v>
      </c>
      <c r="B1129" s="18" t="s">
        <v>1078</v>
      </c>
      <c r="C1129" s="10" t="s">
        <v>2074</v>
      </c>
      <c r="D1129" s="3" t="s">
        <v>2227</v>
      </c>
      <c r="E1129" s="4" t="s">
        <v>2</v>
      </c>
      <c r="F1129" s="18">
        <v>2176</v>
      </c>
      <c r="G1129" s="18" t="s">
        <v>3271</v>
      </c>
      <c r="H1129" s="10" t="s">
        <v>1971</v>
      </c>
      <c r="I1129" s="3">
        <v>14</v>
      </c>
      <c r="J1129" s="3" t="s">
        <v>3271</v>
      </c>
      <c r="K1129" s="3"/>
      <c r="L1129" t="str">
        <f t="shared" si="17"/>
        <v/>
      </c>
      <c r="M1129">
        <f>VLOOKUP(F1129,Sheet2!$B$1:$E$19,2,FALSE)</f>
        <v>1073</v>
      </c>
      <c r="N1129">
        <f>VLOOKUP(F1129,Sheet2!$B$1:$E$19,3,FALSE)</f>
        <v>1108963</v>
      </c>
      <c r="O1129" t="str">
        <f>IF(G1129="Not available","",VLOOKUP(F1129,Sheet2!$B$1:$E$19,4,FALSE)+(G1129-1))</f>
        <v/>
      </c>
    </row>
    <row r="1130" spans="1:15" s="1" customFormat="1" ht="15" customHeight="1" x14ac:dyDescent="0.25">
      <c r="A1130" s="18" t="s">
        <v>192</v>
      </c>
      <c r="B1130" s="18" t="s">
        <v>1078</v>
      </c>
      <c r="C1130" s="5" t="s">
        <v>1772</v>
      </c>
      <c r="D1130" s="1" t="s">
        <v>24</v>
      </c>
      <c r="E1130" s="1" t="s">
        <v>2</v>
      </c>
      <c r="F1130" s="18">
        <v>2165</v>
      </c>
      <c r="G1130" s="18">
        <v>234</v>
      </c>
      <c r="H1130" s="5">
        <v>1</v>
      </c>
      <c r="I1130" s="1">
        <v>237</v>
      </c>
      <c r="J1130" s="1">
        <v>213</v>
      </c>
      <c r="L1130" t="str">
        <f t="shared" si="17"/>
        <v>http://www.badatelna.eu/reprodukce/?fondId=1073&amp;zaznamId=1108952&amp;reproId=3779095</v>
      </c>
      <c r="M1130">
        <f>VLOOKUP(F1130,Sheet2!$B$1:$E$19,2,FALSE)</f>
        <v>1073</v>
      </c>
      <c r="N1130">
        <f>VLOOKUP(F1130,Sheet2!$B$1:$E$19,3,FALSE)</f>
        <v>1108952</v>
      </c>
      <c r="O1130">
        <f>IF(G1130="Not available","",VLOOKUP(F1130,Sheet2!$B$1:$E$19,4,FALSE)+(G1130-1))</f>
        <v>3779095</v>
      </c>
    </row>
    <row r="1131" spans="1:15" s="1" customFormat="1" ht="15" customHeight="1" x14ac:dyDescent="0.25">
      <c r="A1131" s="18" t="s">
        <v>192</v>
      </c>
      <c r="B1131" s="18" t="s">
        <v>2253</v>
      </c>
      <c r="C1131" s="10" t="s">
        <v>2122</v>
      </c>
      <c r="D1131" s="3" t="s">
        <v>2275</v>
      </c>
      <c r="E1131" s="4" t="s">
        <v>2</v>
      </c>
      <c r="F1131" s="18">
        <v>2176</v>
      </c>
      <c r="G1131" s="18" t="s">
        <v>3271</v>
      </c>
      <c r="H1131" s="10" t="s">
        <v>2088</v>
      </c>
      <c r="I1131" s="3">
        <v>15</v>
      </c>
      <c r="J1131" s="3" t="s">
        <v>3271</v>
      </c>
      <c r="K1131" s="3"/>
      <c r="L1131" t="str">
        <f t="shared" si="17"/>
        <v/>
      </c>
      <c r="M1131">
        <f>VLOOKUP(F1131,Sheet2!$B$1:$E$19,2,FALSE)</f>
        <v>1073</v>
      </c>
      <c r="N1131">
        <f>VLOOKUP(F1131,Sheet2!$B$1:$E$19,3,FALSE)</f>
        <v>1108963</v>
      </c>
      <c r="O1131" t="str">
        <f>IF(G1131="Not available","",VLOOKUP(F1131,Sheet2!$B$1:$E$19,4,FALSE)+(G1131-1))</f>
        <v/>
      </c>
    </row>
    <row r="1132" spans="1:15" s="1" customFormat="1" ht="15" customHeight="1" x14ac:dyDescent="0.25">
      <c r="A1132" s="18" t="s">
        <v>192</v>
      </c>
      <c r="B1132" s="18" t="s">
        <v>427</v>
      </c>
      <c r="C1132" s="5">
        <v>1841</v>
      </c>
      <c r="D1132" s="1" t="s">
        <v>24</v>
      </c>
      <c r="E1132" s="1" t="s">
        <v>2</v>
      </c>
      <c r="F1132" s="18">
        <v>2174</v>
      </c>
      <c r="G1132" s="18">
        <v>135</v>
      </c>
      <c r="H1132" s="6" t="s">
        <v>3192</v>
      </c>
      <c r="I1132" s="1">
        <v>185</v>
      </c>
      <c r="J1132" s="1">
        <v>212</v>
      </c>
      <c r="L1132" t="str">
        <f t="shared" si="17"/>
        <v>http://www.badatelna.eu/reprodukce/?fondId=1073&amp;zaznamId=1108960&amp;reproId=3780359</v>
      </c>
      <c r="M1132">
        <f>VLOOKUP(F1132,Sheet2!$B$1:$E$19,2,FALSE)</f>
        <v>1073</v>
      </c>
      <c r="N1132">
        <f>VLOOKUP(F1132,Sheet2!$B$1:$E$19,3,FALSE)</f>
        <v>1108960</v>
      </c>
      <c r="O1132">
        <f>IF(G1132="Not available","",VLOOKUP(F1132,Sheet2!$B$1:$E$19,4,FALSE)+(G1132-1))</f>
        <v>3780359</v>
      </c>
    </row>
    <row r="1133" spans="1:15" s="1" customFormat="1" ht="15" customHeight="1" x14ac:dyDescent="0.25">
      <c r="A1133" s="18" t="s">
        <v>192</v>
      </c>
      <c r="B1133" s="18" t="s">
        <v>1113</v>
      </c>
      <c r="C1133" s="10" t="s">
        <v>2079</v>
      </c>
      <c r="D1133" s="3" t="s">
        <v>2227</v>
      </c>
      <c r="E1133" s="4" t="s">
        <v>2</v>
      </c>
      <c r="F1133" s="18">
        <v>2176</v>
      </c>
      <c r="G1133" s="18" t="s">
        <v>3271</v>
      </c>
      <c r="H1133" s="10" t="s">
        <v>1976</v>
      </c>
      <c r="I1133" s="3">
        <v>14</v>
      </c>
      <c r="J1133" s="3" t="s">
        <v>3271</v>
      </c>
      <c r="K1133" s="3"/>
      <c r="L1133" t="str">
        <f t="shared" si="17"/>
        <v/>
      </c>
      <c r="M1133">
        <f>VLOOKUP(F1133,Sheet2!$B$1:$E$19,2,FALSE)</f>
        <v>1073</v>
      </c>
      <c r="N1133">
        <f>VLOOKUP(F1133,Sheet2!$B$1:$E$19,3,FALSE)</f>
        <v>1108963</v>
      </c>
      <c r="O1133" t="str">
        <f>IF(G1133="Not available","",VLOOKUP(F1133,Sheet2!$B$1:$E$19,4,FALSE)+(G1133-1))</f>
        <v/>
      </c>
    </row>
    <row r="1134" spans="1:15" s="1" customFormat="1" ht="15" customHeight="1" x14ac:dyDescent="0.25">
      <c r="A1134" s="22" t="s">
        <v>192</v>
      </c>
      <c r="B1134" s="18" t="s">
        <v>1113</v>
      </c>
      <c r="C1134" s="5" t="s">
        <v>1795</v>
      </c>
      <c r="D1134" s="1" t="s">
        <v>24</v>
      </c>
      <c r="E1134" s="1" t="s">
        <v>2</v>
      </c>
      <c r="F1134" s="18">
        <v>2165</v>
      </c>
      <c r="G1134" s="18">
        <v>242</v>
      </c>
      <c r="H1134" s="5">
        <v>2</v>
      </c>
      <c r="I1134" s="1">
        <v>244</v>
      </c>
      <c r="J1134" s="1">
        <v>220</v>
      </c>
      <c r="L1134" t="str">
        <f t="shared" si="17"/>
        <v>http://www.badatelna.eu/reprodukce/?fondId=1073&amp;zaznamId=1108952&amp;reproId=3779103</v>
      </c>
      <c r="M1134">
        <f>VLOOKUP(F1134,Sheet2!$B$1:$E$19,2,FALSE)</f>
        <v>1073</v>
      </c>
      <c r="N1134">
        <f>VLOOKUP(F1134,Sheet2!$B$1:$E$19,3,FALSE)</f>
        <v>1108952</v>
      </c>
      <c r="O1134">
        <f>IF(G1134="Not available","",VLOOKUP(F1134,Sheet2!$B$1:$E$19,4,FALSE)+(G1134-1))</f>
        <v>3779103</v>
      </c>
    </row>
    <row r="1135" spans="1:15" s="1" customFormat="1" ht="15" customHeight="1" x14ac:dyDescent="0.25">
      <c r="A1135" s="18" t="s">
        <v>192</v>
      </c>
      <c r="B1135" s="18" t="s">
        <v>900</v>
      </c>
      <c r="C1135" s="10" t="s">
        <v>1949</v>
      </c>
      <c r="D1135" s="3" t="s">
        <v>2229</v>
      </c>
      <c r="E1135" s="4" t="s">
        <v>2</v>
      </c>
      <c r="F1135" s="18">
        <v>2176</v>
      </c>
      <c r="G1135" s="18" t="s">
        <v>3271</v>
      </c>
      <c r="H1135" s="10" t="s">
        <v>2073</v>
      </c>
      <c r="I1135" s="3">
        <v>13</v>
      </c>
      <c r="J1135" s="3" t="s">
        <v>3271</v>
      </c>
      <c r="K1135" s="3"/>
      <c r="L1135" t="str">
        <f t="shared" si="17"/>
        <v/>
      </c>
      <c r="M1135">
        <f>VLOOKUP(F1135,Sheet2!$B$1:$E$19,2,FALSE)</f>
        <v>1073</v>
      </c>
      <c r="N1135">
        <f>VLOOKUP(F1135,Sheet2!$B$1:$E$19,3,FALSE)</f>
        <v>1108963</v>
      </c>
      <c r="O1135" t="str">
        <f>IF(G1135="Not available","",VLOOKUP(F1135,Sheet2!$B$1:$E$19,4,FALSE)+(G1135-1))</f>
        <v/>
      </c>
    </row>
    <row r="1136" spans="1:15" s="1" customFormat="1" ht="15" customHeight="1" x14ac:dyDescent="0.25">
      <c r="A1136" s="18" t="s">
        <v>192</v>
      </c>
      <c r="B1136" s="18" t="s">
        <v>851</v>
      </c>
      <c r="C1136" s="5">
        <v>1847</v>
      </c>
      <c r="D1136" s="1" t="s">
        <v>24</v>
      </c>
      <c r="E1136" s="1" t="s">
        <v>2</v>
      </c>
      <c r="F1136" s="18">
        <v>2164</v>
      </c>
      <c r="G1136" s="18">
        <v>3</v>
      </c>
      <c r="H1136" s="5">
        <v>1</v>
      </c>
      <c r="I1136" s="1">
        <v>127</v>
      </c>
      <c r="J1136" s="1" t="s">
        <v>3271</v>
      </c>
      <c r="L1136" t="str">
        <f t="shared" si="17"/>
        <v>http://www.badatelna.eu/reprodukce/?fondId=1073&amp;zaznamId=1108951&amp;reproId=3778717</v>
      </c>
      <c r="M1136">
        <f>VLOOKUP(F1136,Sheet2!$B$1:$E$19,2,FALSE)</f>
        <v>1073</v>
      </c>
      <c r="N1136">
        <f>VLOOKUP(F1136,Sheet2!$B$1:$E$19,3,FALSE)</f>
        <v>1108951</v>
      </c>
      <c r="O1136">
        <f>IF(G1136="Not available","",VLOOKUP(F1136,Sheet2!$B$1:$E$19,4,FALSE)+(G1136-1))</f>
        <v>3778717</v>
      </c>
    </row>
    <row r="1137" spans="1:15" s="1" customFormat="1" ht="15" customHeight="1" x14ac:dyDescent="0.25">
      <c r="A1137" s="18" t="s">
        <v>192</v>
      </c>
      <c r="B1137" s="18" t="s">
        <v>1275</v>
      </c>
      <c r="C1137" s="10" t="s">
        <v>2025</v>
      </c>
      <c r="D1137" s="3" t="s">
        <v>2198</v>
      </c>
      <c r="E1137" s="4" t="s">
        <v>2</v>
      </c>
      <c r="F1137" s="18">
        <v>2176</v>
      </c>
      <c r="G1137" s="18" t="s">
        <v>3271</v>
      </c>
      <c r="H1137" s="10" t="s">
        <v>2199</v>
      </c>
      <c r="I1137" s="1">
        <v>13</v>
      </c>
      <c r="J1137" s="3" t="s">
        <v>3271</v>
      </c>
      <c r="K1137" s="3"/>
      <c r="L1137" t="str">
        <f t="shared" si="17"/>
        <v/>
      </c>
      <c r="M1137">
        <f>VLOOKUP(F1137,Sheet2!$B$1:$E$19,2,FALSE)</f>
        <v>1073</v>
      </c>
      <c r="N1137">
        <f>VLOOKUP(F1137,Sheet2!$B$1:$E$19,3,FALSE)</f>
        <v>1108963</v>
      </c>
      <c r="O1137" t="str">
        <f>IF(G1137="Not available","",VLOOKUP(F1137,Sheet2!$B$1:$E$19,4,FALSE)+(G1137-1))</f>
        <v/>
      </c>
    </row>
    <row r="1138" spans="1:15" s="1" customFormat="1" ht="15" customHeight="1" x14ac:dyDescent="0.25">
      <c r="A1138" s="18" t="s">
        <v>1143</v>
      </c>
      <c r="B1138" s="18" t="s">
        <v>92</v>
      </c>
      <c r="C1138" s="10" t="s">
        <v>2079</v>
      </c>
      <c r="D1138" s="3" t="s">
        <v>2234</v>
      </c>
      <c r="E1138" s="4" t="s">
        <v>2</v>
      </c>
      <c r="F1138" s="18">
        <v>2176</v>
      </c>
      <c r="G1138" s="18" t="s">
        <v>3271</v>
      </c>
      <c r="H1138" s="10" t="s">
        <v>1979</v>
      </c>
      <c r="I1138" s="3">
        <v>14</v>
      </c>
      <c r="J1138" s="3" t="s">
        <v>3271</v>
      </c>
      <c r="K1138" s="3"/>
      <c r="L1138" t="str">
        <f t="shared" si="17"/>
        <v/>
      </c>
      <c r="M1138">
        <f>VLOOKUP(F1138,Sheet2!$B$1:$E$19,2,FALSE)</f>
        <v>1073</v>
      </c>
      <c r="N1138">
        <f>VLOOKUP(F1138,Sheet2!$B$1:$E$19,3,FALSE)</f>
        <v>1108963</v>
      </c>
      <c r="O1138" t="str">
        <f>IF(G1138="Not available","",VLOOKUP(F1138,Sheet2!$B$1:$E$19,4,FALSE)+(G1138-1))</f>
        <v/>
      </c>
    </row>
    <row r="1139" spans="1:15" s="1" customFormat="1" ht="15" customHeight="1" x14ac:dyDescent="0.25">
      <c r="A1139" s="18" t="s">
        <v>1143</v>
      </c>
      <c r="B1139" s="18" t="s">
        <v>92</v>
      </c>
      <c r="C1139" s="5" t="s">
        <v>1796</v>
      </c>
      <c r="D1139" s="1" t="s">
        <v>484</v>
      </c>
      <c r="E1139" s="1" t="s">
        <v>2</v>
      </c>
      <c r="F1139" s="18">
        <v>2165</v>
      </c>
      <c r="G1139" s="18">
        <v>242</v>
      </c>
      <c r="H1139" s="5">
        <v>2</v>
      </c>
      <c r="I1139" s="1">
        <v>244</v>
      </c>
      <c r="J1139" s="1">
        <v>220</v>
      </c>
      <c r="L1139" t="str">
        <f t="shared" si="17"/>
        <v>http://www.badatelna.eu/reprodukce/?fondId=1073&amp;zaznamId=1108952&amp;reproId=3779103</v>
      </c>
      <c r="M1139">
        <f>VLOOKUP(F1139,Sheet2!$B$1:$E$19,2,FALSE)</f>
        <v>1073</v>
      </c>
      <c r="N1139">
        <f>VLOOKUP(F1139,Sheet2!$B$1:$E$19,3,FALSE)</f>
        <v>1108952</v>
      </c>
      <c r="O1139">
        <f>IF(G1139="Not available","",VLOOKUP(F1139,Sheet2!$B$1:$E$19,4,FALSE)+(G1139-1))</f>
        <v>3779103</v>
      </c>
    </row>
    <row r="1140" spans="1:15" s="1" customFormat="1" ht="15" customHeight="1" x14ac:dyDescent="0.25">
      <c r="A1140" s="18" t="s">
        <v>1143</v>
      </c>
      <c r="B1140" s="18" t="s">
        <v>90</v>
      </c>
      <c r="C1140" s="10" t="s">
        <v>2092</v>
      </c>
      <c r="D1140" s="3" t="s">
        <v>2239</v>
      </c>
      <c r="E1140" s="4" t="s">
        <v>2</v>
      </c>
      <c r="F1140" s="18">
        <v>2176</v>
      </c>
      <c r="G1140" s="18" t="s">
        <v>3271</v>
      </c>
      <c r="H1140" s="10" t="s">
        <v>1955</v>
      </c>
      <c r="I1140" s="3">
        <v>14</v>
      </c>
      <c r="J1140" s="3" t="s">
        <v>3271</v>
      </c>
      <c r="K1140" s="3"/>
      <c r="L1140" t="str">
        <f t="shared" si="17"/>
        <v/>
      </c>
      <c r="M1140">
        <f>VLOOKUP(F1140,Sheet2!$B$1:$E$19,2,FALSE)</f>
        <v>1073</v>
      </c>
      <c r="N1140">
        <f>VLOOKUP(F1140,Sheet2!$B$1:$E$19,3,FALSE)</f>
        <v>1108963</v>
      </c>
      <c r="O1140" t="str">
        <f>IF(G1140="Not available","",VLOOKUP(F1140,Sheet2!$B$1:$E$19,4,FALSE)+(G1140-1))</f>
        <v/>
      </c>
    </row>
    <row r="1141" spans="1:15" s="1" customFormat="1" ht="15" customHeight="1" x14ac:dyDescent="0.25">
      <c r="A1141" s="18" t="s">
        <v>1143</v>
      </c>
      <c r="B1141" s="18" t="s">
        <v>129</v>
      </c>
      <c r="C1141" s="5" t="s">
        <v>1888</v>
      </c>
      <c r="D1141" s="1" t="s">
        <v>484</v>
      </c>
      <c r="E1141" s="1" t="s">
        <v>2</v>
      </c>
      <c r="F1141" s="18">
        <v>2165</v>
      </c>
      <c r="G1141" s="18">
        <v>269</v>
      </c>
      <c r="H1141" s="5">
        <v>1</v>
      </c>
      <c r="I1141" s="1">
        <v>272</v>
      </c>
      <c r="J1141" s="1">
        <v>246</v>
      </c>
      <c r="L1141" t="str">
        <f t="shared" si="17"/>
        <v>http://www.badatelna.eu/reprodukce/?fondId=1073&amp;zaznamId=1108952&amp;reproId=3779130</v>
      </c>
      <c r="M1141">
        <f>VLOOKUP(F1141,Sheet2!$B$1:$E$19,2,FALSE)</f>
        <v>1073</v>
      </c>
      <c r="N1141">
        <f>VLOOKUP(F1141,Sheet2!$B$1:$E$19,3,FALSE)</f>
        <v>1108952</v>
      </c>
      <c r="O1141">
        <f>IF(G1141="Not available","",VLOOKUP(F1141,Sheet2!$B$1:$E$19,4,FALSE)+(G1141-1))</f>
        <v>3779130</v>
      </c>
    </row>
    <row r="1142" spans="1:15" s="1" customFormat="1" ht="15" customHeight="1" x14ac:dyDescent="0.25">
      <c r="A1142" s="18" t="s">
        <v>1143</v>
      </c>
      <c r="B1142" s="18" t="s">
        <v>593</v>
      </c>
      <c r="C1142" s="5">
        <v>1883</v>
      </c>
      <c r="D1142" s="1" t="s">
        <v>484</v>
      </c>
      <c r="E1142" s="1" t="s">
        <v>2</v>
      </c>
      <c r="F1142" s="18">
        <v>2165</v>
      </c>
      <c r="G1142" s="18">
        <v>188</v>
      </c>
      <c r="H1142" s="5">
        <v>4</v>
      </c>
      <c r="I1142" s="1">
        <v>190</v>
      </c>
      <c r="J1142" s="1">
        <v>167</v>
      </c>
      <c r="L1142" t="str">
        <f t="shared" si="17"/>
        <v>http://www.badatelna.eu/reprodukce/?fondId=1073&amp;zaznamId=1108952&amp;reproId=3779049</v>
      </c>
      <c r="M1142">
        <f>VLOOKUP(F1142,Sheet2!$B$1:$E$19,2,FALSE)</f>
        <v>1073</v>
      </c>
      <c r="N1142">
        <f>VLOOKUP(F1142,Sheet2!$B$1:$E$19,3,FALSE)</f>
        <v>1108952</v>
      </c>
      <c r="O1142">
        <f>IF(G1142="Not available","",VLOOKUP(F1142,Sheet2!$B$1:$E$19,4,FALSE)+(G1142-1))</f>
        <v>3779049</v>
      </c>
    </row>
    <row r="1143" spans="1:15" s="1" customFormat="1" ht="15" customHeight="1" x14ac:dyDescent="0.25">
      <c r="A1143" s="18" t="s">
        <v>1143</v>
      </c>
      <c r="B1143" s="18" t="s">
        <v>593</v>
      </c>
      <c r="C1143" s="10" t="s">
        <v>2036</v>
      </c>
      <c r="D1143" s="3" t="s">
        <v>2221</v>
      </c>
      <c r="E1143" s="4" t="s">
        <v>2</v>
      </c>
      <c r="F1143" s="18">
        <v>2176</v>
      </c>
      <c r="G1143" s="18" t="s">
        <v>3271</v>
      </c>
      <c r="H1143" s="10" t="s">
        <v>2222</v>
      </c>
      <c r="I1143" s="3">
        <v>13</v>
      </c>
      <c r="J1143" s="3" t="s">
        <v>3271</v>
      </c>
      <c r="K1143" s="3"/>
      <c r="L1143" t="str">
        <f t="shared" si="17"/>
        <v/>
      </c>
      <c r="M1143">
        <f>VLOOKUP(F1143,Sheet2!$B$1:$E$19,2,FALSE)</f>
        <v>1073</v>
      </c>
      <c r="N1143">
        <f>VLOOKUP(F1143,Sheet2!$B$1:$E$19,3,FALSE)</f>
        <v>1108963</v>
      </c>
      <c r="O1143" t="str">
        <f>IF(G1143="Not available","",VLOOKUP(F1143,Sheet2!$B$1:$E$19,4,FALSE)+(G1143-1))</f>
        <v/>
      </c>
    </row>
    <row r="1144" spans="1:15" s="1" customFormat="1" ht="15" customHeight="1" x14ac:dyDescent="0.25">
      <c r="A1144" s="18" t="s">
        <v>190</v>
      </c>
      <c r="B1144" s="18" t="s">
        <v>6</v>
      </c>
      <c r="C1144" s="5">
        <v>1813</v>
      </c>
      <c r="E1144" s="1" t="s">
        <v>2</v>
      </c>
      <c r="F1144" s="18">
        <v>2173</v>
      </c>
      <c r="G1144" s="18">
        <v>59</v>
      </c>
      <c r="H1144" s="5">
        <v>112</v>
      </c>
      <c r="I1144" s="1">
        <v>96</v>
      </c>
      <c r="J1144" s="1">
        <v>205</v>
      </c>
      <c r="L1144" t="str">
        <f t="shared" si="17"/>
        <v>http://www.badatelna.eu/reprodukce/?fondId=1073&amp;zaznamId=1108959&amp;reproId=3780052</v>
      </c>
      <c r="M1144">
        <f>VLOOKUP(F1144,Sheet2!$B$1:$E$19,2,FALSE)</f>
        <v>1073</v>
      </c>
      <c r="N1144">
        <f>VLOOKUP(F1144,Sheet2!$B$1:$E$19,3,FALSE)</f>
        <v>1108959</v>
      </c>
      <c r="O1144">
        <f>IF(G1144="Not available","",VLOOKUP(F1144,Sheet2!$B$1:$E$19,4,FALSE)+(G1144-1))</f>
        <v>3780052</v>
      </c>
    </row>
    <row r="1145" spans="1:15" s="1" customFormat="1" ht="15" customHeight="1" x14ac:dyDescent="0.25">
      <c r="A1145" s="18" t="s">
        <v>190</v>
      </c>
      <c r="B1145" s="18" t="s">
        <v>21</v>
      </c>
      <c r="C1145" s="5">
        <v>1814</v>
      </c>
      <c r="E1145" s="1" t="s">
        <v>2</v>
      </c>
      <c r="F1145" s="18">
        <v>2173</v>
      </c>
      <c r="G1145" s="18">
        <v>63</v>
      </c>
      <c r="H1145" s="5">
        <v>120</v>
      </c>
      <c r="I1145" s="1">
        <v>96</v>
      </c>
      <c r="J1145" s="1">
        <v>205</v>
      </c>
      <c r="L1145" t="str">
        <f t="shared" si="17"/>
        <v>http://www.badatelna.eu/reprodukce/?fondId=1073&amp;zaznamId=1108959&amp;reproId=3780056</v>
      </c>
      <c r="M1145">
        <f>VLOOKUP(F1145,Sheet2!$B$1:$E$19,2,FALSE)</f>
        <v>1073</v>
      </c>
      <c r="N1145">
        <f>VLOOKUP(F1145,Sheet2!$B$1:$E$19,3,FALSE)</f>
        <v>1108959</v>
      </c>
      <c r="O1145">
        <f>IF(G1145="Not available","",VLOOKUP(F1145,Sheet2!$B$1:$E$19,4,FALSE)+(G1145-1))</f>
        <v>3780056</v>
      </c>
    </row>
    <row r="1146" spans="1:15" s="1" customFormat="1" ht="15" customHeight="1" x14ac:dyDescent="0.25">
      <c r="A1146" s="18" t="s">
        <v>190</v>
      </c>
      <c r="B1146" s="18" t="s">
        <v>13</v>
      </c>
      <c r="C1146" s="5">
        <v>1808</v>
      </c>
      <c r="E1146" s="1" t="s">
        <v>2</v>
      </c>
      <c r="F1146" s="18">
        <v>2173</v>
      </c>
      <c r="G1146" s="18">
        <v>54</v>
      </c>
      <c r="H1146" s="5">
        <v>102</v>
      </c>
      <c r="I1146" s="1">
        <v>96</v>
      </c>
      <c r="J1146" s="1">
        <v>205</v>
      </c>
      <c r="L1146" t="str">
        <f t="shared" si="17"/>
        <v>http://www.badatelna.eu/reprodukce/?fondId=1073&amp;zaznamId=1108959&amp;reproId=3780047</v>
      </c>
      <c r="M1146">
        <f>VLOOKUP(F1146,Sheet2!$B$1:$E$19,2,FALSE)</f>
        <v>1073</v>
      </c>
      <c r="N1146">
        <f>VLOOKUP(F1146,Sheet2!$B$1:$E$19,3,FALSE)</f>
        <v>1108959</v>
      </c>
      <c r="O1146">
        <f>IF(G1146="Not available","",VLOOKUP(F1146,Sheet2!$B$1:$E$19,4,FALSE)+(G1146-1))</f>
        <v>3780047</v>
      </c>
    </row>
    <row r="1147" spans="1:15" s="1" customFormat="1" ht="15" customHeight="1" x14ac:dyDescent="0.25">
      <c r="A1147" s="18" t="s">
        <v>190</v>
      </c>
      <c r="B1147" s="18" t="s">
        <v>17</v>
      </c>
      <c r="C1147" s="5">
        <v>1816</v>
      </c>
      <c r="E1147" s="1" t="s">
        <v>2</v>
      </c>
      <c r="F1147" s="18">
        <v>2173</v>
      </c>
      <c r="G1147" s="18">
        <v>66</v>
      </c>
      <c r="H1147" s="5">
        <v>126</v>
      </c>
      <c r="I1147" s="1">
        <v>97</v>
      </c>
      <c r="J1147" s="1">
        <v>206</v>
      </c>
      <c r="L1147" t="str">
        <f t="shared" si="17"/>
        <v>http://www.badatelna.eu/reprodukce/?fondId=1073&amp;zaznamId=1108959&amp;reproId=3780059</v>
      </c>
      <c r="M1147">
        <f>VLOOKUP(F1147,Sheet2!$B$1:$E$19,2,FALSE)</f>
        <v>1073</v>
      </c>
      <c r="N1147">
        <f>VLOOKUP(F1147,Sheet2!$B$1:$E$19,3,FALSE)</f>
        <v>1108959</v>
      </c>
      <c r="O1147">
        <f>IF(G1147="Not available","",VLOOKUP(F1147,Sheet2!$B$1:$E$19,4,FALSE)+(G1147-1))</f>
        <v>3780059</v>
      </c>
    </row>
    <row r="1148" spans="1:15" s="1" customFormat="1" ht="15" customHeight="1" x14ac:dyDescent="0.25">
      <c r="A1148" s="18" t="s">
        <v>190</v>
      </c>
      <c r="B1148" s="18" t="s">
        <v>23</v>
      </c>
      <c r="C1148" s="5">
        <v>1806</v>
      </c>
      <c r="E1148" s="1" t="s">
        <v>2</v>
      </c>
      <c r="F1148" s="18">
        <v>2173</v>
      </c>
      <c r="G1148" s="18">
        <v>51</v>
      </c>
      <c r="H1148" s="5">
        <v>96</v>
      </c>
      <c r="I1148" s="1">
        <v>96</v>
      </c>
      <c r="J1148" s="1">
        <v>205</v>
      </c>
      <c r="L1148" t="str">
        <f t="shared" si="17"/>
        <v>http://www.badatelna.eu/reprodukce/?fondId=1073&amp;zaznamId=1108959&amp;reproId=3780044</v>
      </c>
      <c r="M1148">
        <f>VLOOKUP(F1148,Sheet2!$B$1:$E$19,2,FALSE)</f>
        <v>1073</v>
      </c>
      <c r="N1148">
        <f>VLOOKUP(F1148,Sheet2!$B$1:$E$19,3,FALSE)</f>
        <v>1108959</v>
      </c>
      <c r="O1148">
        <f>IF(G1148="Not available","",VLOOKUP(F1148,Sheet2!$B$1:$E$19,4,FALSE)+(G1148-1))</f>
        <v>3780044</v>
      </c>
    </row>
    <row r="1149" spans="1:15" s="1" customFormat="1" ht="15" customHeight="1" x14ac:dyDescent="0.25">
      <c r="A1149" s="18" t="s">
        <v>1116</v>
      </c>
      <c r="B1149" s="18" t="s">
        <v>963</v>
      </c>
      <c r="C1149" s="5">
        <v>1884</v>
      </c>
      <c r="D1149" s="1" t="s">
        <v>197</v>
      </c>
      <c r="E1149" s="1" t="s">
        <v>2</v>
      </c>
      <c r="F1149" s="18">
        <v>2165</v>
      </c>
      <c r="G1149" s="18">
        <v>193</v>
      </c>
      <c r="H1149" s="5">
        <v>1</v>
      </c>
      <c r="I1149" s="1">
        <v>204</v>
      </c>
      <c r="J1149" s="1">
        <v>187</v>
      </c>
      <c r="L1149" t="str">
        <f t="shared" si="17"/>
        <v>http://www.badatelna.eu/reprodukce/?fondId=1073&amp;zaznamId=1108952&amp;reproId=3779054</v>
      </c>
      <c r="M1149">
        <f>VLOOKUP(F1149,Sheet2!$B$1:$E$19,2,FALSE)</f>
        <v>1073</v>
      </c>
      <c r="N1149">
        <f>VLOOKUP(F1149,Sheet2!$B$1:$E$19,3,FALSE)</f>
        <v>1108952</v>
      </c>
      <c r="O1149">
        <f>IF(G1149="Not available","",VLOOKUP(F1149,Sheet2!$B$1:$E$19,4,FALSE)+(G1149-1))</f>
        <v>3779054</v>
      </c>
    </row>
    <row r="1150" spans="1:15" s="1" customFormat="1" ht="15" customHeight="1" x14ac:dyDescent="0.25">
      <c r="A1150" s="18" t="s">
        <v>1116</v>
      </c>
      <c r="B1150" s="18" t="s">
        <v>963</v>
      </c>
      <c r="C1150" s="10" t="s">
        <v>2043</v>
      </c>
      <c r="D1150" s="3" t="s">
        <v>2225</v>
      </c>
      <c r="E1150" s="4" t="s">
        <v>2</v>
      </c>
      <c r="F1150" s="18">
        <v>2176</v>
      </c>
      <c r="G1150" s="18" t="s">
        <v>3271</v>
      </c>
      <c r="H1150" s="10" t="s">
        <v>2083</v>
      </c>
      <c r="I1150" s="3">
        <v>13</v>
      </c>
      <c r="J1150" s="3" t="s">
        <v>3271</v>
      </c>
      <c r="K1150" s="3"/>
      <c r="L1150" t="str">
        <f t="shared" si="17"/>
        <v/>
      </c>
      <c r="M1150">
        <f>VLOOKUP(F1150,Sheet2!$B$1:$E$19,2,FALSE)</f>
        <v>1073</v>
      </c>
      <c r="N1150">
        <f>VLOOKUP(F1150,Sheet2!$B$1:$E$19,3,FALSE)</f>
        <v>1108963</v>
      </c>
      <c r="O1150" t="str">
        <f>IF(G1150="Not available","",VLOOKUP(F1150,Sheet2!$B$1:$E$19,4,FALSE)+(G1150-1))</f>
        <v/>
      </c>
    </row>
    <row r="1151" spans="1:15" s="1" customFormat="1" ht="15" customHeight="1" x14ac:dyDescent="0.25">
      <c r="A1151" s="18" t="s">
        <v>1116</v>
      </c>
      <c r="B1151" s="18" t="s">
        <v>1126</v>
      </c>
      <c r="C1151" s="10" t="s">
        <v>2102</v>
      </c>
      <c r="D1151" s="3" t="s">
        <v>2242</v>
      </c>
      <c r="E1151" s="4" t="s">
        <v>2</v>
      </c>
      <c r="F1151" s="18">
        <v>2176</v>
      </c>
      <c r="G1151" s="18" t="s">
        <v>3271</v>
      </c>
      <c r="H1151" s="10" t="s">
        <v>1954</v>
      </c>
      <c r="I1151" s="3">
        <v>14</v>
      </c>
      <c r="J1151" s="3" t="s">
        <v>3271</v>
      </c>
      <c r="K1151" s="3"/>
      <c r="L1151" t="str">
        <f t="shared" si="17"/>
        <v/>
      </c>
      <c r="M1151">
        <f>VLOOKUP(F1151,Sheet2!$B$1:$E$19,2,FALSE)</f>
        <v>1073</v>
      </c>
      <c r="N1151">
        <f>VLOOKUP(F1151,Sheet2!$B$1:$E$19,3,FALSE)</f>
        <v>1108963</v>
      </c>
      <c r="O1151" t="str">
        <f>IF(G1151="Not available","",VLOOKUP(F1151,Sheet2!$B$1:$E$19,4,FALSE)+(G1151-1))</f>
        <v/>
      </c>
    </row>
    <row r="1152" spans="1:15" s="1" customFormat="1" ht="15" customHeight="1" x14ac:dyDescent="0.25">
      <c r="A1152" s="18" t="s">
        <v>1116</v>
      </c>
      <c r="B1152" s="18" t="s">
        <v>735</v>
      </c>
      <c r="C1152" s="10" t="s">
        <v>2026</v>
      </c>
      <c r="D1152" s="3" t="s">
        <v>2209</v>
      </c>
      <c r="E1152" s="4" t="s">
        <v>2</v>
      </c>
      <c r="F1152" s="18">
        <v>2176</v>
      </c>
      <c r="G1152" s="18" t="s">
        <v>3271</v>
      </c>
      <c r="H1152" s="10" t="s">
        <v>2146</v>
      </c>
      <c r="I1152" s="1">
        <v>13</v>
      </c>
      <c r="J1152" s="3" t="s">
        <v>3271</v>
      </c>
      <c r="K1152" s="3"/>
      <c r="L1152" t="str">
        <f t="shared" si="17"/>
        <v/>
      </c>
      <c r="M1152">
        <f>VLOOKUP(F1152,Sheet2!$B$1:$E$19,2,FALSE)</f>
        <v>1073</v>
      </c>
      <c r="N1152">
        <f>VLOOKUP(F1152,Sheet2!$B$1:$E$19,3,FALSE)</f>
        <v>1108963</v>
      </c>
      <c r="O1152" t="str">
        <f>IF(G1152="Not available","",VLOOKUP(F1152,Sheet2!$B$1:$E$19,4,FALSE)+(G1152-1))</f>
        <v/>
      </c>
    </row>
    <row r="1153" spans="1:15" s="1" customFormat="1" ht="15" customHeight="1" x14ac:dyDescent="0.25">
      <c r="A1153" s="18" t="s">
        <v>1116</v>
      </c>
      <c r="B1153" s="18" t="s">
        <v>135</v>
      </c>
      <c r="C1153" s="5" t="s">
        <v>1720</v>
      </c>
      <c r="D1153" s="1" t="s">
        <v>197</v>
      </c>
      <c r="E1153" s="1" t="s">
        <v>2</v>
      </c>
      <c r="F1153" s="18">
        <v>2165</v>
      </c>
      <c r="G1153" s="18">
        <v>167</v>
      </c>
      <c r="H1153" s="5">
        <v>3</v>
      </c>
      <c r="I1153" s="1">
        <v>170</v>
      </c>
      <c r="J1153" s="1">
        <v>148</v>
      </c>
      <c r="L1153" t="str">
        <f t="shared" si="17"/>
        <v>http://www.badatelna.eu/reprodukce/?fondId=1073&amp;zaznamId=1108952&amp;reproId=3779028</v>
      </c>
      <c r="M1153">
        <f>VLOOKUP(F1153,Sheet2!$B$1:$E$19,2,FALSE)</f>
        <v>1073</v>
      </c>
      <c r="N1153">
        <f>VLOOKUP(F1153,Sheet2!$B$1:$E$19,3,FALSE)</f>
        <v>1108952</v>
      </c>
      <c r="O1153">
        <f>IF(G1153="Not available","",VLOOKUP(F1153,Sheet2!$B$1:$E$19,4,FALSE)+(G1153-1))</f>
        <v>3779028</v>
      </c>
    </row>
    <row r="1154" spans="1:15" s="1" customFormat="1" ht="15" customHeight="1" x14ac:dyDescent="0.25">
      <c r="A1154" s="18" t="s">
        <v>1116</v>
      </c>
      <c r="B1154" s="18" t="s">
        <v>1152</v>
      </c>
      <c r="C1154" s="10" t="s">
        <v>2244</v>
      </c>
      <c r="D1154" s="3" t="s">
        <v>2242</v>
      </c>
      <c r="E1154" s="4" t="s">
        <v>2</v>
      </c>
      <c r="F1154" s="18">
        <v>2176</v>
      </c>
      <c r="G1154" s="18" t="s">
        <v>3271</v>
      </c>
      <c r="H1154" s="10" t="s">
        <v>2037</v>
      </c>
      <c r="I1154" s="3">
        <v>14</v>
      </c>
      <c r="J1154" s="3" t="s">
        <v>3271</v>
      </c>
      <c r="K1154" s="3"/>
      <c r="L1154" t="str">
        <f t="shared" si="17"/>
        <v/>
      </c>
      <c r="M1154">
        <f>VLOOKUP(F1154,Sheet2!$B$1:$E$19,2,FALSE)</f>
        <v>1073</v>
      </c>
      <c r="N1154">
        <f>VLOOKUP(F1154,Sheet2!$B$1:$E$19,3,FALSE)</f>
        <v>1108963</v>
      </c>
      <c r="O1154" t="str">
        <f>IF(G1154="Not available","",VLOOKUP(F1154,Sheet2!$B$1:$E$19,4,FALSE)+(G1154-1))</f>
        <v/>
      </c>
    </row>
    <row r="1155" spans="1:15" s="1" customFormat="1" ht="15" customHeight="1" x14ac:dyDescent="0.25">
      <c r="A1155" s="18" t="s">
        <v>1116</v>
      </c>
      <c r="B1155" s="18" t="s">
        <v>1152</v>
      </c>
      <c r="C1155" s="14" t="s">
        <v>2244</v>
      </c>
      <c r="D1155" s="4" t="s">
        <v>873</v>
      </c>
      <c r="E1155" s="1" t="s">
        <v>2</v>
      </c>
      <c r="F1155" s="18">
        <v>2165</v>
      </c>
      <c r="G1155" s="18">
        <v>297</v>
      </c>
      <c r="H1155" s="5">
        <v>1</v>
      </c>
      <c r="I1155" s="1">
        <v>300</v>
      </c>
      <c r="J1155" s="1">
        <v>273</v>
      </c>
      <c r="L1155" t="str">
        <f t="shared" ref="L1155:L1218" si="18">IF(G1155="Not available","","http://www.badatelna.eu/reprodukce/?fondId="&amp;M1155&amp;"&amp;zaznamId="&amp;N1155&amp;"&amp;reproId="&amp;O1155)</f>
        <v>http://www.badatelna.eu/reprodukce/?fondId=1073&amp;zaznamId=1108952&amp;reproId=3779158</v>
      </c>
      <c r="M1155">
        <f>VLOOKUP(F1155,Sheet2!$B$1:$E$19,2,FALSE)</f>
        <v>1073</v>
      </c>
      <c r="N1155">
        <f>VLOOKUP(F1155,Sheet2!$B$1:$E$19,3,FALSE)</f>
        <v>1108952</v>
      </c>
      <c r="O1155">
        <f>IF(G1155="Not available","",VLOOKUP(F1155,Sheet2!$B$1:$E$19,4,FALSE)+(G1155-1))</f>
        <v>3779158</v>
      </c>
    </row>
    <row r="1156" spans="1:15" s="1" customFormat="1" ht="15" customHeight="1" x14ac:dyDescent="0.25">
      <c r="A1156" s="18" t="s">
        <v>1116</v>
      </c>
      <c r="B1156" s="18" t="s">
        <v>602</v>
      </c>
      <c r="C1156" s="10" t="s">
        <v>2074</v>
      </c>
      <c r="D1156" s="3" t="s">
        <v>2225</v>
      </c>
      <c r="E1156" s="4" t="s">
        <v>2</v>
      </c>
      <c r="F1156" s="18">
        <v>2176</v>
      </c>
      <c r="G1156" s="18" t="s">
        <v>3271</v>
      </c>
      <c r="H1156" s="10" t="s">
        <v>2233</v>
      </c>
      <c r="I1156" s="3">
        <v>14</v>
      </c>
      <c r="J1156" s="3" t="s">
        <v>3271</v>
      </c>
      <c r="K1156" s="3"/>
      <c r="L1156" t="str">
        <f t="shared" si="18"/>
        <v/>
      </c>
      <c r="M1156">
        <f>VLOOKUP(F1156,Sheet2!$B$1:$E$19,2,FALSE)</f>
        <v>1073</v>
      </c>
      <c r="N1156">
        <f>VLOOKUP(F1156,Sheet2!$B$1:$E$19,3,FALSE)</f>
        <v>1108963</v>
      </c>
      <c r="O1156" t="str">
        <f>IF(G1156="Not available","",VLOOKUP(F1156,Sheet2!$B$1:$E$19,4,FALSE)+(G1156-1))</f>
        <v/>
      </c>
    </row>
    <row r="1157" spans="1:15" s="1" customFormat="1" ht="15" customHeight="1" x14ac:dyDescent="0.25">
      <c r="A1157" s="18" t="s">
        <v>1116</v>
      </c>
      <c r="B1157" s="18" t="s">
        <v>602</v>
      </c>
      <c r="C1157" s="5" t="s">
        <v>1773</v>
      </c>
      <c r="D1157" s="1" t="s">
        <v>197</v>
      </c>
      <c r="E1157" s="1" t="s">
        <v>2</v>
      </c>
      <c r="F1157" s="18">
        <v>2165</v>
      </c>
      <c r="G1157" s="18">
        <v>236</v>
      </c>
      <c r="H1157" s="5">
        <v>3</v>
      </c>
      <c r="I1157" s="1">
        <v>237</v>
      </c>
      <c r="J1157" s="1">
        <v>213</v>
      </c>
      <c r="L1157" t="str">
        <f t="shared" si="18"/>
        <v>http://www.badatelna.eu/reprodukce/?fondId=1073&amp;zaznamId=1108952&amp;reproId=3779097</v>
      </c>
      <c r="M1157">
        <f>VLOOKUP(F1157,Sheet2!$B$1:$E$19,2,FALSE)</f>
        <v>1073</v>
      </c>
      <c r="N1157">
        <f>VLOOKUP(F1157,Sheet2!$B$1:$E$19,3,FALSE)</f>
        <v>1108952</v>
      </c>
      <c r="O1157">
        <f>IF(G1157="Not available","",VLOOKUP(F1157,Sheet2!$B$1:$E$19,4,FALSE)+(G1157-1))</f>
        <v>3779097</v>
      </c>
    </row>
    <row r="1158" spans="1:15" s="1" customFormat="1" ht="15" customHeight="1" x14ac:dyDescent="0.25">
      <c r="A1158" s="18" t="s">
        <v>1116</v>
      </c>
      <c r="B1158" s="18" t="s">
        <v>25</v>
      </c>
      <c r="C1158" s="10" t="s">
        <v>2095</v>
      </c>
      <c r="D1158" s="3" t="s">
        <v>2242</v>
      </c>
      <c r="E1158" s="4" t="s">
        <v>2</v>
      </c>
      <c r="F1158" s="18">
        <v>2176</v>
      </c>
      <c r="G1158" s="18" t="s">
        <v>3271</v>
      </c>
      <c r="H1158" s="10" t="s">
        <v>1954</v>
      </c>
      <c r="I1158" s="3">
        <v>14</v>
      </c>
      <c r="J1158" s="3" t="s">
        <v>3271</v>
      </c>
      <c r="K1158" s="3"/>
      <c r="L1158" t="str">
        <f t="shared" si="18"/>
        <v/>
      </c>
      <c r="M1158">
        <f>VLOOKUP(F1158,Sheet2!$B$1:$E$19,2,FALSE)</f>
        <v>1073</v>
      </c>
      <c r="N1158">
        <f>VLOOKUP(F1158,Sheet2!$B$1:$E$19,3,FALSE)</f>
        <v>1108963</v>
      </c>
      <c r="O1158" t="str">
        <f>IF(G1158="Not available","",VLOOKUP(F1158,Sheet2!$B$1:$E$19,4,FALSE)+(G1158-1))</f>
        <v/>
      </c>
    </row>
    <row r="1159" spans="1:15" s="1" customFormat="1" ht="15" customHeight="1" x14ac:dyDescent="0.25">
      <c r="A1159" s="18" t="s">
        <v>1116</v>
      </c>
      <c r="B1159" s="18" t="s">
        <v>25</v>
      </c>
      <c r="C1159" s="14" t="s">
        <v>2095</v>
      </c>
      <c r="D1159" s="1" t="s">
        <v>873</v>
      </c>
      <c r="E1159" s="1" t="s">
        <v>2</v>
      </c>
      <c r="F1159" s="18">
        <v>2165</v>
      </c>
      <c r="G1159" s="18">
        <v>288</v>
      </c>
      <c r="H1159" s="5">
        <v>1</v>
      </c>
      <c r="I1159" s="1">
        <v>286</v>
      </c>
      <c r="J1159" s="1">
        <v>260</v>
      </c>
      <c r="L1159" t="str">
        <f t="shared" si="18"/>
        <v>http://www.badatelna.eu/reprodukce/?fondId=1073&amp;zaznamId=1108952&amp;reproId=3779149</v>
      </c>
      <c r="M1159">
        <f>VLOOKUP(F1159,Sheet2!$B$1:$E$19,2,FALSE)</f>
        <v>1073</v>
      </c>
      <c r="N1159">
        <f>VLOOKUP(F1159,Sheet2!$B$1:$E$19,3,FALSE)</f>
        <v>1108952</v>
      </c>
      <c r="O1159">
        <f>IF(G1159="Not available","",VLOOKUP(F1159,Sheet2!$B$1:$E$19,4,FALSE)+(G1159-1))</f>
        <v>3779149</v>
      </c>
    </row>
    <row r="1160" spans="1:15" s="1" customFormat="1" ht="15" customHeight="1" x14ac:dyDescent="0.25">
      <c r="A1160" s="18" t="s">
        <v>1116</v>
      </c>
      <c r="B1160" s="18" t="s">
        <v>1121</v>
      </c>
      <c r="C1160" s="10" t="s">
        <v>2100</v>
      </c>
      <c r="D1160" s="3" t="s">
        <v>2242</v>
      </c>
      <c r="E1160" s="4" t="s">
        <v>2</v>
      </c>
      <c r="F1160" s="18">
        <v>2176</v>
      </c>
      <c r="G1160" s="18" t="s">
        <v>3271</v>
      </c>
      <c r="H1160" s="10" t="s">
        <v>2037</v>
      </c>
      <c r="I1160" s="3">
        <v>14</v>
      </c>
      <c r="J1160" s="3" t="s">
        <v>3271</v>
      </c>
      <c r="K1160" s="3"/>
      <c r="L1160" t="str">
        <f t="shared" si="18"/>
        <v/>
      </c>
      <c r="M1160">
        <f>VLOOKUP(F1160,Sheet2!$B$1:$E$19,2,FALSE)</f>
        <v>1073</v>
      </c>
      <c r="N1160">
        <f>VLOOKUP(F1160,Sheet2!$B$1:$E$19,3,FALSE)</f>
        <v>1108963</v>
      </c>
      <c r="O1160" t="str">
        <f>IF(G1160="Not available","",VLOOKUP(F1160,Sheet2!$B$1:$E$19,4,FALSE)+(G1160-1))</f>
        <v/>
      </c>
    </row>
    <row r="1161" spans="1:15" s="1" customFormat="1" ht="15" customHeight="1" x14ac:dyDescent="0.25">
      <c r="A1161" s="18" t="s">
        <v>1116</v>
      </c>
      <c r="B1161" s="18" t="s">
        <v>1121</v>
      </c>
      <c r="C1161" s="6" t="s">
        <v>2100</v>
      </c>
      <c r="D1161" s="4" t="s">
        <v>873</v>
      </c>
      <c r="E1161" s="1" t="s">
        <v>2</v>
      </c>
      <c r="F1161" s="18">
        <v>2165</v>
      </c>
      <c r="G1161" s="18">
        <v>309</v>
      </c>
      <c r="H1161" s="5">
        <v>2</v>
      </c>
      <c r="I1161" s="1">
        <v>311</v>
      </c>
      <c r="J1161" s="1">
        <v>284</v>
      </c>
      <c r="L1161" t="str">
        <f t="shared" si="18"/>
        <v>http://www.badatelna.eu/reprodukce/?fondId=1073&amp;zaznamId=1108952&amp;reproId=3779170</v>
      </c>
      <c r="M1161">
        <f>VLOOKUP(F1161,Sheet2!$B$1:$E$19,2,FALSE)</f>
        <v>1073</v>
      </c>
      <c r="N1161">
        <f>VLOOKUP(F1161,Sheet2!$B$1:$E$19,3,FALSE)</f>
        <v>1108952</v>
      </c>
      <c r="O1161">
        <f>IF(G1161="Not available","",VLOOKUP(F1161,Sheet2!$B$1:$E$19,4,FALSE)+(G1161-1))</f>
        <v>3779170</v>
      </c>
    </row>
    <row r="1162" spans="1:15" s="1" customFormat="1" ht="15" customHeight="1" x14ac:dyDescent="0.25">
      <c r="A1162" s="18" t="s">
        <v>195</v>
      </c>
      <c r="B1162" s="18" t="s">
        <v>486</v>
      </c>
      <c r="C1162" s="5">
        <v>1835</v>
      </c>
      <c r="D1162" s="1" t="s">
        <v>146</v>
      </c>
      <c r="E1162" s="1" t="s">
        <v>2</v>
      </c>
      <c r="F1162" s="18">
        <v>2174</v>
      </c>
      <c r="G1162" s="18">
        <v>84</v>
      </c>
      <c r="H1162" s="6" t="s">
        <v>3150</v>
      </c>
      <c r="I1162" s="1">
        <v>185</v>
      </c>
      <c r="J1162" s="1">
        <v>212</v>
      </c>
      <c r="L1162" t="str">
        <f t="shared" si="18"/>
        <v>http://www.badatelna.eu/reprodukce/?fondId=1073&amp;zaznamId=1108960&amp;reproId=3780308</v>
      </c>
      <c r="M1162">
        <f>VLOOKUP(F1162,Sheet2!$B$1:$E$19,2,FALSE)</f>
        <v>1073</v>
      </c>
      <c r="N1162">
        <f>VLOOKUP(F1162,Sheet2!$B$1:$E$19,3,FALSE)</f>
        <v>1108960</v>
      </c>
      <c r="O1162">
        <f>IF(G1162="Not available","",VLOOKUP(F1162,Sheet2!$B$1:$E$19,4,FALSE)+(G1162-1))</f>
        <v>3780308</v>
      </c>
    </row>
    <row r="1163" spans="1:15" s="1" customFormat="1" ht="15" customHeight="1" x14ac:dyDescent="0.25">
      <c r="A1163" s="18" t="s">
        <v>195</v>
      </c>
      <c r="B1163" s="18" t="s">
        <v>963</v>
      </c>
      <c r="C1163" s="10" t="s">
        <v>2103</v>
      </c>
      <c r="D1163" s="3" t="s">
        <v>2249</v>
      </c>
      <c r="E1163" s="4" t="s">
        <v>2</v>
      </c>
      <c r="F1163" s="18">
        <v>2176</v>
      </c>
      <c r="G1163" s="18" t="s">
        <v>3271</v>
      </c>
      <c r="H1163" s="10" t="s">
        <v>2088</v>
      </c>
      <c r="I1163" s="3">
        <v>14</v>
      </c>
      <c r="J1163" s="3" t="s">
        <v>3271</v>
      </c>
      <c r="K1163" s="3"/>
      <c r="L1163" t="str">
        <f t="shared" si="18"/>
        <v/>
      </c>
      <c r="M1163">
        <f>VLOOKUP(F1163,Sheet2!$B$1:$E$19,2,FALSE)</f>
        <v>1073</v>
      </c>
      <c r="N1163">
        <f>VLOOKUP(F1163,Sheet2!$B$1:$E$19,3,FALSE)</f>
        <v>1108963</v>
      </c>
      <c r="O1163" t="str">
        <f>IF(G1163="Not available","",VLOOKUP(F1163,Sheet2!$B$1:$E$19,4,FALSE)+(G1163-1))</f>
        <v/>
      </c>
    </row>
    <row r="1164" spans="1:15" s="1" customFormat="1" ht="15" customHeight="1" x14ac:dyDescent="0.25">
      <c r="A1164" s="18" t="s">
        <v>195</v>
      </c>
      <c r="B1164" s="18" t="s">
        <v>196</v>
      </c>
      <c r="C1164" s="10" t="s">
        <v>2244</v>
      </c>
      <c r="D1164" s="3" t="s">
        <v>2246</v>
      </c>
      <c r="E1164" s="4" t="s">
        <v>2</v>
      </c>
      <c r="F1164" s="18">
        <v>2176</v>
      </c>
      <c r="G1164" s="18" t="s">
        <v>3271</v>
      </c>
      <c r="H1164" s="10" t="s">
        <v>2230</v>
      </c>
      <c r="I1164" s="3">
        <v>14</v>
      </c>
      <c r="J1164" s="3" t="s">
        <v>3271</v>
      </c>
      <c r="K1164" s="3"/>
      <c r="L1164" t="str">
        <f t="shared" si="18"/>
        <v/>
      </c>
      <c r="M1164">
        <f>VLOOKUP(F1164,Sheet2!$B$1:$E$19,2,FALSE)</f>
        <v>1073</v>
      </c>
      <c r="N1164">
        <f>VLOOKUP(F1164,Sheet2!$B$1:$E$19,3,FALSE)</f>
        <v>1108963</v>
      </c>
      <c r="O1164" t="str">
        <f>IF(G1164="Not available","",VLOOKUP(F1164,Sheet2!$B$1:$E$19,4,FALSE)+(G1164-1))</f>
        <v/>
      </c>
    </row>
    <row r="1165" spans="1:15" s="1" customFormat="1" ht="15" customHeight="1" x14ac:dyDescent="0.25">
      <c r="A1165" s="18" t="s">
        <v>195</v>
      </c>
      <c r="B1165" s="18" t="s">
        <v>196</v>
      </c>
      <c r="C1165" s="14" t="s">
        <v>2244</v>
      </c>
      <c r="D1165" s="4" t="s">
        <v>1205</v>
      </c>
      <c r="E1165" s="1" t="s">
        <v>2</v>
      </c>
      <c r="F1165" s="18">
        <v>2165</v>
      </c>
      <c r="G1165" s="18">
        <v>299</v>
      </c>
      <c r="H1165" s="5">
        <v>3</v>
      </c>
      <c r="I1165" s="1">
        <v>300</v>
      </c>
      <c r="J1165" s="1">
        <v>273</v>
      </c>
      <c r="L1165" t="str">
        <f t="shared" si="18"/>
        <v>http://www.badatelna.eu/reprodukce/?fondId=1073&amp;zaznamId=1108952&amp;reproId=3779160</v>
      </c>
      <c r="M1165">
        <f>VLOOKUP(F1165,Sheet2!$B$1:$E$19,2,FALSE)</f>
        <v>1073</v>
      </c>
      <c r="N1165">
        <f>VLOOKUP(F1165,Sheet2!$B$1:$E$19,3,FALSE)</f>
        <v>1108952</v>
      </c>
      <c r="O1165">
        <f>IF(G1165="Not available","",VLOOKUP(F1165,Sheet2!$B$1:$E$19,4,FALSE)+(G1165-1))</f>
        <v>3779160</v>
      </c>
    </row>
    <row r="1166" spans="1:15" s="1" customFormat="1" ht="15" customHeight="1" x14ac:dyDescent="0.25">
      <c r="A1166" s="18" t="s">
        <v>195</v>
      </c>
      <c r="B1166" s="18" t="s">
        <v>654</v>
      </c>
      <c r="C1166" s="5">
        <v>1846</v>
      </c>
      <c r="D1166" s="1" t="s">
        <v>6</v>
      </c>
      <c r="E1166" s="1" t="s">
        <v>2</v>
      </c>
      <c r="F1166" s="18">
        <v>2174</v>
      </c>
      <c r="G1166" s="18">
        <v>166</v>
      </c>
      <c r="H1166" s="6" t="s">
        <v>3228</v>
      </c>
      <c r="I1166" s="1">
        <v>185</v>
      </c>
      <c r="J1166" s="1">
        <v>212</v>
      </c>
      <c r="L1166" t="str">
        <f t="shared" si="18"/>
        <v>http://www.badatelna.eu/reprodukce/?fondId=1073&amp;zaznamId=1108960&amp;reproId=3780390</v>
      </c>
      <c r="M1166">
        <f>VLOOKUP(F1166,Sheet2!$B$1:$E$19,2,FALSE)</f>
        <v>1073</v>
      </c>
      <c r="N1166">
        <f>VLOOKUP(F1166,Sheet2!$B$1:$E$19,3,FALSE)</f>
        <v>1108960</v>
      </c>
      <c r="O1166">
        <f>IF(G1166="Not available","",VLOOKUP(F1166,Sheet2!$B$1:$E$19,4,FALSE)+(G1166-1))</f>
        <v>3780390</v>
      </c>
    </row>
    <row r="1167" spans="1:15" s="1" customFormat="1" ht="15" customHeight="1" x14ac:dyDescent="0.25">
      <c r="A1167" s="18" t="s">
        <v>195</v>
      </c>
      <c r="B1167" s="18" t="s">
        <v>1968</v>
      </c>
      <c r="C1167" s="10" t="s">
        <v>1949</v>
      </c>
      <c r="D1167" s="3" t="s">
        <v>2187</v>
      </c>
      <c r="E1167" s="4" t="s">
        <v>2</v>
      </c>
      <c r="F1167" s="18">
        <v>2176</v>
      </c>
      <c r="G1167" s="18" t="s">
        <v>3271</v>
      </c>
      <c r="H1167" s="10" t="s">
        <v>2230</v>
      </c>
      <c r="I1167" s="3">
        <v>13</v>
      </c>
      <c r="J1167" s="3" t="s">
        <v>3271</v>
      </c>
      <c r="K1167" s="3"/>
      <c r="L1167" t="str">
        <f t="shared" si="18"/>
        <v/>
      </c>
      <c r="M1167">
        <f>VLOOKUP(F1167,Sheet2!$B$1:$E$19,2,FALSE)</f>
        <v>1073</v>
      </c>
      <c r="N1167">
        <f>VLOOKUP(F1167,Sheet2!$B$1:$E$19,3,FALSE)</f>
        <v>1108963</v>
      </c>
      <c r="O1167" t="str">
        <f>IF(G1167="Not available","",VLOOKUP(F1167,Sheet2!$B$1:$E$19,4,FALSE)+(G1167-1))</f>
        <v/>
      </c>
    </row>
    <row r="1168" spans="1:15" s="1" customFormat="1" ht="15" customHeight="1" x14ac:dyDescent="0.25">
      <c r="A1168" s="18" t="s">
        <v>195</v>
      </c>
      <c r="B1168" s="18" t="s">
        <v>2096</v>
      </c>
      <c r="C1168" s="6" t="s">
        <v>1987</v>
      </c>
      <c r="D1168" s="3" t="s">
        <v>2180</v>
      </c>
      <c r="E1168" s="4" t="s">
        <v>2</v>
      </c>
      <c r="F1168" s="18">
        <v>2176</v>
      </c>
      <c r="G1168" s="18" t="s">
        <v>3271</v>
      </c>
      <c r="H1168" s="10" t="s">
        <v>2181</v>
      </c>
      <c r="I1168" s="1">
        <v>12</v>
      </c>
      <c r="J1168" s="3" t="s">
        <v>3271</v>
      </c>
      <c r="L1168" t="str">
        <f t="shared" si="18"/>
        <v/>
      </c>
      <c r="M1168">
        <f>VLOOKUP(F1168,Sheet2!$B$1:$E$19,2,FALSE)</f>
        <v>1073</v>
      </c>
      <c r="N1168">
        <f>VLOOKUP(F1168,Sheet2!$B$1:$E$19,3,FALSE)</f>
        <v>1108963</v>
      </c>
      <c r="O1168" t="str">
        <f>IF(G1168="Not available","",VLOOKUP(F1168,Sheet2!$B$1:$E$19,4,FALSE)+(G1168-1))</f>
        <v/>
      </c>
    </row>
    <row r="1169" spans="1:15" s="1" customFormat="1" ht="15" customHeight="1" x14ac:dyDescent="0.25">
      <c r="A1169" s="18" t="s">
        <v>195</v>
      </c>
      <c r="B1169" s="18" t="s">
        <v>1043</v>
      </c>
      <c r="C1169" s="10" t="s">
        <v>2052</v>
      </c>
      <c r="D1169" s="3" t="s">
        <v>2187</v>
      </c>
      <c r="E1169" s="4" t="s">
        <v>2</v>
      </c>
      <c r="F1169" s="18">
        <v>2176</v>
      </c>
      <c r="G1169" s="18" t="s">
        <v>3271</v>
      </c>
      <c r="H1169" s="10" t="s">
        <v>2069</v>
      </c>
      <c r="I1169" s="3">
        <v>13</v>
      </c>
      <c r="J1169" s="3" t="s">
        <v>3271</v>
      </c>
      <c r="K1169" s="3"/>
      <c r="L1169" t="str">
        <f t="shared" si="18"/>
        <v/>
      </c>
      <c r="M1169">
        <f>VLOOKUP(F1169,Sheet2!$B$1:$E$19,2,FALSE)</f>
        <v>1073</v>
      </c>
      <c r="N1169">
        <f>VLOOKUP(F1169,Sheet2!$B$1:$E$19,3,FALSE)</f>
        <v>1108963</v>
      </c>
      <c r="O1169" t="str">
        <f>IF(G1169="Not available","",VLOOKUP(F1169,Sheet2!$B$1:$E$19,4,FALSE)+(G1169-1))</f>
        <v/>
      </c>
    </row>
    <row r="1170" spans="1:15" s="1" customFormat="1" ht="15" customHeight="1" x14ac:dyDescent="0.25">
      <c r="A1170" s="18" t="s">
        <v>195</v>
      </c>
      <c r="B1170" s="18" t="s">
        <v>849</v>
      </c>
      <c r="C1170" s="5">
        <v>1886</v>
      </c>
      <c r="D1170" s="1" t="s">
        <v>1115</v>
      </c>
      <c r="E1170" s="1" t="s">
        <v>2</v>
      </c>
      <c r="F1170" s="18">
        <v>2165</v>
      </c>
      <c r="G1170" s="18">
        <v>207</v>
      </c>
      <c r="H1170" s="5">
        <v>1</v>
      </c>
      <c r="I1170" s="1">
        <v>210</v>
      </c>
      <c r="J1170" s="1">
        <v>186</v>
      </c>
      <c r="L1170" t="str">
        <f t="shared" si="18"/>
        <v>http://www.badatelna.eu/reprodukce/?fondId=1073&amp;zaznamId=1108952&amp;reproId=3779068</v>
      </c>
      <c r="M1170">
        <f>VLOOKUP(F1170,Sheet2!$B$1:$E$19,2,FALSE)</f>
        <v>1073</v>
      </c>
      <c r="N1170">
        <f>VLOOKUP(F1170,Sheet2!$B$1:$E$19,3,FALSE)</f>
        <v>1108952</v>
      </c>
      <c r="O1170">
        <f>IF(G1170="Not available","",VLOOKUP(F1170,Sheet2!$B$1:$E$19,4,FALSE)+(G1170-1))</f>
        <v>3779068</v>
      </c>
    </row>
    <row r="1171" spans="1:15" s="1" customFormat="1" ht="15" customHeight="1" x14ac:dyDescent="0.25">
      <c r="A1171" s="18" t="s">
        <v>195</v>
      </c>
      <c r="B1171" s="18" t="s">
        <v>2134</v>
      </c>
      <c r="C1171" s="10" t="s">
        <v>2036</v>
      </c>
      <c r="D1171" s="3" t="s">
        <v>2215</v>
      </c>
      <c r="E1171" s="4" t="s">
        <v>2</v>
      </c>
      <c r="F1171" s="18">
        <v>2176</v>
      </c>
      <c r="G1171" s="18" t="s">
        <v>3271</v>
      </c>
      <c r="H1171" s="10" t="s">
        <v>2142</v>
      </c>
      <c r="I1171" s="3">
        <v>13</v>
      </c>
      <c r="J1171" s="3" t="s">
        <v>3271</v>
      </c>
      <c r="K1171" s="3"/>
      <c r="L1171" t="str">
        <f t="shared" si="18"/>
        <v/>
      </c>
      <c r="M1171">
        <f>VLOOKUP(F1171,Sheet2!$B$1:$E$19,2,FALSE)</f>
        <v>1073</v>
      </c>
      <c r="N1171">
        <f>VLOOKUP(F1171,Sheet2!$B$1:$E$19,3,FALSE)</f>
        <v>1108963</v>
      </c>
      <c r="O1171" t="str">
        <f>IF(G1171="Not available","",VLOOKUP(F1171,Sheet2!$B$1:$E$19,4,FALSE)+(G1171-1))</f>
        <v/>
      </c>
    </row>
    <row r="1172" spans="1:15" s="1" customFormat="1" ht="15" customHeight="1" x14ac:dyDescent="0.25">
      <c r="A1172" s="18" t="s">
        <v>195</v>
      </c>
      <c r="B1172" s="18" t="s">
        <v>917</v>
      </c>
      <c r="C1172" s="5">
        <v>1883</v>
      </c>
      <c r="D1172" s="1" t="s">
        <v>434</v>
      </c>
      <c r="E1172" s="1" t="s">
        <v>2</v>
      </c>
      <c r="F1172" s="18">
        <v>2165</v>
      </c>
      <c r="G1172" s="18">
        <v>185</v>
      </c>
      <c r="H1172" s="5">
        <v>1</v>
      </c>
      <c r="I1172" s="1">
        <v>190</v>
      </c>
      <c r="J1172" s="1">
        <v>167</v>
      </c>
      <c r="L1172" t="str">
        <f t="shared" si="18"/>
        <v>http://www.badatelna.eu/reprodukce/?fondId=1073&amp;zaznamId=1108952&amp;reproId=3779046</v>
      </c>
      <c r="M1172">
        <f>VLOOKUP(F1172,Sheet2!$B$1:$E$19,2,FALSE)</f>
        <v>1073</v>
      </c>
      <c r="N1172">
        <f>VLOOKUP(F1172,Sheet2!$B$1:$E$19,3,FALSE)</f>
        <v>1108952</v>
      </c>
      <c r="O1172">
        <f>IF(G1172="Not available","",VLOOKUP(F1172,Sheet2!$B$1:$E$19,4,FALSE)+(G1172-1))</f>
        <v>3779046</v>
      </c>
    </row>
    <row r="1173" spans="1:15" s="1" customFormat="1" ht="15" customHeight="1" x14ac:dyDescent="0.25">
      <c r="A1173" s="18" t="s">
        <v>195</v>
      </c>
      <c r="B1173" s="18" t="s">
        <v>90</v>
      </c>
      <c r="C1173" s="10" t="s">
        <v>2025</v>
      </c>
      <c r="D1173" s="3" t="s">
        <v>2197</v>
      </c>
      <c r="E1173" s="4" t="s">
        <v>2</v>
      </c>
      <c r="F1173" s="18">
        <v>2176</v>
      </c>
      <c r="G1173" s="18" t="s">
        <v>3271</v>
      </c>
      <c r="H1173" s="10" t="s">
        <v>2040</v>
      </c>
      <c r="I1173" s="1">
        <v>12</v>
      </c>
      <c r="J1173" s="3" t="s">
        <v>3271</v>
      </c>
      <c r="K1173" s="3"/>
      <c r="L1173" t="str">
        <f t="shared" si="18"/>
        <v/>
      </c>
      <c r="M1173">
        <f>VLOOKUP(F1173,Sheet2!$B$1:$E$19,2,FALSE)</f>
        <v>1073</v>
      </c>
      <c r="N1173">
        <f>VLOOKUP(F1173,Sheet2!$B$1:$E$19,3,FALSE)</f>
        <v>1108963</v>
      </c>
      <c r="O1173" t="str">
        <f>IF(G1173="Not available","",VLOOKUP(F1173,Sheet2!$B$1:$E$19,4,FALSE)+(G1173-1))</f>
        <v/>
      </c>
    </row>
    <row r="1174" spans="1:15" s="1" customFormat="1" ht="15" customHeight="1" x14ac:dyDescent="0.25">
      <c r="A1174" s="18" t="s">
        <v>195</v>
      </c>
      <c r="B1174" s="18" t="s">
        <v>481</v>
      </c>
      <c r="C1174" s="5">
        <v>1841</v>
      </c>
      <c r="D1174" s="1" t="s">
        <v>146</v>
      </c>
      <c r="E1174" s="1" t="s">
        <v>2</v>
      </c>
      <c r="F1174" s="18">
        <v>2174</v>
      </c>
      <c r="G1174" s="18">
        <v>118</v>
      </c>
      <c r="H1174" s="6" t="s">
        <v>3187</v>
      </c>
      <c r="I1174" s="1">
        <v>185</v>
      </c>
      <c r="J1174" s="1">
        <v>212</v>
      </c>
      <c r="L1174" t="str">
        <f t="shared" si="18"/>
        <v>http://www.badatelna.eu/reprodukce/?fondId=1073&amp;zaznamId=1108960&amp;reproId=3780342</v>
      </c>
      <c r="M1174">
        <f>VLOOKUP(F1174,Sheet2!$B$1:$E$19,2,FALSE)</f>
        <v>1073</v>
      </c>
      <c r="N1174">
        <f>VLOOKUP(F1174,Sheet2!$B$1:$E$19,3,FALSE)</f>
        <v>1108960</v>
      </c>
      <c r="O1174">
        <f>IF(G1174="Not available","",VLOOKUP(F1174,Sheet2!$B$1:$E$19,4,FALSE)+(G1174-1))</f>
        <v>3780342</v>
      </c>
    </row>
    <row r="1175" spans="1:15" s="1" customFormat="1" ht="15" customHeight="1" x14ac:dyDescent="0.25">
      <c r="A1175" s="18" t="s">
        <v>195</v>
      </c>
      <c r="B1175" s="18" t="s">
        <v>1152</v>
      </c>
      <c r="C1175" s="10" t="s">
        <v>2072</v>
      </c>
      <c r="D1175" s="3" t="s">
        <v>2187</v>
      </c>
      <c r="E1175" s="4" t="s">
        <v>2</v>
      </c>
      <c r="F1175" s="18">
        <v>2176</v>
      </c>
      <c r="G1175" s="18" t="s">
        <v>3271</v>
      </c>
      <c r="H1175" s="10" t="s">
        <v>1979</v>
      </c>
      <c r="I1175" s="3">
        <v>13</v>
      </c>
      <c r="J1175" s="3" t="s">
        <v>3271</v>
      </c>
      <c r="K1175" s="3"/>
      <c r="L1175" t="str">
        <f t="shared" si="18"/>
        <v/>
      </c>
      <c r="M1175">
        <f>VLOOKUP(F1175,Sheet2!$B$1:$E$19,2,FALSE)</f>
        <v>1073</v>
      </c>
      <c r="N1175">
        <f>VLOOKUP(F1175,Sheet2!$B$1:$E$19,3,FALSE)</f>
        <v>1108963</v>
      </c>
      <c r="O1175" t="str">
        <f>IF(G1175="Not available","",VLOOKUP(F1175,Sheet2!$B$1:$E$19,4,FALSE)+(G1175-1))</f>
        <v/>
      </c>
    </row>
    <row r="1176" spans="1:15" s="1" customFormat="1" ht="15" customHeight="1" x14ac:dyDescent="0.25">
      <c r="A1176" s="18" t="s">
        <v>195</v>
      </c>
      <c r="B1176" s="18" t="s">
        <v>1152</v>
      </c>
      <c r="C1176" s="5" t="s">
        <v>1748</v>
      </c>
      <c r="D1176" s="1" t="s">
        <v>1115</v>
      </c>
      <c r="E1176" s="1" t="s">
        <v>2</v>
      </c>
      <c r="F1176" s="18">
        <v>2165</v>
      </c>
      <c r="G1176" s="18">
        <v>229</v>
      </c>
      <c r="H1176" s="5">
        <v>2</v>
      </c>
      <c r="I1176" s="1">
        <v>231</v>
      </c>
      <c r="J1176" s="1">
        <v>207</v>
      </c>
      <c r="L1176" t="str">
        <f t="shared" si="18"/>
        <v>http://www.badatelna.eu/reprodukce/?fondId=1073&amp;zaznamId=1108952&amp;reproId=3779090</v>
      </c>
      <c r="M1176">
        <f>VLOOKUP(F1176,Sheet2!$B$1:$E$19,2,FALSE)</f>
        <v>1073</v>
      </c>
      <c r="N1176">
        <f>VLOOKUP(F1176,Sheet2!$B$1:$E$19,3,FALSE)</f>
        <v>1108952</v>
      </c>
      <c r="O1176">
        <f>IF(G1176="Not available","",VLOOKUP(F1176,Sheet2!$B$1:$E$19,4,FALSE)+(G1176-1))</f>
        <v>3779090</v>
      </c>
    </row>
    <row r="1177" spans="1:15" s="1" customFormat="1" ht="15" customHeight="1" x14ac:dyDescent="0.25">
      <c r="A1177" s="18" t="s">
        <v>195</v>
      </c>
      <c r="B1177" s="18" t="s">
        <v>2173</v>
      </c>
      <c r="C1177" s="6" t="s">
        <v>1987</v>
      </c>
      <c r="D1177" s="4" t="s">
        <v>2174</v>
      </c>
      <c r="E1177" s="4" t="s">
        <v>2</v>
      </c>
      <c r="F1177" s="18">
        <v>2176</v>
      </c>
      <c r="G1177" s="18" t="s">
        <v>3271</v>
      </c>
      <c r="H1177" s="6" t="s">
        <v>2175</v>
      </c>
      <c r="I1177" s="1">
        <v>12</v>
      </c>
      <c r="J1177" s="1" t="s">
        <v>3271</v>
      </c>
      <c r="L1177" t="str">
        <f t="shared" si="18"/>
        <v/>
      </c>
      <c r="M1177">
        <f>VLOOKUP(F1177,Sheet2!$B$1:$E$19,2,FALSE)</f>
        <v>1073</v>
      </c>
      <c r="N1177">
        <f>VLOOKUP(F1177,Sheet2!$B$1:$E$19,3,FALSE)</f>
        <v>1108963</v>
      </c>
      <c r="O1177" t="str">
        <f>IF(G1177="Not available","",VLOOKUP(F1177,Sheet2!$B$1:$E$19,4,FALSE)+(G1177-1))</f>
        <v/>
      </c>
    </row>
    <row r="1178" spans="1:15" s="1" customFormat="1" ht="15" customHeight="1" x14ac:dyDescent="0.25">
      <c r="A1178" s="18" t="s">
        <v>195</v>
      </c>
      <c r="B1178" s="18" t="s">
        <v>40</v>
      </c>
      <c r="C1178" s="5">
        <v>1823</v>
      </c>
      <c r="E1178" s="1" t="s">
        <v>2</v>
      </c>
      <c r="F1178" s="18">
        <v>2173</v>
      </c>
      <c r="G1178" s="18">
        <v>74</v>
      </c>
      <c r="H1178" s="5">
        <v>141</v>
      </c>
      <c r="I1178" s="1">
        <v>97</v>
      </c>
      <c r="J1178" s="1">
        <v>206</v>
      </c>
      <c r="L1178" t="str">
        <f t="shared" si="18"/>
        <v>http://www.badatelna.eu/reprodukce/?fondId=1073&amp;zaznamId=1108959&amp;reproId=3780067</v>
      </c>
      <c r="M1178">
        <f>VLOOKUP(F1178,Sheet2!$B$1:$E$19,2,FALSE)</f>
        <v>1073</v>
      </c>
      <c r="N1178">
        <f>VLOOKUP(F1178,Sheet2!$B$1:$E$19,3,FALSE)</f>
        <v>1108959</v>
      </c>
      <c r="O1178">
        <f>IF(G1178="Not available","",VLOOKUP(F1178,Sheet2!$B$1:$E$19,4,FALSE)+(G1178-1))</f>
        <v>3780067</v>
      </c>
    </row>
    <row r="1179" spans="1:15" s="1" customFormat="1" ht="15" customHeight="1" x14ac:dyDescent="0.25">
      <c r="A1179" s="18" t="s">
        <v>195</v>
      </c>
      <c r="B1179" s="18" t="s">
        <v>1011</v>
      </c>
      <c r="C1179" s="5" t="s">
        <v>1356</v>
      </c>
      <c r="D1179" s="1" t="s">
        <v>50</v>
      </c>
      <c r="E1179" s="1" t="s">
        <v>2</v>
      </c>
      <c r="F1179" s="18">
        <v>2165</v>
      </c>
      <c r="G1179" s="18">
        <v>10</v>
      </c>
      <c r="H1179" s="14" t="s">
        <v>2898</v>
      </c>
      <c r="I1179" s="1">
        <v>82</v>
      </c>
      <c r="J1179" s="1" t="s">
        <v>3271</v>
      </c>
      <c r="L1179" t="str">
        <f t="shared" si="18"/>
        <v>http://www.badatelna.eu/reprodukce/?fondId=1073&amp;zaznamId=1108952&amp;reproId=3778871</v>
      </c>
      <c r="M1179">
        <f>VLOOKUP(F1179,Sheet2!$B$1:$E$19,2,FALSE)</f>
        <v>1073</v>
      </c>
      <c r="N1179">
        <f>VLOOKUP(F1179,Sheet2!$B$1:$E$19,3,FALSE)</f>
        <v>1108952</v>
      </c>
      <c r="O1179">
        <f>IF(G1179="Not available","",VLOOKUP(F1179,Sheet2!$B$1:$E$19,4,FALSE)+(G1179-1))</f>
        <v>3778871</v>
      </c>
    </row>
    <row r="1180" spans="1:15" s="1" customFormat="1" ht="15" customHeight="1" x14ac:dyDescent="0.25">
      <c r="A1180" s="18" t="s">
        <v>195</v>
      </c>
      <c r="B1180" s="18" t="s">
        <v>361</v>
      </c>
      <c r="C1180" s="5" t="s">
        <v>1717</v>
      </c>
      <c r="D1180" s="1" t="s">
        <v>1115</v>
      </c>
      <c r="E1180" s="1" t="s">
        <v>2</v>
      </c>
      <c r="F1180" s="18">
        <v>2165</v>
      </c>
      <c r="G1180" s="18">
        <v>165</v>
      </c>
      <c r="H1180" s="5">
        <v>1</v>
      </c>
      <c r="I1180" s="1">
        <v>170</v>
      </c>
      <c r="J1180" s="1">
        <v>148</v>
      </c>
      <c r="L1180" t="str">
        <f t="shared" si="18"/>
        <v>http://www.badatelna.eu/reprodukce/?fondId=1073&amp;zaznamId=1108952&amp;reproId=3779026</v>
      </c>
      <c r="M1180">
        <f>VLOOKUP(F1180,Sheet2!$B$1:$E$19,2,FALSE)</f>
        <v>1073</v>
      </c>
      <c r="N1180">
        <f>VLOOKUP(F1180,Sheet2!$B$1:$E$19,3,FALSE)</f>
        <v>1108952</v>
      </c>
      <c r="O1180">
        <f>IF(G1180="Not available","",VLOOKUP(F1180,Sheet2!$B$1:$E$19,4,FALSE)+(G1180-1))</f>
        <v>3779026</v>
      </c>
    </row>
    <row r="1181" spans="1:15" s="1" customFormat="1" ht="15" customHeight="1" x14ac:dyDescent="0.25">
      <c r="A1181" s="18" t="s">
        <v>195</v>
      </c>
      <c r="B1181" s="18" t="s">
        <v>602</v>
      </c>
      <c r="C1181" s="5">
        <v>1863</v>
      </c>
      <c r="E1181" s="1" t="s">
        <v>939</v>
      </c>
      <c r="F1181" s="18">
        <v>999</v>
      </c>
      <c r="G1181" s="18">
        <v>43</v>
      </c>
      <c r="H1181" s="5">
        <v>41</v>
      </c>
      <c r="I1181" s="1">
        <v>66</v>
      </c>
      <c r="J1181" s="1">
        <v>100</v>
      </c>
      <c r="L1181" t="str">
        <f t="shared" si="18"/>
        <v>http://www.badatelna.eu/reprodukce/?fondId=241&amp;zaznamId=1133739&amp;reproId=3885772</v>
      </c>
      <c r="M1181">
        <f>VLOOKUP(F1181,Sheet2!$B$1:$E$19,2,FALSE)</f>
        <v>241</v>
      </c>
      <c r="N1181">
        <f>VLOOKUP(F1181,Sheet2!$B$1:$E$19,3,FALSE)</f>
        <v>1133739</v>
      </c>
      <c r="O1181">
        <f>IF(G1181="Not available","",VLOOKUP(F1181,Sheet2!$B$1:$E$19,4,FALSE)+(G1181-1))</f>
        <v>3885772</v>
      </c>
    </row>
    <row r="1182" spans="1:15" s="1" customFormat="1" ht="15" customHeight="1" x14ac:dyDescent="0.25">
      <c r="A1182" s="18" t="s">
        <v>195</v>
      </c>
      <c r="B1182" s="18" t="s">
        <v>602</v>
      </c>
      <c r="C1182" s="6" t="s">
        <v>1987</v>
      </c>
      <c r="D1182" s="3" t="s">
        <v>2176</v>
      </c>
      <c r="E1182" s="4" t="s">
        <v>2</v>
      </c>
      <c r="F1182" s="18">
        <v>2176</v>
      </c>
      <c r="G1182" s="18" t="s">
        <v>3271</v>
      </c>
      <c r="H1182" s="10" t="s">
        <v>2177</v>
      </c>
      <c r="I1182" s="1">
        <v>12</v>
      </c>
      <c r="J1182" s="3" t="s">
        <v>3271</v>
      </c>
      <c r="L1182" t="str">
        <f t="shared" si="18"/>
        <v/>
      </c>
      <c r="M1182">
        <f>VLOOKUP(F1182,Sheet2!$B$1:$E$19,2,FALSE)</f>
        <v>1073</v>
      </c>
      <c r="N1182">
        <f>VLOOKUP(F1182,Sheet2!$B$1:$E$19,3,FALSE)</f>
        <v>1108963</v>
      </c>
      <c r="O1182" t="str">
        <f>IF(G1182="Not available","",VLOOKUP(F1182,Sheet2!$B$1:$E$19,4,FALSE)+(G1182-1))</f>
        <v/>
      </c>
    </row>
    <row r="1183" spans="1:15" s="1" customFormat="1" ht="15" customHeight="1" x14ac:dyDescent="0.25">
      <c r="A1183" s="18" t="s">
        <v>195</v>
      </c>
      <c r="B1183" s="18" t="s">
        <v>2027</v>
      </c>
      <c r="C1183" s="10" t="s">
        <v>2158</v>
      </c>
      <c r="D1183" s="3" t="s">
        <v>2249</v>
      </c>
      <c r="E1183" s="4" t="s">
        <v>2</v>
      </c>
      <c r="F1183" s="18">
        <v>2176</v>
      </c>
      <c r="G1183" s="18" t="s">
        <v>3271</v>
      </c>
      <c r="H1183" s="10" t="s">
        <v>2088</v>
      </c>
      <c r="I1183" s="3">
        <v>14</v>
      </c>
      <c r="J1183" s="3" t="s">
        <v>3271</v>
      </c>
      <c r="K1183" s="3"/>
      <c r="L1183" t="str">
        <f t="shared" si="18"/>
        <v/>
      </c>
      <c r="M1183">
        <f>VLOOKUP(F1183,Sheet2!$B$1:$E$19,2,FALSE)</f>
        <v>1073</v>
      </c>
      <c r="N1183">
        <f>VLOOKUP(F1183,Sheet2!$B$1:$E$19,3,FALSE)</f>
        <v>1108963</v>
      </c>
      <c r="O1183" t="str">
        <f>IF(G1183="Not available","",VLOOKUP(F1183,Sheet2!$B$1:$E$19,4,FALSE)+(G1183-1))</f>
        <v/>
      </c>
    </row>
    <row r="1184" spans="1:15" s="1" customFormat="1" ht="15" customHeight="1" x14ac:dyDescent="0.25">
      <c r="A1184" s="18" t="s">
        <v>195</v>
      </c>
      <c r="B1184" s="18" t="s">
        <v>847</v>
      </c>
      <c r="C1184" s="6" t="s">
        <v>2158</v>
      </c>
      <c r="D1184" s="4" t="s">
        <v>422</v>
      </c>
      <c r="E1184" s="1" t="s">
        <v>2</v>
      </c>
      <c r="F1184" s="18">
        <v>2165</v>
      </c>
      <c r="G1184" s="18">
        <v>313</v>
      </c>
      <c r="H1184" s="5">
        <v>1</v>
      </c>
      <c r="I1184" s="1">
        <v>314</v>
      </c>
      <c r="J1184" s="1">
        <v>287</v>
      </c>
      <c r="L1184" t="str">
        <f t="shared" si="18"/>
        <v>http://www.badatelna.eu/reprodukce/?fondId=1073&amp;zaznamId=1108952&amp;reproId=3779174</v>
      </c>
      <c r="M1184">
        <f>VLOOKUP(F1184,Sheet2!$B$1:$E$19,2,FALSE)</f>
        <v>1073</v>
      </c>
      <c r="N1184">
        <f>VLOOKUP(F1184,Sheet2!$B$1:$E$19,3,FALSE)</f>
        <v>1108952</v>
      </c>
      <c r="O1184">
        <f>IF(G1184="Not available","",VLOOKUP(F1184,Sheet2!$B$1:$E$19,4,FALSE)+(G1184-1))</f>
        <v>3779174</v>
      </c>
    </row>
    <row r="1185" spans="1:15" s="1" customFormat="1" ht="15" customHeight="1" x14ac:dyDescent="0.25">
      <c r="A1185" s="18" t="s">
        <v>195</v>
      </c>
      <c r="B1185" s="18" t="s">
        <v>653</v>
      </c>
      <c r="C1185" s="5">
        <v>1846</v>
      </c>
      <c r="D1185" s="1" t="s">
        <v>23</v>
      </c>
      <c r="E1185" s="1" t="s">
        <v>2</v>
      </c>
      <c r="F1185" s="18">
        <v>2174</v>
      </c>
      <c r="G1185" s="18">
        <v>161</v>
      </c>
      <c r="H1185" s="6" t="s">
        <v>3226</v>
      </c>
      <c r="I1185" s="1">
        <v>185</v>
      </c>
      <c r="J1185" s="1">
        <v>212</v>
      </c>
      <c r="L1185" t="str">
        <f t="shared" si="18"/>
        <v>http://www.badatelna.eu/reprodukce/?fondId=1073&amp;zaznamId=1108960&amp;reproId=3780385</v>
      </c>
      <c r="M1185">
        <f>VLOOKUP(F1185,Sheet2!$B$1:$E$19,2,FALSE)</f>
        <v>1073</v>
      </c>
      <c r="N1185">
        <f>VLOOKUP(F1185,Sheet2!$B$1:$E$19,3,FALSE)</f>
        <v>1108960</v>
      </c>
      <c r="O1185">
        <f>IF(G1185="Not available","",VLOOKUP(F1185,Sheet2!$B$1:$E$19,4,FALSE)+(G1185-1))</f>
        <v>3780385</v>
      </c>
    </row>
    <row r="1186" spans="1:15" s="1" customFormat="1" ht="15" customHeight="1" x14ac:dyDescent="0.25">
      <c r="A1186" s="18" t="s">
        <v>195</v>
      </c>
      <c r="B1186" s="18" t="s">
        <v>233</v>
      </c>
      <c r="C1186" s="5">
        <v>1857</v>
      </c>
      <c r="E1186" s="1" t="s">
        <v>939</v>
      </c>
      <c r="F1186" s="18">
        <v>999</v>
      </c>
      <c r="G1186" s="18">
        <v>12</v>
      </c>
      <c r="H1186" s="5">
        <v>10</v>
      </c>
      <c r="I1186" s="1">
        <v>66</v>
      </c>
      <c r="J1186" s="1">
        <v>100</v>
      </c>
      <c r="L1186" t="str">
        <f t="shared" si="18"/>
        <v>http://www.badatelna.eu/reprodukce/?fondId=241&amp;zaznamId=1133739&amp;reproId=3885741</v>
      </c>
      <c r="M1186">
        <f>VLOOKUP(F1186,Sheet2!$B$1:$E$19,2,FALSE)</f>
        <v>241</v>
      </c>
      <c r="N1186">
        <f>VLOOKUP(F1186,Sheet2!$B$1:$E$19,3,FALSE)</f>
        <v>1133739</v>
      </c>
      <c r="O1186">
        <f>IF(G1186="Not available","",VLOOKUP(F1186,Sheet2!$B$1:$E$19,4,FALSE)+(G1186-1))</f>
        <v>3885741</v>
      </c>
    </row>
    <row r="1187" spans="1:15" s="1" customFormat="1" ht="15" customHeight="1" x14ac:dyDescent="0.25">
      <c r="A1187" s="18" t="s">
        <v>195</v>
      </c>
      <c r="B1187" s="18" t="s">
        <v>233</v>
      </c>
      <c r="C1187" s="10" t="s">
        <v>2024</v>
      </c>
      <c r="D1187" s="3" t="s">
        <v>2187</v>
      </c>
      <c r="E1187" s="4" t="s">
        <v>2</v>
      </c>
      <c r="F1187" s="18">
        <v>2176</v>
      </c>
      <c r="G1187" s="18" t="s">
        <v>3271</v>
      </c>
      <c r="H1187" s="10" t="s">
        <v>2203</v>
      </c>
      <c r="I1187" s="1">
        <v>13</v>
      </c>
      <c r="J1187" s="3" t="s">
        <v>3271</v>
      </c>
      <c r="K1187" s="3"/>
      <c r="L1187" t="str">
        <f t="shared" si="18"/>
        <v/>
      </c>
      <c r="M1187">
        <f>VLOOKUP(F1187,Sheet2!$B$1:$E$19,2,FALSE)</f>
        <v>1073</v>
      </c>
      <c r="N1187">
        <f>VLOOKUP(F1187,Sheet2!$B$1:$E$19,3,FALSE)</f>
        <v>1108963</v>
      </c>
      <c r="O1187" t="str">
        <f>IF(G1187="Not available","",VLOOKUP(F1187,Sheet2!$B$1:$E$19,4,FALSE)+(G1187-1))</f>
        <v/>
      </c>
    </row>
    <row r="1188" spans="1:15" s="1" customFormat="1" ht="15" customHeight="1" x14ac:dyDescent="0.25">
      <c r="A1188" s="18" t="s">
        <v>195</v>
      </c>
      <c r="B1188" s="18" t="s">
        <v>2066</v>
      </c>
      <c r="C1188" s="10" t="s">
        <v>2024</v>
      </c>
      <c r="D1188" s="3" t="s">
        <v>2176</v>
      </c>
      <c r="E1188" s="4" t="s">
        <v>2</v>
      </c>
      <c r="F1188" s="18">
        <v>2176</v>
      </c>
      <c r="G1188" s="18" t="s">
        <v>3271</v>
      </c>
      <c r="H1188" s="10" t="s">
        <v>2202</v>
      </c>
      <c r="I1188" s="1">
        <v>13</v>
      </c>
      <c r="J1188" s="3" t="s">
        <v>3271</v>
      </c>
      <c r="K1188" s="3"/>
      <c r="L1188" t="str">
        <f t="shared" si="18"/>
        <v/>
      </c>
      <c r="M1188">
        <f>VLOOKUP(F1188,Sheet2!$B$1:$E$19,2,FALSE)</f>
        <v>1073</v>
      </c>
      <c r="N1188">
        <f>VLOOKUP(F1188,Sheet2!$B$1:$E$19,3,FALSE)</f>
        <v>1108963</v>
      </c>
      <c r="O1188" t="str">
        <f>IF(G1188="Not available","",VLOOKUP(F1188,Sheet2!$B$1:$E$19,4,FALSE)+(G1188-1))</f>
        <v/>
      </c>
    </row>
    <row r="1189" spans="1:15" s="1" customFormat="1" ht="15" customHeight="1" x14ac:dyDescent="0.25">
      <c r="A1189" s="18" t="s">
        <v>195</v>
      </c>
      <c r="B1189" s="18" t="s">
        <v>21</v>
      </c>
      <c r="C1189" s="5">
        <v>1841</v>
      </c>
      <c r="D1189" s="1" t="s">
        <v>146</v>
      </c>
      <c r="E1189" s="1" t="s">
        <v>2</v>
      </c>
      <c r="F1189" s="18">
        <v>2174</v>
      </c>
      <c r="G1189" s="18">
        <v>130</v>
      </c>
      <c r="H1189" s="6" t="s">
        <v>3191</v>
      </c>
      <c r="I1189" s="1">
        <v>185</v>
      </c>
      <c r="J1189" s="1">
        <v>212</v>
      </c>
      <c r="L1189" t="str">
        <f t="shared" si="18"/>
        <v>http://www.badatelna.eu/reprodukce/?fondId=1073&amp;zaznamId=1108960&amp;reproId=3780354</v>
      </c>
      <c r="M1189">
        <f>VLOOKUP(F1189,Sheet2!$B$1:$E$19,2,FALSE)</f>
        <v>1073</v>
      </c>
      <c r="N1189">
        <f>VLOOKUP(F1189,Sheet2!$B$1:$E$19,3,FALSE)</f>
        <v>1108960</v>
      </c>
      <c r="O1189">
        <f>IF(G1189="Not available","",VLOOKUP(F1189,Sheet2!$B$1:$E$19,4,FALSE)+(G1189-1))</f>
        <v>3780354</v>
      </c>
    </row>
    <row r="1190" spans="1:15" s="1" customFormat="1" ht="15" customHeight="1" x14ac:dyDescent="0.25">
      <c r="A1190" s="18" t="s">
        <v>195</v>
      </c>
      <c r="B1190" s="18" t="s">
        <v>937</v>
      </c>
      <c r="C1190" s="5">
        <v>1864</v>
      </c>
      <c r="E1190" s="1" t="s">
        <v>939</v>
      </c>
      <c r="F1190" s="18">
        <v>999</v>
      </c>
      <c r="G1190" s="18">
        <v>45</v>
      </c>
      <c r="H1190" s="5">
        <v>43</v>
      </c>
      <c r="I1190" s="1">
        <v>66</v>
      </c>
      <c r="J1190" s="1">
        <v>100</v>
      </c>
      <c r="L1190" t="str">
        <f t="shared" si="18"/>
        <v>http://www.badatelna.eu/reprodukce/?fondId=241&amp;zaznamId=1133739&amp;reproId=3885774</v>
      </c>
      <c r="M1190">
        <f>VLOOKUP(F1190,Sheet2!$B$1:$E$19,2,FALSE)</f>
        <v>241</v>
      </c>
      <c r="N1190">
        <f>VLOOKUP(F1190,Sheet2!$B$1:$E$19,3,FALSE)</f>
        <v>1133739</v>
      </c>
      <c r="O1190">
        <f>IF(G1190="Not available","",VLOOKUP(F1190,Sheet2!$B$1:$E$19,4,FALSE)+(G1190-1))</f>
        <v>3885774</v>
      </c>
    </row>
    <row r="1191" spans="1:15" s="1" customFormat="1" ht="15" customHeight="1" x14ac:dyDescent="0.25">
      <c r="A1191" s="18" t="s">
        <v>195</v>
      </c>
      <c r="B1191" s="18" t="s">
        <v>1944</v>
      </c>
      <c r="C1191" s="10" t="s">
        <v>2026</v>
      </c>
      <c r="D1191" s="3" t="s">
        <v>2187</v>
      </c>
      <c r="E1191" s="4" t="s">
        <v>2</v>
      </c>
      <c r="F1191" s="18">
        <v>2176</v>
      </c>
      <c r="G1191" s="18" t="s">
        <v>3271</v>
      </c>
      <c r="H1191" s="10" t="s">
        <v>1971</v>
      </c>
      <c r="I1191" s="1">
        <v>13</v>
      </c>
      <c r="J1191" s="3" t="s">
        <v>3271</v>
      </c>
      <c r="K1191" s="3"/>
      <c r="L1191" t="str">
        <f t="shared" si="18"/>
        <v/>
      </c>
      <c r="M1191">
        <f>VLOOKUP(F1191,Sheet2!$B$1:$E$19,2,FALSE)</f>
        <v>1073</v>
      </c>
      <c r="N1191">
        <f>VLOOKUP(F1191,Sheet2!$B$1:$E$19,3,FALSE)</f>
        <v>1108963</v>
      </c>
      <c r="O1191" t="str">
        <f>IF(G1191="Not available","",VLOOKUP(F1191,Sheet2!$B$1:$E$19,4,FALSE)+(G1191-1))</f>
        <v/>
      </c>
    </row>
    <row r="1192" spans="1:15" s="1" customFormat="1" ht="15" customHeight="1" x14ac:dyDescent="0.25">
      <c r="A1192" s="18" t="s">
        <v>195</v>
      </c>
      <c r="B1192" s="18" t="s">
        <v>536</v>
      </c>
      <c r="C1192" s="5">
        <v>1837</v>
      </c>
      <c r="D1192" s="1" t="s">
        <v>146</v>
      </c>
      <c r="E1192" s="1" t="s">
        <v>2</v>
      </c>
      <c r="F1192" s="18">
        <v>2174</v>
      </c>
      <c r="G1192" s="18">
        <v>93</v>
      </c>
      <c r="H1192" s="6" t="s">
        <v>3161</v>
      </c>
      <c r="I1192" s="1">
        <v>185</v>
      </c>
      <c r="J1192" s="1">
        <v>212</v>
      </c>
      <c r="L1192" t="str">
        <f t="shared" si="18"/>
        <v>http://www.badatelna.eu/reprodukce/?fondId=1073&amp;zaznamId=1108960&amp;reproId=3780317</v>
      </c>
      <c r="M1192">
        <f>VLOOKUP(F1192,Sheet2!$B$1:$E$19,2,FALSE)</f>
        <v>1073</v>
      </c>
      <c r="N1192">
        <f>VLOOKUP(F1192,Sheet2!$B$1:$E$19,3,FALSE)</f>
        <v>1108960</v>
      </c>
      <c r="O1192">
        <f>IF(G1192="Not available","",VLOOKUP(F1192,Sheet2!$B$1:$E$19,4,FALSE)+(G1192-1))</f>
        <v>3780317</v>
      </c>
    </row>
    <row r="1193" spans="1:15" s="1" customFormat="1" ht="15" customHeight="1" x14ac:dyDescent="0.25">
      <c r="A1193" s="18" t="s">
        <v>195</v>
      </c>
      <c r="B1193" s="18" t="s">
        <v>146</v>
      </c>
      <c r="C1193" s="5">
        <v>1844</v>
      </c>
      <c r="D1193" s="1" t="s">
        <v>146</v>
      </c>
      <c r="E1193" s="1" t="s">
        <v>2</v>
      </c>
      <c r="F1193" s="18">
        <v>2174</v>
      </c>
      <c r="G1193" s="18">
        <v>144</v>
      </c>
      <c r="H1193" s="6" t="s">
        <v>3211</v>
      </c>
      <c r="I1193" s="1">
        <v>185</v>
      </c>
      <c r="J1193" s="1">
        <v>212</v>
      </c>
      <c r="L1193" t="str">
        <f t="shared" si="18"/>
        <v>http://www.badatelna.eu/reprodukce/?fondId=1073&amp;zaznamId=1108960&amp;reproId=3780368</v>
      </c>
      <c r="M1193">
        <f>VLOOKUP(F1193,Sheet2!$B$1:$E$19,2,FALSE)</f>
        <v>1073</v>
      </c>
      <c r="N1193">
        <f>VLOOKUP(F1193,Sheet2!$B$1:$E$19,3,FALSE)</f>
        <v>1108960</v>
      </c>
      <c r="O1193">
        <f>IF(G1193="Not available","",VLOOKUP(F1193,Sheet2!$B$1:$E$19,4,FALSE)+(G1193-1))</f>
        <v>3780368</v>
      </c>
    </row>
    <row r="1194" spans="1:15" s="1" customFormat="1" ht="15" customHeight="1" x14ac:dyDescent="0.25">
      <c r="A1194" s="18" t="s">
        <v>195</v>
      </c>
      <c r="B1194" s="18" t="s">
        <v>44</v>
      </c>
      <c r="C1194" s="5">
        <v>1846</v>
      </c>
      <c r="D1194" s="1" t="s">
        <v>23</v>
      </c>
      <c r="E1194" s="1" t="s">
        <v>2</v>
      </c>
      <c r="F1194" s="18">
        <v>2174</v>
      </c>
      <c r="G1194" s="18">
        <v>169</v>
      </c>
      <c r="H1194" s="6" t="s">
        <v>3229</v>
      </c>
      <c r="I1194" s="1">
        <v>185</v>
      </c>
      <c r="J1194" s="1">
        <v>212</v>
      </c>
      <c r="L1194" t="str">
        <f t="shared" si="18"/>
        <v>http://www.badatelna.eu/reprodukce/?fondId=1073&amp;zaznamId=1108960&amp;reproId=3780393</v>
      </c>
      <c r="M1194">
        <f>VLOOKUP(F1194,Sheet2!$B$1:$E$19,2,FALSE)</f>
        <v>1073</v>
      </c>
      <c r="N1194">
        <f>VLOOKUP(F1194,Sheet2!$B$1:$E$19,3,FALSE)</f>
        <v>1108960</v>
      </c>
      <c r="O1194">
        <f>IF(G1194="Not available","",VLOOKUP(F1194,Sheet2!$B$1:$E$19,4,FALSE)+(G1194-1))</f>
        <v>3780393</v>
      </c>
    </row>
    <row r="1195" spans="1:15" s="1" customFormat="1" ht="15" customHeight="1" x14ac:dyDescent="0.25">
      <c r="A1195" s="18" t="s">
        <v>195</v>
      </c>
      <c r="B1195" s="18" t="s">
        <v>44</v>
      </c>
      <c r="C1195" s="5">
        <v>1861</v>
      </c>
      <c r="E1195" s="1" t="s">
        <v>939</v>
      </c>
      <c r="F1195" s="18">
        <v>999</v>
      </c>
      <c r="G1195" s="18">
        <v>27</v>
      </c>
      <c r="H1195" s="5">
        <v>25</v>
      </c>
      <c r="I1195" s="1">
        <v>66</v>
      </c>
      <c r="J1195" s="1">
        <v>100</v>
      </c>
      <c r="L1195" t="str">
        <f t="shared" si="18"/>
        <v>http://www.badatelna.eu/reprodukce/?fondId=241&amp;zaznamId=1133739&amp;reproId=3885756</v>
      </c>
      <c r="M1195">
        <f>VLOOKUP(F1195,Sheet2!$B$1:$E$19,2,FALSE)</f>
        <v>241</v>
      </c>
      <c r="N1195">
        <f>VLOOKUP(F1195,Sheet2!$B$1:$E$19,3,FALSE)</f>
        <v>1133739</v>
      </c>
      <c r="O1195">
        <f>IF(G1195="Not available","",VLOOKUP(F1195,Sheet2!$B$1:$E$19,4,FALSE)+(G1195-1))</f>
        <v>3885756</v>
      </c>
    </row>
    <row r="1196" spans="1:15" s="1" customFormat="1" ht="15" customHeight="1" x14ac:dyDescent="0.25">
      <c r="A1196" s="18" t="s">
        <v>195</v>
      </c>
      <c r="B1196" s="18" t="s">
        <v>542</v>
      </c>
      <c r="C1196" s="5">
        <v>1861</v>
      </c>
      <c r="E1196" s="1" t="s">
        <v>939</v>
      </c>
      <c r="F1196" s="18">
        <v>999</v>
      </c>
      <c r="G1196" s="18">
        <v>28</v>
      </c>
      <c r="H1196" s="5">
        <v>26</v>
      </c>
      <c r="I1196" s="1">
        <v>66</v>
      </c>
      <c r="J1196" s="1">
        <v>100</v>
      </c>
      <c r="L1196" t="str">
        <f t="shared" si="18"/>
        <v>http://www.badatelna.eu/reprodukce/?fondId=241&amp;zaznamId=1133739&amp;reproId=3885757</v>
      </c>
      <c r="M1196">
        <f>VLOOKUP(F1196,Sheet2!$B$1:$E$19,2,FALSE)</f>
        <v>241</v>
      </c>
      <c r="N1196">
        <f>VLOOKUP(F1196,Sheet2!$B$1:$E$19,3,FALSE)</f>
        <v>1133739</v>
      </c>
      <c r="O1196">
        <f>IF(G1196="Not available","",VLOOKUP(F1196,Sheet2!$B$1:$E$19,4,FALSE)+(G1196-1))</f>
        <v>3885757</v>
      </c>
    </row>
    <row r="1197" spans="1:15" s="1" customFormat="1" ht="15" customHeight="1" x14ac:dyDescent="0.25">
      <c r="A1197" s="18" t="s">
        <v>195</v>
      </c>
      <c r="B1197" s="18" t="s">
        <v>2022</v>
      </c>
      <c r="C1197" s="10" t="s">
        <v>2005</v>
      </c>
      <c r="D1197" s="3" t="s">
        <v>2187</v>
      </c>
      <c r="E1197" s="4" t="s">
        <v>2</v>
      </c>
      <c r="F1197" s="18">
        <v>2176</v>
      </c>
      <c r="G1197" s="18" t="s">
        <v>3271</v>
      </c>
      <c r="H1197" s="10" t="s">
        <v>1999</v>
      </c>
      <c r="I1197" s="1">
        <v>12</v>
      </c>
      <c r="J1197" s="3" t="s">
        <v>3271</v>
      </c>
      <c r="L1197" t="str">
        <f t="shared" si="18"/>
        <v/>
      </c>
      <c r="M1197">
        <f>VLOOKUP(F1197,Sheet2!$B$1:$E$19,2,FALSE)</f>
        <v>1073</v>
      </c>
      <c r="N1197">
        <f>VLOOKUP(F1197,Sheet2!$B$1:$E$19,3,FALSE)</f>
        <v>1108963</v>
      </c>
      <c r="O1197" t="str">
        <f>IF(G1197="Not available","",VLOOKUP(F1197,Sheet2!$B$1:$E$19,4,FALSE)+(G1197-1))</f>
        <v/>
      </c>
    </row>
    <row r="1198" spans="1:15" s="1" customFormat="1" ht="15" customHeight="1" x14ac:dyDescent="0.25">
      <c r="A1198" s="18" t="s">
        <v>195</v>
      </c>
      <c r="B1198" s="18" t="s">
        <v>545</v>
      </c>
      <c r="C1198" s="5" t="s">
        <v>1364</v>
      </c>
      <c r="D1198" s="1" t="s">
        <v>50</v>
      </c>
      <c r="E1198" s="1" t="s">
        <v>2</v>
      </c>
      <c r="F1198" s="18">
        <v>2165</v>
      </c>
      <c r="G1198" s="18">
        <v>22</v>
      </c>
      <c r="H1198" s="14" t="s">
        <v>2904</v>
      </c>
      <c r="I1198" s="1">
        <v>82</v>
      </c>
      <c r="J1198" s="1" t="s">
        <v>3271</v>
      </c>
      <c r="L1198" t="str">
        <f t="shared" si="18"/>
        <v>http://www.badatelna.eu/reprodukce/?fondId=1073&amp;zaznamId=1108952&amp;reproId=3778883</v>
      </c>
      <c r="M1198">
        <f>VLOOKUP(F1198,Sheet2!$B$1:$E$19,2,FALSE)</f>
        <v>1073</v>
      </c>
      <c r="N1198">
        <f>VLOOKUP(F1198,Sheet2!$B$1:$E$19,3,FALSE)</f>
        <v>1108952</v>
      </c>
      <c r="O1198">
        <f>IF(G1198="Not available","",VLOOKUP(F1198,Sheet2!$B$1:$E$19,4,FALSE)+(G1198-1))</f>
        <v>3778883</v>
      </c>
    </row>
    <row r="1199" spans="1:15" s="1" customFormat="1" ht="15" customHeight="1" x14ac:dyDescent="0.25">
      <c r="A1199" s="18" t="s">
        <v>854</v>
      </c>
      <c r="B1199" s="18" t="s">
        <v>50</v>
      </c>
      <c r="C1199" s="5">
        <v>1856</v>
      </c>
      <c r="D1199" s="1" t="s">
        <v>40</v>
      </c>
      <c r="E1199" s="1" t="s">
        <v>2</v>
      </c>
      <c r="F1199" s="18">
        <v>2164</v>
      </c>
      <c r="G1199" s="18">
        <v>88</v>
      </c>
      <c r="H1199" s="5">
        <v>86</v>
      </c>
      <c r="I1199" s="1">
        <v>127</v>
      </c>
      <c r="J1199" s="1" t="s">
        <v>3271</v>
      </c>
      <c r="L1199" t="str">
        <f t="shared" si="18"/>
        <v>http://www.badatelna.eu/reprodukce/?fondId=1073&amp;zaznamId=1108951&amp;reproId=3778802</v>
      </c>
      <c r="M1199">
        <f>VLOOKUP(F1199,Sheet2!$B$1:$E$19,2,FALSE)</f>
        <v>1073</v>
      </c>
      <c r="N1199">
        <f>VLOOKUP(F1199,Sheet2!$B$1:$E$19,3,FALSE)</f>
        <v>1108951</v>
      </c>
      <c r="O1199">
        <f>IF(G1199="Not available","",VLOOKUP(F1199,Sheet2!$B$1:$E$19,4,FALSE)+(G1199-1))</f>
        <v>3778802</v>
      </c>
    </row>
    <row r="1200" spans="1:15" s="1" customFormat="1" ht="15" customHeight="1" x14ac:dyDescent="0.25">
      <c r="A1200" s="18" t="s">
        <v>854</v>
      </c>
      <c r="B1200" s="18" t="s">
        <v>146</v>
      </c>
      <c r="C1200" s="5">
        <v>1856</v>
      </c>
      <c r="D1200" s="1" t="s">
        <v>40</v>
      </c>
      <c r="E1200" s="1" t="s">
        <v>2</v>
      </c>
      <c r="F1200" s="18">
        <v>2164</v>
      </c>
      <c r="G1200" s="18">
        <v>72</v>
      </c>
      <c r="H1200" s="5">
        <v>70</v>
      </c>
      <c r="I1200" s="1">
        <v>127</v>
      </c>
      <c r="J1200" s="1" t="s">
        <v>3271</v>
      </c>
      <c r="L1200" t="str">
        <f t="shared" si="18"/>
        <v>http://www.badatelna.eu/reprodukce/?fondId=1073&amp;zaznamId=1108951&amp;reproId=3778786</v>
      </c>
      <c r="M1200">
        <f>VLOOKUP(F1200,Sheet2!$B$1:$E$19,2,FALSE)</f>
        <v>1073</v>
      </c>
      <c r="N1200">
        <f>VLOOKUP(F1200,Sheet2!$B$1:$E$19,3,FALSE)</f>
        <v>1108951</v>
      </c>
      <c r="O1200">
        <f>IF(G1200="Not available","",VLOOKUP(F1200,Sheet2!$B$1:$E$19,4,FALSE)+(G1200-1))</f>
        <v>3778786</v>
      </c>
    </row>
    <row r="1201" spans="1:15" s="1" customFormat="1" ht="15" customHeight="1" x14ac:dyDescent="0.25">
      <c r="A1201" s="18" t="s">
        <v>1117</v>
      </c>
      <c r="B1201" s="18" t="s">
        <v>1113</v>
      </c>
      <c r="C1201" s="5" t="s">
        <v>1715</v>
      </c>
      <c r="D1201" s="1" t="s">
        <v>1115</v>
      </c>
      <c r="E1201" s="1" t="s">
        <v>2</v>
      </c>
      <c r="F1201" s="18">
        <v>2165</v>
      </c>
      <c r="G1201" s="18">
        <v>168</v>
      </c>
      <c r="H1201" s="5">
        <v>4</v>
      </c>
      <c r="I1201" s="1">
        <v>170</v>
      </c>
      <c r="J1201" s="1">
        <v>148</v>
      </c>
      <c r="L1201" t="str">
        <f t="shared" si="18"/>
        <v>http://www.badatelna.eu/reprodukce/?fondId=1073&amp;zaznamId=1108952&amp;reproId=3779029</v>
      </c>
      <c r="M1201">
        <f>VLOOKUP(F1201,Sheet2!$B$1:$E$19,2,FALSE)</f>
        <v>1073</v>
      </c>
      <c r="N1201">
        <f>VLOOKUP(F1201,Sheet2!$B$1:$E$19,3,FALSE)</f>
        <v>1108952</v>
      </c>
      <c r="O1201">
        <f>IF(G1201="Not available","",VLOOKUP(F1201,Sheet2!$B$1:$E$19,4,FALSE)+(G1201-1))</f>
        <v>3779029</v>
      </c>
    </row>
    <row r="1202" spans="1:15" s="1" customFormat="1" ht="15" customHeight="1" x14ac:dyDescent="0.25">
      <c r="A1202" s="18" t="s">
        <v>1117</v>
      </c>
      <c r="B1202" s="18" t="s">
        <v>2196</v>
      </c>
      <c r="C1202" s="10" t="s">
        <v>2025</v>
      </c>
      <c r="D1202" s="3" t="s">
        <v>2190</v>
      </c>
      <c r="E1202" s="4" t="s">
        <v>2</v>
      </c>
      <c r="F1202" s="18">
        <v>2176</v>
      </c>
      <c r="G1202" s="18" t="s">
        <v>3271</v>
      </c>
      <c r="H1202" s="10" t="s">
        <v>2146</v>
      </c>
      <c r="I1202" s="1">
        <v>13</v>
      </c>
      <c r="J1202" s="3" t="s">
        <v>3271</v>
      </c>
      <c r="K1202" s="3"/>
      <c r="L1202" t="str">
        <f t="shared" si="18"/>
        <v/>
      </c>
      <c r="M1202">
        <f>VLOOKUP(F1202,Sheet2!$B$1:$E$19,2,FALSE)</f>
        <v>1073</v>
      </c>
      <c r="N1202">
        <f>VLOOKUP(F1202,Sheet2!$B$1:$E$19,3,FALSE)</f>
        <v>1108963</v>
      </c>
      <c r="O1202" t="str">
        <f>IF(G1202="Not available","",VLOOKUP(F1202,Sheet2!$B$1:$E$19,4,FALSE)+(G1202-1))</f>
        <v/>
      </c>
    </row>
    <row r="1203" spans="1:15" s="1" customFormat="1" ht="15" customHeight="1" x14ac:dyDescent="0.25">
      <c r="A1203" s="18" t="s">
        <v>188</v>
      </c>
      <c r="B1203" s="18" t="s">
        <v>74</v>
      </c>
      <c r="C1203" s="5">
        <v>1804</v>
      </c>
      <c r="E1203" s="1" t="s">
        <v>2</v>
      </c>
      <c r="F1203" s="18">
        <v>2173</v>
      </c>
      <c r="G1203" s="18">
        <v>49</v>
      </c>
      <c r="H1203" s="5">
        <v>92</v>
      </c>
      <c r="I1203" s="1">
        <v>96</v>
      </c>
      <c r="J1203" s="1">
        <v>205</v>
      </c>
      <c r="L1203" t="str">
        <f t="shared" si="18"/>
        <v>http://www.badatelna.eu/reprodukce/?fondId=1073&amp;zaznamId=1108959&amp;reproId=3780042</v>
      </c>
      <c r="M1203">
        <f>VLOOKUP(F1203,Sheet2!$B$1:$E$19,2,FALSE)</f>
        <v>1073</v>
      </c>
      <c r="N1203">
        <f>VLOOKUP(F1203,Sheet2!$B$1:$E$19,3,FALSE)</f>
        <v>1108959</v>
      </c>
      <c r="O1203">
        <f>IF(G1203="Not available","",VLOOKUP(F1203,Sheet2!$B$1:$E$19,4,FALSE)+(G1203-1))</f>
        <v>3780042</v>
      </c>
    </row>
    <row r="1204" spans="1:15" s="1" customFormat="1" ht="15" customHeight="1" x14ac:dyDescent="0.25">
      <c r="A1204" s="18" t="s">
        <v>188</v>
      </c>
      <c r="B1204" s="18" t="s">
        <v>194</v>
      </c>
      <c r="C1204" s="5">
        <v>1821</v>
      </c>
      <c r="E1204" s="1" t="s">
        <v>2</v>
      </c>
      <c r="F1204" s="18">
        <v>2173</v>
      </c>
      <c r="G1204" s="18">
        <v>71</v>
      </c>
      <c r="H1204" s="5">
        <v>135</v>
      </c>
      <c r="I1204" s="1">
        <v>97</v>
      </c>
      <c r="J1204" s="1">
        <v>206</v>
      </c>
      <c r="L1204" t="str">
        <f t="shared" si="18"/>
        <v>http://www.badatelna.eu/reprodukce/?fondId=1073&amp;zaznamId=1108959&amp;reproId=3780064</v>
      </c>
      <c r="M1204">
        <f>VLOOKUP(F1204,Sheet2!$B$1:$E$19,2,FALSE)</f>
        <v>1073</v>
      </c>
      <c r="N1204">
        <f>VLOOKUP(F1204,Sheet2!$B$1:$E$19,3,FALSE)</f>
        <v>1108959</v>
      </c>
      <c r="O1204">
        <f>IF(G1204="Not available","",VLOOKUP(F1204,Sheet2!$B$1:$E$19,4,FALSE)+(G1204-1))</f>
        <v>3780064</v>
      </c>
    </row>
    <row r="1205" spans="1:15" s="1" customFormat="1" ht="15" customHeight="1" x14ac:dyDescent="0.25">
      <c r="A1205" s="18" t="s">
        <v>188</v>
      </c>
      <c r="B1205" s="18" t="s">
        <v>51</v>
      </c>
      <c r="C1205" s="5">
        <v>1815</v>
      </c>
      <c r="E1205" s="1" t="s">
        <v>2</v>
      </c>
      <c r="F1205" s="18">
        <v>2173</v>
      </c>
      <c r="G1205" s="18">
        <v>64</v>
      </c>
      <c r="H1205" s="5">
        <v>122</v>
      </c>
      <c r="I1205" s="1">
        <v>96</v>
      </c>
      <c r="J1205" s="1">
        <v>205</v>
      </c>
      <c r="L1205" t="str">
        <f t="shared" si="18"/>
        <v>http://www.badatelna.eu/reprodukce/?fondId=1073&amp;zaznamId=1108959&amp;reproId=3780057</v>
      </c>
      <c r="M1205">
        <f>VLOOKUP(F1205,Sheet2!$B$1:$E$19,2,FALSE)</f>
        <v>1073</v>
      </c>
      <c r="N1205">
        <f>VLOOKUP(F1205,Sheet2!$B$1:$E$19,3,FALSE)</f>
        <v>1108959</v>
      </c>
      <c r="O1205">
        <f>IF(G1205="Not available","",VLOOKUP(F1205,Sheet2!$B$1:$E$19,4,FALSE)+(G1205-1))</f>
        <v>3780057</v>
      </c>
    </row>
    <row r="1206" spans="1:15" s="1" customFormat="1" ht="15" customHeight="1" x14ac:dyDescent="0.25">
      <c r="A1206" s="18" t="s">
        <v>188</v>
      </c>
      <c r="B1206" s="18" t="s">
        <v>361</v>
      </c>
      <c r="C1206" s="5">
        <v>1865</v>
      </c>
      <c r="E1206" s="1" t="s">
        <v>939</v>
      </c>
      <c r="F1206" s="18">
        <v>999</v>
      </c>
      <c r="G1206" s="18">
        <v>56</v>
      </c>
      <c r="H1206" s="5">
        <v>54</v>
      </c>
      <c r="I1206" s="1">
        <v>66</v>
      </c>
      <c r="J1206" s="1">
        <v>100</v>
      </c>
      <c r="L1206" t="str">
        <f t="shared" si="18"/>
        <v>http://www.badatelna.eu/reprodukce/?fondId=241&amp;zaznamId=1133739&amp;reproId=3885785</v>
      </c>
      <c r="M1206">
        <f>VLOOKUP(F1206,Sheet2!$B$1:$E$19,2,FALSE)</f>
        <v>241</v>
      </c>
      <c r="N1206">
        <f>VLOOKUP(F1206,Sheet2!$B$1:$E$19,3,FALSE)</f>
        <v>1133739</v>
      </c>
      <c r="O1206">
        <f>IF(G1206="Not available","",VLOOKUP(F1206,Sheet2!$B$1:$E$19,4,FALSE)+(G1206-1))</f>
        <v>3885785</v>
      </c>
    </row>
    <row r="1207" spans="1:15" s="1" customFormat="1" ht="15" customHeight="1" x14ac:dyDescent="0.25">
      <c r="A1207" s="18" t="s">
        <v>188</v>
      </c>
      <c r="B1207" s="18" t="s">
        <v>19</v>
      </c>
      <c r="C1207" s="5">
        <v>1814</v>
      </c>
      <c r="E1207" s="1" t="s">
        <v>2</v>
      </c>
      <c r="F1207" s="18">
        <v>2173</v>
      </c>
      <c r="G1207" s="18">
        <v>62</v>
      </c>
      <c r="H1207" s="5">
        <v>119</v>
      </c>
      <c r="I1207" s="1">
        <v>96</v>
      </c>
      <c r="J1207" s="1">
        <v>205</v>
      </c>
      <c r="L1207" t="str">
        <f t="shared" si="18"/>
        <v>http://www.badatelna.eu/reprodukce/?fondId=1073&amp;zaznamId=1108959&amp;reproId=3780055</v>
      </c>
      <c r="M1207">
        <f>VLOOKUP(F1207,Sheet2!$B$1:$E$19,2,FALSE)</f>
        <v>1073</v>
      </c>
      <c r="N1207">
        <f>VLOOKUP(F1207,Sheet2!$B$1:$E$19,3,FALSE)</f>
        <v>1108959</v>
      </c>
      <c r="O1207">
        <f>IF(G1207="Not available","",VLOOKUP(F1207,Sheet2!$B$1:$E$19,4,FALSE)+(G1207-1))</f>
        <v>3780055</v>
      </c>
    </row>
    <row r="1208" spans="1:15" s="1" customFormat="1" ht="15" customHeight="1" x14ac:dyDescent="0.25">
      <c r="A1208" s="18" t="s">
        <v>188</v>
      </c>
      <c r="B1208" s="18" t="s">
        <v>434</v>
      </c>
      <c r="C1208" s="5">
        <v>1847</v>
      </c>
      <c r="D1208" s="1" t="s">
        <v>852</v>
      </c>
      <c r="E1208" s="1" t="s">
        <v>2</v>
      </c>
      <c r="F1208" s="18">
        <v>2164</v>
      </c>
      <c r="G1208" s="18">
        <v>35</v>
      </c>
      <c r="H1208" s="5">
        <v>33</v>
      </c>
      <c r="I1208" s="1">
        <v>127</v>
      </c>
      <c r="J1208" s="1" t="s">
        <v>3271</v>
      </c>
      <c r="L1208" t="str">
        <f t="shared" si="18"/>
        <v>http://www.badatelna.eu/reprodukce/?fondId=1073&amp;zaznamId=1108951&amp;reproId=3778749</v>
      </c>
      <c r="M1208">
        <f>VLOOKUP(F1208,Sheet2!$B$1:$E$19,2,FALSE)</f>
        <v>1073</v>
      </c>
      <c r="N1208">
        <f>VLOOKUP(F1208,Sheet2!$B$1:$E$19,3,FALSE)</f>
        <v>1108951</v>
      </c>
      <c r="O1208">
        <f>IF(G1208="Not available","",VLOOKUP(F1208,Sheet2!$B$1:$E$19,4,FALSE)+(G1208-1))</f>
        <v>3778749</v>
      </c>
    </row>
    <row r="1209" spans="1:15" s="1" customFormat="1" ht="15" customHeight="1" x14ac:dyDescent="0.25">
      <c r="A1209" s="18" t="s">
        <v>188</v>
      </c>
      <c r="B1209" s="18" t="s">
        <v>146</v>
      </c>
      <c r="C1209" s="5">
        <v>1809</v>
      </c>
      <c r="E1209" s="1" t="s">
        <v>2</v>
      </c>
      <c r="F1209" s="18">
        <v>2173</v>
      </c>
      <c r="G1209" s="18">
        <v>55</v>
      </c>
      <c r="H1209" s="5">
        <v>104</v>
      </c>
      <c r="I1209" s="1">
        <v>96</v>
      </c>
      <c r="J1209" s="1">
        <v>205</v>
      </c>
      <c r="L1209" t="str">
        <f t="shared" si="18"/>
        <v>http://www.badatelna.eu/reprodukce/?fondId=1073&amp;zaznamId=1108959&amp;reproId=3780048</v>
      </c>
      <c r="M1209">
        <f>VLOOKUP(F1209,Sheet2!$B$1:$E$19,2,FALSE)</f>
        <v>1073</v>
      </c>
      <c r="N1209">
        <f>VLOOKUP(F1209,Sheet2!$B$1:$E$19,3,FALSE)</f>
        <v>1108959</v>
      </c>
      <c r="O1209">
        <f>IF(G1209="Not available","",VLOOKUP(F1209,Sheet2!$B$1:$E$19,4,FALSE)+(G1209-1))</f>
        <v>3780048</v>
      </c>
    </row>
    <row r="1210" spans="1:15" s="1" customFormat="1" ht="15" customHeight="1" x14ac:dyDescent="0.25">
      <c r="A1210" s="18" t="s">
        <v>188</v>
      </c>
      <c r="B1210" s="18" t="s">
        <v>11</v>
      </c>
      <c r="C1210" s="5">
        <v>1806</v>
      </c>
      <c r="E1210" s="1" t="s">
        <v>2</v>
      </c>
      <c r="F1210" s="18">
        <v>2173</v>
      </c>
      <c r="G1210" s="18">
        <v>51</v>
      </c>
      <c r="H1210" s="5">
        <v>97</v>
      </c>
      <c r="I1210" s="1">
        <v>96</v>
      </c>
      <c r="J1210" s="1">
        <v>205</v>
      </c>
      <c r="L1210" t="str">
        <f t="shared" si="18"/>
        <v>http://www.badatelna.eu/reprodukce/?fondId=1073&amp;zaznamId=1108959&amp;reproId=3780044</v>
      </c>
      <c r="M1210">
        <f>VLOOKUP(F1210,Sheet2!$B$1:$E$19,2,FALSE)</f>
        <v>1073</v>
      </c>
      <c r="N1210">
        <f>VLOOKUP(F1210,Sheet2!$B$1:$E$19,3,FALSE)</f>
        <v>1108959</v>
      </c>
      <c r="O1210">
        <f>IF(G1210="Not available","",VLOOKUP(F1210,Sheet2!$B$1:$E$19,4,FALSE)+(G1210-1))</f>
        <v>3780044</v>
      </c>
    </row>
    <row r="1211" spans="1:15" s="1" customFormat="1" ht="15" customHeight="1" x14ac:dyDescent="0.25">
      <c r="A1211" s="18" t="s">
        <v>188</v>
      </c>
      <c r="B1211" s="18" t="s">
        <v>71</v>
      </c>
      <c r="C1211" s="5">
        <v>1811</v>
      </c>
      <c r="E1211" s="1" t="s">
        <v>2</v>
      </c>
      <c r="F1211" s="18">
        <v>2173</v>
      </c>
      <c r="G1211" s="18">
        <v>58</v>
      </c>
      <c r="H1211" s="5">
        <v>111</v>
      </c>
      <c r="I1211" s="1">
        <v>96</v>
      </c>
      <c r="J1211" s="1">
        <v>205</v>
      </c>
      <c r="L1211" t="str">
        <f t="shared" si="18"/>
        <v>http://www.badatelna.eu/reprodukce/?fondId=1073&amp;zaznamId=1108959&amp;reproId=3780051</v>
      </c>
      <c r="M1211">
        <f>VLOOKUP(F1211,Sheet2!$B$1:$E$19,2,FALSE)</f>
        <v>1073</v>
      </c>
      <c r="N1211">
        <f>VLOOKUP(F1211,Sheet2!$B$1:$E$19,3,FALSE)</f>
        <v>1108959</v>
      </c>
      <c r="O1211">
        <f>IF(G1211="Not available","",VLOOKUP(F1211,Sheet2!$B$1:$E$19,4,FALSE)+(G1211-1))</f>
        <v>3780051</v>
      </c>
    </row>
    <row r="1212" spans="1:15" s="1" customFormat="1" ht="15" customHeight="1" x14ac:dyDescent="0.25">
      <c r="A1212" s="18" t="s">
        <v>188</v>
      </c>
      <c r="B1212" s="18" t="s">
        <v>193</v>
      </c>
      <c r="C1212" s="5">
        <v>1818</v>
      </c>
      <c r="E1212" s="1" t="s">
        <v>2</v>
      </c>
      <c r="F1212" s="18">
        <v>2173</v>
      </c>
      <c r="G1212" s="18">
        <v>68</v>
      </c>
      <c r="H1212" s="5">
        <v>128</v>
      </c>
      <c r="I1212" s="1">
        <v>97</v>
      </c>
      <c r="J1212" s="1">
        <v>206</v>
      </c>
      <c r="L1212" t="str">
        <f t="shared" si="18"/>
        <v>http://www.badatelna.eu/reprodukce/?fondId=1073&amp;zaznamId=1108959&amp;reproId=3780061</v>
      </c>
      <c r="M1212">
        <f>VLOOKUP(F1212,Sheet2!$B$1:$E$19,2,FALSE)</f>
        <v>1073</v>
      </c>
      <c r="N1212">
        <f>VLOOKUP(F1212,Sheet2!$B$1:$E$19,3,FALSE)</f>
        <v>1108959</v>
      </c>
      <c r="O1212">
        <f>IF(G1212="Not available","",VLOOKUP(F1212,Sheet2!$B$1:$E$19,4,FALSE)+(G1212-1))</f>
        <v>3780061</v>
      </c>
    </row>
    <row r="1213" spans="1:15" s="1" customFormat="1" ht="15" customHeight="1" x14ac:dyDescent="0.25">
      <c r="A1213" s="18" t="s">
        <v>1142</v>
      </c>
      <c r="B1213" s="18" t="s">
        <v>477</v>
      </c>
      <c r="C1213" s="5">
        <v>1864</v>
      </c>
      <c r="D1213" s="1" t="s">
        <v>432</v>
      </c>
      <c r="E1213" s="1" t="s">
        <v>2</v>
      </c>
      <c r="F1213" s="18">
        <v>2165</v>
      </c>
      <c r="G1213" s="18">
        <v>186</v>
      </c>
      <c r="H1213" s="5">
        <v>2</v>
      </c>
      <c r="I1213" s="1">
        <v>190</v>
      </c>
      <c r="J1213" s="1">
        <v>167</v>
      </c>
      <c r="L1213" t="str">
        <f t="shared" si="18"/>
        <v>http://www.badatelna.eu/reprodukce/?fondId=1073&amp;zaznamId=1108952&amp;reproId=3779047</v>
      </c>
      <c r="M1213">
        <f>VLOOKUP(F1213,Sheet2!$B$1:$E$19,2,FALSE)</f>
        <v>1073</v>
      </c>
      <c r="N1213">
        <f>VLOOKUP(F1213,Sheet2!$B$1:$E$19,3,FALSE)</f>
        <v>1108952</v>
      </c>
      <c r="O1213">
        <f>IF(G1213="Not available","",VLOOKUP(F1213,Sheet2!$B$1:$E$19,4,FALSE)+(G1213-1))</f>
        <v>3779047</v>
      </c>
    </row>
    <row r="1214" spans="1:15" s="1" customFormat="1" ht="15" customHeight="1" x14ac:dyDescent="0.25">
      <c r="A1214" s="18" t="s">
        <v>1142</v>
      </c>
      <c r="B1214" s="18" t="s">
        <v>398</v>
      </c>
      <c r="C1214" s="5">
        <v>1860</v>
      </c>
      <c r="D1214" s="1" t="s">
        <v>432</v>
      </c>
      <c r="E1214" s="1" t="s">
        <v>2</v>
      </c>
      <c r="F1214" s="18">
        <v>2165</v>
      </c>
      <c r="G1214" s="18">
        <v>186</v>
      </c>
      <c r="H1214" s="5">
        <v>2</v>
      </c>
      <c r="I1214" s="1">
        <v>190</v>
      </c>
      <c r="J1214" s="1">
        <v>167</v>
      </c>
      <c r="L1214" t="str">
        <f t="shared" si="18"/>
        <v>http://www.badatelna.eu/reprodukce/?fondId=1073&amp;zaznamId=1108952&amp;reproId=3779047</v>
      </c>
      <c r="M1214">
        <f>VLOOKUP(F1214,Sheet2!$B$1:$E$19,2,FALSE)</f>
        <v>1073</v>
      </c>
      <c r="N1214">
        <f>VLOOKUP(F1214,Sheet2!$B$1:$E$19,3,FALSE)</f>
        <v>1108952</v>
      </c>
      <c r="O1214">
        <f>IF(G1214="Not available","",VLOOKUP(F1214,Sheet2!$B$1:$E$19,4,FALSE)+(G1214-1))</f>
        <v>3779047</v>
      </c>
    </row>
    <row r="1215" spans="1:15" s="1" customFormat="1" ht="15" customHeight="1" x14ac:dyDescent="0.25">
      <c r="A1215" s="19" t="s">
        <v>946</v>
      </c>
      <c r="B1215" s="18" t="s">
        <v>477</v>
      </c>
      <c r="C1215" s="10" t="s">
        <v>2220</v>
      </c>
      <c r="D1215" s="3" t="s">
        <v>2219</v>
      </c>
      <c r="E1215" s="4" t="s">
        <v>2</v>
      </c>
      <c r="F1215" s="18">
        <v>2176</v>
      </c>
      <c r="G1215" s="18" t="s">
        <v>3271</v>
      </c>
      <c r="H1215" s="10" t="s">
        <v>2061</v>
      </c>
      <c r="I1215" s="3">
        <v>13</v>
      </c>
      <c r="J1215" s="3" t="s">
        <v>3271</v>
      </c>
      <c r="K1215" s="4" t="s">
        <v>3349</v>
      </c>
      <c r="L1215" t="str">
        <f t="shared" si="18"/>
        <v/>
      </c>
      <c r="M1215">
        <f>VLOOKUP(F1215,Sheet2!$B$1:$E$19,2,FALSE)</f>
        <v>1073</v>
      </c>
      <c r="N1215">
        <f>VLOOKUP(F1215,Sheet2!$B$1:$E$19,3,FALSE)</f>
        <v>1108963</v>
      </c>
      <c r="O1215" t="str">
        <f>IF(G1215="Not available","",VLOOKUP(F1215,Sheet2!$B$1:$E$19,4,FALSE)+(G1215-1))</f>
        <v/>
      </c>
    </row>
    <row r="1216" spans="1:15" s="1" customFormat="1" ht="15" customHeight="1" x14ac:dyDescent="0.25">
      <c r="A1216" s="19" t="s">
        <v>946</v>
      </c>
      <c r="B1216" s="19" t="s">
        <v>2168</v>
      </c>
      <c r="C1216" s="10" t="s">
        <v>2218</v>
      </c>
      <c r="D1216" s="3" t="s">
        <v>2219</v>
      </c>
      <c r="E1216" s="4" t="s">
        <v>2</v>
      </c>
      <c r="F1216" s="18">
        <v>2176</v>
      </c>
      <c r="G1216" s="18" t="s">
        <v>3271</v>
      </c>
      <c r="H1216" s="10" t="s">
        <v>1979</v>
      </c>
      <c r="I1216" s="3">
        <v>13</v>
      </c>
      <c r="J1216" s="3" t="s">
        <v>3271</v>
      </c>
      <c r="K1216" s="4" t="s">
        <v>3349</v>
      </c>
      <c r="L1216" t="str">
        <f t="shared" si="18"/>
        <v/>
      </c>
      <c r="M1216">
        <f>VLOOKUP(F1216,Sheet2!$B$1:$E$19,2,FALSE)</f>
        <v>1073</v>
      </c>
      <c r="N1216">
        <f>VLOOKUP(F1216,Sheet2!$B$1:$E$19,3,FALSE)</f>
        <v>1108963</v>
      </c>
      <c r="O1216" t="str">
        <f>IF(G1216="Not available","",VLOOKUP(F1216,Sheet2!$B$1:$E$19,4,FALSE)+(G1216-1))</f>
        <v/>
      </c>
    </row>
    <row r="1217" spans="1:15" s="1" customFormat="1" ht="15" customHeight="1" x14ac:dyDescent="0.25">
      <c r="A1217" s="19" t="s">
        <v>1142</v>
      </c>
      <c r="B1217" s="18" t="s">
        <v>1050</v>
      </c>
      <c r="C1217" s="5">
        <v>1862</v>
      </c>
      <c r="D1217" s="1" t="s">
        <v>432</v>
      </c>
      <c r="E1217" s="1" t="s">
        <v>2</v>
      </c>
      <c r="F1217" s="18">
        <v>2165</v>
      </c>
      <c r="G1217" s="18">
        <v>186</v>
      </c>
      <c r="H1217" s="6" t="s">
        <v>2053</v>
      </c>
      <c r="I1217" s="1">
        <v>190</v>
      </c>
      <c r="J1217" s="1">
        <v>167</v>
      </c>
      <c r="K1217" s="4" t="s">
        <v>3349</v>
      </c>
      <c r="L1217" t="str">
        <f t="shared" si="18"/>
        <v>http://www.badatelna.eu/reprodukce/?fondId=1073&amp;zaznamId=1108952&amp;reproId=3779047</v>
      </c>
      <c r="M1217">
        <f>VLOOKUP(F1217,Sheet2!$B$1:$E$19,2,FALSE)</f>
        <v>1073</v>
      </c>
      <c r="N1217">
        <f>VLOOKUP(F1217,Sheet2!$B$1:$E$19,3,FALSE)</f>
        <v>1108952</v>
      </c>
      <c r="O1217">
        <f>IF(G1217="Not available","",VLOOKUP(F1217,Sheet2!$B$1:$E$19,4,FALSE)+(G1217-1))</f>
        <v>3779047</v>
      </c>
    </row>
    <row r="1218" spans="1:15" s="1" customFormat="1" ht="15" customHeight="1" x14ac:dyDescent="0.25">
      <c r="A1218" s="19" t="s">
        <v>946</v>
      </c>
      <c r="B1218" s="18" t="s">
        <v>398</v>
      </c>
      <c r="C1218" s="10" t="s">
        <v>2216</v>
      </c>
      <c r="D1218" s="3" t="s">
        <v>2217</v>
      </c>
      <c r="E1218" s="4" t="s">
        <v>2</v>
      </c>
      <c r="F1218" s="18">
        <v>2176</v>
      </c>
      <c r="G1218" s="18" t="s">
        <v>3271</v>
      </c>
      <c r="H1218" s="10" t="s">
        <v>1976</v>
      </c>
      <c r="I1218" s="3">
        <v>13</v>
      </c>
      <c r="J1218" s="3" t="s">
        <v>3271</v>
      </c>
      <c r="L1218" t="str">
        <f t="shared" si="18"/>
        <v/>
      </c>
      <c r="M1218">
        <f>VLOOKUP(F1218,Sheet2!$B$1:$E$19,2,FALSE)</f>
        <v>1073</v>
      </c>
      <c r="N1218">
        <f>VLOOKUP(F1218,Sheet2!$B$1:$E$19,3,FALSE)</f>
        <v>1108963</v>
      </c>
      <c r="O1218" t="str">
        <f>IF(G1218="Not available","",VLOOKUP(F1218,Sheet2!$B$1:$E$19,4,FALSE)+(G1218-1))</f>
        <v/>
      </c>
    </row>
    <row r="1219" spans="1:15" s="1" customFormat="1" ht="15" customHeight="1" x14ac:dyDescent="0.25">
      <c r="A1219" s="19" t="s">
        <v>283</v>
      </c>
      <c r="B1219" s="18" t="s">
        <v>50</v>
      </c>
      <c r="C1219" s="6" t="s">
        <v>3318</v>
      </c>
      <c r="D1219" s="4" t="s">
        <v>182</v>
      </c>
      <c r="E1219" s="1" t="s">
        <v>2</v>
      </c>
      <c r="F1219" s="18">
        <v>2173</v>
      </c>
      <c r="G1219" s="18">
        <v>36</v>
      </c>
      <c r="H1219" s="5">
        <v>69</v>
      </c>
      <c r="I1219" s="1">
        <v>96</v>
      </c>
      <c r="J1219" s="1">
        <v>201</v>
      </c>
      <c r="L1219" t="str">
        <f t="shared" ref="L1219:L1282" si="19">IF(G1219="Not available","","http://www.badatelna.eu/reprodukce/?fondId="&amp;M1219&amp;"&amp;zaznamId="&amp;N1219&amp;"&amp;reproId="&amp;O1219)</f>
        <v>http://www.badatelna.eu/reprodukce/?fondId=1073&amp;zaznamId=1108959&amp;reproId=3780029</v>
      </c>
      <c r="M1219">
        <f>VLOOKUP(F1219,Sheet2!$B$1:$E$19,2,FALSE)</f>
        <v>1073</v>
      </c>
      <c r="N1219">
        <f>VLOOKUP(F1219,Sheet2!$B$1:$E$19,3,FALSE)</f>
        <v>1108959</v>
      </c>
      <c r="O1219">
        <f>IF(G1219="Not available","",VLOOKUP(F1219,Sheet2!$B$1:$E$19,4,FALSE)+(G1219-1))</f>
        <v>3780029</v>
      </c>
    </row>
    <row r="1220" spans="1:15" s="1" customFormat="1" ht="15" customHeight="1" x14ac:dyDescent="0.25">
      <c r="A1220" s="19" t="s">
        <v>648</v>
      </c>
      <c r="B1220" s="18" t="s">
        <v>196</v>
      </c>
      <c r="C1220" s="5">
        <v>1828</v>
      </c>
      <c r="E1220" s="1" t="s">
        <v>2</v>
      </c>
      <c r="F1220" s="18">
        <v>2173</v>
      </c>
      <c r="G1220" s="18">
        <v>80</v>
      </c>
      <c r="H1220" s="5">
        <v>153</v>
      </c>
      <c r="I1220" s="1">
        <v>97</v>
      </c>
      <c r="J1220" s="1">
        <v>206</v>
      </c>
      <c r="L1220" t="str">
        <f t="shared" si="19"/>
        <v>http://www.badatelna.eu/reprodukce/?fondId=1073&amp;zaznamId=1108959&amp;reproId=3780073</v>
      </c>
      <c r="M1220">
        <f>VLOOKUP(F1220,Sheet2!$B$1:$E$19,2,FALSE)</f>
        <v>1073</v>
      </c>
      <c r="N1220">
        <f>VLOOKUP(F1220,Sheet2!$B$1:$E$19,3,FALSE)</f>
        <v>1108959</v>
      </c>
      <c r="O1220">
        <f>IF(G1220="Not available","",VLOOKUP(F1220,Sheet2!$B$1:$E$19,4,FALSE)+(G1220-1))</f>
        <v>3780073</v>
      </c>
    </row>
    <row r="1221" spans="1:15" s="1" customFormat="1" ht="15" customHeight="1" x14ac:dyDescent="0.25">
      <c r="A1221" s="18" t="s">
        <v>648</v>
      </c>
      <c r="B1221" s="18" t="s">
        <v>649</v>
      </c>
      <c r="C1221" s="5">
        <v>1837</v>
      </c>
      <c r="D1221" s="1" t="s">
        <v>6</v>
      </c>
      <c r="E1221" s="1" t="s">
        <v>2</v>
      </c>
      <c r="F1221" s="18">
        <v>2174</v>
      </c>
      <c r="G1221" s="18">
        <v>94</v>
      </c>
      <c r="H1221" s="6" t="s">
        <v>3162</v>
      </c>
      <c r="I1221" s="1">
        <v>185</v>
      </c>
      <c r="J1221" s="1">
        <v>212</v>
      </c>
      <c r="L1221" t="str">
        <f t="shared" si="19"/>
        <v>http://www.badatelna.eu/reprodukce/?fondId=1073&amp;zaznamId=1108960&amp;reproId=3780318</v>
      </c>
      <c r="M1221">
        <f>VLOOKUP(F1221,Sheet2!$B$1:$E$19,2,FALSE)</f>
        <v>1073</v>
      </c>
      <c r="N1221">
        <f>VLOOKUP(F1221,Sheet2!$B$1:$E$19,3,FALSE)</f>
        <v>1108960</v>
      </c>
      <c r="O1221">
        <f>IF(G1221="Not available","",VLOOKUP(F1221,Sheet2!$B$1:$E$19,4,FALSE)+(G1221-1))</f>
        <v>3780318</v>
      </c>
    </row>
    <row r="1222" spans="1:15" s="1" customFormat="1" ht="15" customHeight="1" x14ac:dyDescent="0.25">
      <c r="A1222" s="18" t="s">
        <v>283</v>
      </c>
      <c r="B1222" s="18" t="s">
        <v>1020</v>
      </c>
      <c r="C1222" s="5" t="s">
        <v>1389</v>
      </c>
      <c r="D1222" s="1" t="s">
        <v>650</v>
      </c>
      <c r="E1222" s="1" t="s">
        <v>2</v>
      </c>
      <c r="F1222" s="18">
        <v>2165</v>
      </c>
      <c r="G1222" s="18">
        <v>70</v>
      </c>
      <c r="H1222" s="5">
        <v>67</v>
      </c>
      <c r="I1222" s="1">
        <v>82</v>
      </c>
      <c r="J1222" s="1" t="s">
        <v>3271</v>
      </c>
      <c r="L1222" t="str">
        <f t="shared" si="19"/>
        <v>http://www.badatelna.eu/reprodukce/?fondId=1073&amp;zaznamId=1108952&amp;reproId=3778931</v>
      </c>
      <c r="M1222">
        <f>VLOOKUP(F1222,Sheet2!$B$1:$E$19,2,FALSE)</f>
        <v>1073</v>
      </c>
      <c r="N1222">
        <f>VLOOKUP(F1222,Sheet2!$B$1:$E$19,3,FALSE)</f>
        <v>1108952</v>
      </c>
      <c r="O1222">
        <f>IF(G1222="Not available","",VLOOKUP(F1222,Sheet2!$B$1:$E$19,4,FALSE)+(G1222-1))</f>
        <v>3778931</v>
      </c>
    </row>
    <row r="1223" spans="1:15" s="1" customFormat="1" ht="15" customHeight="1" x14ac:dyDescent="0.25">
      <c r="A1223" s="18" t="s">
        <v>283</v>
      </c>
      <c r="B1223" s="18" t="s">
        <v>477</v>
      </c>
      <c r="C1223" s="5" t="s">
        <v>1360</v>
      </c>
      <c r="D1223" s="1" t="s">
        <v>545</v>
      </c>
      <c r="E1223" s="1" t="s">
        <v>2</v>
      </c>
      <c r="F1223" s="18">
        <v>2165</v>
      </c>
      <c r="G1223" s="18">
        <v>17</v>
      </c>
      <c r="H1223" s="14" t="s">
        <v>2895</v>
      </c>
      <c r="I1223" s="1">
        <v>82</v>
      </c>
      <c r="J1223" s="1" t="s">
        <v>3271</v>
      </c>
      <c r="L1223" t="str">
        <f t="shared" si="19"/>
        <v>http://www.badatelna.eu/reprodukce/?fondId=1073&amp;zaznamId=1108952&amp;reproId=3778878</v>
      </c>
      <c r="M1223">
        <f>VLOOKUP(F1223,Sheet2!$B$1:$E$19,2,FALSE)</f>
        <v>1073</v>
      </c>
      <c r="N1223">
        <f>VLOOKUP(F1223,Sheet2!$B$1:$E$19,3,FALSE)</f>
        <v>1108952</v>
      </c>
      <c r="O1223">
        <f>IF(G1223="Not available","",VLOOKUP(F1223,Sheet2!$B$1:$E$19,4,FALSE)+(G1223-1))</f>
        <v>3778878</v>
      </c>
    </row>
    <row r="1224" spans="1:15" s="1" customFormat="1" ht="15" customHeight="1" x14ac:dyDescent="0.25">
      <c r="A1224" s="18" t="s">
        <v>283</v>
      </c>
      <c r="B1224" s="18" t="s">
        <v>910</v>
      </c>
      <c r="C1224" s="5" t="s">
        <v>1383</v>
      </c>
      <c r="D1224" s="1" t="s">
        <v>545</v>
      </c>
      <c r="E1224" s="1" t="s">
        <v>2</v>
      </c>
      <c r="F1224" s="18">
        <v>2165</v>
      </c>
      <c r="G1224" s="18">
        <v>60</v>
      </c>
      <c r="H1224" s="5">
        <v>57</v>
      </c>
      <c r="I1224" s="1">
        <v>82</v>
      </c>
      <c r="J1224" s="1" t="s">
        <v>3271</v>
      </c>
      <c r="L1224" t="str">
        <f t="shared" si="19"/>
        <v>http://www.badatelna.eu/reprodukce/?fondId=1073&amp;zaznamId=1108952&amp;reproId=3778921</v>
      </c>
      <c r="M1224">
        <f>VLOOKUP(F1224,Sheet2!$B$1:$E$19,2,FALSE)</f>
        <v>1073</v>
      </c>
      <c r="N1224">
        <f>VLOOKUP(F1224,Sheet2!$B$1:$E$19,3,FALSE)</f>
        <v>1108952</v>
      </c>
      <c r="O1224">
        <f>IF(G1224="Not available","",VLOOKUP(F1224,Sheet2!$B$1:$E$19,4,FALSE)+(G1224-1))</f>
        <v>3778921</v>
      </c>
    </row>
    <row r="1225" spans="1:15" s="1" customFormat="1" ht="15" customHeight="1" x14ac:dyDescent="0.25">
      <c r="A1225" s="18" t="s">
        <v>283</v>
      </c>
      <c r="B1225" s="18" t="s">
        <v>632</v>
      </c>
      <c r="C1225" s="5">
        <v>1857</v>
      </c>
      <c r="E1225" s="1" t="s">
        <v>939</v>
      </c>
      <c r="F1225" s="18">
        <v>999</v>
      </c>
      <c r="G1225" s="18">
        <v>17</v>
      </c>
      <c r="H1225" s="5">
        <v>15</v>
      </c>
      <c r="I1225" s="1">
        <v>66</v>
      </c>
      <c r="J1225" s="1">
        <v>100</v>
      </c>
      <c r="L1225" t="str">
        <f t="shared" si="19"/>
        <v>http://www.badatelna.eu/reprodukce/?fondId=241&amp;zaznamId=1133739&amp;reproId=3885746</v>
      </c>
      <c r="M1225">
        <f>VLOOKUP(F1225,Sheet2!$B$1:$E$19,2,FALSE)</f>
        <v>241</v>
      </c>
      <c r="N1225">
        <f>VLOOKUP(F1225,Sheet2!$B$1:$E$19,3,FALSE)</f>
        <v>1133739</v>
      </c>
      <c r="O1225">
        <f>IF(G1225="Not available","",VLOOKUP(F1225,Sheet2!$B$1:$E$19,4,FALSE)+(G1225-1))</f>
        <v>3885746</v>
      </c>
    </row>
    <row r="1226" spans="1:15" s="1" customFormat="1" ht="15" customHeight="1" x14ac:dyDescent="0.25">
      <c r="A1226" s="18" t="s">
        <v>283</v>
      </c>
      <c r="B1226" s="18" t="s">
        <v>963</v>
      </c>
      <c r="C1226" s="10" t="s">
        <v>2005</v>
      </c>
      <c r="D1226" s="3" t="s">
        <v>2184</v>
      </c>
      <c r="E1226" s="4" t="s">
        <v>2</v>
      </c>
      <c r="F1226" s="18">
        <v>2176</v>
      </c>
      <c r="G1226" s="18" t="s">
        <v>3271</v>
      </c>
      <c r="H1226" s="10" t="s">
        <v>2016</v>
      </c>
      <c r="I1226" s="1">
        <v>12</v>
      </c>
      <c r="J1226" s="3" t="s">
        <v>3271</v>
      </c>
      <c r="L1226" t="str">
        <f t="shared" si="19"/>
        <v/>
      </c>
      <c r="M1226">
        <f>VLOOKUP(F1226,Sheet2!$B$1:$E$19,2,FALSE)</f>
        <v>1073</v>
      </c>
      <c r="N1226">
        <f>VLOOKUP(F1226,Sheet2!$B$1:$E$19,3,FALSE)</f>
        <v>1108963</v>
      </c>
      <c r="O1226" t="str">
        <f>IF(G1226="Not available","",VLOOKUP(F1226,Sheet2!$B$1:$E$19,4,FALSE)+(G1226-1))</f>
        <v/>
      </c>
    </row>
    <row r="1227" spans="1:15" s="1" customFormat="1" ht="15" customHeight="1" x14ac:dyDescent="0.25">
      <c r="A1227" s="18" t="s">
        <v>283</v>
      </c>
      <c r="B1227" s="18" t="s">
        <v>2164</v>
      </c>
      <c r="C1227" s="6" t="s">
        <v>1969</v>
      </c>
      <c r="D1227" s="4" t="s">
        <v>2166</v>
      </c>
      <c r="E1227" s="4" t="s">
        <v>2</v>
      </c>
      <c r="F1227" s="18">
        <v>2176</v>
      </c>
      <c r="G1227" s="18" t="s">
        <v>3271</v>
      </c>
      <c r="H1227" s="6" t="s">
        <v>2083</v>
      </c>
      <c r="I1227" s="1">
        <v>12</v>
      </c>
      <c r="J1227" s="1" t="s">
        <v>3271</v>
      </c>
      <c r="L1227" t="str">
        <f t="shared" si="19"/>
        <v/>
      </c>
      <c r="M1227">
        <f>VLOOKUP(F1227,Sheet2!$B$1:$E$19,2,FALSE)</f>
        <v>1073</v>
      </c>
      <c r="N1227">
        <f>VLOOKUP(F1227,Sheet2!$B$1:$E$19,3,FALSE)</f>
        <v>1108963</v>
      </c>
      <c r="O1227" t="str">
        <f>IF(G1227="Not available","",VLOOKUP(F1227,Sheet2!$B$1:$E$19,4,FALSE)+(G1227-1))</f>
        <v/>
      </c>
    </row>
    <row r="1228" spans="1:15" s="1" customFormat="1" ht="15" customHeight="1" x14ac:dyDescent="0.25">
      <c r="A1228" s="18" t="s">
        <v>283</v>
      </c>
      <c r="B1228" s="18" t="s">
        <v>92</v>
      </c>
      <c r="C1228" s="6" t="s">
        <v>1969</v>
      </c>
      <c r="D1228" s="4" t="s">
        <v>2167</v>
      </c>
      <c r="E1228" s="4" t="s">
        <v>2</v>
      </c>
      <c r="F1228" s="18">
        <v>2176</v>
      </c>
      <c r="G1228" s="18" t="s">
        <v>3271</v>
      </c>
      <c r="H1228" s="6" t="s">
        <v>2035</v>
      </c>
      <c r="I1228" s="1">
        <v>12</v>
      </c>
      <c r="J1228" s="1" t="s">
        <v>3271</v>
      </c>
      <c r="L1228" t="str">
        <f t="shared" si="19"/>
        <v/>
      </c>
      <c r="M1228">
        <f>VLOOKUP(F1228,Sheet2!$B$1:$E$19,2,FALSE)</f>
        <v>1073</v>
      </c>
      <c r="N1228">
        <f>VLOOKUP(F1228,Sheet2!$B$1:$E$19,3,FALSE)</f>
        <v>1108963</v>
      </c>
      <c r="O1228" t="str">
        <f>IF(G1228="Not available","",VLOOKUP(F1228,Sheet2!$B$1:$E$19,4,FALSE)+(G1228-1))</f>
        <v/>
      </c>
    </row>
    <row r="1229" spans="1:15" s="1" customFormat="1" ht="15" customHeight="1" x14ac:dyDescent="0.25">
      <c r="A1229" s="18" t="s">
        <v>283</v>
      </c>
      <c r="B1229" s="18" t="s">
        <v>637</v>
      </c>
      <c r="C1229" s="5" t="s">
        <v>1361</v>
      </c>
      <c r="D1229" s="1" t="s">
        <v>288</v>
      </c>
      <c r="E1229" s="1" t="s">
        <v>2</v>
      </c>
      <c r="F1229" s="18">
        <v>2165</v>
      </c>
      <c r="G1229" s="18">
        <v>18</v>
      </c>
      <c r="H1229" s="14" t="s">
        <v>2896</v>
      </c>
      <c r="I1229" s="1">
        <v>82</v>
      </c>
      <c r="J1229" s="1" t="s">
        <v>3271</v>
      </c>
      <c r="L1229" t="str">
        <f t="shared" si="19"/>
        <v>http://www.badatelna.eu/reprodukce/?fondId=1073&amp;zaznamId=1108952&amp;reproId=3778879</v>
      </c>
      <c r="M1229">
        <f>VLOOKUP(F1229,Sheet2!$B$1:$E$19,2,FALSE)</f>
        <v>1073</v>
      </c>
      <c r="N1229">
        <f>VLOOKUP(F1229,Sheet2!$B$1:$E$19,3,FALSE)</f>
        <v>1108952</v>
      </c>
      <c r="O1229">
        <f>IF(G1229="Not available","",VLOOKUP(F1229,Sheet2!$B$1:$E$19,4,FALSE)+(G1229-1))</f>
        <v>3778879</v>
      </c>
    </row>
    <row r="1230" spans="1:15" s="1" customFormat="1" ht="15" customHeight="1" x14ac:dyDescent="0.25">
      <c r="A1230" s="18" t="s">
        <v>283</v>
      </c>
      <c r="B1230" s="18" t="s">
        <v>637</v>
      </c>
      <c r="C1230" s="5" t="s">
        <v>1366</v>
      </c>
      <c r="D1230" s="1" t="s">
        <v>197</v>
      </c>
      <c r="E1230" s="1" t="s">
        <v>2</v>
      </c>
      <c r="F1230" s="18">
        <v>2165</v>
      </c>
      <c r="G1230" s="18">
        <v>28</v>
      </c>
      <c r="H1230" s="14" t="s">
        <v>2905</v>
      </c>
      <c r="I1230" s="1">
        <v>82</v>
      </c>
      <c r="J1230" s="1" t="s">
        <v>3271</v>
      </c>
      <c r="L1230" t="str">
        <f t="shared" si="19"/>
        <v>http://www.badatelna.eu/reprodukce/?fondId=1073&amp;zaznamId=1108952&amp;reproId=3778889</v>
      </c>
      <c r="M1230">
        <f>VLOOKUP(F1230,Sheet2!$B$1:$E$19,2,FALSE)</f>
        <v>1073</v>
      </c>
      <c r="N1230">
        <f>VLOOKUP(F1230,Sheet2!$B$1:$E$19,3,FALSE)</f>
        <v>1108952</v>
      </c>
      <c r="O1230">
        <f>IF(G1230="Not available","",VLOOKUP(F1230,Sheet2!$B$1:$E$19,4,FALSE)+(G1230-1))</f>
        <v>3778889</v>
      </c>
    </row>
    <row r="1231" spans="1:15" s="1" customFormat="1" ht="15" customHeight="1" x14ac:dyDescent="0.25">
      <c r="A1231" s="18" t="s">
        <v>283</v>
      </c>
      <c r="B1231" s="18" t="s">
        <v>637</v>
      </c>
      <c r="C1231" s="5" t="s">
        <v>1370</v>
      </c>
      <c r="D1231" s="1" t="s">
        <v>545</v>
      </c>
      <c r="E1231" s="1" t="s">
        <v>2</v>
      </c>
      <c r="F1231" s="18">
        <v>2165</v>
      </c>
      <c r="G1231" s="18">
        <v>31</v>
      </c>
      <c r="H1231" s="14" t="s">
        <v>2906</v>
      </c>
      <c r="I1231" s="1">
        <v>82</v>
      </c>
      <c r="J1231" s="1" t="s">
        <v>3271</v>
      </c>
      <c r="L1231" t="str">
        <f t="shared" si="19"/>
        <v>http://www.badatelna.eu/reprodukce/?fondId=1073&amp;zaznamId=1108952&amp;reproId=3778892</v>
      </c>
      <c r="M1231">
        <f>VLOOKUP(F1231,Sheet2!$B$1:$E$19,2,FALSE)</f>
        <v>1073</v>
      </c>
      <c r="N1231">
        <f>VLOOKUP(F1231,Sheet2!$B$1:$E$19,3,FALSE)</f>
        <v>1108952</v>
      </c>
      <c r="O1231">
        <f>IF(G1231="Not available","",VLOOKUP(F1231,Sheet2!$B$1:$E$19,4,FALSE)+(G1231-1))</f>
        <v>3778892</v>
      </c>
    </row>
    <row r="1232" spans="1:15" s="1" customFormat="1" ht="15" customHeight="1" x14ac:dyDescent="0.25">
      <c r="A1232" s="18" t="s">
        <v>283</v>
      </c>
      <c r="B1232" s="18" t="s">
        <v>1016</v>
      </c>
      <c r="C1232" s="5" t="s">
        <v>1380</v>
      </c>
      <c r="D1232" s="1" t="s">
        <v>197</v>
      </c>
      <c r="E1232" s="1" t="s">
        <v>2</v>
      </c>
      <c r="F1232" s="18">
        <v>2165</v>
      </c>
      <c r="G1232" s="18">
        <v>54</v>
      </c>
      <c r="H1232" s="5">
        <v>51</v>
      </c>
      <c r="I1232" s="1">
        <v>82</v>
      </c>
      <c r="J1232" s="1" t="s">
        <v>3271</v>
      </c>
      <c r="L1232" t="str">
        <f t="shared" si="19"/>
        <v>http://www.badatelna.eu/reprodukce/?fondId=1073&amp;zaznamId=1108952&amp;reproId=3778915</v>
      </c>
      <c r="M1232">
        <f>VLOOKUP(F1232,Sheet2!$B$1:$E$19,2,FALSE)</f>
        <v>1073</v>
      </c>
      <c r="N1232">
        <f>VLOOKUP(F1232,Sheet2!$B$1:$E$19,3,FALSE)</f>
        <v>1108952</v>
      </c>
      <c r="O1232">
        <f>IF(G1232="Not available","",VLOOKUP(F1232,Sheet2!$B$1:$E$19,4,FALSE)+(G1232-1))</f>
        <v>3778915</v>
      </c>
    </row>
    <row r="1233" spans="1:15" s="1" customFormat="1" ht="15" customHeight="1" x14ac:dyDescent="0.25">
      <c r="A1233" s="18" t="s">
        <v>283</v>
      </c>
      <c r="B1233" s="18" t="s">
        <v>2096</v>
      </c>
      <c r="C1233" s="10" t="s">
        <v>2041</v>
      </c>
      <c r="D1233" s="3" t="s">
        <v>2223</v>
      </c>
      <c r="E1233" s="4" t="s">
        <v>2</v>
      </c>
      <c r="F1233" s="18">
        <v>2176</v>
      </c>
      <c r="G1233" s="18" t="s">
        <v>3271</v>
      </c>
      <c r="H1233" s="10" t="s">
        <v>2016</v>
      </c>
      <c r="I1233" s="3">
        <v>13</v>
      </c>
      <c r="J1233" s="3" t="s">
        <v>3271</v>
      </c>
      <c r="K1233" s="3"/>
      <c r="L1233" t="str">
        <f t="shared" si="19"/>
        <v/>
      </c>
      <c r="M1233">
        <f>VLOOKUP(F1233,Sheet2!$B$1:$E$19,2,FALSE)</f>
        <v>1073</v>
      </c>
      <c r="N1233">
        <f>VLOOKUP(F1233,Sheet2!$B$1:$E$19,3,FALSE)</f>
        <v>1108963</v>
      </c>
      <c r="O1233" t="str">
        <f>IF(G1233="Not available","",VLOOKUP(F1233,Sheet2!$B$1:$E$19,4,FALSE)+(G1233-1))</f>
        <v/>
      </c>
    </row>
    <row r="1234" spans="1:15" s="1" customFormat="1" ht="15" customHeight="1" x14ac:dyDescent="0.25">
      <c r="A1234" s="18" t="s">
        <v>283</v>
      </c>
      <c r="B1234" s="18" t="s">
        <v>868</v>
      </c>
      <c r="C1234" s="5" t="s">
        <v>1368</v>
      </c>
      <c r="D1234" s="1" t="s">
        <v>71</v>
      </c>
      <c r="E1234" s="1" t="s">
        <v>2</v>
      </c>
      <c r="F1234" s="18">
        <v>2165</v>
      </c>
      <c r="G1234" s="18">
        <v>35</v>
      </c>
      <c r="H1234" s="14" t="s">
        <v>2909</v>
      </c>
      <c r="I1234" s="1">
        <v>82</v>
      </c>
      <c r="J1234" s="1" t="s">
        <v>3271</v>
      </c>
      <c r="L1234" t="str">
        <f t="shared" si="19"/>
        <v>http://www.badatelna.eu/reprodukce/?fondId=1073&amp;zaznamId=1108952&amp;reproId=3778896</v>
      </c>
      <c r="M1234">
        <f>VLOOKUP(F1234,Sheet2!$B$1:$E$19,2,FALSE)</f>
        <v>1073</v>
      </c>
      <c r="N1234">
        <f>VLOOKUP(F1234,Sheet2!$B$1:$E$19,3,FALSE)</f>
        <v>1108952</v>
      </c>
      <c r="O1234">
        <f>IF(G1234="Not available","",VLOOKUP(F1234,Sheet2!$B$1:$E$19,4,FALSE)+(G1234-1))</f>
        <v>3778896</v>
      </c>
    </row>
    <row r="1235" spans="1:15" s="1" customFormat="1" ht="15" customHeight="1" x14ac:dyDescent="0.25">
      <c r="A1235" s="18" t="s">
        <v>283</v>
      </c>
      <c r="B1235" s="18" t="s">
        <v>868</v>
      </c>
      <c r="C1235" s="6" t="s">
        <v>2910</v>
      </c>
      <c r="D1235" s="1" t="s">
        <v>197</v>
      </c>
      <c r="E1235" s="1" t="s">
        <v>2</v>
      </c>
      <c r="F1235" s="18">
        <v>2165</v>
      </c>
      <c r="G1235" s="18">
        <v>61</v>
      </c>
      <c r="H1235" s="5">
        <v>58</v>
      </c>
      <c r="I1235" s="1">
        <v>82</v>
      </c>
      <c r="J1235" s="1" t="s">
        <v>3271</v>
      </c>
      <c r="L1235" t="str">
        <f t="shared" si="19"/>
        <v>http://www.badatelna.eu/reprodukce/?fondId=1073&amp;zaznamId=1108952&amp;reproId=3778922</v>
      </c>
      <c r="M1235">
        <f>VLOOKUP(F1235,Sheet2!$B$1:$E$19,2,FALSE)</f>
        <v>1073</v>
      </c>
      <c r="N1235">
        <f>VLOOKUP(F1235,Sheet2!$B$1:$E$19,3,FALSE)</f>
        <v>1108952</v>
      </c>
      <c r="O1235">
        <f>IF(G1235="Not available","",VLOOKUP(F1235,Sheet2!$B$1:$E$19,4,FALSE)+(G1235-1))</f>
        <v>3778922</v>
      </c>
    </row>
    <row r="1236" spans="1:15" s="1" customFormat="1" ht="15" customHeight="1" x14ac:dyDescent="0.25">
      <c r="A1236" s="18" t="s">
        <v>283</v>
      </c>
      <c r="B1236" s="18" t="s">
        <v>1004</v>
      </c>
      <c r="C1236" s="5">
        <v>1863</v>
      </c>
      <c r="E1236" s="1" t="s">
        <v>939</v>
      </c>
      <c r="F1236" s="18">
        <v>999</v>
      </c>
      <c r="G1236" s="18">
        <v>40</v>
      </c>
      <c r="H1236" s="5">
        <v>38</v>
      </c>
      <c r="I1236" s="1">
        <v>66</v>
      </c>
      <c r="J1236" s="1">
        <v>100</v>
      </c>
      <c r="L1236" t="str">
        <f t="shared" si="19"/>
        <v>http://www.badatelna.eu/reprodukce/?fondId=241&amp;zaznamId=1133739&amp;reproId=3885769</v>
      </c>
      <c r="M1236">
        <f>VLOOKUP(F1236,Sheet2!$B$1:$E$19,2,FALSE)</f>
        <v>241</v>
      </c>
      <c r="N1236">
        <f>VLOOKUP(F1236,Sheet2!$B$1:$E$19,3,FALSE)</f>
        <v>1133739</v>
      </c>
      <c r="O1236">
        <f>IF(G1236="Not available","",VLOOKUP(F1236,Sheet2!$B$1:$E$19,4,FALSE)+(G1236-1))</f>
        <v>3885769</v>
      </c>
    </row>
    <row r="1237" spans="1:15" s="1" customFormat="1" ht="15" customHeight="1" x14ac:dyDescent="0.25">
      <c r="A1237" s="18" t="s">
        <v>283</v>
      </c>
      <c r="B1237" s="18" t="s">
        <v>1017</v>
      </c>
      <c r="C1237" s="5" t="s">
        <v>1382</v>
      </c>
      <c r="D1237" s="1" t="s">
        <v>133</v>
      </c>
      <c r="E1237" s="1" t="s">
        <v>2</v>
      </c>
      <c r="F1237" s="18">
        <v>2165</v>
      </c>
      <c r="G1237" s="18">
        <v>60</v>
      </c>
      <c r="H1237" s="5">
        <v>57</v>
      </c>
      <c r="I1237" s="1">
        <v>82</v>
      </c>
      <c r="J1237" s="1" t="s">
        <v>3271</v>
      </c>
      <c r="L1237" t="str">
        <f t="shared" si="19"/>
        <v>http://www.badatelna.eu/reprodukce/?fondId=1073&amp;zaznamId=1108952&amp;reproId=3778921</v>
      </c>
      <c r="M1237">
        <f>VLOOKUP(F1237,Sheet2!$B$1:$E$19,2,FALSE)</f>
        <v>1073</v>
      </c>
      <c r="N1237">
        <f>VLOOKUP(F1237,Sheet2!$B$1:$E$19,3,FALSE)</f>
        <v>1108952</v>
      </c>
      <c r="O1237">
        <f>IF(G1237="Not available","",VLOOKUP(F1237,Sheet2!$B$1:$E$19,4,FALSE)+(G1237-1))</f>
        <v>3778921</v>
      </c>
    </row>
    <row r="1238" spans="1:15" s="1" customFormat="1" ht="15" customHeight="1" x14ac:dyDescent="0.25">
      <c r="A1238" s="18" t="s">
        <v>283</v>
      </c>
      <c r="B1238" s="18" t="s">
        <v>6</v>
      </c>
      <c r="C1238" s="5">
        <v>1792</v>
      </c>
      <c r="D1238" s="1" t="s">
        <v>182</v>
      </c>
      <c r="E1238" s="1" t="s">
        <v>2</v>
      </c>
      <c r="F1238" s="18">
        <v>2173</v>
      </c>
      <c r="G1238" s="18">
        <v>27</v>
      </c>
      <c r="H1238" s="5">
        <v>49</v>
      </c>
      <c r="I1238" s="1">
        <v>96</v>
      </c>
      <c r="J1238" s="1">
        <v>201</v>
      </c>
      <c r="L1238" t="str">
        <f t="shared" si="19"/>
        <v>http://www.badatelna.eu/reprodukce/?fondId=1073&amp;zaznamId=1108959&amp;reproId=3780020</v>
      </c>
      <c r="M1238">
        <f>VLOOKUP(F1238,Sheet2!$B$1:$E$19,2,FALSE)</f>
        <v>1073</v>
      </c>
      <c r="N1238">
        <f>VLOOKUP(F1238,Sheet2!$B$1:$E$19,3,FALSE)</f>
        <v>1108959</v>
      </c>
      <c r="O1238">
        <f>IF(G1238="Not available","",VLOOKUP(F1238,Sheet2!$B$1:$E$19,4,FALSE)+(G1238-1))</f>
        <v>3780020</v>
      </c>
    </row>
    <row r="1239" spans="1:15" s="1" customFormat="1" ht="15" customHeight="1" x14ac:dyDescent="0.25">
      <c r="A1239" s="18" t="s">
        <v>283</v>
      </c>
      <c r="B1239" s="18" t="s">
        <v>6</v>
      </c>
      <c r="C1239" s="5">
        <v>1863</v>
      </c>
      <c r="E1239" s="1" t="s">
        <v>939</v>
      </c>
      <c r="F1239" s="18">
        <v>999</v>
      </c>
      <c r="G1239" s="18">
        <v>45</v>
      </c>
      <c r="H1239" s="5">
        <v>43</v>
      </c>
      <c r="I1239" s="1">
        <v>66</v>
      </c>
      <c r="J1239" s="1">
        <v>100</v>
      </c>
      <c r="L1239" t="str">
        <f t="shared" si="19"/>
        <v>http://www.badatelna.eu/reprodukce/?fondId=241&amp;zaznamId=1133739&amp;reproId=3885774</v>
      </c>
      <c r="M1239">
        <f>VLOOKUP(F1239,Sheet2!$B$1:$E$19,2,FALSE)</f>
        <v>241</v>
      </c>
      <c r="N1239">
        <f>VLOOKUP(F1239,Sheet2!$B$1:$E$19,3,FALSE)</f>
        <v>1133739</v>
      </c>
      <c r="O1239">
        <f>IF(G1239="Not available","",VLOOKUP(F1239,Sheet2!$B$1:$E$19,4,FALSE)+(G1239-1))</f>
        <v>3885774</v>
      </c>
    </row>
    <row r="1240" spans="1:15" s="1" customFormat="1" ht="15" customHeight="1" x14ac:dyDescent="0.25">
      <c r="A1240" s="18" t="s">
        <v>283</v>
      </c>
      <c r="B1240" s="18" t="s">
        <v>6</v>
      </c>
      <c r="C1240" s="5" t="s">
        <v>1365</v>
      </c>
      <c r="D1240" s="1" t="s">
        <v>71</v>
      </c>
      <c r="E1240" s="1" t="s">
        <v>2</v>
      </c>
      <c r="F1240" s="18">
        <v>2165</v>
      </c>
      <c r="G1240" s="18">
        <v>23</v>
      </c>
      <c r="H1240" s="14" t="s">
        <v>2908</v>
      </c>
      <c r="I1240" s="1">
        <v>82</v>
      </c>
      <c r="J1240" s="1" t="s">
        <v>3271</v>
      </c>
      <c r="L1240" t="str">
        <f t="shared" si="19"/>
        <v>http://www.badatelna.eu/reprodukce/?fondId=1073&amp;zaznamId=1108952&amp;reproId=3778884</v>
      </c>
      <c r="M1240">
        <f>VLOOKUP(F1240,Sheet2!$B$1:$E$19,2,FALSE)</f>
        <v>1073</v>
      </c>
      <c r="N1240">
        <f>VLOOKUP(F1240,Sheet2!$B$1:$E$19,3,FALSE)</f>
        <v>1108952</v>
      </c>
      <c r="O1240">
        <f>IF(G1240="Not available","",VLOOKUP(F1240,Sheet2!$B$1:$E$19,4,FALSE)+(G1240-1))</f>
        <v>3778884</v>
      </c>
    </row>
    <row r="1241" spans="1:15" s="1" customFormat="1" ht="15" customHeight="1" x14ac:dyDescent="0.25">
      <c r="A1241" s="18" t="s">
        <v>283</v>
      </c>
      <c r="B1241" s="18" t="s">
        <v>490</v>
      </c>
      <c r="C1241" s="5" t="s">
        <v>1384</v>
      </c>
      <c r="D1241" s="1" t="s">
        <v>234</v>
      </c>
      <c r="E1241" s="1" t="s">
        <v>2</v>
      </c>
      <c r="F1241" s="18">
        <v>2165</v>
      </c>
      <c r="G1241" s="18">
        <v>61</v>
      </c>
      <c r="H1241" s="5">
        <v>58</v>
      </c>
      <c r="I1241" s="1">
        <v>82</v>
      </c>
      <c r="J1241" s="1" t="s">
        <v>3271</v>
      </c>
      <c r="L1241" t="str">
        <f t="shared" si="19"/>
        <v>http://www.badatelna.eu/reprodukce/?fondId=1073&amp;zaznamId=1108952&amp;reproId=3778922</v>
      </c>
      <c r="M1241">
        <f>VLOOKUP(F1241,Sheet2!$B$1:$E$19,2,FALSE)</f>
        <v>1073</v>
      </c>
      <c r="N1241">
        <f>VLOOKUP(F1241,Sheet2!$B$1:$E$19,3,FALSE)</f>
        <v>1108952</v>
      </c>
      <c r="O1241">
        <f>IF(G1241="Not available","",VLOOKUP(F1241,Sheet2!$B$1:$E$19,4,FALSE)+(G1241-1))</f>
        <v>3778922</v>
      </c>
    </row>
    <row r="1242" spans="1:15" s="1" customFormat="1" ht="15" customHeight="1" x14ac:dyDescent="0.25">
      <c r="A1242" s="18" t="s">
        <v>283</v>
      </c>
      <c r="B1242" s="18" t="s">
        <v>1223</v>
      </c>
      <c r="C1242" s="10" t="s">
        <v>2265</v>
      </c>
      <c r="D1242" s="3" t="s">
        <v>2260</v>
      </c>
      <c r="E1242" s="4" t="s">
        <v>2</v>
      </c>
      <c r="F1242" s="18">
        <v>2176</v>
      </c>
      <c r="G1242" s="18" t="s">
        <v>3271</v>
      </c>
      <c r="H1242" s="10" t="s">
        <v>2083</v>
      </c>
      <c r="I1242" s="3">
        <v>15</v>
      </c>
      <c r="J1242" s="3" t="s">
        <v>3271</v>
      </c>
      <c r="K1242" s="3"/>
      <c r="L1242" t="str">
        <f t="shared" si="19"/>
        <v/>
      </c>
      <c r="M1242">
        <f>VLOOKUP(F1242,Sheet2!$B$1:$E$19,2,FALSE)</f>
        <v>1073</v>
      </c>
      <c r="N1242">
        <f>VLOOKUP(F1242,Sheet2!$B$1:$E$19,3,FALSE)</f>
        <v>1108963</v>
      </c>
      <c r="O1242" t="str">
        <f>IF(G1242="Not available","",VLOOKUP(F1242,Sheet2!$B$1:$E$19,4,FALSE)+(G1242-1))</f>
        <v/>
      </c>
    </row>
    <row r="1243" spans="1:15" s="1" customFormat="1" ht="15" customHeight="1" x14ac:dyDescent="0.25">
      <c r="A1243" s="18" t="s">
        <v>283</v>
      </c>
      <c r="B1243" s="18" t="s">
        <v>774</v>
      </c>
      <c r="C1243" s="5">
        <v>1864</v>
      </c>
      <c r="E1243" s="1" t="s">
        <v>939</v>
      </c>
      <c r="F1243" s="18">
        <v>999</v>
      </c>
      <c r="G1243" s="18">
        <v>47</v>
      </c>
      <c r="H1243" s="5">
        <v>45</v>
      </c>
      <c r="I1243" s="1">
        <v>66</v>
      </c>
      <c r="J1243" s="1">
        <v>100</v>
      </c>
      <c r="L1243" t="str">
        <f t="shared" si="19"/>
        <v>http://www.badatelna.eu/reprodukce/?fondId=241&amp;zaznamId=1133739&amp;reproId=3885776</v>
      </c>
      <c r="M1243">
        <f>VLOOKUP(F1243,Sheet2!$B$1:$E$19,2,FALSE)</f>
        <v>241</v>
      </c>
      <c r="N1243">
        <f>VLOOKUP(F1243,Sheet2!$B$1:$E$19,3,FALSE)</f>
        <v>1133739</v>
      </c>
      <c r="O1243">
        <f>IF(G1243="Not available","",VLOOKUP(F1243,Sheet2!$B$1:$E$19,4,FALSE)+(G1243-1))</f>
        <v>3885776</v>
      </c>
    </row>
    <row r="1244" spans="1:15" s="1" customFormat="1" ht="15" customHeight="1" x14ac:dyDescent="0.25">
      <c r="A1244" s="18" t="s">
        <v>283</v>
      </c>
      <c r="B1244" s="18" t="s">
        <v>135</v>
      </c>
      <c r="C1244" s="10" t="s">
        <v>1285</v>
      </c>
      <c r="D1244" s="3" t="s">
        <v>2166</v>
      </c>
      <c r="E1244" s="4" t="s">
        <v>2</v>
      </c>
      <c r="F1244" s="18">
        <v>2176</v>
      </c>
      <c r="G1244" s="18" t="s">
        <v>3271</v>
      </c>
      <c r="H1244" s="10" t="s">
        <v>2053</v>
      </c>
      <c r="I1244" s="3">
        <v>13</v>
      </c>
      <c r="J1244" s="3" t="s">
        <v>3271</v>
      </c>
      <c r="K1244" s="3"/>
      <c r="L1244" t="str">
        <f t="shared" si="19"/>
        <v/>
      </c>
      <c r="M1244">
        <f>VLOOKUP(F1244,Sheet2!$B$1:$E$19,2,FALSE)</f>
        <v>1073</v>
      </c>
      <c r="N1244">
        <f>VLOOKUP(F1244,Sheet2!$B$1:$E$19,3,FALSE)</f>
        <v>1108963</v>
      </c>
      <c r="O1244" t="str">
        <f>IF(G1244="Not available","",VLOOKUP(F1244,Sheet2!$B$1:$E$19,4,FALSE)+(G1244-1))</f>
        <v/>
      </c>
    </row>
    <row r="1245" spans="1:15" s="1" customFormat="1" ht="15" customHeight="1" x14ac:dyDescent="0.25">
      <c r="A1245" s="18" t="s">
        <v>283</v>
      </c>
      <c r="B1245" s="18" t="s">
        <v>135</v>
      </c>
      <c r="C1245" s="5">
        <v>1882</v>
      </c>
      <c r="D1245" s="1" t="s">
        <v>545</v>
      </c>
      <c r="E1245" s="1" t="s">
        <v>2</v>
      </c>
      <c r="F1245" s="18">
        <v>2165</v>
      </c>
      <c r="G1245" s="18">
        <v>178</v>
      </c>
      <c r="H1245" s="5">
        <v>2</v>
      </c>
      <c r="I1245" s="1">
        <v>182</v>
      </c>
      <c r="J1245" s="1">
        <v>159</v>
      </c>
      <c r="L1245" t="str">
        <f t="shared" si="19"/>
        <v>http://www.badatelna.eu/reprodukce/?fondId=1073&amp;zaznamId=1108952&amp;reproId=3779039</v>
      </c>
      <c r="M1245">
        <f>VLOOKUP(F1245,Sheet2!$B$1:$E$19,2,FALSE)</f>
        <v>1073</v>
      </c>
      <c r="N1245">
        <f>VLOOKUP(F1245,Sheet2!$B$1:$E$19,3,FALSE)</f>
        <v>1108952</v>
      </c>
      <c r="O1245">
        <f>IF(G1245="Not available","",VLOOKUP(F1245,Sheet2!$B$1:$E$19,4,FALSE)+(G1245-1))</f>
        <v>3779039</v>
      </c>
    </row>
    <row r="1246" spans="1:15" s="1" customFormat="1" ht="15" customHeight="1" x14ac:dyDescent="0.25">
      <c r="A1246" s="18" t="s">
        <v>283</v>
      </c>
      <c r="B1246" s="18" t="s">
        <v>948</v>
      </c>
      <c r="C1246" s="5">
        <v>1866</v>
      </c>
      <c r="E1246" s="1" t="s">
        <v>939</v>
      </c>
      <c r="F1246" s="18">
        <v>999</v>
      </c>
      <c r="G1246" s="18">
        <v>60</v>
      </c>
      <c r="H1246" s="6" t="s">
        <v>2864</v>
      </c>
      <c r="I1246" s="1">
        <v>66</v>
      </c>
      <c r="J1246" s="1">
        <v>100</v>
      </c>
      <c r="L1246" t="str">
        <f t="shared" si="19"/>
        <v>http://www.badatelna.eu/reprodukce/?fondId=241&amp;zaznamId=1133739&amp;reproId=3885789</v>
      </c>
      <c r="M1246">
        <f>VLOOKUP(F1246,Sheet2!$B$1:$E$19,2,FALSE)</f>
        <v>241</v>
      </c>
      <c r="N1246">
        <f>VLOOKUP(F1246,Sheet2!$B$1:$E$19,3,FALSE)</f>
        <v>1133739</v>
      </c>
      <c r="O1246">
        <f>IF(G1246="Not available","",VLOOKUP(F1246,Sheet2!$B$1:$E$19,4,FALSE)+(G1246-1))</f>
        <v>3885789</v>
      </c>
    </row>
    <row r="1247" spans="1:15" s="1" customFormat="1" ht="15" customHeight="1" x14ac:dyDescent="0.25">
      <c r="A1247" s="18" t="s">
        <v>283</v>
      </c>
      <c r="B1247" s="18" t="s">
        <v>1069</v>
      </c>
      <c r="C1247" s="5">
        <v>1884</v>
      </c>
      <c r="D1247" s="1" t="s">
        <v>71</v>
      </c>
      <c r="E1247" s="1" t="s">
        <v>2</v>
      </c>
      <c r="F1247" s="18">
        <v>2165</v>
      </c>
      <c r="G1247" s="18">
        <v>194</v>
      </c>
      <c r="H1247" s="5">
        <v>2</v>
      </c>
      <c r="I1247" s="1">
        <v>196</v>
      </c>
      <c r="J1247" s="1">
        <v>173</v>
      </c>
      <c r="L1247" t="str">
        <f t="shared" si="19"/>
        <v>http://www.badatelna.eu/reprodukce/?fondId=1073&amp;zaznamId=1108952&amp;reproId=3779055</v>
      </c>
      <c r="M1247">
        <f>VLOOKUP(F1247,Sheet2!$B$1:$E$19,2,FALSE)</f>
        <v>1073</v>
      </c>
      <c r="N1247">
        <f>VLOOKUP(F1247,Sheet2!$B$1:$E$19,3,FALSE)</f>
        <v>1108952</v>
      </c>
      <c r="O1247">
        <f>IF(G1247="Not available","",VLOOKUP(F1247,Sheet2!$B$1:$E$19,4,FALSE)+(G1247-1))</f>
        <v>3779055</v>
      </c>
    </row>
    <row r="1248" spans="1:15" s="1" customFormat="1" ht="15" customHeight="1" x14ac:dyDescent="0.25">
      <c r="A1248" s="18" t="s">
        <v>283</v>
      </c>
      <c r="B1248" s="18" t="s">
        <v>64</v>
      </c>
      <c r="C1248" s="5">
        <v>1835</v>
      </c>
      <c r="D1248" s="1" t="s">
        <v>6</v>
      </c>
      <c r="E1248" s="1" t="s">
        <v>2</v>
      </c>
      <c r="F1248" s="18">
        <v>2174</v>
      </c>
      <c r="G1248" s="18">
        <v>83</v>
      </c>
      <c r="H1248" s="6" t="s">
        <v>3149</v>
      </c>
      <c r="I1248" s="1">
        <v>185</v>
      </c>
      <c r="J1248" s="1">
        <v>212</v>
      </c>
      <c r="L1248" t="str">
        <f t="shared" si="19"/>
        <v>http://www.badatelna.eu/reprodukce/?fondId=1073&amp;zaznamId=1108960&amp;reproId=3780307</v>
      </c>
      <c r="M1248">
        <f>VLOOKUP(F1248,Sheet2!$B$1:$E$19,2,FALSE)</f>
        <v>1073</v>
      </c>
      <c r="N1248">
        <f>VLOOKUP(F1248,Sheet2!$B$1:$E$19,3,FALSE)</f>
        <v>1108960</v>
      </c>
      <c r="O1248">
        <f>IF(G1248="Not available","",VLOOKUP(F1248,Sheet2!$B$1:$E$19,4,FALSE)+(G1248-1))</f>
        <v>3780307</v>
      </c>
    </row>
    <row r="1249" spans="1:15" s="1" customFormat="1" ht="15" customHeight="1" x14ac:dyDescent="0.25">
      <c r="A1249" s="18" t="s">
        <v>283</v>
      </c>
      <c r="B1249" s="18" t="s">
        <v>2112</v>
      </c>
      <c r="C1249" s="10" t="s">
        <v>2265</v>
      </c>
      <c r="D1249" s="3" t="s">
        <v>2266</v>
      </c>
      <c r="E1249" s="4" t="s">
        <v>2</v>
      </c>
      <c r="F1249" s="18">
        <v>2176</v>
      </c>
      <c r="G1249" s="18" t="s">
        <v>3271</v>
      </c>
      <c r="H1249" s="10" t="s">
        <v>1954</v>
      </c>
      <c r="I1249" s="3">
        <v>15</v>
      </c>
      <c r="J1249" s="3" t="s">
        <v>3271</v>
      </c>
      <c r="K1249" s="3"/>
      <c r="L1249" t="str">
        <f t="shared" si="19"/>
        <v/>
      </c>
      <c r="M1249">
        <f>VLOOKUP(F1249,Sheet2!$B$1:$E$19,2,FALSE)</f>
        <v>1073</v>
      </c>
      <c r="N1249">
        <f>VLOOKUP(F1249,Sheet2!$B$1:$E$19,3,FALSE)</f>
        <v>1108963</v>
      </c>
      <c r="O1249" t="str">
        <f>IF(G1249="Not available","",VLOOKUP(F1249,Sheet2!$B$1:$E$19,4,FALSE)+(G1249-1))</f>
        <v/>
      </c>
    </row>
    <row r="1250" spans="1:15" s="1" customFormat="1" ht="15" customHeight="1" x14ac:dyDescent="0.25">
      <c r="A1250" s="18" t="s">
        <v>283</v>
      </c>
      <c r="B1250" s="18" t="s">
        <v>2137</v>
      </c>
      <c r="C1250" s="10" t="s">
        <v>2043</v>
      </c>
      <c r="D1250" s="3" t="s">
        <v>2166</v>
      </c>
      <c r="E1250" s="4" t="s">
        <v>2</v>
      </c>
      <c r="F1250" s="18">
        <v>2176</v>
      </c>
      <c r="G1250" s="18" t="s">
        <v>3271</v>
      </c>
      <c r="H1250" s="10" t="s">
        <v>2069</v>
      </c>
      <c r="I1250" s="3">
        <v>13</v>
      </c>
      <c r="J1250" s="3" t="s">
        <v>3271</v>
      </c>
      <c r="K1250" s="3"/>
      <c r="L1250" t="str">
        <f t="shared" si="19"/>
        <v/>
      </c>
      <c r="M1250">
        <f>VLOOKUP(F1250,Sheet2!$B$1:$E$19,2,FALSE)</f>
        <v>1073</v>
      </c>
      <c r="N1250">
        <f>VLOOKUP(F1250,Sheet2!$B$1:$E$19,3,FALSE)</f>
        <v>1108963</v>
      </c>
      <c r="O1250" t="str">
        <f>IF(G1250="Not available","",VLOOKUP(F1250,Sheet2!$B$1:$E$19,4,FALSE)+(G1250-1))</f>
        <v/>
      </c>
    </row>
    <row r="1251" spans="1:15" s="1" customFormat="1" ht="15" customHeight="1" x14ac:dyDescent="0.25">
      <c r="A1251" s="18" t="s">
        <v>283</v>
      </c>
      <c r="B1251" s="18" t="s">
        <v>1049</v>
      </c>
      <c r="C1251" s="5">
        <v>1885</v>
      </c>
      <c r="D1251" s="1" t="s">
        <v>545</v>
      </c>
      <c r="E1251" s="1" t="s">
        <v>2</v>
      </c>
      <c r="F1251" s="18">
        <v>2165</v>
      </c>
      <c r="G1251" s="18">
        <v>199</v>
      </c>
      <c r="H1251" s="5">
        <v>1</v>
      </c>
      <c r="I1251" s="1">
        <v>204</v>
      </c>
      <c r="J1251" s="1">
        <v>187</v>
      </c>
      <c r="L1251" t="str">
        <f t="shared" si="19"/>
        <v>http://www.badatelna.eu/reprodukce/?fondId=1073&amp;zaznamId=1108952&amp;reproId=3779060</v>
      </c>
      <c r="M1251">
        <f>VLOOKUP(F1251,Sheet2!$B$1:$E$19,2,FALSE)</f>
        <v>1073</v>
      </c>
      <c r="N1251">
        <f>VLOOKUP(F1251,Sheet2!$B$1:$E$19,3,FALSE)</f>
        <v>1108952</v>
      </c>
      <c r="O1251">
        <f>IF(G1251="Not available","",VLOOKUP(F1251,Sheet2!$B$1:$E$19,4,FALSE)+(G1251-1))</f>
        <v>3779060</v>
      </c>
    </row>
    <row r="1252" spans="1:15" s="1" customFormat="1" ht="15" customHeight="1" x14ac:dyDescent="0.25">
      <c r="A1252" s="18" t="s">
        <v>283</v>
      </c>
      <c r="B1252" s="18" t="s">
        <v>484</v>
      </c>
      <c r="C1252" s="5" t="s">
        <v>1363</v>
      </c>
      <c r="D1252" s="1" t="s">
        <v>1012</v>
      </c>
      <c r="E1252" s="1" t="s">
        <v>2</v>
      </c>
      <c r="F1252" s="18">
        <v>2165</v>
      </c>
      <c r="G1252" s="18">
        <v>20</v>
      </c>
      <c r="H1252" s="14" t="s">
        <v>2903</v>
      </c>
      <c r="I1252" s="1">
        <v>82</v>
      </c>
      <c r="J1252" s="1" t="s">
        <v>3271</v>
      </c>
      <c r="L1252" t="str">
        <f t="shared" si="19"/>
        <v>http://www.badatelna.eu/reprodukce/?fondId=1073&amp;zaznamId=1108952&amp;reproId=3778881</v>
      </c>
      <c r="M1252">
        <f>VLOOKUP(F1252,Sheet2!$B$1:$E$19,2,FALSE)</f>
        <v>1073</v>
      </c>
      <c r="N1252">
        <f>VLOOKUP(F1252,Sheet2!$B$1:$E$19,3,FALSE)</f>
        <v>1108952</v>
      </c>
      <c r="O1252">
        <f>IF(G1252="Not available","",VLOOKUP(F1252,Sheet2!$B$1:$E$19,4,FALSE)+(G1252-1))</f>
        <v>3778881</v>
      </c>
    </row>
    <row r="1253" spans="1:15" s="1" customFormat="1" ht="15" customHeight="1" x14ac:dyDescent="0.25">
      <c r="A1253" s="18" t="s">
        <v>283</v>
      </c>
      <c r="B1253" s="18" t="s">
        <v>90</v>
      </c>
      <c r="C1253" s="6" t="s">
        <v>1987</v>
      </c>
      <c r="D1253" s="3" t="s">
        <v>2178</v>
      </c>
      <c r="E1253" s="4" t="s">
        <v>2</v>
      </c>
      <c r="F1253" s="18">
        <v>2176</v>
      </c>
      <c r="G1253" s="18" t="s">
        <v>3271</v>
      </c>
      <c r="H1253" s="10" t="s">
        <v>2179</v>
      </c>
      <c r="I1253" s="1">
        <v>12</v>
      </c>
      <c r="J1253" s="3" t="s">
        <v>3271</v>
      </c>
      <c r="L1253" t="str">
        <f t="shared" si="19"/>
        <v/>
      </c>
      <c r="M1253">
        <f>VLOOKUP(F1253,Sheet2!$B$1:$E$19,2,FALSE)</f>
        <v>1073</v>
      </c>
      <c r="N1253">
        <f>VLOOKUP(F1253,Sheet2!$B$1:$E$19,3,FALSE)</f>
        <v>1108963</v>
      </c>
      <c r="O1253" t="str">
        <f>IF(G1253="Not available","",VLOOKUP(F1253,Sheet2!$B$1:$E$19,4,FALSE)+(G1253-1))</f>
        <v/>
      </c>
    </row>
    <row r="1254" spans="1:15" s="1" customFormat="1" ht="15" customHeight="1" x14ac:dyDescent="0.25">
      <c r="A1254" s="19" t="s">
        <v>283</v>
      </c>
      <c r="B1254" s="18" t="s">
        <v>180</v>
      </c>
      <c r="C1254" s="6" t="s">
        <v>2949</v>
      </c>
      <c r="D1254" s="4" t="s">
        <v>182</v>
      </c>
      <c r="E1254" s="1" t="s">
        <v>2</v>
      </c>
      <c r="F1254" s="18">
        <v>2173</v>
      </c>
      <c r="G1254" s="18">
        <v>43</v>
      </c>
      <c r="H1254" s="5">
        <v>80</v>
      </c>
      <c r="I1254" s="1">
        <v>96</v>
      </c>
      <c r="J1254" s="1">
        <v>201</v>
      </c>
      <c r="L1254" t="str">
        <f t="shared" si="19"/>
        <v>http://www.badatelna.eu/reprodukce/?fondId=1073&amp;zaznamId=1108959&amp;reproId=3780036</v>
      </c>
      <c r="M1254">
        <f>VLOOKUP(F1254,Sheet2!$B$1:$E$19,2,FALSE)</f>
        <v>1073</v>
      </c>
      <c r="N1254">
        <f>VLOOKUP(F1254,Sheet2!$B$1:$E$19,3,FALSE)</f>
        <v>1108959</v>
      </c>
      <c r="O1254">
        <f>IF(G1254="Not available","",VLOOKUP(F1254,Sheet2!$B$1:$E$19,4,FALSE)+(G1254-1))</f>
        <v>3780036</v>
      </c>
    </row>
    <row r="1255" spans="1:15" s="1" customFormat="1" ht="15" customHeight="1" x14ac:dyDescent="0.25">
      <c r="A1255" s="18" t="s">
        <v>283</v>
      </c>
      <c r="B1255" s="18" t="s">
        <v>1052</v>
      </c>
      <c r="C1255" s="5">
        <v>1884</v>
      </c>
      <c r="D1255" s="1" t="s">
        <v>197</v>
      </c>
      <c r="E1255" s="1" t="s">
        <v>2</v>
      </c>
      <c r="F1255" s="18">
        <v>2165</v>
      </c>
      <c r="G1255" s="18">
        <v>195</v>
      </c>
      <c r="H1255" s="5">
        <v>3</v>
      </c>
      <c r="I1255" s="1">
        <v>196</v>
      </c>
      <c r="J1255" s="1">
        <v>173</v>
      </c>
      <c r="L1255" t="str">
        <f t="shared" si="19"/>
        <v>http://www.badatelna.eu/reprodukce/?fondId=1073&amp;zaznamId=1108952&amp;reproId=3779056</v>
      </c>
      <c r="M1255">
        <f>VLOOKUP(F1255,Sheet2!$B$1:$E$19,2,FALSE)</f>
        <v>1073</v>
      </c>
      <c r="N1255">
        <f>VLOOKUP(F1255,Sheet2!$B$1:$E$19,3,FALSE)</f>
        <v>1108952</v>
      </c>
      <c r="O1255">
        <f>IF(G1255="Not available","",VLOOKUP(F1255,Sheet2!$B$1:$E$19,4,FALSE)+(G1255-1))</f>
        <v>3779056</v>
      </c>
    </row>
    <row r="1256" spans="1:15" s="1" customFormat="1" ht="15" customHeight="1" x14ac:dyDescent="0.25">
      <c r="A1256" s="18" t="s">
        <v>283</v>
      </c>
      <c r="B1256" s="18" t="s">
        <v>1052</v>
      </c>
      <c r="C1256" s="10" t="s">
        <v>2041</v>
      </c>
      <c r="D1256" s="3" t="s">
        <v>2194</v>
      </c>
      <c r="E1256" s="4" t="s">
        <v>2</v>
      </c>
      <c r="F1256" s="18">
        <v>2176</v>
      </c>
      <c r="G1256" s="18" t="s">
        <v>3271</v>
      </c>
      <c r="H1256" s="10" t="s">
        <v>2146</v>
      </c>
      <c r="I1256" s="3">
        <v>13</v>
      </c>
      <c r="J1256" s="3" t="s">
        <v>3271</v>
      </c>
      <c r="K1256" s="3"/>
      <c r="L1256" t="str">
        <f t="shared" si="19"/>
        <v/>
      </c>
      <c r="M1256">
        <f>VLOOKUP(F1256,Sheet2!$B$1:$E$19,2,FALSE)</f>
        <v>1073</v>
      </c>
      <c r="N1256">
        <f>VLOOKUP(F1256,Sheet2!$B$1:$E$19,3,FALSE)</f>
        <v>1108963</v>
      </c>
      <c r="O1256" t="str">
        <f>IF(G1256="Not available","",VLOOKUP(F1256,Sheet2!$B$1:$E$19,4,FALSE)+(G1256-1))</f>
        <v/>
      </c>
    </row>
    <row r="1257" spans="1:15" s="1" customFormat="1" ht="15" customHeight="1" x14ac:dyDescent="0.25">
      <c r="A1257" s="19" t="s">
        <v>283</v>
      </c>
      <c r="B1257" s="18" t="s">
        <v>12</v>
      </c>
      <c r="C1257" s="5">
        <v>1795</v>
      </c>
      <c r="D1257" s="4" t="s">
        <v>182</v>
      </c>
      <c r="E1257" s="1" t="s">
        <v>2</v>
      </c>
      <c r="F1257" s="18">
        <v>2173</v>
      </c>
      <c r="G1257" s="18">
        <v>33</v>
      </c>
      <c r="H1257" s="5">
        <v>61</v>
      </c>
      <c r="I1257" s="1">
        <v>96</v>
      </c>
      <c r="J1257" s="1">
        <v>201</v>
      </c>
      <c r="L1257" t="str">
        <f t="shared" si="19"/>
        <v>http://www.badatelna.eu/reprodukce/?fondId=1073&amp;zaznamId=1108959&amp;reproId=3780026</v>
      </c>
      <c r="M1257">
        <f>VLOOKUP(F1257,Sheet2!$B$1:$E$19,2,FALSE)</f>
        <v>1073</v>
      </c>
      <c r="N1257">
        <f>VLOOKUP(F1257,Sheet2!$B$1:$E$19,3,FALSE)</f>
        <v>1108959</v>
      </c>
      <c r="O1257">
        <f>IF(G1257="Not available","",VLOOKUP(F1257,Sheet2!$B$1:$E$19,4,FALSE)+(G1257-1))</f>
        <v>3780026</v>
      </c>
    </row>
    <row r="1258" spans="1:15" s="1" customFormat="1" ht="15" customHeight="1" x14ac:dyDescent="0.25">
      <c r="A1258" s="18" t="s">
        <v>283</v>
      </c>
      <c r="B1258" s="18" t="s">
        <v>1015</v>
      </c>
      <c r="C1258" s="5" t="s">
        <v>1375</v>
      </c>
      <c r="D1258" s="1" t="s">
        <v>1012</v>
      </c>
      <c r="E1258" s="1" t="s">
        <v>2</v>
      </c>
      <c r="F1258" s="18">
        <v>2165</v>
      </c>
      <c r="G1258" s="18">
        <v>42</v>
      </c>
      <c r="H1258" s="14" t="s">
        <v>2914</v>
      </c>
      <c r="I1258" s="1">
        <v>82</v>
      </c>
      <c r="J1258" s="1" t="s">
        <v>3271</v>
      </c>
      <c r="L1258" t="str">
        <f t="shared" si="19"/>
        <v>http://www.badatelna.eu/reprodukce/?fondId=1073&amp;zaznamId=1108952&amp;reproId=3778903</v>
      </c>
      <c r="M1258">
        <f>VLOOKUP(F1258,Sheet2!$B$1:$E$19,2,FALSE)</f>
        <v>1073</v>
      </c>
      <c r="N1258">
        <f>VLOOKUP(F1258,Sheet2!$B$1:$E$19,3,FALSE)</f>
        <v>1108952</v>
      </c>
      <c r="O1258">
        <f>IF(G1258="Not available","",VLOOKUP(F1258,Sheet2!$B$1:$E$19,4,FALSE)+(G1258-1))</f>
        <v>3778903</v>
      </c>
    </row>
    <row r="1259" spans="1:15" s="1" customFormat="1" ht="15" customHeight="1" x14ac:dyDescent="0.25">
      <c r="A1259" s="18" t="s">
        <v>283</v>
      </c>
      <c r="B1259" s="18" t="s">
        <v>2276</v>
      </c>
      <c r="C1259" s="10" t="s">
        <v>2278</v>
      </c>
      <c r="D1259" s="3" t="s">
        <v>2268</v>
      </c>
      <c r="E1259" s="4" t="s">
        <v>2</v>
      </c>
      <c r="F1259" s="18">
        <v>2176</v>
      </c>
      <c r="G1259" s="18" t="s">
        <v>3271</v>
      </c>
      <c r="H1259" s="10" t="s">
        <v>2088</v>
      </c>
      <c r="I1259" s="3">
        <v>15</v>
      </c>
      <c r="J1259" s="3" t="s">
        <v>3271</v>
      </c>
      <c r="K1259" s="3"/>
      <c r="L1259" t="str">
        <f t="shared" si="19"/>
        <v/>
      </c>
      <c r="M1259">
        <f>VLOOKUP(F1259,Sheet2!$B$1:$E$19,2,FALSE)</f>
        <v>1073</v>
      </c>
      <c r="N1259">
        <f>VLOOKUP(F1259,Sheet2!$B$1:$E$19,3,FALSE)</f>
        <v>1108963</v>
      </c>
      <c r="O1259" t="str">
        <f>IF(G1259="Not available","",VLOOKUP(F1259,Sheet2!$B$1:$E$19,4,FALSE)+(G1259-1))</f>
        <v/>
      </c>
    </row>
    <row r="1260" spans="1:15" s="1" customFormat="1" ht="15" customHeight="1" x14ac:dyDescent="0.25">
      <c r="A1260" s="18" t="s">
        <v>283</v>
      </c>
      <c r="B1260" s="18" t="s">
        <v>138</v>
      </c>
      <c r="C1260" s="5">
        <v>1865</v>
      </c>
      <c r="E1260" s="1" t="s">
        <v>939</v>
      </c>
      <c r="F1260" s="18">
        <v>999</v>
      </c>
      <c r="G1260" s="18">
        <v>54</v>
      </c>
      <c r="H1260" s="5">
        <v>52</v>
      </c>
      <c r="I1260" s="1">
        <v>66</v>
      </c>
      <c r="J1260" s="1">
        <v>100</v>
      </c>
      <c r="L1260" t="str">
        <f t="shared" si="19"/>
        <v>http://www.badatelna.eu/reprodukce/?fondId=241&amp;zaznamId=1133739&amp;reproId=3885783</v>
      </c>
      <c r="M1260">
        <f>VLOOKUP(F1260,Sheet2!$B$1:$E$19,2,FALSE)</f>
        <v>241</v>
      </c>
      <c r="N1260">
        <f>VLOOKUP(F1260,Sheet2!$B$1:$E$19,3,FALSE)</f>
        <v>1133739</v>
      </c>
      <c r="O1260">
        <f>IF(G1260="Not available","",VLOOKUP(F1260,Sheet2!$B$1:$E$19,4,FALSE)+(G1260-1))</f>
        <v>3885783</v>
      </c>
    </row>
    <row r="1261" spans="1:15" s="1" customFormat="1" ht="15" customHeight="1" x14ac:dyDescent="0.25">
      <c r="A1261" s="18" t="s">
        <v>283</v>
      </c>
      <c r="B1261" s="18" t="s">
        <v>51</v>
      </c>
      <c r="C1261" s="6" t="s">
        <v>1289</v>
      </c>
      <c r="D1261" s="1" t="s">
        <v>422</v>
      </c>
      <c r="E1261" s="1" t="s">
        <v>2</v>
      </c>
      <c r="F1261" s="18">
        <v>2165</v>
      </c>
      <c r="G1261" s="18">
        <v>6</v>
      </c>
      <c r="H1261" s="14" t="s">
        <v>2900</v>
      </c>
      <c r="I1261" s="1">
        <v>82</v>
      </c>
      <c r="J1261" s="1" t="s">
        <v>3271</v>
      </c>
      <c r="L1261" t="str">
        <f t="shared" si="19"/>
        <v>http://www.badatelna.eu/reprodukce/?fondId=1073&amp;zaznamId=1108952&amp;reproId=3778867</v>
      </c>
      <c r="M1261">
        <f>VLOOKUP(F1261,Sheet2!$B$1:$E$19,2,FALSE)</f>
        <v>1073</v>
      </c>
      <c r="N1261">
        <f>VLOOKUP(F1261,Sheet2!$B$1:$E$19,3,FALSE)</f>
        <v>1108952</v>
      </c>
      <c r="O1261">
        <f>IF(G1261="Not available","",VLOOKUP(F1261,Sheet2!$B$1:$E$19,4,FALSE)+(G1261-1))</f>
        <v>3778867</v>
      </c>
    </row>
    <row r="1262" spans="1:15" s="1" customFormat="1" ht="15" customHeight="1" x14ac:dyDescent="0.25">
      <c r="A1262" s="19" t="s">
        <v>283</v>
      </c>
      <c r="B1262" s="18" t="s">
        <v>197</v>
      </c>
      <c r="C1262" s="5">
        <v>1828</v>
      </c>
      <c r="E1262" s="1" t="s">
        <v>2</v>
      </c>
      <c r="F1262" s="18">
        <v>2173</v>
      </c>
      <c r="G1262" s="18">
        <v>87</v>
      </c>
      <c r="H1262" s="5">
        <v>161</v>
      </c>
      <c r="I1262" s="1">
        <v>97</v>
      </c>
      <c r="J1262" s="1">
        <v>206</v>
      </c>
      <c r="L1262" t="str">
        <f t="shared" si="19"/>
        <v>http://www.badatelna.eu/reprodukce/?fondId=1073&amp;zaznamId=1108959&amp;reproId=3780080</v>
      </c>
      <c r="M1262">
        <f>VLOOKUP(F1262,Sheet2!$B$1:$E$19,2,FALSE)</f>
        <v>1073</v>
      </c>
      <c r="N1262">
        <f>VLOOKUP(F1262,Sheet2!$B$1:$E$19,3,FALSE)</f>
        <v>1108959</v>
      </c>
      <c r="O1262">
        <f>IF(G1262="Not available","",VLOOKUP(F1262,Sheet2!$B$1:$E$19,4,FALSE)+(G1262-1))</f>
        <v>3780080</v>
      </c>
    </row>
    <row r="1263" spans="1:15" s="1" customFormat="1" ht="15" customHeight="1" x14ac:dyDescent="0.25">
      <c r="A1263" s="18" t="s">
        <v>283</v>
      </c>
      <c r="B1263" s="18" t="s">
        <v>26</v>
      </c>
      <c r="C1263" s="5">
        <v>1832</v>
      </c>
      <c r="D1263" s="1" t="s">
        <v>6</v>
      </c>
      <c r="E1263" s="1" t="s">
        <v>2</v>
      </c>
      <c r="F1263" s="18">
        <v>2174</v>
      </c>
      <c r="G1263" s="18">
        <v>68</v>
      </c>
      <c r="H1263" s="6" t="s">
        <v>3112</v>
      </c>
      <c r="I1263" s="1">
        <v>185</v>
      </c>
      <c r="J1263" s="1">
        <v>212</v>
      </c>
      <c r="K1263" s="2"/>
      <c r="L1263" t="str">
        <f t="shared" si="19"/>
        <v>http://www.badatelna.eu/reprodukce/?fondId=1073&amp;zaznamId=1108960&amp;reproId=3780292</v>
      </c>
      <c r="M1263">
        <f>VLOOKUP(F1263,Sheet2!$B$1:$E$19,2,FALSE)</f>
        <v>1073</v>
      </c>
      <c r="N1263">
        <f>VLOOKUP(F1263,Sheet2!$B$1:$E$19,3,FALSE)</f>
        <v>1108960</v>
      </c>
      <c r="O1263">
        <f>IF(G1263="Not available","",VLOOKUP(F1263,Sheet2!$B$1:$E$19,4,FALSE)+(G1263-1))</f>
        <v>3780292</v>
      </c>
    </row>
    <row r="1264" spans="1:15" s="1" customFormat="1" ht="15" customHeight="1" x14ac:dyDescent="0.25">
      <c r="A1264" s="19" t="s">
        <v>283</v>
      </c>
      <c r="B1264" s="18" t="s">
        <v>133</v>
      </c>
      <c r="C1264" s="5">
        <v>1828</v>
      </c>
      <c r="E1264" s="1" t="s">
        <v>2</v>
      </c>
      <c r="F1264" s="18">
        <v>2173</v>
      </c>
      <c r="G1264" s="18">
        <v>80</v>
      </c>
      <c r="H1264" s="5">
        <v>154</v>
      </c>
      <c r="I1264" s="1">
        <v>97</v>
      </c>
      <c r="J1264" s="1">
        <v>206</v>
      </c>
      <c r="L1264" t="str">
        <f t="shared" si="19"/>
        <v>http://www.badatelna.eu/reprodukce/?fondId=1073&amp;zaznamId=1108959&amp;reproId=3780073</v>
      </c>
      <c r="M1264">
        <f>VLOOKUP(F1264,Sheet2!$B$1:$E$19,2,FALSE)</f>
        <v>1073</v>
      </c>
      <c r="N1264">
        <f>VLOOKUP(F1264,Sheet2!$B$1:$E$19,3,FALSE)</f>
        <v>1108959</v>
      </c>
      <c r="O1264">
        <f>IF(G1264="Not available","",VLOOKUP(F1264,Sheet2!$B$1:$E$19,4,FALSE)+(G1264-1))</f>
        <v>3780073</v>
      </c>
    </row>
    <row r="1265" spans="1:15" s="1" customFormat="1" ht="15" customHeight="1" x14ac:dyDescent="0.25">
      <c r="A1265" s="18" t="s">
        <v>283</v>
      </c>
      <c r="B1265" s="18" t="s">
        <v>863</v>
      </c>
      <c r="C1265" s="5" t="s">
        <v>1374</v>
      </c>
      <c r="D1265" s="1" t="s">
        <v>197</v>
      </c>
      <c r="E1265" s="1" t="s">
        <v>2</v>
      </c>
      <c r="F1265" s="18">
        <v>2165</v>
      </c>
      <c r="G1265" s="18">
        <v>41</v>
      </c>
      <c r="H1265" s="14" t="s">
        <v>2912</v>
      </c>
      <c r="I1265" s="1">
        <v>82</v>
      </c>
      <c r="J1265" s="1" t="s">
        <v>3271</v>
      </c>
      <c r="L1265" t="str">
        <f t="shared" si="19"/>
        <v>http://www.badatelna.eu/reprodukce/?fondId=1073&amp;zaznamId=1108952&amp;reproId=3778902</v>
      </c>
      <c r="M1265">
        <f>VLOOKUP(F1265,Sheet2!$B$1:$E$19,2,FALSE)</f>
        <v>1073</v>
      </c>
      <c r="N1265">
        <f>VLOOKUP(F1265,Sheet2!$B$1:$E$19,3,FALSE)</f>
        <v>1108952</v>
      </c>
      <c r="O1265">
        <f>IF(G1265="Not available","",VLOOKUP(F1265,Sheet2!$B$1:$E$19,4,FALSE)+(G1265-1))</f>
        <v>3778902</v>
      </c>
    </row>
    <row r="1266" spans="1:15" s="1" customFormat="1" ht="15" customHeight="1" x14ac:dyDescent="0.25">
      <c r="A1266" s="18" t="s">
        <v>283</v>
      </c>
      <c r="B1266" s="18" t="s">
        <v>863</v>
      </c>
      <c r="C1266" s="5" t="s">
        <v>1376</v>
      </c>
      <c r="D1266" s="1" t="s">
        <v>545</v>
      </c>
      <c r="E1266" s="1" t="s">
        <v>2</v>
      </c>
      <c r="F1266" s="18">
        <v>2165</v>
      </c>
      <c r="G1266" s="18">
        <v>45</v>
      </c>
      <c r="H1266" s="14" t="s">
        <v>2915</v>
      </c>
      <c r="I1266" s="1">
        <v>82</v>
      </c>
      <c r="J1266" s="1" t="s">
        <v>3271</v>
      </c>
      <c r="L1266" t="str">
        <f t="shared" si="19"/>
        <v>http://www.badatelna.eu/reprodukce/?fondId=1073&amp;zaznamId=1108952&amp;reproId=3778906</v>
      </c>
      <c r="M1266">
        <f>VLOOKUP(F1266,Sheet2!$B$1:$E$19,2,FALSE)</f>
        <v>1073</v>
      </c>
      <c r="N1266">
        <f>VLOOKUP(F1266,Sheet2!$B$1:$E$19,3,FALSE)</f>
        <v>1108952</v>
      </c>
      <c r="O1266">
        <f>IF(G1266="Not available","",VLOOKUP(F1266,Sheet2!$B$1:$E$19,4,FALSE)+(G1266-1))</f>
        <v>3778906</v>
      </c>
    </row>
    <row r="1267" spans="1:15" s="1" customFormat="1" ht="15" customHeight="1" x14ac:dyDescent="0.25">
      <c r="A1267" s="18" t="s">
        <v>283</v>
      </c>
      <c r="B1267" s="18" t="s">
        <v>172</v>
      </c>
      <c r="C1267" s="6" t="s">
        <v>1354</v>
      </c>
      <c r="D1267" s="1" t="s">
        <v>133</v>
      </c>
      <c r="E1267" s="1" t="s">
        <v>2</v>
      </c>
      <c r="F1267" s="18">
        <v>2165</v>
      </c>
      <c r="G1267" s="18">
        <v>6</v>
      </c>
      <c r="H1267" s="14" t="s">
        <v>2900</v>
      </c>
      <c r="I1267" s="1">
        <v>82</v>
      </c>
      <c r="J1267" s="1" t="s">
        <v>3271</v>
      </c>
      <c r="L1267" t="str">
        <f t="shared" si="19"/>
        <v>http://www.badatelna.eu/reprodukce/?fondId=1073&amp;zaznamId=1108952&amp;reproId=3778867</v>
      </c>
      <c r="M1267">
        <f>VLOOKUP(F1267,Sheet2!$B$1:$E$19,2,FALSE)</f>
        <v>1073</v>
      </c>
      <c r="N1267">
        <f>VLOOKUP(F1267,Sheet2!$B$1:$E$19,3,FALSE)</f>
        <v>1108952</v>
      </c>
      <c r="O1267">
        <f>IF(G1267="Not available","",VLOOKUP(F1267,Sheet2!$B$1:$E$19,4,FALSE)+(G1267-1))</f>
        <v>3778867</v>
      </c>
    </row>
    <row r="1268" spans="1:15" s="1" customFormat="1" ht="15" customHeight="1" x14ac:dyDescent="0.25">
      <c r="A1268" s="18" t="s">
        <v>283</v>
      </c>
      <c r="B1268" s="18" t="s">
        <v>172</v>
      </c>
      <c r="C1268" s="5" t="s">
        <v>1378</v>
      </c>
      <c r="D1268" s="4" t="s">
        <v>650</v>
      </c>
      <c r="E1268" s="1" t="s">
        <v>2</v>
      </c>
      <c r="F1268" s="18">
        <v>2165</v>
      </c>
      <c r="G1268" s="18">
        <v>48</v>
      </c>
      <c r="H1268" s="14" t="s">
        <v>2867</v>
      </c>
      <c r="I1268" s="1">
        <v>82</v>
      </c>
      <c r="J1268" s="1" t="s">
        <v>3271</v>
      </c>
      <c r="L1268" t="str">
        <f t="shared" si="19"/>
        <v>http://www.badatelna.eu/reprodukce/?fondId=1073&amp;zaznamId=1108952&amp;reproId=3778909</v>
      </c>
      <c r="M1268">
        <f>VLOOKUP(F1268,Sheet2!$B$1:$E$19,2,FALSE)</f>
        <v>1073</v>
      </c>
      <c r="N1268">
        <f>VLOOKUP(F1268,Sheet2!$B$1:$E$19,3,FALSE)</f>
        <v>1108952</v>
      </c>
      <c r="O1268">
        <f>IF(G1268="Not available","",VLOOKUP(F1268,Sheet2!$B$1:$E$19,4,FALSE)+(G1268-1))</f>
        <v>3778909</v>
      </c>
    </row>
    <row r="1269" spans="1:15" s="1" customFormat="1" ht="15" customHeight="1" x14ac:dyDescent="0.25">
      <c r="A1269" s="18" t="s">
        <v>283</v>
      </c>
      <c r="B1269" s="18" t="s">
        <v>540</v>
      </c>
      <c r="C1269" s="5">
        <v>1865</v>
      </c>
      <c r="E1269" s="1" t="s">
        <v>939</v>
      </c>
      <c r="F1269" s="18">
        <v>999</v>
      </c>
      <c r="G1269" s="18">
        <v>53</v>
      </c>
      <c r="H1269" s="5">
        <v>51</v>
      </c>
      <c r="I1269" s="1">
        <v>66</v>
      </c>
      <c r="J1269" s="1">
        <v>100</v>
      </c>
      <c r="L1269" t="str">
        <f t="shared" si="19"/>
        <v>http://www.badatelna.eu/reprodukce/?fondId=241&amp;zaznamId=1133739&amp;reproId=3885782</v>
      </c>
      <c r="M1269">
        <f>VLOOKUP(F1269,Sheet2!$B$1:$E$19,2,FALSE)</f>
        <v>241</v>
      </c>
      <c r="N1269">
        <f>VLOOKUP(F1269,Sheet2!$B$1:$E$19,3,FALSE)</f>
        <v>1133739</v>
      </c>
      <c r="O1269">
        <f>IF(G1269="Not available","",VLOOKUP(F1269,Sheet2!$B$1:$E$19,4,FALSE)+(G1269-1))</f>
        <v>3885782</v>
      </c>
    </row>
    <row r="1270" spans="1:15" s="1" customFormat="1" ht="15" customHeight="1" x14ac:dyDescent="0.25">
      <c r="A1270" s="19" t="s">
        <v>283</v>
      </c>
      <c r="B1270" s="18" t="s">
        <v>56</v>
      </c>
      <c r="C1270" s="5">
        <v>1821</v>
      </c>
      <c r="E1270" s="1" t="s">
        <v>2</v>
      </c>
      <c r="F1270" s="18">
        <v>2173</v>
      </c>
      <c r="G1270" s="18">
        <v>72</v>
      </c>
      <c r="H1270" s="5">
        <v>136</v>
      </c>
      <c r="I1270" s="1">
        <v>97</v>
      </c>
      <c r="J1270" s="1">
        <v>206</v>
      </c>
      <c r="L1270" t="str">
        <f t="shared" si="19"/>
        <v>http://www.badatelna.eu/reprodukce/?fondId=1073&amp;zaznamId=1108959&amp;reproId=3780065</v>
      </c>
      <c r="M1270">
        <f>VLOOKUP(F1270,Sheet2!$B$1:$E$19,2,FALSE)</f>
        <v>1073</v>
      </c>
      <c r="N1270">
        <f>VLOOKUP(F1270,Sheet2!$B$1:$E$19,3,FALSE)</f>
        <v>1108959</v>
      </c>
      <c r="O1270">
        <f>IF(G1270="Not available","",VLOOKUP(F1270,Sheet2!$B$1:$E$19,4,FALSE)+(G1270-1))</f>
        <v>3780065</v>
      </c>
    </row>
    <row r="1271" spans="1:15" s="1" customFormat="1" ht="15" customHeight="1" x14ac:dyDescent="0.25">
      <c r="A1271" s="18" t="s">
        <v>283</v>
      </c>
      <c r="B1271" s="18" t="s">
        <v>506</v>
      </c>
      <c r="C1271" s="5">
        <v>1860</v>
      </c>
      <c r="E1271" s="1" t="s">
        <v>939</v>
      </c>
      <c r="F1271" s="18">
        <v>999</v>
      </c>
      <c r="G1271" s="18">
        <v>24</v>
      </c>
      <c r="H1271" s="5">
        <v>22</v>
      </c>
      <c r="I1271" s="1">
        <v>66</v>
      </c>
      <c r="J1271" s="1">
        <v>100</v>
      </c>
      <c r="L1271" t="str">
        <f t="shared" si="19"/>
        <v>http://www.badatelna.eu/reprodukce/?fondId=241&amp;zaznamId=1133739&amp;reproId=3885753</v>
      </c>
      <c r="M1271">
        <f>VLOOKUP(F1271,Sheet2!$B$1:$E$19,2,FALSE)</f>
        <v>241</v>
      </c>
      <c r="N1271">
        <f>VLOOKUP(F1271,Sheet2!$B$1:$E$19,3,FALSE)</f>
        <v>1133739</v>
      </c>
      <c r="O1271">
        <f>IF(G1271="Not available","",VLOOKUP(F1271,Sheet2!$B$1:$E$19,4,FALSE)+(G1271-1))</f>
        <v>3885753</v>
      </c>
    </row>
    <row r="1272" spans="1:15" s="1" customFormat="1" ht="15" customHeight="1" x14ac:dyDescent="0.25">
      <c r="A1272" s="18" t="s">
        <v>283</v>
      </c>
      <c r="B1272" s="18" t="s">
        <v>1175</v>
      </c>
      <c r="C1272" s="5">
        <v>1887</v>
      </c>
      <c r="D1272" s="1" t="s">
        <v>197</v>
      </c>
      <c r="E1272" s="1" t="s">
        <v>2</v>
      </c>
      <c r="F1272" s="18">
        <v>2165</v>
      </c>
      <c r="G1272" s="18">
        <v>213</v>
      </c>
      <c r="H1272" s="5">
        <v>2</v>
      </c>
      <c r="I1272" s="1">
        <v>215</v>
      </c>
      <c r="J1272" s="1">
        <v>191</v>
      </c>
      <c r="L1272" t="str">
        <f t="shared" si="19"/>
        <v>http://www.badatelna.eu/reprodukce/?fondId=1073&amp;zaznamId=1108952&amp;reproId=3779074</v>
      </c>
      <c r="M1272">
        <f>VLOOKUP(F1272,Sheet2!$B$1:$E$19,2,FALSE)</f>
        <v>1073</v>
      </c>
      <c r="N1272">
        <f>VLOOKUP(F1272,Sheet2!$B$1:$E$19,3,FALSE)</f>
        <v>1108952</v>
      </c>
      <c r="O1272">
        <f>IF(G1272="Not available","",VLOOKUP(F1272,Sheet2!$B$1:$E$19,4,FALSE)+(G1272-1))</f>
        <v>3779074</v>
      </c>
    </row>
    <row r="1273" spans="1:15" s="1" customFormat="1" ht="15" customHeight="1" x14ac:dyDescent="0.25">
      <c r="A1273" s="18" t="s">
        <v>283</v>
      </c>
      <c r="B1273" s="18" t="s">
        <v>1175</v>
      </c>
      <c r="C1273" s="10" t="s">
        <v>2055</v>
      </c>
      <c r="D1273" s="3" t="s">
        <v>2194</v>
      </c>
      <c r="E1273" s="4" t="s">
        <v>2</v>
      </c>
      <c r="F1273" s="18">
        <v>2176</v>
      </c>
      <c r="G1273" s="18" t="s">
        <v>3271</v>
      </c>
      <c r="H1273" s="10" t="s">
        <v>1976</v>
      </c>
      <c r="I1273" s="3">
        <v>13</v>
      </c>
      <c r="J1273" s="3" t="s">
        <v>3271</v>
      </c>
      <c r="K1273" s="3"/>
      <c r="L1273" t="str">
        <f t="shared" si="19"/>
        <v/>
      </c>
      <c r="M1273">
        <f>VLOOKUP(F1273,Sheet2!$B$1:$E$19,2,FALSE)</f>
        <v>1073</v>
      </c>
      <c r="N1273">
        <f>VLOOKUP(F1273,Sheet2!$B$1:$E$19,3,FALSE)</f>
        <v>1108963</v>
      </c>
      <c r="O1273" t="str">
        <f>IF(G1273="Not available","",VLOOKUP(F1273,Sheet2!$B$1:$E$19,4,FALSE)+(G1273-1))</f>
        <v/>
      </c>
    </row>
    <row r="1274" spans="1:15" s="1" customFormat="1" ht="15" customHeight="1" x14ac:dyDescent="0.25">
      <c r="A1274" s="18" t="s">
        <v>283</v>
      </c>
      <c r="B1274" s="18" t="s">
        <v>2143</v>
      </c>
      <c r="C1274" s="10" t="s">
        <v>2026</v>
      </c>
      <c r="D1274" s="3" t="s">
        <v>2208</v>
      </c>
      <c r="E1274" s="4" t="s">
        <v>2</v>
      </c>
      <c r="F1274" s="18">
        <v>2176</v>
      </c>
      <c r="G1274" s="18" t="s">
        <v>3271</v>
      </c>
      <c r="H1274" s="10" t="s">
        <v>2094</v>
      </c>
      <c r="I1274" s="1">
        <v>13</v>
      </c>
      <c r="J1274" s="3" t="s">
        <v>3271</v>
      </c>
      <c r="K1274" s="3"/>
      <c r="L1274" t="str">
        <f t="shared" si="19"/>
        <v/>
      </c>
      <c r="M1274">
        <f>VLOOKUP(F1274,Sheet2!$B$1:$E$19,2,FALSE)</f>
        <v>1073</v>
      </c>
      <c r="N1274">
        <f>VLOOKUP(F1274,Sheet2!$B$1:$E$19,3,FALSE)</f>
        <v>1108963</v>
      </c>
      <c r="O1274" t="str">
        <f>IF(G1274="Not available","",VLOOKUP(F1274,Sheet2!$B$1:$E$19,4,FALSE)+(G1274-1))</f>
        <v/>
      </c>
    </row>
    <row r="1275" spans="1:15" s="1" customFormat="1" ht="15" customHeight="1" x14ac:dyDescent="0.25">
      <c r="A1275" s="18" t="s">
        <v>283</v>
      </c>
      <c r="B1275" s="18" t="s">
        <v>873</v>
      </c>
      <c r="C1275" s="5" t="s">
        <v>1719</v>
      </c>
      <c r="D1275" s="1" t="s">
        <v>58</v>
      </c>
      <c r="E1275" s="1" t="s">
        <v>2</v>
      </c>
      <c r="F1275" s="18">
        <v>2165</v>
      </c>
      <c r="G1275" s="18">
        <v>166</v>
      </c>
      <c r="H1275" s="5">
        <v>2</v>
      </c>
      <c r="I1275" s="1">
        <v>170</v>
      </c>
      <c r="J1275" s="1">
        <v>148</v>
      </c>
      <c r="L1275" t="str">
        <f t="shared" si="19"/>
        <v>http://www.badatelna.eu/reprodukce/?fondId=1073&amp;zaznamId=1108952&amp;reproId=3779027</v>
      </c>
      <c r="M1275">
        <f>VLOOKUP(F1275,Sheet2!$B$1:$E$19,2,FALSE)</f>
        <v>1073</v>
      </c>
      <c r="N1275">
        <f>VLOOKUP(F1275,Sheet2!$B$1:$E$19,3,FALSE)</f>
        <v>1108952</v>
      </c>
      <c r="O1275">
        <f>IF(G1275="Not available","",VLOOKUP(F1275,Sheet2!$B$1:$E$19,4,FALSE)+(G1275-1))</f>
        <v>3779027</v>
      </c>
    </row>
    <row r="1276" spans="1:15" s="1" customFormat="1" ht="15" customHeight="1" x14ac:dyDescent="0.25">
      <c r="A1276" s="18" t="s">
        <v>283</v>
      </c>
      <c r="B1276" s="18" t="s">
        <v>947</v>
      </c>
      <c r="C1276" s="5">
        <v>1866</v>
      </c>
      <c r="E1276" s="1" t="s">
        <v>939</v>
      </c>
      <c r="F1276" s="18">
        <v>999</v>
      </c>
      <c r="G1276" s="18">
        <v>59</v>
      </c>
      <c r="H1276" s="5">
        <v>57</v>
      </c>
      <c r="I1276" s="1">
        <v>66</v>
      </c>
      <c r="J1276" s="1">
        <v>100</v>
      </c>
      <c r="L1276" t="str">
        <f t="shared" si="19"/>
        <v>http://www.badatelna.eu/reprodukce/?fondId=241&amp;zaznamId=1133739&amp;reproId=3885788</v>
      </c>
      <c r="M1276">
        <f>VLOOKUP(F1276,Sheet2!$B$1:$E$19,2,FALSE)</f>
        <v>241</v>
      </c>
      <c r="N1276">
        <f>VLOOKUP(F1276,Sheet2!$B$1:$E$19,3,FALSE)</f>
        <v>1133739</v>
      </c>
      <c r="O1276">
        <f>IF(G1276="Not available","",VLOOKUP(F1276,Sheet2!$B$1:$E$19,4,FALSE)+(G1276-1))</f>
        <v>3885788</v>
      </c>
    </row>
    <row r="1277" spans="1:15" s="1" customFormat="1" ht="15" customHeight="1" x14ac:dyDescent="0.25">
      <c r="A1277" s="18" t="s">
        <v>283</v>
      </c>
      <c r="B1277" s="18" t="s">
        <v>438</v>
      </c>
      <c r="C1277" s="5" t="s">
        <v>1358</v>
      </c>
      <c r="D1277" s="4" t="s">
        <v>2901</v>
      </c>
      <c r="E1277" s="1" t="s">
        <v>2</v>
      </c>
      <c r="F1277" s="18">
        <v>2165</v>
      </c>
      <c r="G1277" s="18">
        <v>14</v>
      </c>
      <c r="H1277" s="14" t="s">
        <v>2902</v>
      </c>
      <c r="I1277" s="1">
        <v>82</v>
      </c>
      <c r="J1277" s="1" t="s">
        <v>3271</v>
      </c>
      <c r="L1277" t="str">
        <f t="shared" si="19"/>
        <v>http://www.badatelna.eu/reprodukce/?fondId=1073&amp;zaznamId=1108952&amp;reproId=3778875</v>
      </c>
      <c r="M1277">
        <f>VLOOKUP(F1277,Sheet2!$B$1:$E$19,2,FALSE)</f>
        <v>1073</v>
      </c>
      <c r="N1277">
        <f>VLOOKUP(F1277,Sheet2!$B$1:$E$19,3,FALSE)</f>
        <v>1108952</v>
      </c>
      <c r="O1277">
        <f>IF(G1277="Not available","",VLOOKUP(F1277,Sheet2!$B$1:$E$19,4,FALSE)+(G1277-1))</f>
        <v>3778875</v>
      </c>
    </row>
    <row r="1278" spans="1:15" s="1" customFormat="1" ht="15" customHeight="1" x14ac:dyDescent="0.25">
      <c r="A1278" s="19" t="s">
        <v>283</v>
      </c>
      <c r="B1278" s="18" t="s">
        <v>21</v>
      </c>
      <c r="C1278" s="5">
        <v>1822</v>
      </c>
      <c r="E1278" s="1" t="s">
        <v>2</v>
      </c>
      <c r="F1278" s="18">
        <v>2173</v>
      </c>
      <c r="G1278" s="18">
        <v>73</v>
      </c>
      <c r="H1278" s="5">
        <v>138</v>
      </c>
      <c r="I1278" s="1">
        <v>97</v>
      </c>
      <c r="J1278" s="1">
        <v>206</v>
      </c>
      <c r="L1278" t="str">
        <f t="shared" si="19"/>
        <v>http://www.badatelna.eu/reprodukce/?fondId=1073&amp;zaznamId=1108959&amp;reproId=3780066</v>
      </c>
      <c r="M1278">
        <f>VLOOKUP(F1278,Sheet2!$B$1:$E$19,2,FALSE)</f>
        <v>1073</v>
      </c>
      <c r="N1278">
        <f>VLOOKUP(F1278,Sheet2!$B$1:$E$19,3,FALSE)</f>
        <v>1108959</v>
      </c>
      <c r="O1278">
        <f>IF(G1278="Not available","",VLOOKUP(F1278,Sheet2!$B$1:$E$19,4,FALSE)+(G1278-1))</f>
        <v>3780066</v>
      </c>
    </row>
    <row r="1279" spans="1:15" s="1" customFormat="1" ht="15" customHeight="1" x14ac:dyDescent="0.25">
      <c r="A1279" s="18" t="s">
        <v>283</v>
      </c>
      <c r="B1279" s="18" t="s">
        <v>21</v>
      </c>
      <c r="C1279" s="5">
        <v>1834</v>
      </c>
      <c r="D1279" s="1" t="s">
        <v>486</v>
      </c>
      <c r="E1279" s="1" t="s">
        <v>2</v>
      </c>
      <c r="F1279" s="18">
        <v>2174</v>
      </c>
      <c r="G1279" s="18">
        <v>78</v>
      </c>
      <c r="H1279" s="6" t="s">
        <v>3144</v>
      </c>
      <c r="I1279" s="1">
        <v>185</v>
      </c>
      <c r="J1279" s="1">
        <v>212</v>
      </c>
      <c r="L1279" t="str">
        <f t="shared" si="19"/>
        <v>http://www.badatelna.eu/reprodukce/?fondId=1073&amp;zaznamId=1108960&amp;reproId=3780302</v>
      </c>
      <c r="M1279">
        <f>VLOOKUP(F1279,Sheet2!$B$1:$E$19,2,FALSE)</f>
        <v>1073</v>
      </c>
      <c r="N1279">
        <f>VLOOKUP(F1279,Sheet2!$B$1:$E$19,3,FALSE)</f>
        <v>1108960</v>
      </c>
      <c r="O1279">
        <f>IF(G1279="Not available","",VLOOKUP(F1279,Sheet2!$B$1:$E$19,4,FALSE)+(G1279-1))</f>
        <v>3780302</v>
      </c>
    </row>
    <row r="1280" spans="1:15" s="1" customFormat="1" ht="15" customHeight="1" x14ac:dyDescent="0.25">
      <c r="A1280" s="18" t="s">
        <v>283</v>
      </c>
      <c r="B1280" s="18" t="s">
        <v>2204</v>
      </c>
      <c r="C1280" s="10" t="s">
        <v>2024</v>
      </c>
      <c r="D1280" s="3" t="s">
        <v>2166</v>
      </c>
      <c r="E1280" s="4" t="s">
        <v>2</v>
      </c>
      <c r="F1280" s="18">
        <v>2176</v>
      </c>
      <c r="G1280" s="18" t="s">
        <v>3271</v>
      </c>
      <c r="H1280" s="10" t="s">
        <v>2205</v>
      </c>
      <c r="I1280" s="1">
        <v>13</v>
      </c>
      <c r="J1280" s="3" t="s">
        <v>3271</v>
      </c>
      <c r="K1280" s="3"/>
      <c r="L1280" t="str">
        <f t="shared" si="19"/>
        <v/>
      </c>
      <c r="M1280">
        <f>VLOOKUP(F1280,Sheet2!$B$1:$E$19,2,FALSE)</f>
        <v>1073</v>
      </c>
      <c r="N1280">
        <f>VLOOKUP(F1280,Sheet2!$B$1:$E$19,3,FALSE)</f>
        <v>1108963</v>
      </c>
      <c r="O1280" t="str">
        <f>IF(G1280="Not available","",VLOOKUP(F1280,Sheet2!$B$1:$E$19,4,FALSE)+(G1280-1))</f>
        <v/>
      </c>
    </row>
    <row r="1281" spans="1:15" s="1" customFormat="1" ht="15" customHeight="1" x14ac:dyDescent="0.25">
      <c r="A1281" s="18" t="s">
        <v>283</v>
      </c>
      <c r="B1281" s="18" t="s">
        <v>432</v>
      </c>
      <c r="C1281" s="10" t="s">
        <v>2259</v>
      </c>
      <c r="D1281" s="3" t="s">
        <v>2260</v>
      </c>
      <c r="E1281" s="4" t="s">
        <v>2</v>
      </c>
      <c r="F1281" s="18">
        <v>2176</v>
      </c>
      <c r="G1281" s="18" t="s">
        <v>3271</v>
      </c>
      <c r="H1281" s="10" t="s">
        <v>2083</v>
      </c>
      <c r="I1281" s="3">
        <v>14</v>
      </c>
      <c r="J1281" s="3" t="s">
        <v>3271</v>
      </c>
      <c r="K1281" s="3"/>
      <c r="L1281" t="str">
        <f t="shared" si="19"/>
        <v/>
      </c>
      <c r="M1281">
        <f>VLOOKUP(F1281,Sheet2!$B$1:$E$19,2,FALSE)</f>
        <v>1073</v>
      </c>
      <c r="N1281">
        <f>VLOOKUP(F1281,Sheet2!$B$1:$E$19,3,FALSE)</f>
        <v>1108963</v>
      </c>
      <c r="O1281" t="str">
        <f>IF(G1281="Not available","",VLOOKUP(F1281,Sheet2!$B$1:$E$19,4,FALSE)+(G1281-1))</f>
        <v/>
      </c>
    </row>
    <row r="1282" spans="1:15" s="1" customFormat="1" ht="15" customHeight="1" x14ac:dyDescent="0.25">
      <c r="A1282" s="18" t="s">
        <v>283</v>
      </c>
      <c r="B1282" s="18" t="s">
        <v>1944</v>
      </c>
      <c r="C1282" s="10" t="s">
        <v>2025</v>
      </c>
      <c r="D1282" s="3" t="s">
        <v>2193</v>
      </c>
      <c r="E1282" s="4" t="s">
        <v>2</v>
      </c>
      <c r="F1282" s="18">
        <v>2176</v>
      </c>
      <c r="G1282" s="18" t="s">
        <v>3271</v>
      </c>
      <c r="H1282" s="10" t="s">
        <v>1955</v>
      </c>
      <c r="I1282" s="1">
        <v>12</v>
      </c>
      <c r="J1282" s="3" t="s">
        <v>3271</v>
      </c>
      <c r="K1282" s="3"/>
      <c r="L1282" t="str">
        <f t="shared" si="19"/>
        <v/>
      </c>
      <c r="M1282">
        <f>VLOOKUP(F1282,Sheet2!$B$1:$E$19,2,FALSE)</f>
        <v>1073</v>
      </c>
      <c r="N1282">
        <f>VLOOKUP(F1282,Sheet2!$B$1:$E$19,3,FALSE)</f>
        <v>1108963</v>
      </c>
      <c r="O1282" t="str">
        <f>IF(G1282="Not available","",VLOOKUP(F1282,Sheet2!$B$1:$E$19,4,FALSE)+(G1282-1))</f>
        <v/>
      </c>
    </row>
    <row r="1283" spans="1:15" s="1" customFormat="1" ht="15" customHeight="1" x14ac:dyDescent="0.25">
      <c r="A1283" s="19" t="s">
        <v>283</v>
      </c>
      <c r="B1283" s="18" t="s">
        <v>13</v>
      </c>
      <c r="C1283" s="5">
        <v>1828</v>
      </c>
      <c r="E1283" s="1" t="s">
        <v>2</v>
      </c>
      <c r="F1283" s="18">
        <v>2173</v>
      </c>
      <c r="G1283" s="18">
        <v>87</v>
      </c>
      <c r="H1283" s="5">
        <v>160</v>
      </c>
      <c r="I1283" s="1">
        <v>97</v>
      </c>
      <c r="J1283" s="1">
        <v>206</v>
      </c>
      <c r="L1283" t="str">
        <f t="shared" ref="L1283:L1346" si="20">IF(G1283="Not available","","http://www.badatelna.eu/reprodukce/?fondId="&amp;M1283&amp;"&amp;zaznamId="&amp;N1283&amp;"&amp;reproId="&amp;O1283)</f>
        <v>http://www.badatelna.eu/reprodukce/?fondId=1073&amp;zaznamId=1108959&amp;reproId=3780080</v>
      </c>
      <c r="M1283">
        <f>VLOOKUP(F1283,Sheet2!$B$1:$E$19,2,FALSE)</f>
        <v>1073</v>
      </c>
      <c r="N1283">
        <f>VLOOKUP(F1283,Sheet2!$B$1:$E$19,3,FALSE)</f>
        <v>1108959</v>
      </c>
      <c r="O1283">
        <f>IF(G1283="Not available","",VLOOKUP(F1283,Sheet2!$B$1:$E$19,4,FALSE)+(G1283-1))</f>
        <v>3780080</v>
      </c>
    </row>
    <row r="1284" spans="1:15" s="1" customFormat="1" ht="15" customHeight="1" x14ac:dyDescent="0.25">
      <c r="A1284" s="18" t="s">
        <v>283</v>
      </c>
      <c r="B1284" s="18" t="s">
        <v>834</v>
      </c>
      <c r="C1284" s="5">
        <v>1861</v>
      </c>
      <c r="E1284" s="1" t="s">
        <v>939</v>
      </c>
      <c r="F1284" s="18">
        <v>999</v>
      </c>
      <c r="G1284" s="18">
        <v>32</v>
      </c>
      <c r="H1284" s="5">
        <v>30</v>
      </c>
      <c r="I1284" s="1">
        <v>66</v>
      </c>
      <c r="J1284" s="1">
        <v>100</v>
      </c>
      <c r="L1284" t="str">
        <f t="shared" si="20"/>
        <v>http://www.badatelna.eu/reprodukce/?fondId=241&amp;zaznamId=1133739&amp;reproId=3885761</v>
      </c>
      <c r="M1284">
        <f>VLOOKUP(F1284,Sheet2!$B$1:$E$19,2,FALSE)</f>
        <v>241</v>
      </c>
      <c r="N1284">
        <f>VLOOKUP(F1284,Sheet2!$B$1:$E$19,3,FALSE)</f>
        <v>1133739</v>
      </c>
      <c r="O1284">
        <f>IF(G1284="Not available","",VLOOKUP(F1284,Sheet2!$B$1:$E$19,4,FALSE)+(G1284-1))</f>
        <v>3885761</v>
      </c>
    </row>
    <row r="1285" spans="1:15" s="1" customFormat="1" ht="15" customHeight="1" x14ac:dyDescent="0.25">
      <c r="A1285" s="18" t="s">
        <v>283</v>
      </c>
      <c r="B1285" s="18" t="s">
        <v>476</v>
      </c>
      <c r="C1285" s="5">
        <v>1832</v>
      </c>
      <c r="D1285" s="1" t="s">
        <v>50</v>
      </c>
      <c r="E1285" s="1" t="s">
        <v>2</v>
      </c>
      <c r="F1285" s="18">
        <v>2174</v>
      </c>
      <c r="G1285" s="18">
        <v>68</v>
      </c>
      <c r="H1285" s="6" t="s">
        <v>3112</v>
      </c>
      <c r="I1285" s="1">
        <v>185</v>
      </c>
      <c r="J1285" s="1">
        <v>212</v>
      </c>
      <c r="L1285" t="str">
        <f t="shared" si="20"/>
        <v>http://www.badatelna.eu/reprodukce/?fondId=1073&amp;zaznamId=1108960&amp;reproId=3780292</v>
      </c>
      <c r="M1285">
        <f>VLOOKUP(F1285,Sheet2!$B$1:$E$19,2,FALSE)</f>
        <v>1073</v>
      </c>
      <c r="N1285">
        <f>VLOOKUP(F1285,Sheet2!$B$1:$E$19,3,FALSE)</f>
        <v>1108960</v>
      </c>
      <c r="O1285">
        <f>IF(G1285="Not available","",VLOOKUP(F1285,Sheet2!$B$1:$E$19,4,FALSE)+(G1285-1))</f>
        <v>3780292</v>
      </c>
    </row>
    <row r="1286" spans="1:15" s="1" customFormat="1" ht="15" customHeight="1" x14ac:dyDescent="0.25">
      <c r="A1286" s="18" t="s">
        <v>283</v>
      </c>
      <c r="B1286" s="18" t="s">
        <v>1161</v>
      </c>
      <c r="C1286" s="5">
        <v>1886</v>
      </c>
      <c r="D1286" s="1" t="s">
        <v>650</v>
      </c>
      <c r="E1286" s="1" t="s">
        <v>2</v>
      </c>
      <c r="F1286" s="18">
        <v>2165</v>
      </c>
      <c r="G1286" s="18">
        <v>209</v>
      </c>
      <c r="H1286" s="5">
        <v>3</v>
      </c>
      <c r="I1286" s="1">
        <v>210</v>
      </c>
      <c r="J1286" s="1">
        <v>186</v>
      </c>
      <c r="L1286" t="str">
        <f t="shared" si="20"/>
        <v>http://www.badatelna.eu/reprodukce/?fondId=1073&amp;zaznamId=1108952&amp;reproId=3779070</v>
      </c>
      <c r="M1286">
        <f>VLOOKUP(F1286,Sheet2!$B$1:$E$19,2,FALSE)</f>
        <v>1073</v>
      </c>
      <c r="N1286">
        <f>VLOOKUP(F1286,Sheet2!$B$1:$E$19,3,FALSE)</f>
        <v>1108952</v>
      </c>
      <c r="O1286">
        <f>IF(G1286="Not available","",VLOOKUP(F1286,Sheet2!$B$1:$E$19,4,FALSE)+(G1286-1))</f>
        <v>3779070</v>
      </c>
    </row>
    <row r="1287" spans="1:15" s="1" customFormat="1" ht="15" customHeight="1" x14ac:dyDescent="0.25">
      <c r="A1287" s="18" t="s">
        <v>283</v>
      </c>
      <c r="B1287" s="18" t="s">
        <v>1033</v>
      </c>
      <c r="C1287" s="10" t="s">
        <v>2052</v>
      </c>
      <c r="D1287" s="3" t="s">
        <v>2226</v>
      </c>
      <c r="E1287" s="4" t="s">
        <v>2</v>
      </c>
      <c r="F1287" s="18">
        <v>2176</v>
      </c>
      <c r="G1287" s="18" t="s">
        <v>3271</v>
      </c>
      <c r="H1287" s="10" t="s">
        <v>2073</v>
      </c>
      <c r="I1287" s="3">
        <v>13</v>
      </c>
      <c r="J1287" s="3" t="s">
        <v>3271</v>
      </c>
      <c r="K1287" s="3"/>
      <c r="L1287" t="str">
        <f t="shared" si="20"/>
        <v/>
      </c>
      <c r="M1287">
        <f>VLOOKUP(F1287,Sheet2!$B$1:$E$19,2,FALSE)</f>
        <v>1073</v>
      </c>
      <c r="N1287">
        <f>VLOOKUP(F1287,Sheet2!$B$1:$E$19,3,FALSE)</f>
        <v>1108963</v>
      </c>
      <c r="O1287" t="str">
        <f>IF(G1287="Not available","",VLOOKUP(F1287,Sheet2!$B$1:$E$19,4,FALSE)+(G1287-1))</f>
        <v/>
      </c>
    </row>
    <row r="1288" spans="1:15" s="1" customFormat="1" ht="15" customHeight="1" x14ac:dyDescent="0.25">
      <c r="A1288" s="18" t="s">
        <v>283</v>
      </c>
      <c r="B1288" s="18" t="s">
        <v>1033</v>
      </c>
      <c r="C1288" s="10" t="s">
        <v>2072</v>
      </c>
      <c r="D1288" s="3" t="s">
        <v>2231</v>
      </c>
      <c r="E1288" s="4" t="s">
        <v>2</v>
      </c>
      <c r="F1288" s="18">
        <v>2176</v>
      </c>
      <c r="G1288" s="18" t="s">
        <v>3271</v>
      </c>
      <c r="H1288" s="10" t="s">
        <v>1974</v>
      </c>
      <c r="I1288" s="3">
        <v>13</v>
      </c>
      <c r="J1288" s="3" t="s">
        <v>3271</v>
      </c>
      <c r="K1288" s="3"/>
      <c r="L1288" t="str">
        <f t="shared" si="20"/>
        <v/>
      </c>
      <c r="M1288">
        <f>VLOOKUP(F1288,Sheet2!$B$1:$E$19,2,FALSE)</f>
        <v>1073</v>
      </c>
      <c r="N1288">
        <f>VLOOKUP(F1288,Sheet2!$B$1:$E$19,3,FALSE)</f>
        <v>1108963</v>
      </c>
      <c r="O1288" t="str">
        <f>IF(G1288="Not available","",VLOOKUP(F1288,Sheet2!$B$1:$E$19,4,FALSE)+(G1288-1))</f>
        <v/>
      </c>
    </row>
    <row r="1289" spans="1:15" s="1" customFormat="1" ht="15" customHeight="1" x14ac:dyDescent="0.25">
      <c r="A1289" s="18" t="s">
        <v>283</v>
      </c>
      <c r="B1289" s="18" t="s">
        <v>1068</v>
      </c>
      <c r="C1289" s="10" t="s">
        <v>2025</v>
      </c>
      <c r="D1289" s="3" t="s">
        <v>2194</v>
      </c>
      <c r="E1289" s="4" t="s">
        <v>2</v>
      </c>
      <c r="F1289" s="18">
        <v>2176</v>
      </c>
      <c r="G1289" s="18" t="s">
        <v>3271</v>
      </c>
      <c r="H1289" s="10" t="s">
        <v>1974</v>
      </c>
      <c r="I1289" s="1">
        <v>12</v>
      </c>
      <c r="J1289" s="3" t="s">
        <v>3271</v>
      </c>
      <c r="L1289" t="str">
        <f t="shared" si="20"/>
        <v/>
      </c>
      <c r="M1289">
        <f>VLOOKUP(F1289,Sheet2!$B$1:$E$19,2,FALSE)</f>
        <v>1073</v>
      </c>
      <c r="N1289">
        <f>VLOOKUP(F1289,Sheet2!$B$1:$E$19,3,FALSE)</f>
        <v>1108963</v>
      </c>
      <c r="O1289" t="str">
        <f>IF(G1289="Not available","",VLOOKUP(F1289,Sheet2!$B$1:$E$19,4,FALSE)+(G1289-1))</f>
        <v/>
      </c>
    </row>
    <row r="1290" spans="1:15" s="1" customFormat="1" ht="15" customHeight="1" x14ac:dyDescent="0.25">
      <c r="A1290" s="19" t="s">
        <v>283</v>
      </c>
      <c r="B1290" s="18" t="s">
        <v>103</v>
      </c>
      <c r="C1290" s="5">
        <v>1826</v>
      </c>
      <c r="E1290" s="1" t="s">
        <v>2</v>
      </c>
      <c r="F1290" s="18">
        <v>2173</v>
      </c>
      <c r="G1290" s="18">
        <v>78</v>
      </c>
      <c r="H1290" s="5">
        <v>149</v>
      </c>
      <c r="I1290" s="1">
        <v>97</v>
      </c>
      <c r="J1290" s="1">
        <v>206</v>
      </c>
      <c r="L1290" t="str">
        <f t="shared" si="20"/>
        <v>http://www.badatelna.eu/reprodukce/?fondId=1073&amp;zaznamId=1108959&amp;reproId=3780071</v>
      </c>
      <c r="M1290">
        <f>VLOOKUP(F1290,Sheet2!$B$1:$E$19,2,FALSE)</f>
        <v>1073</v>
      </c>
      <c r="N1290">
        <f>VLOOKUP(F1290,Sheet2!$B$1:$E$19,3,FALSE)</f>
        <v>1108959</v>
      </c>
      <c r="O1290">
        <f>IF(G1290="Not available","",VLOOKUP(F1290,Sheet2!$B$1:$E$19,4,FALSE)+(G1290-1))</f>
        <v>3780071</v>
      </c>
    </row>
    <row r="1291" spans="1:15" s="1" customFormat="1" ht="15" customHeight="1" x14ac:dyDescent="0.25">
      <c r="A1291" s="18" t="s">
        <v>283</v>
      </c>
      <c r="B1291" s="18" t="s">
        <v>2253</v>
      </c>
      <c r="C1291" s="10" t="s">
        <v>1963</v>
      </c>
      <c r="D1291" s="3" t="s">
        <v>2272</v>
      </c>
      <c r="E1291" s="4" t="s">
        <v>2</v>
      </c>
      <c r="F1291" s="18">
        <v>2176</v>
      </c>
      <c r="G1291" s="18" t="s">
        <v>3271</v>
      </c>
      <c r="H1291" s="10" t="s">
        <v>2083</v>
      </c>
      <c r="I1291" s="3">
        <v>15</v>
      </c>
      <c r="J1291" s="3" t="s">
        <v>3271</v>
      </c>
      <c r="K1291" s="3"/>
      <c r="L1291" t="str">
        <f t="shared" si="20"/>
        <v/>
      </c>
      <c r="M1291">
        <f>VLOOKUP(F1291,Sheet2!$B$1:$E$19,2,FALSE)</f>
        <v>1073</v>
      </c>
      <c r="N1291">
        <f>VLOOKUP(F1291,Sheet2!$B$1:$E$19,3,FALSE)</f>
        <v>1108963</v>
      </c>
      <c r="O1291" t="str">
        <f>IF(G1291="Not available","",VLOOKUP(F1291,Sheet2!$B$1:$E$19,4,FALSE)+(G1291-1))</f>
        <v/>
      </c>
    </row>
    <row r="1292" spans="1:15" s="1" customFormat="1" ht="15" customHeight="1" x14ac:dyDescent="0.25">
      <c r="A1292" s="18" t="s">
        <v>283</v>
      </c>
      <c r="B1292" s="18" t="s">
        <v>96</v>
      </c>
      <c r="C1292" s="5" t="s">
        <v>1359</v>
      </c>
      <c r="D1292" s="1" t="s">
        <v>197</v>
      </c>
      <c r="E1292" s="1" t="s">
        <v>2</v>
      </c>
      <c r="F1292" s="18">
        <v>2165</v>
      </c>
      <c r="G1292" s="18">
        <v>14</v>
      </c>
      <c r="H1292" s="14" t="s">
        <v>2902</v>
      </c>
      <c r="I1292" s="1">
        <v>82</v>
      </c>
      <c r="J1292" s="1" t="s">
        <v>3271</v>
      </c>
      <c r="L1292" t="str">
        <f t="shared" si="20"/>
        <v>http://www.badatelna.eu/reprodukce/?fondId=1073&amp;zaznamId=1108952&amp;reproId=3778875</v>
      </c>
      <c r="M1292">
        <f>VLOOKUP(F1292,Sheet2!$B$1:$E$19,2,FALSE)</f>
        <v>1073</v>
      </c>
      <c r="N1292">
        <f>VLOOKUP(F1292,Sheet2!$B$1:$E$19,3,FALSE)</f>
        <v>1108952</v>
      </c>
      <c r="O1292">
        <f>IF(G1292="Not available","",VLOOKUP(F1292,Sheet2!$B$1:$E$19,4,FALSE)+(G1292-1))</f>
        <v>3778875</v>
      </c>
    </row>
    <row r="1293" spans="1:15" s="1" customFormat="1" ht="15" customHeight="1" x14ac:dyDescent="0.25">
      <c r="A1293" s="19" t="s">
        <v>283</v>
      </c>
      <c r="B1293" s="18" t="s">
        <v>18</v>
      </c>
      <c r="C1293" s="5">
        <v>1823</v>
      </c>
      <c r="E1293" s="1" t="s">
        <v>2</v>
      </c>
      <c r="F1293" s="18">
        <v>2173</v>
      </c>
      <c r="G1293" s="18">
        <v>74</v>
      </c>
      <c r="H1293" s="5">
        <v>141</v>
      </c>
      <c r="I1293" s="1">
        <v>97</v>
      </c>
      <c r="J1293" s="1">
        <v>206</v>
      </c>
      <c r="L1293" t="str">
        <f t="shared" si="20"/>
        <v>http://www.badatelna.eu/reprodukce/?fondId=1073&amp;zaznamId=1108959&amp;reproId=3780067</v>
      </c>
      <c r="M1293">
        <f>VLOOKUP(F1293,Sheet2!$B$1:$E$19,2,FALSE)</f>
        <v>1073</v>
      </c>
      <c r="N1293">
        <f>VLOOKUP(F1293,Sheet2!$B$1:$E$19,3,FALSE)</f>
        <v>1108959</v>
      </c>
      <c r="O1293">
        <f>IF(G1293="Not available","",VLOOKUP(F1293,Sheet2!$B$1:$E$19,4,FALSE)+(G1293-1))</f>
        <v>3780067</v>
      </c>
    </row>
    <row r="1294" spans="1:15" s="1" customFormat="1" ht="15" customHeight="1" x14ac:dyDescent="0.25">
      <c r="A1294" s="18" t="s">
        <v>283</v>
      </c>
      <c r="B1294" s="18" t="s">
        <v>593</v>
      </c>
      <c r="C1294" s="5">
        <v>1861</v>
      </c>
      <c r="E1294" s="1" t="s">
        <v>939</v>
      </c>
      <c r="F1294" s="18">
        <v>999</v>
      </c>
      <c r="G1294" s="18">
        <v>32</v>
      </c>
      <c r="H1294" s="5">
        <v>30</v>
      </c>
      <c r="I1294" s="1">
        <v>66</v>
      </c>
      <c r="J1294" s="1">
        <v>100</v>
      </c>
      <c r="L1294" t="str">
        <f t="shared" si="20"/>
        <v>http://www.badatelna.eu/reprodukce/?fondId=241&amp;zaznamId=1133739&amp;reproId=3885761</v>
      </c>
      <c r="M1294">
        <f>VLOOKUP(F1294,Sheet2!$B$1:$E$19,2,FALSE)</f>
        <v>241</v>
      </c>
      <c r="N1294">
        <f>VLOOKUP(F1294,Sheet2!$B$1:$E$19,3,FALSE)</f>
        <v>1133739</v>
      </c>
      <c r="O1294">
        <f>IF(G1294="Not available","",VLOOKUP(F1294,Sheet2!$B$1:$E$19,4,FALSE)+(G1294-1))</f>
        <v>3885761</v>
      </c>
    </row>
    <row r="1295" spans="1:15" s="1" customFormat="1" ht="15" customHeight="1" x14ac:dyDescent="0.25">
      <c r="A1295" s="18" t="s">
        <v>283</v>
      </c>
      <c r="B1295" s="18" t="s">
        <v>593</v>
      </c>
      <c r="C1295" s="10" t="s">
        <v>2267</v>
      </c>
      <c r="D1295" s="3" t="s">
        <v>2268</v>
      </c>
      <c r="E1295" s="4" t="s">
        <v>2</v>
      </c>
      <c r="F1295" s="18">
        <v>2176</v>
      </c>
      <c r="G1295" s="18" t="s">
        <v>3271</v>
      </c>
      <c r="H1295" s="10" t="s">
        <v>1955</v>
      </c>
      <c r="I1295" s="3">
        <v>15</v>
      </c>
      <c r="J1295" s="3" t="s">
        <v>3271</v>
      </c>
      <c r="K1295" s="3"/>
      <c r="L1295" t="str">
        <f t="shared" si="20"/>
        <v/>
      </c>
      <c r="M1295">
        <f>VLOOKUP(F1295,Sheet2!$B$1:$E$19,2,FALSE)</f>
        <v>1073</v>
      </c>
      <c r="N1295">
        <f>VLOOKUP(F1295,Sheet2!$B$1:$E$19,3,FALSE)</f>
        <v>1108963</v>
      </c>
      <c r="O1295" t="str">
        <f>IF(G1295="Not available","",VLOOKUP(F1295,Sheet2!$B$1:$E$19,4,FALSE)+(G1295-1))</f>
        <v/>
      </c>
    </row>
    <row r="1296" spans="1:15" s="1" customFormat="1" ht="15" customHeight="1" x14ac:dyDescent="0.25">
      <c r="A1296" s="18" t="s">
        <v>283</v>
      </c>
      <c r="B1296" s="18" t="s">
        <v>900</v>
      </c>
      <c r="C1296" s="5" t="s">
        <v>1390</v>
      </c>
      <c r="D1296" s="1" t="s">
        <v>197</v>
      </c>
      <c r="E1296" s="1" t="s">
        <v>2</v>
      </c>
      <c r="F1296" s="18">
        <v>2165</v>
      </c>
      <c r="G1296" s="18">
        <v>75</v>
      </c>
      <c r="H1296" s="5">
        <v>72</v>
      </c>
      <c r="I1296" s="1">
        <v>82</v>
      </c>
      <c r="J1296" s="1" t="s">
        <v>3271</v>
      </c>
      <c r="L1296" t="str">
        <f t="shared" si="20"/>
        <v>http://www.badatelna.eu/reprodukce/?fondId=1073&amp;zaznamId=1108952&amp;reproId=3778936</v>
      </c>
      <c r="M1296">
        <f>VLOOKUP(F1296,Sheet2!$B$1:$E$19,2,FALSE)</f>
        <v>1073</v>
      </c>
      <c r="N1296">
        <f>VLOOKUP(F1296,Sheet2!$B$1:$E$19,3,FALSE)</f>
        <v>1108952</v>
      </c>
      <c r="O1296">
        <f>IF(G1296="Not available","",VLOOKUP(F1296,Sheet2!$B$1:$E$19,4,FALSE)+(G1296-1))</f>
        <v>3778936</v>
      </c>
    </row>
    <row r="1297" spans="1:15" s="1" customFormat="1" ht="15" customHeight="1" x14ac:dyDescent="0.25">
      <c r="A1297" s="18" t="s">
        <v>283</v>
      </c>
      <c r="B1297" s="18" t="s">
        <v>2277</v>
      </c>
      <c r="C1297" s="10" t="s">
        <v>2273</v>
      </c>
      <c r="D1297" s="3" t="s">
        <v>2266</v>
      </c>
      <c r="E1297" s="4" t="s">
        <v>2</v>
      </c>
      <c r="F1297" s="18">
        <v>2176</v>
      </c>
      <c r="G1297" s="18" t="s">
        <v>3271</v>
      </c>
      <c r="H1297" s="10" t="s">
        <v>2083</v>
      </c>
      <c r="I1297" s="3">
        <v>15</v>
      </c>
      <c r="J1297" s="3" t="s">
        <v>3271</v>
      </c>
      <c r="K1297" s="3"/>
      <c r="L1297" t="str">
        <f t="shared" si="20"/>
        <v/>
      </c>
      <c r="M1297">
        <f>VLOOKUP(F1297,Sheet2!$B$1:$E$19,2,FALSE)</f>
        <v>1073</v>
      </c>
      <c r="N1297">
        <f>VLOOKUP(F1297,Sheet2!$B$1:$E$19,3,FALSE)</f>
        <v>1108963</v>
      </c>
      <c r="O1297" t="str">
        <f>IF(G1297="Not available","",VLOOKUP(F1297,Sheet2!$B$1:$E$19,4,FALSE)+(G1297-1))</f>
        <v/>
      </c>
    </row>
    <row r="1298" spans="1:15" s="1" customFormat="1" ht="15" customHeight="1" x14ac:dyDescent="0.25">
      <c r="A1298" s="18" t="s">
        <v>283</v>
      </c>
      <c r="B1298" s="18" t="s">
        <v>943</v>
      </c>
      <c r="C1298" s="10" t="s">
        <v>2015</v>
      </c>
      <c r="D1298" s="3" t="s">
        <v>2166</v>
      </c>
      <c r="E1298" s="4" t="s">
        <v>2</v>
      </c>
      <c r="F1298" s="18">
        <v>2176</v>
      </c>
      <c r="G1298" s="18" t="s">
        <v>3271</v>
      </c>
      <c r="H1298" s="10" t="s">
        <v>2105</v>
      </c>
      <c r="I1298" s="1">
        <v>12</v>
      </c>
      <c r="J1298" s="3" t="s">
        <v>3271</v>
      </c>
      <c r="K1298" s="3"/>
      <c r="L1298" t="str">
        <f t="shared" si="20"/>
        <v/>
      </c>
      <c r="M1298">
        <f>VLOOKUP(F1298,Sheet2!$B$1:$E$19,2,FALSE)</f>
        <v>1073</v>
      </c>
      <c r="N1298">
        <f>VLOOKUP(F1298,Sheet2!$B$1:$E$19,3,FALSE)</f>
        <v>1108963</v>
      </c>
      <c r="O1298" t="str">
        <f>IF(G1298="Not available","",VLOOKUP(F1298,Sheet2!$B$1:$E$19,4,FALSE)+(G1298-1))</f>
        <v/>
      </c>
    </row>
    <row r="1299" spans="1:15" s="1" customFormat="1" ht="15" customHeight="1" x14ac:dyDescent="0.25">
      <c r="A1299" s="18" t="s">
        <v>283</v>
      </c>
      <c r="B1299" s="18" t="s">
        <v>924</v>
      </c>
      <c r="C1299" s="5" t="s">
        <v>1367</v>
      </c>
      <c r="D1299" s="1" t="s">
        <v>133</v>
      </c>
      <c r="E1299" s="1" t="s">
        <v>2</v>
      </c>
      <c r="F1299" s="18">
        <v>2165</v>
      </c>
      <c r="G1299" s="18">
        <v>32</v>
      </c>
      <c r="H1299" s="14" t="s">
        <v>2907</v>
      </c>
      <c r="I1299" s="1">
        <v>82</v>
      </c>
      <c r="J1299" s="1" t="s">
        <v>3271</v>
      </c>
      <c r="L1299" t="str">
        <f t="shared" si="20"/>
        <v>http://www.badatelna.eu/reprodukce/?fondId=1073&amp;zaznamId=1108952&amp;reproId=3778893</v>
      </c>
      <c r="M1299">
        <f>VLOOKUP(F1299,Sheet2!$B$1:$E$19,2,FALSE)</f>
        <v>1073</v>
      </c>
      <c r="N1299">
        <f>VLOOKUP(F1299,Sheet2!$B$1:$E$19,3,FALSE)</f>
        <v>1108952</v>
      </c>
      <c r="O1299">
        <f>IF(G1299="Not available","",VLOOKUP(F1299,Sheet2!$B$1:$E$19,4,FALSE)+(G1299-1))</f>
        <v>3778893</v>
      </c>
    </row>
    <row r="1300" spans="1:15" s="1" customFormat="1" ht="15" customHeight="1" x14ac:dyDescent="0.25">
      <c r="A1300" s="18" t="s">
        <v>283</v>
      </c>
      <c r="B1300" s="18" t="s">
        <v>304</v>
      </c>
      <c r="C1300" s="5" t="s">
        <v>1721</v>
      </c>
      <c r="D1300" s="1" t="s">
        <v>197</v>
      </c>
      <c r="E1300" s="1" t="s">
        <v>2</v>
      </c>
      <c r="F1300" s="18">
        <v>2165</v>
      </c>
      <c r="G1300" s="18">
        <v>169</v>
      </c>
      <c r="H1300" s="5">
        <v>5</v>
      </c>
      <c r="I1300" s="1">
        <v>170</v>
      </c>
      <c r="J1300" s="1">
        <v>148</v>
      </c>
      <c r="L1300" t="str">
        <f t="shared" si="20"/>
        <v>http://www.badatelna.eu/reprodukce/?fondId=1073&amp;zaznamId=1108952&amp;reproId=3779030</v>
      </c>
      <c r="M1300">
        <f>VLOOKUP(F1300,Sheet2!$B$1:$E$19,2,FALSE)</f>
        <v>1073</v>
      </c>
      <c r="N1300">
        <f>VLOOKUP(F1300,Sheet2!$B$1:$E$19,3,FALSE)</f>
        <v>1108952</v>
      </c>
      <c r="O1300">
        <f>IF(G1300="Not available","",VLOOKUP(F1300,Sheet2!$B$1:$E$19,4,FALSE)+(G1300-1))</f>
        <v>3779030</v>
      </c>
    </row>
    <row r="1301" spans="1:15" s="1" customFormat="1" ht="15" customHeight="1" x14ac:dyDescent="0.25">
      <c r="A1301" s="18" t="s">
        <v>283</v>
      </c>
      <c r="B1301" s="18" t="s">
        <v>650</v>
      </c>
      <c r="C1301" s="5">
        <v>1841</v>
      </c>
      <c r="D1301" s="1" t="s">
        <v>6</v>
      </c>
      <c r="E1301" s="1" t="s">
        <v>2</v>
      </c>
      <c r="F1301" s="18">
        <v>2174</v>
      </c>
      <c r="G1301" s="18">
        <v>120</v>
      </c>
      <c r="H1301" s="16" t="s">
        <v>3183</v>
      </c>
      <c r="I1301" s="1">
        <v>185</v>
      </c>
      <c r="J1301" s="1">
        <v>212</v>
      </c>
      <c r="L1301" t="str">
        <f t="shared" si="20"/>
        <v>http://www.badatelna.eu/reprodukce/?fondId=1073&amp;zaznamId=1108960&amp;reproId=3780344</v>
      </c>
      <c r="M1301">
        <f>VLOOKUP(F1301,Sheet2!$B$1:$E$19,2,FALSE)</f>
        <v>1073</v>
      </c>
      <c r="N1301">
        <f>VLOOKUP(F1301,Sheet2!$B$1:$E$19,3,FALSE)</f>
        <v>1108960</v>
      </c>
      <c r="O1301">
        <f>IF(G1301="Not available","",VLOOKUP(F1301,Sheet2!$B$1:$E$19,4,FALSE)+(G1301-1))</f>
        <v>3780344</v>
      </c>
    </row>
    <row r="1302" spans="1:15" s="1" customFormat="1" ht="15" customHeight="1" x14ac:dyDescent="0.25">
      <c r="A1302" s="18" t="s">
        <v>283</v>
      </c>
      <c r="B1302" s="18" t="s">
        <v>76</v>
      </c>
      <c r="C1302" s="5" t="s">
        <v>1373</v>
      </c>
      <c r="D1302" s="1" t="s">
        <v>58</v>
      </c>
      <c r="E1302" s="1" t="s">
        <v>2</v>
      </c>
      <c r="F1302" s="18">
        <v>2165</v>
      </c>
      <c r="G1302" s="18">
        <v>41</v>
      </c>
      <c r="H1302" s="14" t="s">
        <v>2912</v>
      </c>
      <c r="I1302" s="1">
        <v>82</v>
      </c>
      <c r="J1302" s="1" t="s">
        <v>3271</v>
      </c>
      <c r="L1302" t="str">
        <f t="shared" si="20"/>
        <v>http://www.badatelna.eu/reprodukce/?fondId=1073&amp;zaznamId=1108952&amp;reproId=3778902</v>
      </c>
      <c r="M1302">
        <f>VLOOKUP(F1302,Sheet2!$B$1:$E$19,2,FALSE)</f>
        <v>1073</v>
      </c>
      <c r="N1302">
        <f>VLOOKUP(F1302,Sheet2!$B$1:$E$19,3,FALSE)</f>
        <v>1108952</v>
      </c>
      <c r="O1302">
        <f>IF(G1302="Not available","",VLOOKUP(F1302,Sheet2!$B$1:$E$19,4,FALSE)+(G1302-1))</f>
        <v>3778902</v>
      </c>
    </row>
    <row r="1303" spans="1:15" s="1" customFormat="1" ht="15" customHeight="1" x14ac:dyDescent="0.25">
      <c r="A1303" s="18" t="s">
        <v>283</v>
      </c>
      <c r="B1303" s="18" t="s">
        <v>2165</v>
      </c>
      <c r="C1303" s="10" t="s">
        <v>2262</v>
      </c>
      <c r="D1303" s="3" t="s">
        <v>2260</v>
      </c>
      <c r="E1303" s="4" t="s">
        <v>2</v>
      </c>
      <c r="F1303" s="18">
        <v>2176</v>
      </c>
      <c r="G1303" s="18" t="s">
        <v>3271</v>
      </c>
      <c r="H1303" s="10" t="s">
        <v>1955</v>
      </c>
      <c r="I1303" s="3">
        <v>15</v>
      </c>
      <c r="J1303" s="3" t="s">
        <v>3271</v>
      </c>
      <c r="K1303" s="3"/>
      <c r="L1303" t="str">
        <f t="shared" si="20"/>
        <v/>
      </c>
      <c r="M1303">
        <f>VLOOKUP(F1303,Sheet2!$B$1:$E$19,2,FALSE)</f>
        <v>1073</v>
      </c>
      <c r="N1303">
        <f>VLOOKUP(F1303,Sheet2!$B$1:$E$19,3,FALSE)</f>
        <v>1108963</v>
      </c>
      <c r="O1303" t="str">
        <f>IF(G1303="Not available","",VLOOKUP(F1303,Sheet2!$B$1:$E$19,4,FALSE)+(G1303-1))</f>
        <v/>
      </c>
    </row>
    <row r="1304" spans="1:15" s="1" customFormat="1" ht="15" customHeight="1" x14ac:dyDescent="0.25">
      <c r="A1304" s="18" t="s">
        <v>283</v>
      </c>
      <c r="B1304" s="18" t="s">
        <v>2183</v>
      </c>
      <c r="C1304" s="10" t="s">
        <v>2005</v>
      </c>
      <c r="D1304" s="3" t="s">
        <v>2166</v>
      </c>
      <c r="E1304" s="4" t="s">
        <v>2</v>
      </c>
      <c r="F1304" s="18">
        <v>2176</v>
      </c>
      <c r="G1304" s="18" t="s">
        <v>3271</v>
      </c>
      <c r="H1304" s="10" t="s">
        <v>1974</v>
      </c>
      <c r="I1304" s="1">
        <v>12</v>
      </c>
      <c r="J1304" s="3" t="s">
        <v>3271</v>
      </c>
      <c r="K1304" s="3"/>
      <c r="L1304" t="str">
        <f t="shared" si="20"/>
        <v/>
      </c>
      <c r="M1304">
        <f>VLOOKUP(F1304,Sheet2!$B$1:$E$19,2,FALSE)</f>
        <v>1073</v>
      </c>
      <c r="N1304">
        <f>VLOOKUP(F1304,Sheet2!$B$1:$E$19,3,FALSE)</f>
        <v>1108963</v>
      </c>
      <c r="O1304" t="str">
        <f>IF(G1304="Not available","",VLOOKUP(F1304,Sheet2!$B$1:$E$19,4,FALSE)+(G1304-1))</f>
        <v/>
      </c>
    </row>
    <row r="1305" spans="1:15" s="1" customFormat="1" ht="15" customHeight="1" x14ac:dyDescent="0.25">
      <c r="A1305" s="18" t="s">
        <v>283</v>
      </c>
      <c r="B1305" s="18" t="s">
        <v>545</v>
      </c>
      <c r="C1305" s="5">
        <v>1839</v>
      </c>
      <c r="D1305" s="1" t="s">
        <v>6</v>
      </c>
      <c r="E1305" s="1" t="s">
        <v>2</v>
      </c>
      <c r="F1305" s="18">
        <v>2174</v>
      </c>
      <c r="G1305" s="18">
        <v>106</v>
      </c>
      <c r="H1305" s="6" t="s">
        <v>3173</v>
      </c>
      <c r="I1305" s="1">
        <v>185</v>
      </c>
      <c r="J1305" s="1">
        <v>212</v>
      </c>
      <c r="L1305" t="str">
        <f t="shared" si="20"/>
        <v>http://www.badatelna.eu/reprodukce/?fondId=1073&amp;zaznamId=1108960&amp;reproId=3780330</v>
      </c>
      <c r="M1305">
        <f>VLOOKUP(F1305,Sheet2!$B$1:$E$19,2,FALSE)</f>
        <v>1073</v>
      </c>
      <c r="N1305">
        <f>VLOOKUP(F1305,Sheet2!$B$1:$E$19,3,FALSE)</f>
        <v>1108960</v>
      </c>
      <c r="O1305">
        <f>IF(G1305="Not available","",VLOOKUP(F1305,Sheet2!$B$1:$E$19,4,FALSE)+(G1305-1))</f>
        <v>3780330</v>
      </c>
    </row>
    <row r="1306" spans="1:15" s="1" customFormat="1" ht="15" customHeight="1" x14ac:dyDescent="0.25">
      <c r="A1306" s="18" t="s">
        <v>283</v>
      </c>
      <c r="B1306" s="18" t="s">
        <v>1972</v>
      </c>
      <c r="C1306" s="10" t="s">
        <v>2026</v>
      </c>
      <c r="D1306" s="3" t="s">
        <v>2194</v>
      </c>
      <c r="E1306" s="4" t="s">
        <v>2</v>
      </c>
      <c r="F1306" s="18">
        <v>2176</v>
      </c>
      <c r="G1306" s="18" t="s">
        <v>3271</v>
      </c>
      <c r="H1306" s="10" t="s">
        <v>2211</v>
      </c>
      <c r="I1306" s="1">
        <v>13</v>
      </c>
      <c r="J1306" s="3" t="s">
        <v>3271</v>
      </c>
      <c r="K1306" s="3"/>
      <c r="L1306" t="str">
        <f t="shared" si="20"/>
        <v/>
      </c>
      <c r="M1306">
        <f>VLOOKUP(F1306,Sheet2!$B$1:$E$19,2,FALSE)</f>
        <v>1073</v>
      </c>
      <c r="N1306">
        <f>VLOOKUP(F1306,Sheet2!$B$1:$E$19,3,FALSE)</f>
        <v>1108963</v>
      </c>
      <c r="O1306" t="str">
        <f>IF(G1306="Not available","",VLOOKUP(F1306,Sheet2!$B$1:$E$19,4,FALSE)+(G1306-1))</f>
        <v/>
      </c>
    </row>
    <row r="1307" spans="1:15" s="1" customFormat="1" ht="15" customHeight="1" x14ac:dyDescent="0.25">
      <c r="A1307" s="18" t="s">
        <v>2856</v>
      </c>
      <c r="B1307" s="18" t="s">
        <v>1033</v>
      </c>
      <c r="C1307" s="5" t="s">
        <v>1749</v>
      </c>
      <c r="D1307" s="1" t="s">
        <v>6</v>
      </c>
      <c r="E1307" s="1" t="s">
        <v>2</v>
      </c>
      <c r="F1307" s="18">
        <v>2165</v>
      </c>
      <c r="G1307" s="18">
        <v>229</v>
      </c>
      <c r="H1307" s="5">
        <v>2</v>
      </c>
      <c r="I1307" s="1">
        <v>231</v>
      </c>
      <c r="J1307" s="1">
        <v>207</v>
      </c>
      <c r="L1307" t="str">
        <f t="shared" si="20"/>
        <v>http://www.badatelna.eu/reprodukce/?fondId=1073&amp;zaznamId=1108952&amp;reproId=3779090</v>
      </c>
      <c r="M1307">
        <f>VLOOKUP(F1307,Sheet2!$B$1:$E$19,2,FALSE)</f>
        <v>1073</v>
      </c>
      <c r="N1307">
        <f>VLOOKUP(F1307,Sheet2!$B$1:$E$19,3,FALSE)</f>
        <v>1108952</v>
      </c>
      <c r="O1307">
        <f>IF(G1307="Not available","",VLOOKUP(F1307,Sheet2!$B$1:$E$19,4,FALSE)+(G1307-1))</f>
        <v>3779090</v>
      </c>
    </row>
    <row r="1308" spans="1:15" s="1" customFormat="1" ht="15" customHeight="1" x14ac:dyDescent="0.25">
      <c r="A1308" s="18" t="s">
        <v>2250</v>
      </c>
      <c r="B1308" s="18" t="s">
        <v>1126</v>
      </c>
      <c r="C1308" s="10" t="s">
        <v>2102</v>
      </c>
      <c r="D1308" s="3" t="s">
        <v>2251</v>
      </c>
      <c r="E1308" s="4" t="s">
        <v>2</v>
      </c>
      <c r="F1308" s="18">
        <v>2176</v>
      </c>
      <c r="G1308" s="18" t="s">
        <v>3271</v>
      </c>
      <c r="H1308" s="10" t="s">
        <v>2083</v>
      </c>
      <c r="I1308" s="3">
        <v>14</v>
      </c>
      <c r="J1308" s="3" t="s">
        <v>3271</v>
      </c>
      <c r="K1308" s="3"/>
      <c r="L1308" t="str">
        <f t="shared" si="20"/>
        <v/>
      </c>
      <c r="M1308">
        <f>VLOOKUP(F1308,Sheet2!$B$1:$E$19,2,FALSE)</f>
        <v>1073</v>
      </c>
      <c r="N1308">
        <f>VLOOKUP(F1308,Sheet2!$B$1:$E$19,3,FALSE)</f>
        <v>1108963</v>
      </c>
      <c r="O1308" t="str">
        <f>IF(G1308="Not available","",VLOOKUP(F1308,Sheet2!$B$1:$E$19,4,FALSE)+(G1308-1))</f>
        <v/>
      </c>
    </row>
    <row r="1309" spans="1:15" s="1" customFormat="1" ht="15" customHeight="1" x14ac:dyDescent="0.25">
      <c r="A1309" s="18" t="s">
        <v>2250</v>
      </c>
      <c r="B1309" s="18" t="s">
        <v>2255</v>
      </c>
      <c r="C1309" s="10" t="s">
        <v>2106</v>
      </c>
      <c r="D1309" s="3" t="s">
        <v>2251</v>
      </c>
      <c r="E1309" s="4" t="s">
        <v>2</v>
      </c>
      <c r="F1309" s="18">
        <v>2176</v>
      </c>
      <c r="G1309" s="18" t="s">
        <v>3271</v>
      </c>
      <c r="H1309" s="10" t="s">
        <v>1955</v>
      </c>
      <c r="I1309" s="3">
        <v>14</v>
      </c>
      <c r="J1309" s="3" t="s">
        <v>3271</v>
      </c>
      <c r="K1309" s="3"/>
      <c r="L1309" t="str">
        <f t="shared" si="20"/>
        <v/>
      </c>
      <c r="M1309">
        <f>VLOOKUP(F1309,Sheet2!$B$1:$E$19,2,FALSE)</f>
        <v>1073</v>
      </c>
      <c r="N1309">
        <f>VLOOKUP(F1309,Sheet2!$B$1:$E$19,3,FALSE)</f>
        <v>1108963</v>
      </c>
      <c r="O1309" t="str">
        <f>IF(G1309="Not available","",VLOOKUP(F1309,Sheet2!$B$1:$E$19,4,FALSE)+(G1309-1))</f>
        <v/>
      </c>
    </row>
    <row r="1310" spans="1:15" s="1" customFormat="1" ht="15" customHeight="1" x14ac:dyDescent="0.25">
      <c r="A1310" s="18" t="s">
        <v>188</v>
      </c>
      <c r="B1310" s="18" t="s">
        <v>3285</v>
      </c>
      <c r="C1310" s="10"/>
      <c r="D1310" s="3"/>
      <c r="E1310" s="4"/>
      <c r="F1310" s="18"/>
      <c r="G1310" s="18"/>
      <c r="H1310" s="10"/>
      <c r="I1310" s="3"/>
      <c r="J1310" s="3"/>
      <c r="K1310" s="3"/>
      <c r="L1310" t="e">
        <f t="shared" si="20"/>
        <v>#N/A</v>
      </c>
      <c r="M1310" t="e">
        <f>VLOOKUP(F1310,Sheet2!$B$1:$E$19,2,FALSE)</f>
        <v>#N/A</v>
      </c>
      <c r="N1310" t="e">
        <f>VLOOKUP(F1310,Sheet2!$B$1:$E$19,3,FALSE)</f>
        <v>#N/A</v>
      </c>
      <c r="O1310" t="e">
        <f>IF(G1310="Not available","",VLOOKUP(F1310,Sheet2!$B$1:$E$19,4,FALSE)+(G1310-1))</f>
        <v>#N/A</v>
      </c>
    </row>
    <row r="1311" spans="1:15" s="1" customFormat="1" ht="15" customHeight="1" x14ac:dyDescent="0.25">
      <c r="A1311" s="18" t="s">
        <v>179</v>
      </c>
      <c r="B1311" s="18" t="s">
        <v>178</v>
      </c>
      <c r="C1311" s="5">
        <v>1787</v>
      </c>
      <c r="D1311" s="1" t="s">
        <v>50</v>
      </c>
      <c r="E1311" s="1" t="s">
        <v>2</v>
      </c>
      <c r="F1311" s="18">
        <v>2173</v>
      </c>
      <c r="G1311" s="18">
        <v>15</v>
      </c>
      <c r="H1311" s="5">
        <v>25</v>
      </c>
      <c r="I1311" s="1">
        <v>96</v>
      </c>
      <c r="J1311" s="1">
        <v>201</v>
      </c>
      <c r="L1311" t="str">
        <f t="shared" si="20"/>
        <v>http://www.badatelna.eu/reprodukce/?fondId=1073&amp;zaznamId=1108959&amp;reproId=3780008</v>
      </c>
      <c r="M1311">
        <f>VLOOKUP(F1311,Sheet2!$B$1:$E$19,2,FALSE)</f>
        <v>1073</v>
      </c>
      <c r="N1311">
        <f>VLOOKUP(F1311,Sheet2!$B$1:$E$19,3,FALSE)</f>
        <v>1108959</v>
      </c>
      <c r="O1311">
        <f>IF(G1311="Not available","",VLOOKUP(F1311,Sheet2!$B$1:$E$19,4,FALSE)+(G1311-1))</f>
        <v>3780008</v>
      </c>
    </row>
    <row r="1312" spans="1:15" s="1" customFormat="1" ht="15" customHeight="1" x14ac:dyDescent="0.25">
      <c r="A1312" s="18" t="s">
        <v>1251</v>
      </c>
      <c r="B1312" s="18" t="s">
        <v>1252</v>
      </c>
      <c r="C1312" s="14" t="s">
        <v>2095</v>
      </c>
      <c r="D1312" s="1" t="s">
        <v>546</v>
      </c>
      <c r="E1312" s="1" t="s">
        <v>2</v>
      </c>
      <c r="F1312" s="18">
        <v>2165</v>
      </c>
      <c r="G1312" s="18">
        <v>290</v>
      </c>
      <c r="H1312" s="5">
        <v>3</v>
      </c>
      <c r="I1312" s="1">
        <v>286</v>
      </c>
      <c r="J1312" s="1">
        <v>260</v>
      </c>
      <c r="L1312" t="str">
        <f t="shared" si="20"/>
        <v>http://www.badatelna.eu/reprodukce/?fondId=1073&amp;zaznamId=1108952&amp;reproId=3779151</v>
      </c>
      <c r="M1312">
        <f>VLOOKUP(F1312,Sheet2!$B$1:$E$19,2,FALSE)</f>
        <v>1073</v>
      </c>
      <c r="N1312">
        <f>VLOOKUP(F1312,Sheet2!$B$1:$E$19,3,FALSE)</f>
        <v>1108952</v>
      </c>
      <c r="O1312">
        <f>IF(G1312="Not available","",VLOOKUP(F1312,Sheet2!$B$1:$E$19,4,FALSE)+(G1312-1))</f>
        <v>3779151</v>
      </c>
    </row>
    <row r="1313" spans="1:15" s="1" customFormat="1" ht="15" customHeight="1" x14ac:dyDescent="0.25">
      <c r="A1313" s="18" t="s">
        <v>1251</v>
      </c>
      <c r="B1313" s="18" t="s">
        <v>1252</v>
      </c>
      <c r="C1313" s="10" t="s">
        <v>2095</v>
      </c>
      <c r="D1313" s="3" t="s">
        <v>2337</v>
      </c>
      <c r="E1313" s="4" t="s">
        <v>2</v>
      </c>
      <c r="F1313" s="18">
        <v>2176</v>
      </c>
      <c r="G1313" s="18" t="s">
        <v>3271</v>
      </c>
      <c r="H1313" s="10" t="s">
        <v>1959</v>
      </c>
      <c r="I1313" s="3">
        <v>17</v>
      </c>
      <c r="J1313" s="3" t="s">
        <v>3271</v>
      </c>
      <c r="K1313" s="3"/>
      <c r="L1313" t="str">
        <f t="shared" si="20"/>
        <v/>
      </c>
      <c r="M1313">
        <f>VLOOKUP(F1313,Sheet2!$B$1:$E$19,2,FALSE)</f>
        <v>1073</v>
      </c>
      <c r="N1313">
        <f>VLOOKUP(F1313,Sheet2!$B$1:$E$19,3,FALSE)</f>
        <v>1108963</v>
      </c>
      <c r="O1313" t="str">
        <f>IF(G1313="Not available","",VLOOKUP(F1313,Sheet2!$B$1:$E$19,4,FALSE)+(G1313-1))</f>
        <v/>
      </c>
    </row>
    <row r="1314" spans="1:15" s="1" customFormat="1" ht="15" customHeight="1" x14ac:dyDescent="0.25">
      <c r="A1314" s="18" t="s">
        <v>1251</v>
      </c>
      <c r="B1314" s="18" t="s">
        <v>1175</v>
      </c>
      <c r="C1314" s="14" t="s">
        <v>2244</v>
      </c>
      <c r="D1314" s="12" t="s">
        <v>546</v>
      </c>
      <c r="E1314" s="1" t="s">
        <v>2</v>
      </c>
      <c r="F1314" s="18">
        <v>2165</v>
      </c>
      <c r="G1314" s="18">
        <v>297</v>
      </c>
      <c r="H1314" s="5">
        <v>1</v>
      </c>
      <c r="I1314" s="1">
        <v>300</v>
      </c>
      <c r="J1314" s="1">
        <v>273</v>
      </c>
      <c r="L1314" t="str">
        <f t="shared" si="20"/>
        <v>http://www.badatelna.eu/reprodukce/?fondId=1073&amp;zaznamId=1108952&amp;reproId=3779158</v>
      </c>
      <c r="M1314">
        <f>VLOOKUP(F1314,Sheet2!$B$1:$E$19,2,FALSE)</f>
        <v>1073</v>
      </c>
      <c r="N1314">
        <f>VLOOKUP(F1314,Sheet2!$B$1:$E$19,3,FALSE)</f>
        <v>1108952</v>
      </c>
      <c r="O1314">
        <f>IF(G1314="Not available","",VLOOKUP(F1314,Sheet2!$B$1:$E$19,4,FALSE)+(G1314-1))</f>
        <v>3779158</v>
      </c>
    </row>
    <row r="1315" spans="1:15" s="1" customFormat="1" ht="15" customHeight="1" x14ac:dyDescent="0.25">
      <c r="A1315" s="18" t="s">
        <v>1251</v>
      </c>
      <c r="B1315" s="18" t="s">
        <v>1175</v>
      </c>
      <c r="C1315" s="10" t="s">
        <v>2244</v>
      </c>
      <c r="D1315" s="3" t="s">
        <v>2337</v>
      </c>
      <c r="E1315" s="4" t="s">
        <v>2</v>
      </c>
      <c r="F1315" s="18">
        <v>2176</v>
      </c>
      <c r="G1315" s="18" t="s">
        <v>3271</v>
      </c>
      <c r="H1315" s="10" t="s">
        <v>1955</v>
      </c>
      <c r="I1315" s="3">
        <v>17</v>
      </c>
      <c r="J1315" s="3" t="s">
        <v>3271</v>
      </c>
      <c r="K1315" s="3"/>
      <c r="L1315" t="str">
        <f t="shared" si="20"/>
        <v/>
      </c>
      <c r="M1315">
        <f>VLOOKUP(F1315,Sheet2!$B$1:$E$19,2,FALSE)</f>
        <v>1073</v>
      </c>
      <c r="N1315">
        <f>VLOOKUP(F1315,Sheet2!$B$1:$E$19,3,FALSE)</f>
        <v>1108963</v>
      </c>
      <c r="O1315" t="str">
        <f>IF(G1315="Not available","",VLOOKUP(F1315,Sheet2!$B$1:$E$19,4,FALSE)+(G1315-1))</f>
        <v/>
      </c>
    </row>
    <row r="1316" spans="1:15" s="1" customFormat="1" ht="15" customHeight="1" x14ac:dyDescent="0.25">
      <c r="A1316" s="18" t="s">
        <v>1251</v>
      </c>
      <c r="B1316" s="18" t="s">
        <v>1275</v>
      </c>
      <c r="C1316" s="6" t="s">
        <v>2100</v>
      </c>
      <c r="D1316" s="4" t="s">
        <v>546</v>
      </c>
      <c r="E1316" s="1" t="s">
        <v>2</v>
      </c>
      <c r="F1316" s="18">
        <v>2165</v>
      </c>
      <c r="G1316" s="18">
        <v>310</v>
      </c>
      <c r="H1316" s="5">
        <v>3</v>
      </c>
      <c r="I1316" s="1">
        <v>311</v>
      </c>
      <c r="J1316" s="1">
        <v>284</v>
      </c>
      <c r="L1316" t="str">
        <f t="shared" si="20"/>
        <v>http://www.badatelna.eu/reprodukce/?fondId=1073&amp;zaznamId=1108952&amp;reproId=3779171</v>
      </c>
      <c r="M1316">
        <f>VLOOKUP(F1316,Sheet2!$B$1:$E$19,2,FALSE)</f>
        <v>1073</v>
      </c>
      <c r="N1316">
        <f>VLOOKUP(F1316,Sheet2!$B$1:$E$19,3,FALSE)</f>
        <v>1108952</v>
      </c>
      <c r="O1316">
        <f>IF(G1316="Not available","",VLOOKUP(F1316,Sheet2!$B$1:$E$19,4,FALSE)+(G1316-1))</f>
        <v>3779171</v>
      </c>
    </row>
    <row r="1317" spans="1:15" s="1" customFormat="1" ht="15" customHeight="1" x14ac:dyDescent="0.25">
      <c r="A1317" s="18" t="s">
        <v>1251</v>
      </c>
      <c r="B1317" s="18" t="s">
        <v>1275</v>
      </c>
      <c r="C1317" s="10" t="s">
        <v>2100</v>
      </c>
      <c r="D1317" s="3" t="s">
        <v>2337</v>
      </c>
      <c r="E1317" s="4" t="s">
        <v>2</v>
      </c>
      <c r="F1317" s="18">
        <v>2176</v>
      </c>
      <c r="G1317" s="18" t="s">
        <v>3271</v>
      </c>
      <c r="H1317" s="10" t="s">
        <v>2175</v>
      </c>
      <c r="I1317" s="3">
        <v>17</v>
      </c>
      <c r="J1317" s="3" t="s">
        <v>3271</v>
      </c>
      <c r="K1317" s="3"/>
      <c r="L1317" t="str">
        <f t="shared" si="20"/>
        <v/>
      </c>
      <c r="M1317">
        <f>VLOOKUP(F1317,Sheet2!$B$1:$E$19,2,FALSE)</f>
        <v>1073</v>
      </c>
      <c r="N1317">
        <f>VLOOKUP(F1317,Sheet2!$B$1:$E$19,3,FALSE)</f>
        <v>1108963</v>
      </c>
      <c r="O1317" t="str">
        <f>IF(G1317="Not available","",VLOOKUP(F1317,Sheet2!$B$1:$E$19,4,FALSE)+(G1317-1))</f>
        <v/>
      </c>
    </row>
    <row r="1318" spans="1:15" s="1" customFormat="1" ht="15" customHeight="1" x14ac:dyDescent="0.25">
      <c r="A1318" s="18" t="s">
        <v>661</v>
      </c>
      <c r="B1318" s="18" t="s">
        <v>819</v>
      </c>
      <c r="C1318" s="5">
        <v>1851</v>
      </c>
      <c r="D1318" s="1" t="s">
        <v>58</v>
      </c>
      <c r="E1318" s="1" t="s">
        <v>2</v>
      </c>
      <c r="F1318" s="18">
        <v>2164</v>
      </c>
      <c r="G1318" s="18">
        <v>80</v>
      </c>
      <c r="H1318" s="5">
        <v>78</v>
      </c>
      <c r="I1318" s="1">
        <v>128</v>
      </c>
      <c r="J1318" s="1" t="s">
        <v>3271</v>
      </c>
      <c r="L1318" t="str">
        <f t="shared" si="20"/>
        <v>http://www.badatelna.eu/reprodukce/?fondId=1073&amp;zaznamId=1108951&amp;reproId=3778794</v>
      </c>
      <c r="M1318">
        <f>VLOOKUP(F1318,Sheet2!$B$1:$E$19,2,FALSE)</f>
        <v>1073</v>
      </c>
      <c r="N1318">
        <f>VLOOKUP(F1318,Sheet2!$B$1:$E$19,3,FALSE)</f>
        <v>1108951</v>
      </c>
      <c r="O1318">
        <f>IF(G1318="Not available","",VLOOKUP(F1318,Sheet2!$B$1:$E$19,4,FALSE)+(G1318-1))</f>
        <v>3778794</v>
      </c>
    </row>
    <row r="1319" spans="1:15" s="1" customFormat="1" ht="15" customHeight="1" x14ac:dyDescent="0.25">
      <c r="A1319" s="18" t="s">
        <v>661</v>
      </c>
      <c r="B1319" s="18" t="s">
        <v>25</v>
      </c>
      <c r="C1319" s="5">
        <v>1844</v>
      </c>
      <c r="D1319" s="1" t="s">
        <v>615</v>
      </c>
      <c r="E1319" s="1" t="s">
        <v>2</v>
      </c>
      <c r="F1319" s="18">
        <v>2174</v>
      </c>
      <c r="G1319" s="18">
        <v>147</v>
      </c>
      <c r="H1319" s="6" t="s">
        <v>3213</v>
      </c>
      <c r="I1319" s="1">
        <v>186</v>
      </c>
      <c r="J1319" s="1">
        <v>214</v>
      </c>
      <c r="L1319" t="str">
        <f t="shared" si="20"/>
        <v>http://www.badatelna.eu/reprodukce/?fondId=1073&amp;zaznamId=1108960&amp;reproId=3780371</v>
      </c>
      <c r="M1319">
        <f>VLOOKUP(F1319,Sheet2!$B$1:$E$19,2,FALSE)</f>
        <v>1073</v>
      </c>
      <c r="N1319">
        <f>VLOOKUP(F1319,Sheet2!$B$1:$E$19,3,FALSE)</f>
        <v>1108960</v>
      </c>
      <c r="O1319">
        <f>IF(G1319="Not available","",VLOOKUP(F1319,Sheet2!$B$1:$E$19,4,FALSE)+(G1319-1))</f>
        <v>3780371</v>
      </c>
    </row>
    <row r="1320" spans="1:15" s="1" customFormat="1" ht="15" customHeight="1" x14ac:dyDescent="0.25">
      <c r="A1320" s="18" t="s">
        <v>204</v>
      </c>
      <c r="B1320" s="18" t="s">
        <v>50</v>
      </c>
      <c r="C1320" s="5">
        <v>1796</v>
      </c>
      <c r="D1320" s="1" t="s">
        <v>4</v>
      </c>
      <c r="E1320" s="1" t="s">
        <v>2</v>
      </c>
      <c r="F1320" s="18">
        <v>2173</v>
      </c>
      <c r="G1320" s="18">
        <v>34</v>
      </c>
      <c r="H1320" s="5">
        <v>62</v>
      </c>
      <c r="I1320" s="1">
        <v>98</v>
      </c>
      <c r="J1320" s="1">
        <v>209</v>
      </c>
      <c r="L1320" t="str">
        <f t="shared" si="20"/>
        <v>http://www.badatelna.eu/reprodukce/?fondId=1073&amp;zaznamId=1108959&amp;reproId=3780027</v>
      </c>
      <c r="M1320">
        <f>VLOOKUP(F1320,Sheet2!$B$1:$E$19,2,FALSE)</f>
        <v>1073</v>
      </c>
      <c r="N1320">
        <f>VLOOKUP(F1320,Sheet2!$B$1:$E$19,3,FALSE)</f>
        <v>1108959</v>
      </c>
      <c r="O1320">
        <f>IF(G1320="Not available","",VLOOKUP(F1320,Sheet2!$B$1:$E$19,4,FALSE)+(G1320-1))</f>
        <v>3780027</v>
      </c>
    </row>
    <row r="1321" spans="1:15" s="1" customFormat="1" ht="15" customHeight="1" x14ac:dyDescent="0.25">
      <c r="A1321" s="18" t="s">
        <v>204</v>
      </c>
      <c r="B1321" s="18" t="s">
        <v>477</v>
      </c>
      <c r="C1321" s="5" t="s">
        <v>1434</v>
      </c>
      <c r="D1321" s="1" t="s">
        <v>28</v>
      </c>
      <c r="E1321" s="1" t="s">
        <v>2</v>
      </c>
      <c r="F1321" s="18">
        <v>2165</v>
      </c>
      <c r="G1321" s="18">
        <v>68</v>
      </c>
      <c r="H1321" s="5">
        <v>65</v>
      </c>
      <c r="I1321" s="1">
        <v>83</v>
      </c>
      <c r="J1321" s="1" t="s">
        <v>3271</v>
      </c>
      <c r="L1321" t="str">
        <f t="shared" si="20"/>
        <v>http://www.badatelna.eu/reprodukce/?fondId=1073&amp;zaznamId=1108952&amp;reproId=3778929</v>
      </c>
      <c r="M1321">
        <f>VLOOKUP(F1321,Sheet2!$B$1:$E$19,2,FALSE)</f>
        <v>1073</v>
      </c>
      <c r="N1321">
        <f>VLOOKUP(F1321,Sheet2!$B$1:$E$19,3,FALSE)</f>
        <v>1108952</v>
      </c>
      <c r="O1321">
        <f>IF(G1321="Not available","",VLOOKUP(F1321,Sheet2!$B$1:$E$19,4,FALSE)+(G1321-1))</f>
        <v>3778929</v>
      </c>
    </row>
    <row r="1322" spans="1:15" s="1" customFormat="1" ht="15" customHeight="1" x14ac:dyDescent="0.25">
      <c r="A1322" s="18" t="s">
        <v>204</v>
      </c>
      <c r="B1322" s="18" t="s">
        <v>963</v>
      </c>
      <c r="C1322" s="5" t="s">
        <v>1426</v>
      </c>
      <c r="D1322" s="1" t="s">
        <v>28</v>
      </c>
      <c r="E1322" s="1" t="s">
        <v>2</v>
      </c>
      <c r="F1322" s="18">
        <v>2165</v>
      </c>
      <c r="G1322" s="18">
        <v>57</v>
      </c>
      <c r="H1322" s="5">
        <v>54</v>
      </c>
      <c r="I1322" s="1">
        <v>83</v>
      </c>
      <c r="J1322" s="1" t="s">
        <v>3271</v>
      </c>
      <c r="L1322" t="str">
        <f t="shared" si="20"/>
        <v>http://www.badatelna.eu/reprodukce/?fondId=1073&amp;zaznamId=1108952&amp;reproId=3778918</v>
      </c>
      <c r="M1322">
        <f>VLOOKUP(F1322,Sheet2!$B$1:$E$19,2,FALSE)</f>
        <v>1073</v>
      </c>
      <c r="N1322">
        <f>VLOOKUP(F1322,Sheet2!$B$1:$E$19,3,FALSE)</f>
        <v>1108952</v>
      </c>
      <c r="O1322">
        <f>IF(G1322="Not available","",VLOOKUP(F1322,Sheet2!$B$1:$E$19,4,FALSE)+(G1322-1))</f>
        <v>3778918</v>
      </c>
    </row>
    <row r="1323" spans="1:15" s="1" customFormat="1" ht="15" customHeight="1" x14ac:dyDescent="0.25">
      <c r="A1323" s="18" t="s">
        <v>204</v>
      </c>
      <c r="B1323" s="18" t="s">
        <v>28</v>
      </c>
      <c r="C1323" s="5">
        <v>1843</v>
      </c>
      <c r="D1323" s="1" t="s">
        <v>615</v>
      </c>
      <c r="E1323" s="1" t="s">
        <v>2</v>
      </c>
      <c r="F1323" s="18">
        <v>2174</v>
      </c>
      <c r="G1323" s="18">
        <v>135</v>
      </c>
      <c r="H1323" s="6" t="s">
        <v>3192</v>
      </c>
      <c r="I1323" s="1">
        <v>186</v>
      </c>
      <c r="J1323" s="1">
        <v>214</v>
      </c>
      <c r="L1323" t="str">
        <f t="shared" si="20"/>
        <v>http://www.badatelna.eu/reprodukce/?fondId=1073&amp;zaznamId=1108960&amp;reproId=3780359</v>
      </c>
      <c r="M1323">
        <f>VLOOKUP(F1323,Sheet2!$B$1:$E$19,2,FALSE)</f>
        <v>1073</v>
      </c>
      <c r="N1323">
        <f>VLOOKUP(F1323,Sheet2!$B$1:$E$19,3,FALSE)</f>
        <v>1108960</v>
      </c>
      <c r="O1323">
        <f>IF(G1323="Not available","",VLOOKUP(F1323,Sheet2!$B$1:$E$19,4,FALSE)+(G1323-1))</f>
        <v>3780359</v>
      </c>
    </row>
    <row r="1324" spans="1:15" s="1" customFormat="1" ht="15" customHeight="1" x14ac:dyDescent="0.25">
      <c r="A1324" s="18" t="s">
        <v>204</v>
      </c>
      <c r="B1324" s="18" t="s">
        <v>478</v>
      </c>
      <c r="C1324" s="5">
        <v>1848</v>
      </c>
      <c r="D1324" s="1" t="s">
        <v>855</v>
      </c>
      <c r="E1324" s="1" t="s">
        <v>2</v>
      </c>
      <c r="F1324" s="18">
        <v>2164</v>
      </c>
      <c r="G1324" s="18">
        <v>40</v>
      </c>
      <c r="H1324" s="5">
        <v>38</v>
      </c>
      <c r="I1324" s="1">
        <v>128</v>
      </c>
      <c r="J1324" s="1" t="s">
        <v>3271</v>
      </c>
      <c r="L1324" t="str">
        <f t="shared" si="20"/>
        <v>http://www.badatelna.eu/reprodukce/?fondId=1073&amp;zaznamId=1108951&amp;reproId=3778754</v>
      </c>
      <c r="M1324">
        <f>VLOOKUP(F1324,Sheet2!$B$1:$E$19,2,FALSE)</f>
        <v>1073</v>
      </c>
      <c r="N1324">
        <f>VLOOKUP(F1324,Sheet2!$B$1:$E$19,3,FALSE)</f>
        <v>1108951</v>
      </c>
      <c r="O1324">
        <f>IF(G1324="Not available","",VLOOKUP(F1324,Sheet2!$B$1:$E$19,4,FALSE)+(G1324-1))</f>
        <v>3778754</v>
      </c>
    </row>
    <row r="1325" spans="1:15" s="1" customFormat="1" ht="15" customHeight="1" x14ac:dyDescent="0.25">
      <c r="A1325" s="18" t="s">
        <v>204</v>
      </c>
      <c r="B1325" s="18" t="s">
        <v>816</v>
      </c>
      <c r="C1325" s="5" t="s">
        <v>1724</v>
      </c>
      <c r="D1325" s="12" t="s">
        <v>520</v>
      </c>
      <c r="E1325" s="1" t="s">
        <v>2</v>
      </c>
      <c r="F1325" s="18">
        <v>2165</v>
      </c>
      <c r="G1325" s="18">
        <v>166</v>
      </c>
      <c r="H1325" s="5">
        <v>2</v>
      </c>
      <c r="I1325" s="1">
        <v>170</v>
      </c>
      <c r="J1325" s="1">
        <v>148</v>
      </c>
      <c r="L1325" t="str">
        <f t="shared" si="20"/>
        <v>http://www.badatelna.eu/reprodukce/?fondId=1073&amp;zaznamId=1108952&amp;reproId=3779027</v>
      </c>
      <c r="M1325">
        <f>VLOOKUP(F1325,Sheet2!$B$1:$E$19,2,FALSE)</f>
        <v>1073</v>
      </c>
      <c r="N1325">
        <f>VLOOKUP(F1325,Sheet2!$B$1:$E$19,3,FALSE)</f>
        <v>1108952</v>
      </c>
      <c r="O1325">
        <f>IF(G1325="Not available","",VLOOKUP(F1325,Sheet2!$B$1:$E$19,4,FALSE)+(G1325-1))</f>
        <v>3779027</v>
      </c>
    </row>
    <row r="1326" spans="1:15" s="1" customFormat="1" ht="15" customHeight="1" x14ac:dyDescent="0.25">
      <c r="A1326" s="18" t="s">
        <v>204</v>
      </c>
      <c r="B1326" s="18" t="s">
        <v>501</v>
      </c>
      <c r="C1326" s="6" t="s">
        <v>2827</v>
      </c>
      <c r="D1326" s="1" t="s">
        <v>615</v>
      </c>
      <c r="E1326" s="1" t="s">
        <v>2</v>
      </c>
      <c r="F1326" s="18">
        <v>2164</v>
      </c>
      <c r="G1326" s="18">
        <v>5</v>
      </c>
      <c r="H1326" s="5">
        <v>3</v>
      </c>
      <c r="I1326" s="1">
        <v>128</v>
      </c>
      <c r="J1326" s="1" t="s">
        <v>3271</v>
      </c>
      <c r="L1326" t="str">
        <f t="shared" si="20"/>
        <v>http://www.badatelna.eu/reprodukce/?fondId=1073&amp;zaznamId=1108951&amp;reproId=3778719</v>
      </c>
      <c r="M1326">
        <f>VLOOKUP(F1326,Sheet2!$B$1:$E$19,2,FALSE)</f>
        <v>1073</v>
      </c>
      <c r="N1326">
        <f>VLOOKUP(F1326,Sheet2!$B$1:$E$19,3,FALSE)</f>
        <v>1108951</v>
      </c>
      <c r="O1326">
        <f>IF(G1326="Not available","",VLOOKUP(F1326,Sheet2!$B$1:$E$19,4,FALSE)+(G1326-1))</f>
        <v>3778719</v>
      </c>
    </row>
    <row r="1327" spans="1:15" s="1" customFormat="1" ht="15" customHeight="1" x14ac:dyDescent="0.25">
      <c r="A1327" s="18" t="s">
        <v>204</v>
      </c>
      <c r="B1327" s="18" t="s">
        <v>774</v>
      </c>
      <c r="C1327" s="5">
        <v>1866</v>
      </c>
      <c r="E1327" s="1" t="s">
        <v>939</v>
      </c>
      <c r="F1327" s="18">
        <v>999</v>
      </c>
      <c r="G1327" s="18">
        <v>59</v>
      </c>
      <c r="H1327" s="5">
        <v>57</v>
      </c>
      <c r="I1327" s="1">
        <v>67</v>
      </c>
      <c r="J1327" s="1">
        <v>101</v>
      </c>
      <c r="L1327" t="str">
        <f t="shared" si="20"/>
        <v>http://www.badatelna.eu/reprodukce/?fondId=241&amp;zaznamId=1133739&amp;reproId=3885788</v>
      </c>
      <c r="M1327">
        <f>VLOOKUP(F1327,Sheet2!$B$1:$E$19,2,FALSE)</f>
        <v>241</v>
      </c>
      <c r="N1327">
        <f>VLOOKUP(F1327,Sheet2!$B$1:$E$19,3,FALSE)</f>
        <v>1133739</v>
      </c>
      <c r="O1327">
        <f>IF(G1327="Not available","",VLOOKUP(F1327,Sheet2!$B$1:$E$19,4,FALSE)+(G1327-1))</f>
        <v>3885788</v>
      </c>
    </row>
    <row r="1328" spans="1:15" s="1" customFormat="1" ht="15" customHeight="1" x14ac:dyDescent="0.25">
      <c r="A1328" s="18" t="s">
        <v>204</v>
      </c>
      <c r="B1328" s="18" t="s">
        <v>774</v>
      </c>
      <c r="C1328" s="5" t="s">
        <v>1396</v>
      </c>
      <c r="D1328" s="1" t="s">
        <v>58</v>
      </c>
      <c r="E1328" s="1" t="s">
        <v>2</v>
      </c>
      <c r="F1328" s="18">
        <v>2165</v>
      </c>
      <c r="G1328" s="18">
        <v>14</v>
      </c>
      <c r="H1328" s="5">
        <v>11</v>
      </c>
      <c r="I1328" s="1">
        <v>82</v>
      </c>
      <c r="J1328" s="1" t="s">
        <v>3271</v>
      </c>
      <c r="L1328" t="str">
        <f t="shared" si="20"/>
        <v>http://www.badatelna.eu/reprodukce/?fondId=1073&amp;zaznamId=1108952&amp;reproId=3778875</v>
      </c>
      <c r="M1328">
        <f>VLOOKUP(F1328,Sheet2!$B$1:$E$19,2,FALSE)</f>
        <v>1073</v>
      </c>
      <c r="N1328">
        <f>VLOOKUP(F1328,Sheet2!$B$1:$E$19,3,FALSE)</f>
        <v>1108952</v>
      </c>
      <c r="O1328">
        <f>IF(G1328="Not available","",VLOOKUP(F1328,Sheet2!$B$1:$E$19,4,FALSE)+(G1328-1))</f>
        <v>3778875</v>
      </c>
    </row>
    <row r="1329" spans="1:15" s="1" customFormat="1" ht="15" customHeight="1" x14ac:dyDescent="0.25">
      <c r="A1329" s="18" t="s">
        <v>204</v>
      </c>
      <c r="B1329" s="18" t="s">
        <v>206</v>
      </c>
      <c r="C1329" s="5">
        <v>1799</v>
      </c>
      <c r="D1329" s="12" t="s">
        <v>2931</v>
      </c>
      <c r="E1329" s="1" t="s">
        <v>2</v>
      </c>
      <c r="F1329" s="18">
        <v>2173</v>
      </c>
      <c r="G1329" s="18">
        <v>39</v>
      </c>
      <c r="H1329" s="5">
        <v>72</v>
      </c>
      <c r="I1329" s="1">
        <v>98</v>
      </c>
      <c r="J1329" s="1">
        <v>209</v>
      </c>
      <c r="L1329" t="str">
        <f t="shared" si="20"/>
        <v>http://www.badatelna.eu/reprodukce/?fondId=1073&amp;zaznamId=1108959&amp;reproId=3780032</v>
      </c>
      <c r="M1329">
        <f>VLOOKUP(F1329,Sheet2!$B$1:$E$19,2,FALSE)</f>
        <v>1073</v>
      </c>
      <c r="N1329">
        <f>VLOOKUP(F1329,Sheet2!$B$1:$E$19,3,FALSE)</f>
        <v>1108959</v>
      </c>
      <c r="O1329">
        <f>IF(G1329="Not available","",VLOOKUP(F1329,Sheet2!$B$1:$E$19,4,FALSE)+(G1329-1))</f>
        <v>3780032</v>
      </c>
    </row>
    <row r="1330" spans="1:15" s="1" customFormat="1" ht="15" customHeight="1" x14ac:dyDescent="0.25">
      <c r="A1330" s="18" t="s">
        <v>204</v>
      </c>
      <c r="B1330" s="18" t="s">
        <v>2134</v>
      </c>
      <c r="C1330" s="10" t="s">
        <v>2043</v>
      </c>
      <c r="D1330" s="3" t="s">
        <v>2291</v>
      </c>
      <c r="E1330" s="4" t="s">
        <v>2</v>
      </c>
      <c r="F1330" s="18">
        <v>2176</v>
      </c>
      <c r="G1330" s="18" t="s">
        <v>3271</v>
      </c>
      <c r="H1330" s="10" t="s">
        <v>1981</v>
      </c>
      <c r="I1330" s="3">
        <v>17</v>
      </c>
      <c r="J1330" s="3" t="s">
        <v>3271</v>
      </c>
      <c r="K1330" s="3"/>
      <c r="L1330" t="str">
        <f t="shared" si="20"/>
        <v/>
      </c>
      <c r="M1330">
        <f>VLOOKUP(F1330,Sheet2!$B$1:$E$19,2,FALSE)</f>
        <v>1073</v>
      </c>
      <c r="N1330">
        <f>VLOOKUP(F1330,Sheet2!$B$1:$E$19,3,FALSE)</f>
        <v>1108963</v>
      </c>
      <c r="O1330" t="str">
        <f>IF(G1330="Not available","",VLOOKUP(F1330,Sheet2!$B$1:$E$19,4,FALSE)+(G1330-1))</f>
        <v/>
      </c>
    </row>
    <row r="1331" spans="1:15" s="1" customFormat="1" ht="15" customHeight="1" x14ac:dyDescent="0.25">
      <c r="A1331" s="18" t="s">
        <v>204</v>
      </c>
      <c r="B1331" s="18" t="s">
        <v>917</v>
      </c>
      <c r="C1331" s="5">
        <v>1885</v>
      </c>
      <c r="D1331" s="1" t="s">
        <v>520</v>
      </c>
      <c r="E1331" s="1" t="s">
        <v>2</v>
      </c>
      <c r="F1331" s="18">
        <v>2165</v>
      </c>
      <c r="G1331" s="18">
        <v>201</v>
      </c>
      <c r="H1331" s="5">
        <v>3</v>
      </c>
      <c r="I1331" s="1">
        <v>204</v>
      </c>
      <c r="J1331" s="1">
        <v>187</v>
      </c>
      <c r="L1331" t="str">
        <f t="shared" si="20"/>
        <v>http://www.badatelna.eu/reprodukce/?fondId=1073&amp;zaznamId=1108952&amp;reproId=3779062</v>
      </c>
      <c r="M1331">
        <f>VLOOKUP(F1331,Sheet2!$B$1:$E$19,2,FALSE)</f>
        <v>1073</v>
      </c>
      <c r="N1331">
        <f>VLOOKUP(F1331,Sheet2!$B$1:$E$19,3,FALSE)</f>
        <v>1108952</v>
      </c>
      <c r="O1331">
        <f>IF(G1331="Not available","",VLOOKUP(F1331,Sheet2!$B$1:$E$19,4,FALSE)+(G1331-1))</f>
        <v>3779062</v>
      </c>
    </row>
    <row r="1332" spans="1:15" s="1" customFormat="1" ht="15" customHeight="1" x14ac:dyDescent="0.25">
      <c r="A1332" s="18" t="s">
        <v>204</v>
      </c>
      <c r="B1332" s="18" t="s">
        <v>129</v>
      </c>
      <c r="C1332" s="5" t="s">
        <v>1400</v>
      </c>
      <c r="D1332" s="1" t="s">
        <v>28</v>
      </c>
      <c r="E1332" s="1" t="s">
        <v>2</v>
      </c>
      <c r="F1332" s="18">
        <v>2165</v>
      </c>
      <c r="G1332" s="18">
        <v>19</v>
      </c>
      <c r="H1332" s="5">
        <v>16</v>
      </c>
      <c r="I1332" s="1">
        <v>82</v>
      </c>
      <c r="J1332" s="1" t="s">
        <v>3271</v>
      </c>
      <c r="L1332" t="str">
        <f t="shared" si="20"/>
        <v>http://www.badatelna.eu/reprodukce/?fondId=1073&amp;zaznamId=1108952&amp;reproId=3778880</v>
      </c>
      <c r="M1332">
        <f>VLOOKUP(F1332,Sheet2!$B$1:$E$19,2,FALSE)</f>
        <v>1073</v>
      </c>
      <c r="N1332">
        <f>VLOOKUP(F1332,Sheet2!$B$1:$E$19,3,FALSE)</f>
        <v>1108952</v>
      </c>
      <c r="O1332">
        <f>IF(G1332="Not available","",VLOOKUP(F1332,Sheet2!$B$1:$E$19,4,FALSE)+(G1332-1))</f>
        <v>3778880</v>
      </c>
    </row>
    <row r="1333" spans="1:15" s="1" customFormat="1" ht="15" customHeight="1" x14ac:dyDescent="0.25">
      <c r="A1333" s="18" t="s">
        <v>204</v>
      </c>
      <c r="B1333" s="18" t="s">
        <v>370</v>
      </c>
      <c r="C1333" s="5">
        <v>1860</v>
      </c>
      <c r="E1333" s="1" t="s">
        <v>939</v>
      </c>
      <c r="F1333" s="18">
        <v>999</v>
      </c>
      <c r="G1333" s="18">
        <v>23</v>
      </c>
      <c r="H1333" s="5">
        <v>21</v>
      </c>
      <c r="I1333" s="1">
        <v>67</v>
      </c>
      <c r="J1333" s="1">
        <v>101</v>
      </c>
      <c r="L1333" t="str">
        <f t="shared" si="20"/>
        <v>http://www.badatelna.eu/reprodukce/?fondId=241&amp;zaznamId=1133739&amp;reproId=3885752</v>
      </c>
      <c r="M1333">
        <f>VLOOKUP(F1333,Sheet2!$B$1:$E$19,2,FALSE)</f>
        <v>241</v>
      </c>
      <c r="N1333">
        <f>VLOOKUP(F1333,Sheet2!$B$1:$E$19,3,FALSE)</f>
        <v>1133739</v>
      </c>
      <c r="O1333">
        <f>IF(G1333="Not available","",VLOOKUP(F1333,Sheet2!$B$1:$E$19,4,FALSE)+(G1333-1))</f>
        <v>3885752</v>
      </c>
    </row>
    <row r="1334" spans="1:15" s="1" customFormat="1" ht="15" customHeight="1" x14ac:dyDescent="0.25">
      <c r="A1334" s="18" t="s">
        <v>204</v>
      </c>
      <c r="B1334" s="18" t="s">
        <v>12</v>
      </c>
      <c r="C1334" s="5">
        <v>1810</v>
      </c>
      <c r="E1334" s="1" t="s">
        <v>2</v>
      </c>
      <c r="F1334" s="18">
        <v>2173</v>
      </c>
      <c r="G1334" s="18">
        <v>56</v>
      </c>
      <c r="H1334" s="5">
        <v>107</v>
      </c>
      <c r="I1334" s="1">
        <v>99</v>
      </c>
      <c r="J1334" s="1">
        <v>210</v>
      </c>
      <c r="L1334" t="str">
        <f t="shared" si="20"/>
        <v>http://www.badatelna.eu/reprodukce/?fondId=1073&amp;zaznamId=1108959&amp;reproId=3780049</v>
      </c>
      <c r="M1334">
        <f>VLOOKUP(F1334,Sheet2!$B$1:$E$19,2,FALSE)</f>
        <v>1073</v>
      </c>
      <c r="N1334">
        <f>VLOOKUP(F1334,Sheet2!$B$1:$E$19,3,FALSE)</f>
        <v>1108959</v>
      </c>
      <c r="O1334">
        <f>IF(G1334="Not available","",VLOOKUP(F1334,Sheet2!$B$1:$E$19,4,FALSE)+(G1334-1))</f>
        <v>3780049</v>
      </c>
    </row>
    <row r="1335" spans="1:15" s="1" customFormat="1" ht="15" customHeight="1" x14ac:dyDescent="0.25">
      <c r="A1335" s="18" t="s">
        <v>204</v>
      </c>
      <c r="B1335" s="18" t="s">
        <v>197</v>
      </c>
      <c r="C1335" s="6" t="s">
        <v>3246</v>
      </c>
      <c r="D1335" s="1" t="s">
        <v>58</v>
      </c>
      <c r="E1335" s="1" t="s">
        <v>2</v>
      </c>
      <c r="F1335" s="18">
        <v>2165</v>
      </c>
      <c r="G1335" s="18">
        <v>37</v>
      </c>
      <c r="H1335" s="5">
        <v>34</v>
      </c>
      <c r="I1335" s="1">
        <v>83</v>
      </c>
      <c r="J1335" s="1" t="s">
        <v>3271</v>
      </c>
      <c r="L1335" t="str">
        <f t="shared" si="20"/>
        <v>http://www.badatelna.eu/reprodukce/?fondId=1073&amp;zaznamId=1108952&amp;reproId=3778898</v>
      </c>
      <c r="M1335">
        <f>VLOOKUP(F1335,Sheet2!$B$1:$E$19,2,FALSE)</f>
        <v>1073</v>
      </c>
      <c r="N1335">
        <f>VLOOKUP(F1335,Sheet2!$B$1:$E$19,3,FALSE)</f>
        <v>1108952</v>
      </c>
      <c r="O1335">
        <f>IF(G1335="Not available","",VLOOKUP(F1335,Sheet2!$B$1:$E$19,4,FALSE)+(G1335-1))</f>
        <v>3778898</v>
      </c>
    </row>
    <row r="1336" spans="1:15" s="1" customFormat="1" ht="15" customHeight="1" x14ac:dyDescent="0.25">
      <c r="A1336" s="18" t="s">
        <v>204</v>
      </c>
      <c r="B1336" s="18" t="s">
        <v>1011</v>
      </c>
      <c r="C1336" s="10" t="s">
        <v>1987</v>
      </c>
      <c r="D1336" s="3" t="s">
        <v>2284</v>
      </c>
      <c r="E1336" s="4" t="s">
        <v>2</v>
      </c>
      <c r="F1336" s="18">
        <v>2176</v>
      </c>
      <c r="G1336" s="18" t="s">
        <v>3271</v>
      </c>
      <c r="H1336" s="10" t="s">
        <v>2285</v>
      </c>
      <c r="I1336" s="3">
        <v>16</v>
      </c>
      <c r="J1336" s="3" t="s">
        <v>3271</v>
      </c>
      <c r="L1336" t="str">
        <f t="shared" si="20"/>
        <v/>
      </c>
      <c r="M1336">
        <f>VLOOKUP(F1336,Sheet2!$B$1:$E$19,2,FALSE)</f>
        <v>1073</v>
      </c>
      <c r="N1336">
        <f>VLOOKUP(F1336,Sheet2!$B$1:$E$19,3,FALSE)</f>
        <v>1108963</v>
      </c>
      <c r="O1336" t="str">
        <f>IF(G1336="Not available","",VLOOKUP(F1336,Sheet2!$B$1:$E$19,4,FALSE)+(G1336-1))</f>
        <v/>
      </c>
    </row>
    <row r="1337" spans="1:15" s="1" customFormat="1" ht="15" customHeight="1" x14ac:dyDescent="0.25">
      <c r="A1337" s="18" t="s">
        <v>204</v>
      </c>
      <c r="B1337" s="18" t="s">
        <v>361</v>
      </c>
      <c r="C1337" s="5" t="s">
        <v>1430</v>
      </c>
      <c r="D1337" s="1" t="s">
        <v>478</v>
      </c>
      <c r="E1337" s="1" t="s">
        <v>2</v>
      </c>
      <c r="F1337" s="18">
        <v>2165</v>
      </c>
      <c r="G1337" s="18">
        <v>61</v>
      </c>
      <c r="H1337" s="5">
        <v>58</v>
      </c>
      <c r="I1337" s="1">
        <v>83</v>
      </c>
      <c r="J1337" s="1" t="s">
        <v>3271</v>
      </c>
      <c r="L1337" t="str">
        <f t="shared" si="20"/>
        <v>http://www.badatelna.eu/reprodukce/?fondId=1073&amp;zaznamId=1108952&amp;reproId=3778922</v>
      </c>
      <c r="M1337">
        <f>VLOOKUP(F1337,Sheet2!$B$1:$E$19,2,FALSE)</f>
        <v>1073</v>
      </c>
      <c r="N1337">
        <f>VLOOKUP(F1337,Sheet2!$B$1:$E$19,3,FALSE)</f>
        <v>1108952</v>
      </c>
      <c r="O1337">
        <f>IF(G1337="Not available","",VLOOKUP(F1337,Sheet2!$B$1:$E$19,4,FALSE)+(G1337-1))</f>
        <v>3778922</v>
      </c>
    </row>
    <row r="1338" spans="1:15" s="1" customFormat="1" ht="15" customHeight="1" x14ac:dyDescent="0.25">
      <c r="A1338" s="18" t="s">
        <v>204</v>
      </c>
      <c r="B1338" s="18" t="s">
        <v>133</v>
      </c>
      <c r="C1338" s="5" t="s">
        <v>1407</v>
      </c>
      <c r="D1338" s="1" t="s">
        <v>28</v>
      </c>
      <c r="E1338" s="1" t="s">
        <v>2</v>
      </c>
      <c r="F1338" s="18">
        <v>2165</v>
      </c>
      <c r="G1338" s="18">
        <v>29</v>
      </c>
      <c r="H1338" s="5">
        <v>26</v>
      </c>
      <c r="I1338" s="1">
        <v>83</v>
      </c>
      <c r="J1338" s="1" t="s">
        <v>3271</v>
      </c>
      <c r="L1338" t="str">
        <f t="shared" si="20"/>
        <v>http://www.badatelna.eu/reprodukce/?fondId=1073&amp;zaznamId=1108952&amp;reproId=3778890</v>
      </c>
      <c r="M1338">
        <f>VLOOKUP(F1338,Sheet2!$B$1:$E$19,2,FALSE)</f>
        <v>1073</v>
      </c>
      <c r="N1338">
        <f>VLOOKUP(F1338,Sheet2!$B$1:$E$19,3,FALSE)</f>
        <v>1108952</v>
      </c>
      <c r="O1338">
        <f>IF(G1338="Not available","",VLOOKUP(F1338,Sheet2!$B$1:$E$19,4,FALSE)+(G1338-1))</f>
        <v>3778890</v>
      </c>
    </row>
    <row r="1339" spans="1:15" s="1" customFormat="1" ht="15" customHeight="1" x14ac:dyDescent="0.25">
      <c r="A1339" s="18" t="s">
        <v>204</v>
      </c>
      <c r="B1339" s="18" t="s">
        <v>602</v>
      </c>
      <c r="C1339" s="5">
        <v>1864</v>
      </c>
      <c r="E1339" s="1" t="s">
        <v>939</v>
      </c>
      <c r="F1339" s="18">
        <v>999</v>
      </c>
      <c r="G1339" s="18">
        <v>47</v>
      </c>
      <c r="H1339" s="5">
        <v>45</v>
      </c>
      <c r="I1339" s="1">
        <v>67</v>
      </c>
      <c r="J1339" s="1">
        <v>101</v>
      </c>
      <c r="L1339" t="str">
        <f t="shared" si="20"/>
        <v>http://www.badatelna.eu/reprodukce/?fondId=241&amp;zaznamId=1133739&amp;reproId=3885776</v>
      </c>
      <c r="M1339">
        <f>VLOOKUP(F1339,Sheet2!$B$1:$E$19,2,FALSE)</f>
        <v>241</v>
      </c>
      <c r="N1339">
        <f>VLOOKUP(F1339,Sheet2!$B$1:$E$19,3,FALSE)</f>
        <v>1133739</v>
      </c>
      <c r="O1339">
        <f>IF(G1339="Not available","",VLOOKUP(F1339,Sheet2!$B$1:$E$19,4,FALSE)+(G1339-1))</f>
        <v>3885776</v>
      </c>
    </row>
    <row r="1340" spans="1:15" s="1" customFormat="1" ht="15" customHeight="1" x14ac:dyDescent="0.25">
      <c r="A1340" s="18" t="s">
        <v>204</v>
      </c>
      <c r="B1340" s="18" t="s">
        <v>2027</v>
      </c>
      <c r="C1340" s="10" t="s">
        <v>2005</v>
      </c>
      <c r="D1340" s="3" t="s">
        <v>2291</v>
      </c>
      <c r="E1340" s="4" t="s">
        <v>2</v>
      </c>
      <c r="F1340" s="18">
        <v>2176</v>
      </c>
      <c r="G1340" s="18" t="s">
        <v>3271</v>
      </c>
      <c r="H1340" s="10" t="s">
        <v>2292</v>
      </c>
      <c r="I1340" s="3">
        <v>16</v>
      </c>
      <c r="J1340" s="3" t="s">
        <v>3271</v>
      </c>
      <c r="L1340" t="str">
        <f t="shared" si="20"/>
        <v/>
      </c>
      <c r="M1340">
        <f>VLOOKUP(F1340,Sheet2!$B$1:$E$19,2,FALSE)</f>
        <v>1073</v>
      </c>
      <c r="N1340">
        <f>VLOOKUP(F1340,Sheet2!$B$1:$E$19,3,FALSE)</f>
        <v>1108963</v>
      </c>
      <c r="O1340" t="str">
        <f>IF(G1340="Not available","",VLOOKUP(F1340,Sheet2!$B$1:$E$19,4,FALSE)+(G1340-1))</f>
        <v/>
      </c>
    </row>
    <row r="1341" spans="1:15" s="1" customFormat="1" ht="15" customHeight="1" x14ac:dyDescent="0.25">
      <c r="A1341" s="18" t="s">
        <v>204</v>
      </c>
      <c r="B1341" s="18" t="s">
        <v>2027</v>
      </c>
      <c r="C1341" s="10" t="s">
        <v>2026</v>
      </c>
      <c r="D1341" s="3" t="s">
        <v>2299</v>
      </c>
      <c r="E1341" s="4" t="s">
        <v>2</v>
      </c>
      <c r="F1341" s="18">
        <v>2176</v>
      </c>
      <c r="G1341" s="18" t="s">
        <v>3271</v>
      </c>
      <c r="H1341" s="10" t="s">
        <v>2016</v>
      </c>
      <c r="I1341" s="3">
        <v>16</v>
      </c>
      <c r="J1341" s="3" t="s">
        <v>3271</v>
      </c>
      <c r="K1341" s="3"/>
      <c r="L1341" t="str">
        <f t="shared" si="20"/>
        <v/>
      </c>
      <c r="M1341">
        <f>VLOOKUP(F1341,Sheet2!$B$1:$E$19,2,FALSE)</f>
        <v>1073</v>
      </c>
      <c r="N1341">
        <f>VLOOKUP(F1341,Sheet2!$B$1:$E$19,3,FALSE)</f>
        <v>1108963</v>
      </c>
      <c r="O1341" t="str">
        <f>IF(G1341="Not available","",VLOOKUP(F1341,Sheet2!$B$1:$E$19,4,FALSE)+(G1341-1))</f>
        <v/>
      </c>
    </row>
    <row r="1342" spans="1:15" s="1" customFormat="1" ht="15" customHeight="1" x14ac:dyDescent="0.25">
      <c r="A1342" s="18" t="s">
        <v>204</v>
      </c>
      <c r="B1342" s="18" t="s">
        <v>479</v>
      </c>
      <c r="C1342" s="5">
        <v>1845</v>
      </c>
      <c r="D1342" s="1" t="s">
        <v>615</v>
      </c>
      <c r="E1342" s="1" t="s">
        <v>2</v>
      </c>
      <c r="F1342" s="18">
        <v>2174</v>
      </c>
      <c r="G1342" s="18">
        <v>160</v>
      </c>
      <c r="H1342" s="6" t="s">
        <v>3223</v>
      </c>
      <c r="I1342" s="1">
        <v>186</v>
      </c>
      <c r="J1342" s="1">
        <v>214</v>
      </c>
      <c r="L1342" t="str">
        <f t="shared" si="20"/>
        <v>http://www.badatelna.eu/reprodukce/?fondId=1073&amp;zaznamId=1108960&amp;reproId=3780384</v>
      </c>
      <c r="M1342">
        <f>VLOOKUP(F1342,Sheet2!$B$1:$E$19,2,FALSE)</f>
        <v>1073</v>
      </c>
      <c r="N1342">
        <f>VLOOKUP(F1342,Sheet2!$B$1:$E$19,3,FALSE)</f>
        <v>1108960</v>
      </c>
      <c r="O1342">
        <f>IF(G1342="Not available","",VLOOKUP(F1342,Sheet2!$B$1:$E$19,4,FALSE)+(G1342-1))</f>
        <v>3780384</v>
      </c>
    </row>
    <row r="1343" spans="1:15" s="1" customFormat="1" ht="15" customHeight="1" x14ac:dyDescent="0.25">
      <c r="A1343" s="18" t="s">
        <v>204</v>
      </c>
      <c r="B1343" s="18" t="s">
        <v>624</v>
      </c>
      <c r="C1343" s="5">
        <v>1836</v>
      </c>
      <c r="D1343" s="1" t="s">
        <v>83</v>
      </c>
      <c r="E1343" s="1" t="s">
        <v>2</v>
      </c>
      <c r="F1343" s="18">
        <v>2174</v>
      </c>
      <c r="G1343" s="18">
        <v>89</v>
      </c>
      <c r="H1343" s="6" t="s">
        <v>3154</v>
      </c>
      <c r="I1343" s="1">
        <v>186</v>
      </c>
      <c r="J1343" s="1">
        <v>214</v>
      </c>
      <c r="L1343" t="str">
        <f t="shared" si="20"/>
        <v>http://www.badatelna.eu/reprodukce/?fondId=1073&amp;zaznamId=1108960&amp;reproId=3780313</v>
      </c>
      <c r="M1343">
        <f>VLOOKUP(F1343,Sheet2!$B$1:$E$19,2,FALSE)</f>
        <v>1073</v>
      </c>
      <c r="N1343">
        <f>VLOOKUP(F1343,Sheet2!$B$1:$E$19,3,FALSE)</f>
        <v>1108960</v>
      </c>
      <c r="O1343">
        <f>IF(G1343="Not available","",VLOOKUP(F1343,Sheet2!$B$1:$E$19,4,FALSE)+(G1343-1))</f>
        <v>3780313</v>
      </c>
    </row>
    <row r="1344" spans="1:15" s="1" customFormat="1" ht="15" customHeight="1" x14ac:dyDescent="0.25">
      <c r="A1344" s="18" t="s">
        <v>204</v>
      </c>
      <c r="B1344" s="18" t="s">
        <v>310</v>
      </c>
      <c r="C1344" s="5">
        <v>1855</v>
      </c>
      <c r="D1344" s="1" t="s">
        <v>58</v>
      </c>
      <c r="E1344" s="1" t="s">
        <v>2</v>
      </c>
      <c r="F1344" s="18">
        <v>2164</v>
      </c>
      <c r="G1344" s="18">
        <v>103</v>
      </c>
      <c r="H1344" s="5">
        <v>101</v>
      </c>
      <c r="I1344" s="1">
        <v>128</v>
      </c>
      <c r="J1344" s="1" t="s">
        <v>3271</v>
      </c>
      <c r="L1344" t="str">
        <f t="shared" si="20"/>
        <v>http://www.badatelna.eu/reprodukce/?fondId=1073&amp;zaznamId=1108951&amp;reproId=3778817</v>
      </c>
      <c r="M1344">
        <f>VLOOKUP(F1344,Sheet2!$B$1:$E$19,2,FALSE)</f>
        <v>1073</v>
      </c>
      <c r="N1344">
        <f>VLOOKUP(F1344,Sheet2!$B$1:$E$19,3,FALSE)</f>
        <v>1108951</v>
      </c>
      <c r="O1344">
        <f>IF(G1344="Not available","",VLOOKUP(F1344,Sheet2!$B$1:$E$19,4,FALSE)+(G1344-1))</f>
        <v>3778817</v>
      </c>
    </row>
    <row r="1345" spans="1:15" s="1" customFormat="1" ht="15" customHeight="1" x14ac:dyDescent="0.25">
      <c r="A1345" s="18" t="s">
        <v>204</v>
      </c>
      <c r="B1345" s="18" t="s">
        <v>21</v>
      </c>
      <c r="C1345" s="5">
        <v>1812</v>
      </c>
      <c r="E1345" s="1" t="s">
        <v>2</v>
      </c>
      <c r="F1345" s="18">
        <v>2173</v>
      </c>
      <c r="G1345" s="18">
        <v>59</v>
      </c>
      <c r="H1345" s="5">
        <v>112</v>
      </c>
      <c r="I1345" s="1">
        <v>99</v>
      </c>
      <c r="J1345" s="1">
        <v>210</v>
      </c>
      <c r="L1345" t="str">
        <f t="shared" si="20"/>
        <v>http://www.badatelna.eu/reprodukce/?fondId=1073&amp;zaznamId=1108959&amp;reproId=3780052</v>
      </c>
      <c r="M1345">
        <f>VLOOKUP(F1345,Sheet2!$B$1:$E$19,2,FALSE)</f>
        <v>1073</v>
      </c>
      <c r="N1345">
        <f>VLOOKUP(F1345,Sheet2!$B$1:$E$19,3,FALSE)</f>
        <v>1108959</v>
      </c>
      <c r="O1345">
        <f>IF(G1345="Not available","",VLOOKUP(F1345,Sheet2!$B$1:$E$19,4,FALSE)+(G1345-1))</f>
        <v>3780052</v>
      </c>
    </row>
    <row r="1346" spans="1:15" s="1" customFormat="1" ht="15" customHeight="1" x14ac:dyDescent="0.25">
      <c r="A1346" s="18" t="s">
        <v>204</v>
      </c>
      <c r="B1346" s="18" t="s">
        <v>432</v>
      </c>
      <c r="C1346" s="10" t="s">
        <v>2036</v>
      </c>
      <c r="D1346" s="3" t="s">
        <v>2310</v>
      </c>
      <c r="E1346" s="4" t="s">
        <v>2</v>
      </c>
      <c r="F1346" s="18">
        <v>2176</v>
      </c>
      <c r="G1346" s="18" t="s">
        <v>3271</v>
      </c>
      <c r="H1346" s="10" t="s">
        <v>2311</v>
      </c>
      <c r="I1346" s="3">
        <v>17</v>
      </c>
      <c r="J1346" s="3" t="s">
        <v>3271</v>
      </c>
      <c r="K1346" s="3"/>
      <c r="L1346" t="str">
        <f t="shared" si="20"/>
        <v/>
      </c>
      <c r="M1346">
        <f>VLOOKUP(F1346,Sheet2!$B$1:$E$19,2,FALSE)</f>
        <v>1073</v>
      </c>
      <c r="N1346">
        <f>VLOOKUP(F1346,Sheet2!$B$1:$E$19,3,FALSE)</f>
        <v>1108963</v>
      </c>
      <c r="O1346" t="str">
        <f>IF(G1346="Not available","",VLOOKUP(F1346,Sheet2!$B$1:$E$19,4,FALSE)+(G1346-1))</f>
        <v/>
      </c>
    </row>
    <row r="1347" spans="1:15" s="1" customFormat="1" ht="15" customHeight="1" x14ac:dyDescent="0.25">
      <c r="A1347" s="18" t="s">
        <v>204</v>
      </c>
      <c r="B1347" s="18" t="s">
        <v>432</v>
      </c>
      <c r="C1347" s="5">
        <v>1883</v>
      </c>
      <c r="D1347" s="1" t="s">
        <v>520</v>
      </c>
      <c r="E1347" s="1" t="s">
        <v>2</v>
      </c>
      <c r="F1347" s="18">
        <v>2165</v>
      </c>
      <c r="G1347" s="18">
        <v>187</v>
      </c>
      <c r="H1347" s="5">
        <v>3</v>
      </c>
      <c r="I1347" s="1">
        <v>190</v>
      </c>
      <c r="J1347" s="1">
        <v>167</v>
      </c>
      <c r="L1347" t="str">
        <f t="shared" ref="L1347:L1410" si="21">IF(G1347="Not available","","http://www.badatelna.eu/reprodukce/?fondId="&amp;M1347&amp;"&amp;zaznamId="&amp;N1347&amp;"&amp;reproId="&amp;O1347)</f>
        <v>http://www.badatelna.eu/reprodukce/?fondId=1073&amp;zaznamId=1108952&amp;reproId=3779048</v>
      </c>
      <c r="M1347">
        <f>VLOOKUP(F1347,Sheet2!$B$1:$E$19,2,FALSE)</f>
        <v>1073</v>
      </c>
      <c r="N1347">
        <f>VLOOKUP(F1347,Sheet2!$B$1:$E$19,3,FALSE)</f>
        <v>1108952</v>
      </c>
      <c r="O1347">
        <f>IF(G1347="Not available","",VLOOKUP(F1347,Sheet2!$B$1:$E$19,4,FALSE)+(G1347-1))</f>
        <v>3779048</v>
      </c>
    </row>
    <row r="1348" spans="1:15" s="1" customFormat="1" ht="15" customHeight="1" x14ac:dyDescent="0.25">
      <c r="A1348" s="18" t="s">
        <v>204</v>
      </c>
      <c r="B1348" s="18" t="s">
        <v>207</v>
      </c>
      <c r="C1348" s="5">
        <v>1802</v>
      </c>
      <c r="E1348" s="1" t="s">
        <v>2</v>
      </c>
      <c r="F1348" s="18">
        <v>2173</v>
      </c>
      <c r="G1348" s="18">
        <v>45</v>
      </c>
      <c r="H1348" s="5">
        <v>85</v>
      </c>
      <c r="I1348" s="1">
        <v>98</v>
      </c>
      <c r="J1348" s="1">
        <v>209</v>
      </c>
      <c r="L1348" t="str">
        <f t="shared" si="21"/>
        <v>http://www.badatelna.eu/reprodukce/?fondId=1073&amp;zaznamId=1108959&amp;reproId=3780038</v>
      </c>
      <c r="M1348">
        <f>VLOOKUP(F1348,Sheet2!$B$1:$E$19,2,FALSE)</f>
        <v>1073</v>
      </c>
      <c r="N1348">
        <f>VLOOKUP(F1348,Sheet2!$B$1:$E$19,3,FALSE)</f>
        <v>1108959</v>
      </c>
      <c r="O1348">
        <f>IF(G1348="Not available","",VLOOKUP(F1348,Sheet2!$B$1:$E$19,4,FALSE)+(G1348-1))</f>
        <v>3780038</v>
      </c>
    </row>
    <row r="1349" spans="1:15" s="1" customFormat="1" ht="15" customHeight="1" x14ac:dyDescent="0.25">
      <c r="A1349" s="18" t="s">
        <v>204</v>
      </c>
      <c r="B1349" s="18" t="s">
        <v>100</v>
      </c>
      <c r="C1349" s="5">
        <v>1795</v>
      </c>
      <c r="D1349" s="1" t="s">
        <v>22</v>
      </c>
      <c r="E1349" s="1" t="s">
        <v>2</v>
      </c>
      <c r="F1349" s="18">
        <v>2173</v>
      </c>
      <c r="G1349" s="18">
        <v>33</v>
      </c>
      <c r="H1349" s="5">
        <v>61</v>
      </c>
      <c r="I1349" s="1">
        <v>98</v>
      </c>
      <c r="J1349" s="1">
        <v>209</v>
      </c>
      <c r="L1349" t="str">
        <f t="shared" si="21"/>
        <v>http://www.badatelna.eu/reprodukce/?fondId=1073&amp;zaznamId=1108959&amp;reproId=3780026</v>
      </c>
      <c r="M1349">
        <f>VLOOKUP(F1349,Sheet2!$B$1:$E$19,2,FALSE)</f>
        <v>1073</v>
      </c>
      <c r="N1349">
        <f>VLOOKUP(F1349,Sheet2!$B$1:$E$19,3,FALSE)</f>
        <v>1108959</v>
      </c>
      <c r="O1349">
        <f>IF(G1349="Not available","",VLOOKUP(F1349,Sheet2!$B$1:$E$19,4,FALSE)+(G1349-1))</f>
        <v>3780026</v>
      </c>
    </row>
    <row r="1350" spans="1:15" s="1" customFormat="1" ht="15" customHeight="1" x14ac:dyDescent="0.25">
      <c r="A1350" s="18" t="s">
        <v>204</v>
      </c>
      <c r="B1350" s="18" t="s">
        <v>1033</v>
      </c>
      <c r="C1350" s="10" t="s">
        <v>1949</v>
      </c>
      <c r="D1350" s="3" t="s">
        <v>2324</v>
      </c>
      <c r="E1350" s="4" t="s">
        <v>2</v>
      </c>
      <c r="F1350" s="18">
        <v>2176</v>
      </c>
      <c r="G1350" s="18" t="s">
        <v>3271</v>
      </c>
      <c r="H1350" s="10" t="s">
        <v>2051</v>
      </c>
      <c r="I1350" s="3">
        <v>17</v>
      </c>
      <c r="J1350" s="3" t="s">
        <v>3271</v>
      </c>
      <c r="K1350" s="3"/>
      <c r="L1350" t="str">
        <f t="shared" si="21"/>
        <v/>
      </c>
      <c r="M1350">
        <f>VLOOKUP(F1350,Sheet2!$B$1:$E$19,2,FALSE)</f>
        <v>1073</v>
      </c>
      <c r="N1350">
        <f>VLOOKUP(F1350,Sheet2!$B$1:$E$19,3,FALSE)</f>
        <v>1108963</v>
      </c>
      <c r="O1350" t="str">
        <f>IF(G1350="Not available","",VLOOKUP(F1350,Sheet2!$B$1:$E$19,4,FALSE)+(G1350-1))</f>
        <v/>
      </c>
    </row>
    <row r="1351" spans="1:15" s="1" customFormat="1" ht="15" customHeight="1" x14ac:dyDescent="0.25">
      <c r="A1351" s="18" t="s">
        <v>204</v>
      </c>
      <c r="B1351" s="18" t="s">
        <v>536</v>
      </c>
      <c r="C1351" s="5">
        <v>1853</v>
      </c>
      <c r="D1351" s="1" t="s">
        <v>58</v>
      </c>
      <c r="E1351" s="1" t="s">
        <v>2</v>
      </c>
      <c r="F1351" s="18">
        <v>2164</v>
      </c>
      <c r="G1351" s="18">
        <v>91</v>
      </c>
      <c r="H1351" s="5">
        <v>89</v>
      </c>
      <c r="I1351" s="1">
        <v>128</v>
      </c>
      <c r="J1351" s="1" t="s">
        <v>3271</v>
      </c>
      <c r="L1351" t="str">
        <f t="shared" si="21"/>
        <v>http://www.badatelna.eu/reprodukce/?fondId=1073&amp;zaznamId=1108951&amp;reproId=3778805</v>
      </c>
      <c r="M1351">
        <f>VLOOKUP(F1351,Sheet2!$B$1:$E$19,2,FALSE)</f>
        <v>1073</v>
      </c>
      <c r="N1351">
        <f>VLOOKUP(F1351,Sheet2!$B$1:$E$19,3,FALSE)</f>
        <v>1108951</v>
      </c>
      <c r="O1351">
        <f>IF(G1351="Not available","",VLOOKUP(F1351,Sheet2!$B$1:$E$19,4,FALSE)+(G1351-1))</f>
        <v>3778805</v>
      </c>
    </row>
    <row r="1352" spans="1:15" s="1" customFormat="1" ht="15" customHeight="1" x14ac:dyDescent="0.25">
      <c r="A1352" s="18" t="s">
        <v>204</v>
      </c>
      <c r="B1352" s="18" t="s">
        <v>1007</v>
      </c>
      <c r="C1352" s="10" t="s">
        <v>2025</v>
      </c>
      <c r="D1352" s="3" t="s">
        <v>2299</v>
      </c>
      <c r="E1352" s="4" t="s">
        <v>2</v>
      </c>
      <c r="F1352" s="18">
        <v>2176</v>
      </c>
      <c r="G1352" s="18" t="s">
        <v>3271</v>
      </c>
      <c r="H1352" s="10" t="s">
        <v>2222</v>
      </c>
      <c r="I1352" s="3">
        <v>16</v>
      </c>
      <c r="J1352" s="3" t="s">
        <v>3271</v>
      </c>
      <c r="K1352" s="3"/>
      <c r="L1352" t="str">
        <f t="shared" si="21"/>
        <v/>
      </c>
      <c r="M1352">
        <f>VLOOKUP(F1352,Sheet2!$B$1:$E$19,2,FALSE)</f>
        <v>1073</v>
      </c>
      <c r="N1352">
        <f>VLOOKUP(F1352,Sheet2!$B$1:$E$19,3,FALSE)</f>
        <v>1108963</v>
      </c>
      <c r="O1352" t="str">
        <f>IF(G1352="Not available","",VLOOKUP(F1352,Sheet2!$B$1:$E$19,4,FALSE)+(G1352-1))</f>
        <v/>
      </c>
    </row>
    <row r="1353" spans="1:15" s="1" customFormat="1" ht="15" customHeight="1" x14ac:dyDescent="0.25">
      <c r="A1353" s="18" t="s">
        <v>204</v>
      </c>
      <c r="B1353" s="18" t="s">
        <v>593</v>
      </c>
      <c r="C1353" s="5">
        <v>1838</v>
      </c>
      <c r="D1353" s="1" t="s">
        <v>100</v>
      </c>
      <c r="E1353" s="1" t="s">
        <v>2</v>
      </c>
      <c r="F1353" s="18">
        <v>2174</v>
      </c>
      <c r="G1353" s="18">
        <v>98</v>
      </c>
      <c r="H1353" s="16" t="s">
        <v>3166</v>
      </c>
      <c r="I1353" s="1">
        <v>186</v>
      </c>
      <c r="J1353" s="1">
        <v>214</v>
      </c>
      <c r="L1353" t="str">
        <f t="shared" si="21"/>
        <v>http://www.badatelna.eu/reprodukce/?fondId=1073&amp;zaznamId=1108960&amp;reproId=3780322</v>
      </c>
      <c r="M1353">
        <f>VLOOKUP(F1353,Sheet2!$B$1:$E$19,2,FALSE)</f>
        <v>1073</v>
      </c>
      <c r="N1353">
        <f>VLOOKUP(F1353,Sheet2!$B$1:$E$19,3,FALSE)</f>
        <v>1108960</v>
      </c>
      <c r="O1353">
        <f>IF(G1353="Not available","",VLOOKUP(F1353,Sheet2!$B$1:$E$19,4,FALSE)+(G1353-1))</f>
        <v>3780322</v>
      </c>
    </row>
    <row r="1354" spans="1:15" s="1" customFormat="1" ht="15" customHeight="1" x14ac:dyDescent="0.25">
      <c r="A1354" s="18" t="s">
        <v>204</v>
      </c>
      <c r="B1354" s="18" t="s">
        <v>24</v>
      </c>
      <c r="C1354" s="5" t="s">
        <v>1415</v>
      </c>
      <c r="D1354" s="1" t="s">
        <v>28</v>
      </c>
      <c r="E1354" s="1" t="s">
        <v>2</v>
      </c>
      <c r="F1354" s="18">
        <v>2165</v>
      </c>
      <c r="G1354" s="18">
        <v>43</v>
      </c>
      <c r="H1354" s="5">
        <v>40</v>
      </c>
      <c r="I1354" s="1">
        <v>83</v>
      </c>
      <c r="J1354" s="1" t="s">
        <v>3271</v>
      </c>
      <c r="L1354" t="str">
        <f t="shared" si="21"/>
        <v>http://www.badatelna.eu/reprodukce/?fondId=1073&amp;zaznamId=1108952&amp;reproId=3778904</v>
      </c>
      <c r="M1354">
        <f>VLOOKUP(F1354,Sheet2!$B$1:$E$19,2,FALSE)</f>
        <v>1073</v>
      </c>
      <c r="N1354">
        <f>VLOOKUP(F1354,Sheet2!$B$1:$E$19,3,FALSE)</f>
        <v>1108952</v>
      </c>
      <c r="O1354">
        <f>IF(G1354="Not available","",VLOOKUP(F1354,Sheet2!$B$1:$E$19,4,FALSE)+(G1354-1))</f>
        <v>3778904</v>
      </c>
    </row>
    <row r="1355" spans="1:15" s="1" customFormat="1" ht="15" customHeight="1" x14ac:dyDescent="0.25">
      <c r="A1355" s="18" t="s">
        <v>204</v>
      </c>
      <c r="B1355" s="18" t="s">
        <v>44</v>
      </c>
      <c r="C1355" s="5">
        <v>1850</v>
      </c>
      <c r="D1355" s="1" t="s">
        <v>58</v>
      </c>
      <c r="E1355" s="1" t="s">
        <v>2</v>
      </c>
      <c r="F1355" s="18">
        <v>2164</v>
      </c>
      <c r="G1355" s="18">
        <v>70</v>
      </c>
      <c r="H1355" s="5">
        <v>68</v>
      </c>
      <c r="I1355" s="1">
        <v>128</v>
      </c>
      <c r="J1355" s="1" t="s">
        <v>3271</v>
      </c>
      <c r="L1355" t="str">
        <f t="shared" si="21"/>
        <v>http://www.badatelna.eu/reprodukce/?fondId=1073&amp;zaznamId=1108951&amp;reproId=3778784</v>
      </c>
      <c r="M1355">
        <f>VLOOKUP(F1355,Sheet2!$B$1:$E$19,2,FALSE)</f>
        <v>1073</v>
      </c>
      <c r="N1355">
        <f>VLOOKUP(F1355,Sheet2!$B$1:$E$19,3,FALSE)</f>
        <v>1108951</v>
      </c>
      <c r="O1355">
        <f>IF(G1355="Not available","",VLOOKUP(F1355,Sheet2!$B$1:$E$19,4,FALSE)+(G1355-1))</f>
        <v>3778784</v>
      </c>
    </row>
    <row r="1356" spans="1:15" s="1" customFormat="1" ht="15" customHeight="1" x14ac:dyDescent="0.25">
      <c r="A1356" s="18" t="s">
        <v>204</v>
      </c>
      <c r="B1356" s="18" t="s">
        <v>38</v>
      </c>
      <c r="C1356" s="5">
        <v>1802</v>
      </c>
      <c r="E1356" s="1" t="s">
        <v>2</v>
      </c>
      <c r="F1356" s="18">
        <v>2173</v>
      </c>
      <c r="G1356" s="18">
        <v>43</v>
      </c>
      <c r="H1356" s="5">
        <v>80</v>
      </c>
      <c r="I1356" s="1">
        <v>98</v>
      </c>
      <c r="J1356" s="1">
        <v>209</v>
      </c>
      <c r="L1356" t="str">
        <f t="shared" si="21"/>
        <v>http://www.badatelna.eu/reprodukce/?fondId=1073&amp;zaznamId=1108959&amp;reproId=3780036</v>
      </c>
      <c r="M1356">
        <f>VLOOKUP(F1356,Sheet2!$B$1:$E$19,2,FALSE)</f>
        <v>1073</v>
      </c>
      <c r="N1356">
        <f>VLOOKUP(F1356,Sheet2!$B$1:$E$19,3,FALSE)</f>
        <v>1108959</v>
      </c>
      <c r="O1356">
        <f>IF(G1356="Not available","",VLOOKUP(F1356,Sheet2!$B$1:$E$19,4,FALSE)+(G1356-1))</f>
        <v>3780036</v>
      </c>
    </row>
    <row r="1357" spans="1:15" s="1" customFormat="1" ht="15" customHeight="1" x14ac:dyDescent="0.25">
      <c r="A1357" s="18" t="s">
        <v>204</v>
      </c>
      <c r="B1357" s="18" t="s">
        <v>58</v>
      </c>
      <c r="C1357" s="5">
        <v>1807</v>
      </c>
      <c r="E1357" s="1" t="s">
        <v>2</v>
      </c>
      <c r="F1357" s="18">
        <v>2173</v>
      </c>
      <c r="G1357" s="18">
        <v>52</v>
      </c>
      <c r="H1357" s="5">
        <v>99</v>
      </c>
      <c r="I1357" s="1">
        <v>98</v>
      </c>
      <c r="J1357" s="1">
        <v>209</v>
      </c>
      <c r="L1357" t="str">
        <f t="shared" si="21"/>
        <v>http://www.badatelna.eu/reprodukce/?fondId=1073&amp;zaznamId=1108959&amp;reproId=3780045</v>
      </c>
      <c r="M1357">
        <f>VLOOKUP(F1357,Sheet2!$B$1:$E$19,2,FALSE)</f>
        <v>1073</v>
      </c>
      <c r="N1357">
        <f>VLOOKUP(F1357,Sheet2!$B$1:$E$19,3,FALSE)</f>
        <v>1108959</v>
      </c>
      <c r="O1357">
        <f>IF(G1357="Not available","",VLOOKUP(F1357,Sheet2!$B$1:$E$19,4,FALSE)+(G1357-1))</f>
        <v>3780045</v>
      </c>
    </row>
    <row r="1358" spans="1:15" s="1" customFormat="1" ht="15" customHeight="1" x14ac:dyDescent="0.25">
      <c r="A1358" s="18" t="s">
        <v>204</v>
      </c>
      <c r="B1358" s="18" t="s">
        <v>2196</v>
      </c>
      <c r="C1358" s="10" t="s">
        <v>2005</v>
      </c>
      <c r="D1358" s="3" t="s">
        <v>2284</v>
      </c>
      <c r="E1358" s="4" t="s">
        <v>2</v>
      </c>
      <c r="F1358" s="18">
        <v>2176</v>
      </c>
      <c r="G1358" s="18" t="s">
        <v>3271</v>
      </c>
      <c r="H1358" s="10" t="s">
        <v>2290</v>
      </c>
      <c r="I1358" s="3">
        <v>16</v>
      </c>
      <c r="J1358" s="3" t="s">
        <v>3271</v>
      </c>
      <c r="K1358" s="3"/>
      <c r="L1358" t="str">
        <f t="shared" si="21"/>
        <v/>
      </c>
      <c r="M1358">
        <f>VLOOKUP(F1358,Sheet2!$B$1:$E$19,2,FALSE)</f>
        <v>1073</v>
      </c>
      <c r="N1358">
        <f>VLOOKUP(F1358,Sheet2!$B$1:$E$19,3,FALSE)</f>
        <v>1108963</v>
      </c>
      <c r="O1358" t="str">
        <f>IF(G1358="Not available","",VLOOKUP(F1358,Sheet2!$B$1:$E$19,4,FALSE)+(G1358-1))</f>
        <v/>
      </c>
    </row>
    <row r="1359" spans="1:15" s="1" customFormat="1" ht="15" customHeight="1" x14ac:dyDescent="0.25">
      <c r="A1359" s="18" t="s">
        <v>204</v>
      </c>
      <c r="B1359" s="18"/>
      <c r="C1359" s="5">
        <v>1865</v>
      </c>
      <c r="E1359" s="1" t="s">
        <v>939</v>
      </c>
      <c r="F1359" s="18">
        <v>999</v>
      </c>
      <c r="G1359" s="18">
        <v>57</v>
      </c>
      <c r="H1359" s="5">
        <v>55</v>
      </c>
      <c r="I1359" s="1">
        <v>67</v>
      </c>
      <c r="J1359" s="1">
        <v>101</v>
      </c>
      <c r="L1359" t="str">
        <f t="shared" si="21"/>
        <v>http://www.badatelna.eu/reprodukce/?fondId=241&amp;zaznamId=1133739&amp;reproId=3885786</v>
      </c>
      <c r="M1359">
        <f>VLOOKUP(F1359,Sheet2!$B$1:$E$19,2,FALSE)</f>
        <v>241</v>
      </c>
      <c r="N1359">
        <f>VLOOKUP(F1359,Sheet2!$B$1:$E$19,3,FALSE)</f>
        <v>1133739</v>
      </c>
      <c r="O1359">
        <f>IF(G1359="Not available","",VLOOKUP(F1359,Sheet2!$B$1:$E$19,4,FALSE)+(G1359-1))</f>
        <v>3885786</v>
      </c>
    </row>
    <row r="1360" spans="1:15" s="1" customFormat="1" ht="15" customHeight="1" x14ac:dyDescent="0.25">
      <c r="A1360" s="18" t="s">
        <v>1129</v>
      </c>
      <c r="B1360" s="18" t="s">
        <v>1136</v>
      </c>
      <c r="C1360" s="10" t="s">
        <v>2024</v>
      </c>
      <c r="D1360" s="3" t="s">
        <v>2307</v>
      </c>
      <c r="E1360" s="4" t="s">
        <v>2</v>
      </c>
      <c r="F1360" s="18">
        <v>2176</v>
      </c>
      <c r="G1360" s="18" t="s">
        <v>3271</v>
      </c>
      <c r="H1360" s="10" t="s">
        <v>2302</v>
      </c>
      <c r="I1360" s="3">
        <v>16</v>
      </c>
      <c r="J1360" s="3" t="s">
        <v>3271</v>
      </c>
      <c r="K1360" s="3"/>
      <c r="L1360" t="str">
        <f t="shared" si="21"/>
        <v/>
      </c>
      <c r="M1360">
        <f>VLOOKUP(F1360,Sheet2!$B$1:$E$19,2,FALSE)</f>
        <v>1073</v>
      </c>
      <c r="N1360">
        <f>VLOOKUP(F1360,Sheet2!$B$1:$E$19,3,FALSE)</f>
        <v>1108963</v>
      </c>
      <c r="O1360" t="str">
        <f>IF(G1360="Not available","",VLOOKUP(F1360,Sheet2!$B$1:$E$19,4,FALSE)+(G1360-1))</f>
        <v/>
      </c>
    </row>
    <row r="1361" spans="1:15" s="1" customFormat="1" ht="15" customHeight="1" x14ac:dyDescent="0.25">
      <c r="A1361" s="18" t="s">
        <v>1129</v>
      </c>
      <c r="B1361" s="18" t="s">
        <v>809</v>
      </c>
      <c r="C1361" s="5">
        <v>1882</v>
      </c>
      <c r="D1361" s="1" t="s">
        <v>58</v>
      </c>
      <c r="E1361" s="1" t="s">
        <v>2</v>
      </c>
      <c r="F1361" s="18">
        <v>2165</v>
      </c>
      <c r="G1361" s="18">
        <v>179</v>
      </c>
      <c r="H1361" s="5">
        <v>3</v>
      </c>
      <c r="I1361" s="1">
        <v>182</v>
      </c>
      <c r="J1361" s="1">
        <v>159</v>
      </c>
      <c r="L1361" t="str">
        <f t="shared" si="21"/>
        <v>http://www.badatelna.eu/reprodukce/?fondId=1073&amp;zaznamId=1108952&amp;reproId=3779040</v>
      </c>
      <c r="M1361">
        <f>VLOOKUP(F1361,Sheet2!$B$1:$E$19,2,FALSE)</f>
        <v>1073</v>
      </c>
      <c r="N1361">
        <f>VLOOKUP(F1361,Sheet2!$B$1:$E$19,3,FALSE)</f>
        <v>1108952</v>
      </c>
      <c r="O1361">
        <f>IF(G1361="Not available","",VLOOKUP(F1361,Sheet2!$B$1:$E$19,4,FALSE)+(G1361-1))</f>
        <v>3779040</v>
      </c>
    </row>
    <row r="1362" spans="1:15" s="1" customFormat="1" ht="15" customHeight="1" x14ac:dyDescent="0.25">
      <c r="A1362" s="18" t="s">
        <v>1129</v>
      </c>
      <c r="B1362" s="18" t="s">
        <v>809</v>
      </c>
      <c r="C1362" s="10" t="s">
        <v>1285</v>
      </c>
      <c r="D1362" s="3" t="s">
        <v>2306</v>
      </c>
      <c r="E1362" s="4" t="s">
        <v>2</v>
      </c>
      <c r="F1362" s="18">
        <v>2176</v>
      </c>
      <c r="G1362" s="18" t="s">
        <v>3271</v>
      </c>
      <c r="H1362" s="10" t="s">
        <v>2073</v>
      </c>
      <c r="I1362" s="3">
        <v>16</v>
      </c>
      <c r="J1362" s="3" t="s">
        <v>3271</v>
      </c>
      <c r="K1362" s="3"/>
      <c r="L1362" t="str">
        <f t="shared" si="21"/>
        <v/>
      </c>
      <c r="M1362">
        <f>VLOOKUP(F1362,Sheet2!$B$1:$E$19,2,FALSE)</f>
        <v>1073</v>
      </c>
      <c r="N1362">
        <f>VLOOKUP(F1362,Sheet2!$B$1:$E$19,3,FALSE)</f>
        <v>1108963</v>
      </c>
      <c r="O1362" t="str">
        <f>IF(G1362="Not available","",VLOOKUP(F1362,Sheet2!$B$1:$E$19,4,FALSE)+(G1362-1))</f>
        <v/>
      </c>
    </row>
    <row r="1363" spans="1:15" s="1" customFormat="1" ht="15" customHeight="1" x14ac:dyDescent="0.25">
      <c r="A1363" s="18" t="s">
        <v>1129</v>
      </c>
      <c r="B1363" s="18" t="s">
        <v>593</v>
      </c>
      <c r="C1363" s="5">
        <v>1883</v>
      </c>
      <c r="D1363" s="1" t="s">
        <v>1145</v>
      </c>
      <c r="E1363" s="1" t="s">
        <v>2</v>
      </c>
      <c r="F1363" s="18">
        <v>2165</v>
      </c>
      <c r="G1363" s="18">
        <v>188</v>
      </c>
      <c r="H1363" s="5">
        <v>4</v>
      </c>
      <c r="I1363" s="1">
        <v>190</v>
      </c>
      <c r="J1363" s="1">
        <v>167</v>
      </c>
      <c r="L1363" t="str">
        <f t="shared" si="21"/>
        <v>http://www.badatelna.eu/reprodukce/?fondId=1073&amp;zaznamId=1108952&amp;reproId=3779049</v>
      </c>
      <c r="M1363">
        <f>VLOOKUP(F1363,Sheet2!$B$1:$E$19,2,FALSE)</f>
        <v>1073</v>
      </c>
      <c r="N1363">
        <f>VLOOKUP(F1363,Sheet2!$B$1:$E$19,3,FALSE)</f>
        <v>1108952</v>
      </c>
      <c r="O1363">
        <f>IF(G1363="Not available","",VLOOKUP(F1363,Sheet2!$B$1:$E$19,4,FALSE)+(G1363-1))</f>
        <v>3779049</v>
      </c>
    </row>
    <row r="1364" spans="1:15" s="1" customFormat="1" ht="15" customHeight="1" x14ac:dyDescent="0.25">
      <c r="A1364" s="18" t="s">
        <v>2362</v>
      </c>
      <c r="B1364" s="18" t="s">
        <v>2253</v>
      </c>
      <c r="C1364" s="10" t="s">
        <v>2263</v>
      </c>
      <c r="D1364" s="3" t="s">
        <v>2363</v>
      </c>
      <c r="E1364" s="4" t="s">
        <v>2</v>
      </c>
      <c r="F1364" s="18">
        <v>2176</v>
      </c>
      <c r="G1364" s="18" t="s">
        <v>3271</v>
      </c>
      <c r="H1364" s="10" t="s">
        <v>1955</v>
      </c>
      <c r="I1364" s="3">
        <v>18</v>
      </c>
      <c r="J1364" s="3" t="s">
        <v>3271</v>
      </c>
      <c r="K1364" s="3"/>
      <c r="L1364" t="str">
        <f t="shared" si="21"/>
        <v/>
      </c>
      <c r="M1364">
        <f>VLOOKUP(F1364,Sheet2!$B$1:$E$19,2,FALSE)</f>
        <v>1073</v>
      </c>
      <c r="N1364">
        <f>VLOOKUP(F1364,Sheet2!$B$1:$E$19,3,FALSE)</f>
        <v>1108963</v>
      </c>
      <c r="O1364" t="str">
        <f>IF(G1364="Not available","",VLOOKUP(F1364,Sheet2!$B$1:$E$19,4,FALSE)+(G1364-1))</f>
        <v/>
      </c>
    </row>
    <row r="1365" spans="1:15" s="1" customFormat="1" ht="15" customHeight="1" x14ac:dyDescent="0.25">
      <c r="A1365" s="18" t="s">
        <v>1192</v>
      </c>
      <c r="B1365" s="18" t="s">
        <v>432</v>
      </c>
      <c r="C1365" s="5">
        <v>1889</v>
      </c>
      <c r="D1365" s="1" t="s">
        <v>24</v>
      </c>
      <c r="E1365" s="1" t="s">
        <v>2</v>
      </c>
      <c r="F1365" s="18">
        <v>2165</v>
      </c>
      <c r="G1365" s="18">
        <v>222</v>
      </c>
      <c r="H1365" s="5">
        <v>2</v>
      </c>
      <c r="I1365" s="1">
        <v>225</v>
      </c>
      <c r="J1365" s="1">
        <v>201</v>
      </c>
      <c r="L1365" t="str">
        <f t="shared" si="21"/>
        <v>http://www.badatelna.eu/reprodukce/?fondId=1073&amp;zaznamId=1108952&amp;reproId=3779083</v>
      </c>
      <c r="M1365">
        <f>VLOOKUP(F1365,Sheet2!$B$1:$E$19,2,FALSE)</f>
        <v>1073</v>
      </c>
      <c r="N1365">
        <f>VLOOKUP(F1365,Sheet2!$B$1:$E$19,3,FALSE)</f>
        <v>1108952</v>
      </c>
      <c r="O1365">
        <f>IF(G1365="Not available","",VLOOKUP(F1365,Sheet2!$B$1:$E$19,4,FALSE)+(G1365-1))</f>
        <v>3779083</v>
      </c>
    </row>
    <row r="1366" spans="1:15" s="1" customFormat="1" ht="15" customHeight="1" x14ac:dyDescent="0.25">
      <c r="A1366" s="18" t="s">
        <v>1192</v>
      </c>
      <c r="B1366" s="18" t="s">
        <v>432</v>
      </c>
      <c r="C1366" s="10" t="s">
        <v>2068</v>
      </c>
      <c r="D1366" s="3" t="s">
        <v>2325</v>
      </c>
      <c r="E1366" s="4" t="s">
        <v>2</v>
      </c>
      <c r="F1366" s="18">
        <v>2176</v>
      </c>
      <c r="G1366" s="18" t="s">
        <v>3271</v>
      </c>
      <c r="H1366" s="10" t="s">
        <v>2051</v>
      </c>
      <c r="I1366" s="3">
        <v>17</v>
      </c>
      <c r="J1366" s="3" t="s">
        <v>3271</v>
      </c>
      <c r="K1366" s="3"/>
      <c r="L1366" t="str">
        <f t="shared" si="21"/>
        <v/>
      </c>
      <c r="M1366">
        <f>VLOOKUP(F1366,Sheet2!$B$1:$E$19,2,FALSE)</f>
        <v>1073</v>
      </c>
      <c r="N1366">
        <f>VLOOKUP(F1366,Sheet2!$B$1:$E$19,3,FALSE)</f>
        <v>1108963</v>
      </c>
      <c r="O1366" t="str">
        <f>IF(G1366="Not available","",VLOOKUP(F1366,Sheet2!$B$1:$E$19,4,FALSE)+(G1366-1))</f>
        <v/>
      </c>
    </row>
    <row r="1367" spans="1:15" s="1" customFormat="1" ht="15" customHeight="1" x14ac:dyDescent="0.25">
      <c r="A1367" s="18" t="s">
        <v>951</v>
      </c>
      <c r="B1367" s="18" t="s">
        <v>434</v>
      </c>
      <c r="C1367" s="5">
        <v>1864</v>
      </c>
      <c r="E1367" s="1" t="s">
        <v>939</v>
      </c>
      <c r="F1367" s="18">
        <v>999</v>
      </c>
      <c r="G1367" s="18">
        <v>49</v>
      </c>
      <c r="H1367" s="5">
        <v>47</v>
      </c>
      <c r="I1367" s="1">
        <v>67</v>
      </c>
      <c r="J1367" s="1">
        <v>101</v>
      </c>
      <c r="L1367" t="str">
        <f t="shared" si="21"/>
        <v>http://www.badatelna.eu/reprodukce/?fondId=241&amp;zaznamId=1133739&amp;reproId=3885778</v>
      </c>
      <c r="M1367">
        <f>VLOOKUP(F1367,Sheet2!$B$1:$E$19,2,FALSE)</f>
        <v>241</v>
      </c>
      <c r="N1367">
        <f>VLOOKUP(F1367,Sheet2!$B$1:$E$19,3,FALSE)</f>
        <v>1133739</v>
      </c>
      <c r="O1367">
        <f>IF(G1367="Not available","",VLOOKUP(F1367,Sheet2!$B$1:$E$19,4,FALSE)+(G1367-1))</f>
        <v>3885778</v>
      </c>
    </row>
    <row r="1368" spans="1:15" s="1" customFormat="1" ht="15" customHeight="1" x14ac:dyDescent="0.25">
      <c r="A1368" s="18" t="s">
        <v>951</v>
      </c>
      <c r="B1368" s="18" t="s">
        <v>713</v>
      </c>
      <c r="C1368" s="5">
        <v>1862</v>
      </c>
      <c r="E1368" s="1" t="s">
        <v>939</v>
      </c>
      <c r="F1368" s="18">
        <v>999</v>
      </c>
      <c r="G1368" s="18">
        <v>38</v>
      </c>
      <c r="H1368" s="5">
        <v>36</v>
      </c>
      <c r="I1368" s="1">
        <v>67</v>
      </c>
      <c r="J1368" s="1">
        <v>101</v>
      </c>
      <c r="L1368" t="str">
        <f t="shared" si="21"/>
        <v>http://www.badatelna.eu/reprodukce/?fondId=241&amp;zaznamId=1133739&amp;reproId=3885767</v>
      </c>
      <c r="M1368">
        <f>VLOOKUP(F1368,Sheet2!$B$1:$E$19,2,FALSE)</f>
        <v>241</v>
      </c>
      <c r="N1368">
        <f>VLOOKUP(F1368,Sheet2!$B$1:$E$19,3,FALSE)</f>
        <v>1133739</v>
      </c>
      <c r="O1368">
        <f>IF(G1368="Not available","",VLOOKUP(F1368,Sheet2!$B$1:$E$19,4,FALSE)+(G1368-1))</f>
        <v>3885767</v>
      </c>
    </row>
    <row r="1369" spans="1:15" s="1" customFormat="1" ht="15" customHeight="1" x14ac:dyDescent="0.25">
      <c r="A1369" s="18" t="s">
        <v>202</v>
      </c>
      <c r="B1369" s="18" t="s">
        <v>963</v>
      </c>
      <c r="C1369" s="10" t="s">
        <v>1987</v>
      </c>
      <c r="D1369" s="3" t="s">
        <v>2286</v>
      </c>
      <c r="E1369" s="4" t="s">
        <v>2</v>
      </c>
      <c r="F1369" s="18">
        <v>2176</v>
      </c>
      <c r="G1369" s="18" t="s">
        <v>3271</v>
      </c>
      <c r="H1369" s="10" t="s">
        <v>2287</v>
      </c>
      <c r="I1369" s="3">
        <v>16</v>
      </c>
      <c r="J1369" s="3" t="s">
        <v>3271</v>
      </c>
      <c r="L1369" t="str">
        <f t="shared" si="21"/>
        <v/>
      </c>
      <c r="M1369">
        <f>VLOOKUP(F1369,Sheet2!$B$1:$E$19,2,FALSE)</f>
        <v>1073</v>
      </c>
      <c r="N1369">
        <f>VLOOKUP(F1369,Sheet2!$B$1:$E$19,3,FALSE)</f>
        <v>1108963</v>
      </c>
      <c r="O1369" t="str">
        <f>IF(G1369="Not available","",VLOOKUP(F1369,Sheet2!$B$1:$E$19,4,FALSE)+(G1369-1))</f>
        <v/>
      </c>
    </row>
    <row r="1370" spans="1:15" s="1" customFormat="1" ht="15" customHeight="1" x14ac:dyDescent="0.25">
      <c r="A1370" s="18" t="s">
        <v>202</v>
      </c>
      <c r="B1370" s="18" t="s">
        <v>14</v>
      </c>
      <c r="C1370" s="5">
        <v>1799</v>
      </c>
      <c r="E1370" s="1" t="s">
        <v>2</v>
      </c>
      <c r="F1370" s="18">
        <v>2173</v>
      </c>
      <c r="G1370" s="18">
        <v>43</v>
      </c>
      <c r="H1370" s="5">
        <v>80</v>
      </c>
      <c r="I1370" s="1">
        <v>98</v>
      </c>
      <c r="J1370" s="1">
        <v>209</v>
      </c>
      <c r="L1370" t="str">
        <f t="shared" si="21"/>
        <v>http://www.badatelna.eu/reprodukce/?fondId=1073&amp;zaznamId=1108959&amp;reproId=3780036</v>
      </c>
      <c r="M1370">
        <f>VLOOKUP(F1370,Sheet2!$B$1:$E$19,2,FALSE)</f>
        <v>1073</v>
      </c>
      <c r="N1370">
        <f>VLOOKUP(F1370,Sheet2!$B$1:$E$19,3,FALSE)</f>
        <v>1108959</v>
      </c>
      <c r="O1370">
        <f>IF(G1370="Not available","",VLOOKUP(F1370,Sheet2!$B$1:$E$19,4,FALSE)+(G1370-1))</f>
        <v>3780036</v>
      </c>
    </row>
    <row r="1371" spans="1:15" s="1" customFormat="1" ht="15" customHeight="1" x14ac:dyDescent="0.25">
      <c r="A1371" s="18" t="s">
        <v>202</v>
      </c>
      <c r="B1371" s="18" t="s">
        <v>14</v>
      </c>
      <c r="C1371" s="5">
        <v>1804</v>
      </c>
      <c r="E1371" s="1" t="s">
        <v>2</v>
      </c>
      <c r="F1371" s="18">
        <v>2173</v>
      </c>
      <c r="G1371" s="18">
        <v>48</v>
      </c>
      <c r="H1371" s="5">
        <v>90</v>
      </c>
      <c r="I1371" s="1">
        <v>98</v>
      </c>
      <c r="J1371" s="1">
        <v>209</v>
      </c>
      <c r="L1371" t="str">
        <f t="shared" si="21"/>
        <v>http://www.badatelna.eu/reprodukce/?fondId=1073&amp;zaznamId=1108959&amp;reproId=3780041</v>
      </c>
      <c r="M1371">
        <f>VLOOKUP(F1371,Sheet2!$B$1:$E$19,2,FALSE)</f>
        <v>1073</v>
      </c>
      <c r="N1371">
        <f>VLOOKUP(F1371,Sheet2!$B$1:$E$19,3,FALSE)</f>
        <v>1108959</v>
      </c>
      <c r="O1371">
        <f>IF(G1371="Not available","",VLOOKUP(F1371,Sheet2!$B$1:$E$19,4,FALSE)+(G1371-1))</f>
        <v>3780041</v>
      </c>
    </row>
    <row r="1372" spans="1:15" s="1" customFormat="1" ht="15" customHeight="1" x14ac:dyDescent="0.25">
      <c r="A1372" s="18" t="s">
        <v>202</v>
      </c>
      <c r="B1372" s="18" t="s">
        <v>1043</v>
      </c>
      <c r="C1372" s="10" t="s">
        <v>2074</v>
      </c>
      <c r="D1372" s="3" t="s">
        <v>2327</v>
      </c>
      <c r="E1372" s="4" t="s">
        <v>2</v>
      </c>
      <c r="F1372" s="18">
        <v>2176</v>
      </c>
      <c r="G1372" s="18" t="s">
        <v>3271</v>
      </c>
      <c r="H1372" s="10" t="s">
        <v>2069</v>
      </c>
      <c r="I1372" s="3">
        <v>17</v>
      </c>
      <c r="J1372" s="3" t="s">
        <v>3271</v>
      </c>
      <c r="K1372" s="3"/>
      <c r="L1372" t="str">
        <f t="shared" si="21"/>
        <v/>
      </c>
      <c r="M1372">
        <f>VLOOKUP(F1372,Sheet2!$B$1:$E$19,2,FALSE)</f>
        <v>1073</v>
      </c>
      <c r="N1372">
        <f>VLOOKUP(F1372,Sheet2!$B$1:$E$19,3,FALSE)</f>
        <v>1108963</v>
      </c>
      <c r="O1372" t="str">
        <f>IF(G1372="Not available","",VLOOKUP(F1372,Sheet2!$B$1:$E$19,4,FALSE)+(G1372-1))</f>
        <v/>
      </c>
    </row>
    <row r="1373" spans="1:15" s="1" customFormat="1" ht="15" customHeight="1" x14ac:dyDescent="0.25">
      <c r="A1373" s="18" t="s">
        <v>202</v>
      </c>
      <c r="B1373" s="18" t="s">
        <v>849</v>
      </c>
      <c r="C1373" s="5" t="s">
        <v>1775</v>
      </c>
      <c r="D1373" s="1" t="s">
        <v>219</v>
      </c>
      <c r="E1373" s="1" t="s">
        <v>2</v>
      </c>
      <c r="F1373" s="18">
        <v>2165</v>
      </c>
      <c r="G1373" s="18">
        <v>234</v>
      </c>
      <c r="H1373" s="5">
        <v>1</v>
      </c>
      <c r="I1373" s="1">
        <v>237</v>
      </c>
      <c r="J1373" s="1">
        <v>213</v>
      </c>
      <c r="L1373" t="str">
        <f t="shared" si="21"/>
        <v>http://www.badatelna.eu/reprodukce/?fondId=1073&amp;zaznamId=1108952&amp;reproId=3779095</v>
      </c>
      <c r="M1373">
        <f>VLOOKUP(F1373,Sheet2!$B$1:$E$19,2,FALSE)</f>
        <v>1073</v>
      </c>
      <c r="N1373">
        <f>VLOOKUP(F1373,Sheet2!$B$1:$E$19,3,FALSE)</f>
        <v>1108952</v>
      </c>
      <c r="O1373">
        <f>IF(G1373="Not available","",VLOOKUP(F1373,Sheet2!$B$1:$E$19,4,FALSE)+(G1373-1))</f>
        <v>3779095</v>
      </c>
    </row>
    <row r="1374" spans="1:15" s="1" customFormat="1" ht="15" customHeight="1" x14ac:dyDescent="0.25">
      <c r="A1374" s="18" t="s">
        <v>202</v>
      </c>
      <c r="B1374" s="18" t="s">
        <v>482</v>
      </c>
      <c r="C1374" s="5">
        <v>1847</v>
      </c>
      <c r="D1374" s="1" t="s">
        <v>489</v>
      </c>
      <c r="E1374" s="1" t="s">
        <v>2</v>
      </c>
      <c r="F1374" s="18">
        <v>2174</v>
      </c>
      <c r="G1374" s="18">
        <v>170</v>
      </c>
      <c r="H1374" s="6" t="s">
        <v>3235</v>
      </c>
      <c r="I1374" s="1">
        <v>186</v>
      </c>
      <c r="J1374" s="1">
        <v>214</v>
      </c>
      <c r="L1374" t="str">
        <f t="shared" si="21"/>
        <v>http://www.badatelna.eu/reprodukce/?fondId=1073&amp;zaznamId=1108960&amp;reproId=3780394</v>
      </c>
      <c r="M1374">
        <f>VLOOKUP(F1374,Sheet2!$B$1:$E$19,2,FALSE)</f>
        <v>1073</v>
      </c>
      <c r="N1374">
        <f>VLOOKUP(F1374,Sheet2!$B$1:$E$19,3,FALSE)</f>
        <v>1108960</v>
      </c>
      <c r="O1374">
        <f>IF(G1374="Not available","",VLOOKUP(F1374,Sheet2!$B$1:$E$19,4,FALSE)+(G1374-1))</f>
        <v>3780394</v>
      </c>
    </row>
    <row r="1375" spans="1:15" s="1" customFormat="1" ht="15" customHeight="1" x14ac:dyDescent="0.25">
      <c r="A1375" s="18" t="s">
        <v>202</v>
      </c>
      <c r="B1375" s="18" t="s">
        <v>2295</v>
      </c>
      <c r="C1375" s="10" t="s">
        <v>2015</v>
      </c>
      <c r="D1375" s="3" t="s">
        <v>2296</v>
      </c>
      <c r="E1375" s="4" t="s">
        <v>2</v>
      </c>
      <c r="F1375" s="18">
        <v>2176</v>
      </c>
      <c r="G1375" s="18" t="s">
        <v>3271</v>
      </c>
      <c r="H1375" s="10" t="s">
        <v>2297</v>
      </c>
      <c r="I1375" s="3">
        <v>16</v>
      </c>
      <c r="J1375" s="3" t="s">
        <v>3271</v>
      </c>
      <c r="K1375" s="3"/>
      <c r="L1375" t="str">
        <f t="shared" si="21"/>
        <v/>
      </c>
      <c r="M1375">
        <f>VLOOKUP(F1375,Sheet2!$B$1:$E$19,2,FALSE)</f>
        <v>1073</v>
      </c>
      <c r="N1375">
        <f>VLOOKUP(F1375,Sheet2!$B$1:$E$19,3,FALSE)</f>
        <v>1108963</v>
      </c>
      <c r="O1375" t="str">
        <f>IF(G1375="Not available","",VLOOKUP(F1375,Sheet2!$B$1:$E$19,4,FALSE)+(G1375-1))</f>
        <v/>
      </c>
    </row>
    <row r="1376" spans="1:15" s="1" customFormat="1" ht="15" customHeight="1" x14ac:dyDescent="0.25">
      <c r="A1376" s="18" t="s">
        <v>202</v>
      </c>
      <c r="B1376" s="18" t="s">
        <v>439</v>
      </c>
      <c r="C1376" s="5" t="s">
        <v>1420</v>
      </c>
      <c r="D1376" s="1" t="s">
        <v>1024</v>
      </c>
      <c r="E1376" s="1" t="s">
        <v>2</v>
      </c>
      <c r="F1376" s="18">
        <v>2165</v>
      </c>
      <c r="G1376" s="18">
        <v>49</v>
      </c>
      <c r="H1376" s="5">
        <v>46</v>
      </c>
      <c r="I1376" s="1">
        <v>83</v>
      </c>
      <c r="J1376" s="1" t="s">
        <v>3271</v>
      </c>
      <c r="L1376" t="str">
        <f t="shared" si="21"/>
        <v>http://www.badatelna.eu/reprodukce/?fondId=1073&amp;zaznamId=1108952&amp;reproId=3778910</v>
      </c>
      <c r="M1376">
        <f>VLOOKUP(F1376,Sheet2!$B$1:$E$19,2,FALSE)</f>
        <v>1073</v>
      </c>
      <c r="N1376">
        <f>VLOOKUP(F1376,Sheet2!$B$1:$E$19,3,FALSE)</f>
        <v>1108952</v>
      </c>
      <c r="O1376">
        <f>IF(G1376="Not available","",VLOOKUP(F1376,Sheet2!$B$1:$E$19,4,FALSE)+(G1376-1))</f>
        <v>3778910</v>
      </c>
    </row>
    <row r="1377" spans="1:15" s="1" customFormat="1" ht="15" customHeight="1" x14ac:dyDescent="0.25">
      <c r="A1377" s="18" t="s">
        <v>202</v>
      </c>
      <c r="B1377" s="18" t="s">
        <v>1169</v>
      </c>
      <c r="C1377" s="5">
        <v>1885</v>
      </c>
      <c r="D1377" s="1" t="s">
        <v>219</v>
      </c>
      <c r="E1377" s="1" t="s">
        <v>2</v>
      </c>
      <c r="F1377" s="18">
        <v>2165</v>
      </c>
      <c r="G1377" s="18">
        <v>203</v>
      </c>
      <c r="H1377" s="5">
        <v>5</v>
      </c>
      <c r="I1377" s="1">
        <v>204</v>
      </c>
      <c r="J1377" s="1">
        <v>187</v>
      </c>
      <c r="L1377" t="str">
        <f t="shared" si="21"/>
        <v>http://www.badatelna.eu/reprodukce/?fondId=1073&amp;zaznamId=1108952&amp;reproId=3779064</v>
      </c>
      <c r="M1377">
        <f>VLOOKUP(F1377,Sheet2!$B$1:$E$19,2,FALSE)</f>
        <v>1073</v>
      </c>
      <c r="N1377">
        <f>VLOOKUP(F1377,Sheet2!$B$1:$E$19,3,FALSE)</f>
        <v>1108952</v>
      </c>
      <c r="O1377">
        <f>IF(G1377="Not available","",VLOOKUP(F1377,Sheet2!$B$1:$E$19,4,FALSE)+(G1377-1))</f>
        <v>3779064</v>
      </c>
    </row>
    <row r="1378" spans="1:15" s="1" customFormat="1" ht="15" customHeight="1" x14ac:dyDescent="0.25">
      <c r="A1378" s="18" t="s">
        <v>202</v>
      </c>
      <c r="B1378" s="18" t="s">
        <v>211</v>
      </c>
      <c r="C1378" s="5">
        <v>1817</v>
      </c>
      <c r="E1378" s="1" t="s">
        <v>2</v>
      </c>
      <c r="F1378" s="18">
        <v>2173</v>
      </c>
      <c r="G1378" s="18">
        <v>66</v>
      </c>
      <c r="H1378" s="5">
        <v>126</v>
      </c>
      <c r="I1378" s="1">
        <v>99</v>
      </c>
      <c r="J1378" s="1">
        <v>210</v>
      </c>
      <c r="L1378" t="str">
        <f t="shared" si="21"/>
        <v>http://www.badatelna.eu/reprodukce/?fondId=1073&amp;zaznamId=1108959&amp;reproId=3780059</v>
      </c>
      <c r="M1378">
        <f>VLOOKUP(F1378,Sheet2!$B$1:$E$19,2,FALSE)</f>
        <v>1073</v>
      </c>
      <c r="N1378">
        <f>VLOOKUP(F1378,Sheet2!$B$1:$E$19,3,FALSE)</f>
        <v>1108959</v>
      </c>
      <c r="O1378">
        <f>IF(G1378="Not available","",VLOOKUP(F1378,Sheet2!$B$1:$E$19,4,FALSE)+(G1378-1))</f>
        <v>3780059</v>
      </c>
    </row>
    <row r="1379" spans="1:15" s="1" customFormat="1" ht="15" customHeight="1" x14ac:dyDescent="0.25">
      <c r="A1379" s="18" t="s">
        <v>202</v>
      </c>
      <c r="B1379" s="18" t="s">
        <v>2353</v>
      </c>
      <c r="C1379" s="10" t="s">
        <v>2109</v>
      </c>
      <c r="D1379" s="3" t="s">
        <v>2354</v>
      </c>
      <c r="E1379" s="4" t="s">
        <v>2</v>
      </c>
      <c r="F1379" s="18">
        <v>2176</v>
      </c>
      <c r="G1379" s="18" t="s">
        <v>3271</v>
      </c>
      <c r="H1379" s="10" t="s">
        <v>2105</v>
      </c>
      <c r="I1379" s="3">
        <v>17</v>
      </c>
      <c r="J1379" s="3" t="s">
        <v>3271</v>
      </c>
      <c r="K1379" s="3"/>
      <c r="L1379" t="str">
        <f t="shared" si="21"/>
        <v/>
      </c>
      <c r="M1379">
        <f>VLOOKUP(F1379,Sheet2!$B$1:$E$19,2,FALSE)</f>
        <v>1073</v>
      </c>
      <c r="N1379">
        <f>VLOOKUP(F1379,Sheet2!$B$1:$E$19,3,FALSE)</f>
        <v>1108963</v>
      </c>
      <c r="O1379" t="str">
        <f>IF(G1379="Not available","",VLOOKUP(F1379,Sheet2!$B$1:$E$19,4,FALSE)+(G1379-1))</f>
        <v/>
      </c>
    </row>
    <row r="1380" spans="1:15" s="1" customFormat="1" ht="15" customHeight="1" x14ac:dyDescent="0.25">
      <c r="A1380" s="18" t="s">
        <v>202</v>
      </c>
      <c r="B1380" s="18" t="s">
        <v>9</v>
      </c>
      <c r="C1380" s="5">
        <v>1884</v>
      </c>
      <c r="D1380" s="1" t="s">
        <v>194</v>
      </c>
      <c r="E1380" s="1" t="s">
        <v>2</v>
      </c>
      <c r="F1380" s="18">
        <v>2165</v>
      </c>
      <c r="G1380" s="18">
        <v>193</v>
      </c>
      <c r="H1380" s="5">
        <v>1</v>
      </c>
      <c r="I1380" s="1">
        <v>196</v>
      </c>
      <c r="J1380" s="1">
        <v>173</v>
      </c>
      <c r="L1380" t="str">
        <f t="shared" si="21"/>
        <v>http://www.badatelna.eu/reprodukce/?fondId=1073&amp;zaznamId=1108952&amp;reproId=3779054</v>
      </c>
      <c r="M1380">
        <f>VLOOKUP(F1380,Sheet2!$B$1:$E$19,2,FALSE)</f>
        <v>1073</v>
      </c>
      <c r="N1380">
        <f>VLOOKUP(F1380,Sheet2!$B$1:$E$19,3,FALSE)</f>
        <v>1108952</v>
      </c>
      <c r="O1380">
        <f>IF(G1380="Not available","",VLOOKUP(F1380,Sheet2!$B$1:$E$19,4,FALSE)+(G1380-1))</f>
        <v>3779054</v>
      </c>
    </row>
    <row r="1381" spans="1:15" s="1" customFormat="1" ht="15" customHeight="1" x14ac:dyDescent="0.25">
      <c r="A1381" s="18" t="s">
        <v>202</v>
      </c>
      <c r="B1381" s="18" t="s">
        <v>9</v>
      </c>
      <c r="C1381" s="10" t="s">
        <v>2041</v>
      </c>
      <c r="D1381" s="3" t="s">
        <v>2312</v>
      </c>
      <c r="E1381" s="4" t="s">
        <v>2</v>
      </c>
      <c r="F1381" s="18">
        <v>2176</v>
      </c>
      <c r="G1381" s="18" t="s">
        <v>3271</v>
      </c>
      <c r="H1381" s="10" t="s">
        <v>2088</v>
      </c>
      <c r="I1381" s="3">
        <v>17</v>
      </c>
      <c r="J1381" s="3" t="s">
        <v>3271</v>
      </c>
      <c r="L1381" t="str">
        <f t="shared" si="21"/>
        <v/>
      </c>
      <c r="M1381">
        <f>VLOOKUP(F1381,Sheet2!$B$1:$E$19,2,FALSE)</f>
        <v>1073</v>
      </c>
      <c r="N1381">
        <f>VLOOKUP(F1381,Sheet2!$B$1:$E$19,3,FALSE)</f>
        <v>1108963</v>
      </c>
      <c r="O1381" t="str">
        <f>IF(G1381="Not available","",VLOOKUP(F1381,Sheet2!$B$1:$E$19,4,FALSE)+(G1381-1))</f>
        <v/>
      </c>
    </row>
    <row r="1382" spans="1:15" s="1" customFormat="1" ht="15" customHeight="1" x14ac:dyDescent="0.25">
      <c r="A1382" s="18" t="s">
        <v>202</v>
      </c>
      <c r="B1382" s="18" t="s">
        <v>774</v>
      </c>
      <c r="C1382" s="5" t="s">
        <v>1431</v>
      </c>
      <c r="D1382" s="1" t="s">
        <v>219</v>
      </c>
      <c r="E1382" s="1" t="s">
        <v>2</v>
      </c>
      <c r="F1382" s="18">
        <v>2165</v>
      </c>
      <c r="G1382" s="18">
        <v>62</v>
      </c>
      <c r="H1382" s="5">
        <v>59</v>
      </c>
      <c r="I1382" s="1">
        <v>83</v>
      </c>
      <c r="J1382" s="1" t="s">
        <v>3271</v>
      </c>
      <c r="L1382" t="str">
        <f t="shared" si="21"/>
        <v>http://www.badatelna.eu/reprodukce/?fondId=1073&amp;zaznamId=1108952&amp;reproId=3778923</v>
      </c>
      <c r="M1382">
        <f>VLOOKUP(F1382,Sheet2!$B$1:$E$19,2,FALSE)</f>
        <v>1073</v>
      </c>
      <c r="N1382">
        <f>VLOOKUP(F1382,Sheet2!$B$1:$E$19,3,FALSE)</f>
        <v>1108952</v>
      </c>
      <c r="O1382">
        <f>IF(G1382="Not available","",VLOOKUP(F1382,Sheet2!$B$1:$E$19,4,FALSE)+(G1382-1))</f>
        <v>3778923</v>
      </c>
    </row>
    <row r="1383" spans="1:15" s="1" customFormat="1" ht="15" customHeight="1" x14ac:dyDescent="0.25">
      <c r="A1383" s="18" t="s">
        <v>202</v>
      </c>
      <c r="B1383" s="18" t="s">
        <v>59</v>
      </c>
      <c r="C1383" s="5">
        <v>1787</v>
      </c>
      <c r="D1383" s="1" t="s">
        <v>182</v>
      </c>
      <c r="E1383" s="1" t="s">
        <v>2</v>
      </c>
      <c r="F1383" s="18">
        <v>2173</v>
      </c>
      <c r="G1383" s="18">
        <v>15</v>
      </c>
      <c r="H1383" s="5">
        <v>25</v>
      </c>
      <c r="I1383" s="1">
        <v>98</v>
      </c>
      <c r="J1383" s="1">
        <v>209</v>
      </c>
      <c r="L1383" t="str">
        <f t="shared" si="21"/>
        <v>http://www.badatelna.eu/reprodukce/?fondId=1073&amp;zaznamId=1108959&amp;reproId=3780008</v>
      </c>
      <c r="M1383">
        <f>VLOOKUP(F1383,Sheet2!$B$1:$E$19,2,FALSE)</f>
        <v>1073</v>
      </c>
      <c r="N1383">
        <f>VLOOKUP(F1383,Sheet2!$B$1:$E$19,3,FALSE)</f>
        <v>1108959</v>
      </c>
      <c r="O1383">
        <f>IF(G1383="Not available","",VLOOKUP(F1383,Sheet2!$B$1:$E$19,4,FALSE)+(G1383-1))</f>
        <v>3780008</v>
      </c>
    </row>
    <row r="1384" spans="1:15" s="1" customFormat="1" ht="15" customHeight="1" x14ac:dyDescent="0.25">
      <c r="A1384" s="18" t="s">
        <v>202</v>
      </c>
      <c r="B1384" s="18" t="s">
        <v>59</v>
      </c>
      <c r="C1384" s="5">
        <v>1816</v>
      </c>
      <c r="E1384" s="1" t="s">
        <v>2</v>
      </c>
      <c r="F1384" s="18">
        <v>2173</v>
      </c>
      <c r="G1384" s="18">
        <v>65</v>
      </c>
      <c r="H1384" s="5">
        <v>125</v>
      </c>
      <c r="I1384" s="1">
        <v>99</v>
      </c>
      <c r="J1384" s="1">
        <v>210</v>
      </c>
      <c r="L1384" t="str">
        <f t="shared" si="21"/>
        <v>http://www.badatelna.eu/reprodukce/?fondId=1073&amp;zaznamId=1108959&amp;reproId=3780058</v>
      </c>
      <c r="M1384">
        <f>VLOOKUP(F1384,Sheet2!$B$1:$E$19,2,FALSE)</f>
        <v>1073</v>
      </c>
      <c r="N1384">
        <f>VLOOKUP(F1384,Sheet2!$B$1:$E$19,3,FALSE)</f>
        <v>1108959</v>
      </c>
      <c r="O1384">
        <f>IF(G1384="Not available","",VLOOKUP(F1384,Sheet2!$B$1:$E$19,4,FALSE)+(G1384-1))</f>
        <v>3780058</v>
      </c>
    </row>
    <row r="1385" spans="1:15" s="1" customFormat="1" ht="15" customHeight="1" x14ac:dyDescent="0.25">
      <c r="A1385" s="18" t="s">
        <v>202</v>
      </c>
      <c r="B1385" s="18" t="s">
        <v>88</v>
      </c>
      <c r="C1385" s="5">
        <v>1810</v>
      </c>
      <c r="E1385" s="1" t="s">
        <v>2</v>
      </c>
      <c r="F1385" s="18">
        <v>2173</v>
      </c>
      <c r="G1385" s="18">
        <v>56</v>
      </c>
      <c r="H1385" s="5">
        <v>106</v>
      </c>
      <c r="I1385" s="1">
        <v>99</v>
      </c>
      <c r="J1385" s="1">
        <v>210</v>
      </c>
      <c r="L1385" t="str">
        <f t="shared" si="21"/>
        <v>http://www.badatelna.eu/reprodukce/?fondId=1073&amp;zaznamId=1108959&amp;reproId=3780049</v>
      </c>
      <c r="M1385">
        <f>VLOOKUP(F1385,Sheet2!$B$1:$E$19,2,FALSE)</f>
        <v>1073</v>
      </c>
      <c r="N1385">
        <f>VLOOKUP(F1385,Sheet2!$B$1:$E$19,3,FALSE)</f>
        <v>1108959</v>
      </c>
      <c r="O1385">
        <f>IF(G1385="Not available","",VLOOKUP(F1385,Sheet2!$B$1:$E$19,4,FALSE)+(G1385-1))</f>
        <v>3780049</v>
      </c>
    </row>
    <row r="1386" spans="1:15" s="1" customFormat="1" ht="15" customHeight="1" x14ac:dyDescent="0.25">
      <c r="A1386" s="18" t="s">
        <v>202</v>
      </c>
      <c r="B1386" s="18" t="s">
        <v>104</v>
      </c>
      <c r="C1386" s="5">
        <v>1808</v>
      </c>
      <c r="E1386" s="1" t="s">
        <v>2</v>
      </c>
      <c r="F1386" s="18">
        <v>2173</v>
      </c>
      <c r="G1386" s="18">
        <v>53</v>
      </c>
      <c r="H1386" s="5">
        <v>100</v>
      </c>
      <c r="I1386" s="1">
        <v>98</v>
      </c>
      <c r="J1386" s="1">
        <v>209</v>
      </c>
      <c r="L1386" t="str">
        <f t="shared" si="21"/>
        <v>http://www.badatelna.eu/reprodukce/?fondId=1073&amp;zaznamId=1108959&amp;reproId=3780046</v>
      </c>
      <c r="M1386">
        <f>VLOOKUP(F1386,Sheet2!$B$1:$E$19,2,FALSE)</f>
        <v>1073</v>
      </c>
      <c r="N1386">
        <f>VLOOKUP(F1386,Sheet2!$B$1:$E$19,3,FALSE)</f>
        <v>1108959</v>
      </c>
      <c r="O1386">
        <f>IF(G1386="Not available","",VLOOKUP(F1386,Sheet2!$B$1:$E$19,4,FALSE)+(G1386-1))</f>
        <v>3780046</v>
      </c>
    </row>
    <row r="1387" spans="1:15" s="1" customFormat="1" ht="15" customHeight="1" x14ac:dyDescent="0.25">
      <c r="A1387" s="18" t="s">
        <v>202</v>
      </c>
      <c r="B1387" s="18" t="s">
        <v>181</v>
      </c>
      <c r="C1387" s="5">
        <v>1887</v>
      </c>
      <c r="D1387" s="1" t="s">
        <v>219</v>
      </c>
      <c r="E1387" s="1" t="s">
        <v>2</v>
      </c>
      <c r="F1387" s="18">
        <v>2165</v>
      </c>
      <c r="G1387" s="18">
        <v>213</v>
      </c>
      <c r="H1387" s="5">
        <v>2</v>
      </c>
      <c r="I1387" s="1">
        <v>215</v>
      </c>
      <c r="J1387" s="1">
        <v>191</v>
      </c>
      <c r="L1387" t="str">
        <f t="shared" si="21"/>
        <v>http://www.badatelna.eu/reprodukce/?fondId=1073&amp;zaznamId=1108952&amp;reproId=3779074</v>
      </c>
      <c r="M1387">
        <f>VLOOKUP(F1387,Sheet2!$B$1:$E$19,2,FALSE)</f>
        <v>1073</v>
      </c>
      <c r="N1387">
        <f>VLOOKUP(F1387,Sheet2!$B$1:$E$19,3,FALSE)</f>
        <v>1108952</v>
      </c>
      <c r="O1387">
        <f>IF(G1387="Not available","",VLOOKUP(F1387,Sheet2!$B$1:$E$19,4,FALSE)+(G1387-1))</f>
        <v>3779074</v>
      </c>
    </row>
    <row r="1388" spans="1:15" s="1" customFormat="1" ht="15" customHeight="1" x14ac:dyDescent="0.25">
      <c r="A1388" s="18" t="s">
        <v>202</v>
      </c>
      <c r="B1388" s="18" t="s">
        <v>181</v>
      </c>
      <c r="C1388" s="10" t="s">
        <v>2055</v>
      </c>
      <c r="D1388" s="3" t="s">
        <v>2321</v>
      </c>
      <c r="E1388" s="4" t="s">
        <v>2</v>
      </c>
      <c r="F1388" s="18">
        <v>2176</v>
      </c>
      <c r="G1388" s="18" t="s">
        <v>3271</v>
      </c>
      <c r="H1388" s="10" t="s">
        <v>2054</v>
      </c>
      <c r="I1388" s="3">
        <v>17</v>
      </c>
      <c r="J1388" s="3" t="s">
        <v>3271</v>
      </c>
      <c r="K1388" s="3"/>
      <c r="L1388" t="str">
        <f t="shared" si="21"/>
        <v/>
      </c>
      <c r="M1388">
        <f>VLOOKUP(F1388,Sheet2!$B$1:$E$19,2,FALSE)</f>
        <v>1073</v>
      </c>
      <c r="N1388">
        <f>VLOOKUP(F1388,Sheet2!$B$1:$E$19,3,FALSE)</f>
        <v>1108963</v>
      </c>
      <c r="O1388" t="str">
        <f>IF(G1388="Not available","",VLOOKUP(F1388,Sheet2!$B$1:$E$19,4,FALSE)+(G1388-1))</f>
        <v/>
      </c>
    </row>
    <row r="1389" spans="1:15" s="1" customFormat="1" ht="15" customHeight="1" x14ac:dyDescent="0.25">
      <c r="A1389" s="18" t="s">
        <v>202</v>
      </c>
      <c r="B1389" s="18" t="s">
        <v>2375</v>
      </c>
      <c r="C1389" s="10" t="s">
        <v>2372</v>
      </c>
      <c r="D1389" s="3" t="s">
        <v>2371</v>
      </c>
      <c r="E1389" s="4" t="s">
        <v>2</v>
      </c>
      <c r="F1389" s="18">
        <v>2176</v>
      </c>
      <c r="G1389" s="18" t="s">
        <v>3271</v>
      </c>
      <c r="H1389" s="10" t="s">
        <v>2083</v>
      </c>
      <c r="I1389" s="3">
        <v>18</v>
      </c>
      <c r="J1389" s="3" t="s">
        <v>3271</v>
      </c>
      <c r="K1389" s="3"/>
      <c r="L1389" t="str">
        <f t="shared" si="21"/>
        <v/>
      </c>
      <c r="M1389">
        <f>VLOOKUP(F1389,Sheet2!$B$1:$E$19,2,FALSE)</f>
        <v>1073</v>
      </c>
      <c r="N1389">
        <f>VLOOKUP(F1389,Sheet2!$B$1:$E$19,3,FALSE)</f>
        <v>1108963</v>
      </c>
      <c r="O1389" t="str">
        <f>IF(G1389="Not available","",VLOOKUP(F1389,Sheet2!$B$1:$E$19,4,FALSE)+(G1389-1))</f>
        <v/>
      </c>
    </row>
    <row r="1390" spans="1:15" s="1" customFormat="1" ht="15" customHeight="1" x14ac:dyDescent="0.25">
      <c r="A1390" s="18" t="s">
        <v>202</v>
      </c>
      <c r="B1390" s="18" t="s">
        <v>2134</v>
      </c>
      <c r="C1390" s="10" t="s">
        <v>2267</v>
      </c>
      <c r="D1390" s="3" t="s">
        <v>2364</v>
      </c>
      <c r="E1390" s="4" t="s">
        <v>2</v>
      </c>
      <c r="F1390" s="18">
        <v>2176</v>
      </c>
      <c r="G1390" s="18" t="s">
        <v>3271</v>
      </c>
      <c r="H1390" s="10" t="s">
        <v>1954</v>
      </c>
      <c r="I1390" s="3">
        <v>18</v>
      </c>
      <c r="J1390" s="3" t="s">
        <v>3271</v>
      </c>
      <c r="K1390" s="3"/>
      <c r="L1390" t="str">
        <f t="shared" si="21"/>
        <v/>
      </c>
      <c r="M1390">
        <f>VLOOKUP(F1390,Sheet2!$B$1:$E$19,2,FALSE)</f>
        <v>1073</v>
      </c>
      <c r="N1390">
        <f>VLOOKUP(F1390,Sheet2!$B$1:$E$19,3,FALSE)</f>
        <v>1108963</v>
      </c>
      <c r="O1390" t="str">
        <f>IF(G1390="Not available","",VLOOKUP(F1390,Sheet2!$B$1:$E$19,4,FALSE)+(G1390-1))</f>
        <v/>
      </c>
    </row>
    <row r="1391" spans="1:15" s="1" customFormat="1" ht="15" customHeight="1" x14ac:dyDescent="0.25">
      <c r="A1391" s="18" t="s">
        <v>202</v>
      </c>
      <c r="B1391" s="18" t="s">
        <v>2370</v>
      </c>
      <c r="C1391" s="10" t="s">
        <v>2278</v>
      </c>
      <c r="D1391" s="3" t="s">
        <v>2371</v>
      </c>
      <c r="E1391" s="4" t="s">
        <v>2</v>
      </c>
      <c r="F1391" s="18">
        <v>2176</v>
      </c>
      <c r="G1391" s="18" t="s">
        <v>3271</v>
      </c>
      <c r="H1391" s="10" t="s">
        <v>1954</v>
      </c>
      <c r="I1391" s="3">
        <v>18</v>
      </c>
      <c r="J1391" s="3" t="s">
        <v>3271</v>
      </c>
      <c r="K1391" s="3"/>
      <c r="L1391" t="str">
        <f t="shared" si="21"/>
        <v/>
      </c>
      <c r="M1391">
        <f>VLOOKUP(F1391,Sheet2!$B$1:$E$19,2,FALSE)</f>
        <v>1073</v>
      </c>
      <c r="N1391">
        <f>VLOOKUP(F1391,Sheet2!$B$1:$E$19,3,FALSE)</f>
        <v>1108963</v>
      </c>
      <c r="O1391" t="str">
        <f>IF(G1391="Not available","",VLOOKUP(F1391,Sheet2!$B$1:$E$19,4,FALSE)+(G1391-1))</f>
        <v/>
      </c>
    </row>
    <row r="1392" spans="1:15" s="1" customFormat="1" ht="15" customHeight="1" x14ac:dyDescent="0.25">
      <c r="A1392" s="18" t="s">
        <v>202</v>
      </c>
      <c r="B1392" s="18" t="s">
        <v>431</v>
      </c>
      <c r="C1392" s="5" t="s">
        <v>1722</v>
      </c>
      <c r="D1392" s="1" t="s">
        <v>219</v>
      </c>
      <c r="E1392" s="1" t="s">
        <v>2</v>
      </c>
      <c r="F1392" s="18">
        <v>2165</v>
      </c>
      <c r="G1392" s="18">
        <v>165</v>
      </c>
      <c r="H1392" s="5">
        <v>1</v>
      </c>
      <c r="I1392" s="1">
        <v>170</v>
      </c>
      <c r="J1392" s="1">
        <v>148</v>
      </c>
      <c r="L1392" t="str">
        <f t="shared" si="21"/>
        <v>http://www.badatelna.eu/reprodukce/?fondId=1073&amp;zaznamId=1108952&amp;reproId=3779026</v>
      </c>
      <c r="M1392">
        <f>VLOOKUP(F1392,Sheet2!$B$1:$E$19,2,FALSE)</f>
        <v>1073</v>
      </c>
      <c r="N1392">
        <f>VLOOKUP(F1392,Sheet2!$B$1:$E$19,3,FALSE)</f>
        <v>1108952</v>
      </c>
      <c r="O1392">
        <f>IF(G1392="Not available","",VLOOKUP(F1392,Sheet2!$B$1:$E$19,4,FALSE)+(G1392-1))</f>
        <v>3779026</v>
      </c>
    </row>
    <row r="1393" spans="1:15" s="1" customFormat="1" ht="15" customHeight="1" x14ac:dyDescent="0.25">
      <c r="A1393" s="18" t="s">
        <v>202</v>
      </c>
      <c r="B1393" s="18" t="s">
        <v>120</v>
      </c>
      <c r="C1393" s="5">
        <v>1830</v>
      </c>
      <c r="E1393" s="1" t="s">
        <v>2</v>
      </c>
      <c r="F1393" s="18">
        <v>2173</v>
      </c>
      <c r="G1393" s="18">
        <v>86</v>
      </c>
      <c r="H1393" s="5">
        <v>161</v>
      </c>
      <c r="I1393" s="1">
        <v>99</v>
      </c>
      <c r="J1393" s="1">
        <v>210</v>
      </c>
      <c r="L1393" t="str">
        <f t="shared" si="21"/>
        <v>http://www.badatelna.eu/reprodukce/?fondId=1073&amp;zaznamId=1108959&amp;reproId=3780079</v>
      </c>
      <c r="M1393">
        <f>VLOOKUP(F1393,Sheet2!$B$1:$E$19,2,FALSE)</f>
        <v>1073</v>
      </c>
      <c r="N1393">
        <f>VLOOKUP(F1393,Sheet2!$B$1:$E$19,3,FALSE)</f>
        <v>1108959</v>
      </c>
      <c r="O1393">
        <f>IF(G1393="Not available","",VLOOKUP(F1393,Sheet2!$B$1:$E$19,4,FALSE)+(G1393-1))</f>
        <v>3780079</v>
      </c>
    </row>
    <row r="1394" spans="1:15" s="1" customFormat="1" ht="15" customHeight="1" x14ac:dyDescent="0.25">
      <c r="A1394" s="18" t="s">
        <v>202</v>
      </c>
      <c r="B1394" s="18" t="s">
        <v>51</v>
      </c>
      <c r="C1394" s="5">
        <v>1813</v>
      </c>
      <c r="E1394" s="1" t="s">
        <v>2</v>
      </c>
      <c r="F1394" s="18">
        <v>2173</v>
      </c>
      <c r="G1394" s="18">
        <v>60</v>
      </c>
      <c r="H1394" s="5">
        <v>115</v>
      </c>
      <c r="I1394" s="1">
        <v>99</v>
      </c>
      <c r="J1394" s="1">
        <v>210</v>
      </c>
      <c r="L1394" t="str">
        <f t="shared" si="21"/>
        <v>http://www.badatelna.eu/reprodukce/?fondId=1073&amp;zaznamId=1108959&amp;reproId=3780053</v>
      </c>
      <c r="M1394">
        <f>VLOOKUP(F1394,Sheet2!$B$1:$E$19,2,FALSE)</f>
        <v>1073</v>
      </c>
      <c r="N1394">
        <f>VLOOKUP(F1394,Sheet2!$B$1:$E$19,3,FALSE)</f>
        <v>1108959</v>
      </c>
      <c r="O1394">
        <f>IF(G1394="Not available","",VLOOKUP(F1394,Sheet2!$B$1:$E$19,4,FALSE)+(G1394-1))</f>
        <v>3780053</v>
      </c>
    </row>
    <row r="1395" spans="1:15" s="1" customFormat="1" ht="15" customHeight="1" x14ac:dyDescent="0.25">
      <c r="A1395" s="18" t="s">
        <v>202</v>
      </c>
      <c r="B1395" s="18" t="s">
        <v>51</v>
      </c>
      <c r="C1395" s="5">
        <v>1854</v>
      </c>
      <c r="D1395" s="1" t="s">
        <v>489</v>
      </c>
      <c r="E1395" s="1" t="s">
        <v>2</v>
      </c>
      <c r="F1395" s="18">
        <v>2164</v>
      </c>
      <c r="G1395" s="18">
        <v>98</v>
      </c>
      <c r="H1395" s="5">
        <v>96</v>
      </c>
      <c r="I1395" s="1">
        <v>128</v>
      </c>
      <c r="J1395" s="1" t="s">
        <v>3271</v>
      </c>
      <c r="L1395" t="str">
        <f t="shared" si="21"/>
        <v>http://www.badatelna.eu/reprodukce/?fondId=1073&amp;zaznamId=1108951&amp;reproId=3778812</v>
      </c>
      <c r="M1395">
        <f>VLOOKUP(F1395,Sheet2!$B$1:$E$19,2,FALSE)</f>
        <v>1073</v>
      </c>
      <c r="N1395">
        <f>VLOOKUP(F1395,Sheet2!$B$1:$E$19,3,FALSE)</f>
        <v>1108951</v>
      </c>
      <c r="O1395">
        <f>IF(G1395="Not available","",VLOOKUP(F1395,Sheet2!$B$1:$E$19,4,FALSE)+(G1395-1))</f>
        <v>3778812</v>
      </c>
    </row>
    <row r="1396" spans="1:15" s="1" customFormat="1" ht="15" customHeight="1" x14ac:dyDescent="0.25">
      <c r="A1396" s="18" t="s">
        <v>202</v>
      </c>
      <c r="B1396" s="18" t="s">
        <v>137</v>
      </c>
      <c r="C1396" s="5">
        <v>1810</v>
      </c>
      <c r="E1396" s="1" t="s">
        <v>2</v>
      </c>
      <c r="F1396" s="18">
        <v>2173</v>
      </c>
      <c r="G1396" s="18">
        <v>57</v>
      </c>
      <c r="H1396" s="5">
        <v>108</v>
      </c>
      <c r="I1396" s="1">
        <v>99</v>
      </c>
      <c r="J1396" s="1">
        <v>210</v>
      </c>
      <c r="L1396" t="str">
        <f t="shared" si="21"/>
        <v>http://www.badatelna.eu/reprodukce/?fondId=1073&amp;zaznamId=1108959&amp;reproId=3780050</v>
      </c>
      <c r="M1396">
        <f>VLOOKUP(F1396,Sheet2!$B$1:$E$19,2,FALSE)</f>
        <v>1073</v>
      </c>
      <c r="N1396">
        <f>VLOOKUP(F1396,Sheet2!$B$1:$E$19,3,FALSE)</f>
        <v>1108959</v>
      </c>
      <c r="O1396">
        <f>IF(G1396="Not available","",VLOOKUP(F1396,Sheet2!$B$1:$E$19,4,FALSE)+(G1396-1))</f>
        <v>3780050</v>
      </c>
    </row>
    <row r="1397" spans="1:15" s="1" customFormat="1" ht="15" customHeight="1" x14ac:dyDescent="0.25">
      <c r="A1397" s="18" t="s">
        <v>202</v>
      </c>
      <c r="B1397" s="18" t="s">
        <v>890</v>
      </c>
      <c r="C1397" s="5">
        <v>1798</v>
      </c>
      <c r="D1397" s="1" t="s">
        <v>4</v>
      </c>
      <c r="E1397" s="1" t="s">
        <v>2</v>
      </c>
      <c r="F1397" s="18">
        <v>2173</v>
      </c>
      <c r="G1397" s="18">
        <v>36</v>
      </c>
      <c r="H1397" s="5">
        <v>67</v>
      </c>
      <c r="I1397" s="1">
        <v>98</v>
      </c>
      <c r="J1397" s="1">
        <v>209</v>
      </c>
      <c r="L1397" t="str">
        <f t="shared" si="21"/>
        <v>http://www.badatelna.eu/reprodukce/?fondId=1073&amp;zaznamId=1108959&amp;reproId=3780029</v>
      </c>
      <c r="M1397">
        <f>VLOOKUP(F1397,Sheet2!$B$1:$E$19,2,FALSE)</f>
        <v>1073</v>
      </c>
      <c r="N1397">
        <f>VLOOKUP(F1397,Sheet2!$B$1:$E$19,3,FALSE)</f>
        <v>1108959</v>
      </c>
      <c r="O1397">
        <f>IF(G1397="Not available","",VLOOKUP(F1397,Sheet2!$B$1:$E$19,4,FALSE)+(G1397-1))</f>
        <v>3780029</v>
      </c>
    </row>
    <row r="1398" spans="1:15" s="1" customFormat="1" ht="15" customHeight="1" x14ac:dyDescent="0.25">
      <c r="A1398" s="18" t="s">
        <v>202</v>
      </c>
      <c r="B1398" s="18" t="s">
        <v>2318</v>
      </c>
      <c r="C1398" s="10" t="s">
        <v>2043</v>
      </c>
      <c r="D1398" s="3" t="s">
        <v>2321</v>
      </c>
      <c r="E1398" s="4" t="s">
        <v>2</v>
      </c>
      <c r="F1398" s="18">
        <v>2176</v>
      </c>
      <c r="G1398" s="18" t="s">
        <v>3271</v>
      </c>
      <c r="H1398" s="10" t="s">
        <v>2319</v>
      </c>
      <c r="I1398" s="3">
        <v>17</v>
      </c>
      <c r="J1398" s="3" t="s">
        <v>3271</v>
      </c>
      <c r="K1398" s="3"/>
      <c r="L1398" t="str">
        <f t="shared" si="21"/>
        <v/>
      </c>
      <c r="M1398">
        <f>VLOOKUP(F1398,Sheet2!$B$1:$E$19,2,FALSE)</f>
        <v>1073</v>
      </c>
      <c r="N1398">
        <f>VLOOKUP(F1398,Sheet2!$B$1:$E$19,3,FALSE)</f>
        <v>1108963</v>
      </c>
      <c r="O1398" t="str">
        <f>IF(G1398="Not available","",VLOOKUP(F1398,Sheet2!$B$1:$E$19,4,FALSE)+(G1398-1))</f>
        <v/>
      </c>
    </row>
    <row r="1399" spans="1:15" s="1" customFormat="1" ht="15" customHeight="1" x14ac:dyDescent="0.25">
      <c r="A1399" s="18" t="s">
        <v>202</v>
      </c>
      <c r="B1399" s="18" t="s">
        <v>432</v>
      </c>
      <c r="C1399" s="5">
        <v>1852</v>
      </c>
      <c r="D1399" s="1" t="s">
        <v>489</v>
      </c>
      <c r="E1399" s="1" t="s">
        <v>2</v>
      </c>
      <c r="F1399" s="18">
        <v>2164</v>
      </c>
      <c r="G1399" s="18">
        <v>82</v>
      </c>
      <c r="H1399" s="5">
        <v>80</v>
      </c>
      <c r="I1399" s="1">
        <v>128</v>
      </c>
      <c r="J1399" s="1" t="s">
        <v>3271</v>
      </c>
      <c r="L1399" t="str">
        <f t="shared" si="21"/>
        <v>http://www.badatelna.eu/reprodukce/?fondId=1073&amp;zaznamId=1108951&amp;reproId=3778796</v>
      </c>
      <c r="M1399">
        <f>VLOOKUP(F1399,Sheet2!$B$1:$E$19,2,FALSE)</f>
        <v>1073</v>
      </c>
      <c r="N1399">
        <f>VLOOKUP(F1399,Sheet2!$B$1:$E$19,3,FALSE)</f>
        <v>1108951</v>
      </c>
      <c r="O1399">
        <f>IF(G1399="Not available","",VLOOKUP(F1399,Sheet2!$B$1:$E$19,4,FALSE)+(G1399-1))</f>
        <v>3778796</v>
      </c>
    </row>
    <row r="1400" spans="1:15" s="1" customFormat="1" ht="15" customHeight="1" x14ac:dyDescent="0.25">
      <c r="A1400" s="18" t="s">
        <v>202</v>
      </c>
      <c r="B1400" s="18" t="s">
        <v>489</v>
      </c>
      <c r="C1400" s="5">
        <v>1845</v>
      </c>
      <c r="D1400" s="1" t="s">
        <v>495</v>
      </c>
      <c r="E1400" s="1" t="s">
        <v>2</v>
      </c>
      <c r="F1400" s="18">
        <v>2174</v>
      </c>
      <c r="G1400" s="18">
        <v>152</v>
      </c>
      <c r="H1400" s="6" t="s">
        <v>3219</v>
      </c>
      <c r="I1400" s="1">
        <v>186</v>
      </c>
      <c r="J1400" s="1">
        <v>214</v>
      </c>
      <c r="L1400" t="str">
        <f t="shared" si="21"/>
        <v>http://www.badatelna.eu/reprodukce/?fondId=1073&amp;zaznamId=1108960&amp;reproId=3780376</v>
      </c>
      <c r="M1400">
        <f>VLOOKUP(F1400,Sheet2!$B$1:$E$19,2,FALSE)</f>
        <v>1073</v>
      </c>
      <c r="N1400">
        <f>VLOOKUP(F1400,Sheet2!$B$1:$E$19,3,FALSE)</f>
        <v>1108960</v>
      </c>
      <c r="O1400">
        <f>IF(G1400="Not available","",VLOOKUP(F1400,Sheet2!$B$1:$E$19,4,FALSE)+(G1400-1))</f>
        <v>3780376</v>
      </c>
    </row>
    <row r="1401" spans="1:15" s="1" customFormat="1" ht="15" customHeight="1" x14ac:dyDescent="0.25">
      <c r="A1401" s="18" t="s">
        <v>202</v>
      </c>
      <c r="B1401" s="18" t="s">
        <v>489</v>
      </c>
      <c r="C1401" s="5" t="s">
        <v>1412</v>
      </c>
      <c r="D1401" s="1" t="s">
        <v>219</v>
      </c>
      <c r="E1401" s="1" t="s">
        <v>2</v>
      </c>
      <c r="F1401" s="18">
        <v>2165</v>
      </c>
      <c r="G1401" s="18">
        <v>37</v>
      </c>
      <c r="H1401" s="5">
        <v>34</v>
      </c>
      <c r="I1401" s="1">
        <v>83</v>
      </c>
      <c r="J1401" s="1" t="s">
        <v>3271</v>
      </c>
      <c r="L1401" t="str">
        <f t="shared" si="21"/>
        <v>http://www.badatelna.eu/reprodukce/?fondId=1073&amp;zaznamId=1108952&amp;reproId=3778898</v>
      </c>
      <c r="M1401">
        <f>VLOOKUP(F1401,Sheet2!$B$1:$E$19,2,FALSE)</f>
        <v>1073</v>
      </c>
      <c r="N1401">
        <f>VLOOKUP(F1401,Sheet2!$B$1:$E$19,3,FALSE)</f>
        <v>1108952</v>
      </c>
      <c r="O1401">
        <f>IF(G1401="Not available","",VLOOKUP(F1401,Sheet2!$B$1:$E$19,4,FALSE)+(G1401-1))</f>
        <v>3778898</v>
      </c>
    </row>
    <row r="1402" spans="1:15" s="1" customFormat="1" ht="15" customHeight="1" x14ac:dyDescent="0.25">
      <c r="A1402" s="18" t="s">
        <v>202</v>
      </c>
      <c r="B1402" s="18" t="s">
        <v>182</v>
      </c>
      <c r="C1402" s="5">
        <v>1811</v>
      </c>
      <c r="E1402" s="1" t="s">
        <v>2</v>
      </c>
      <c r="F1402" s="18">
        <v>2173</v>
      </c>
      <c r="G1402" s="18">
        <v>58</v>
      </c>
      <c r="H1402" s="5">
        <v>110</v>
      </c>
      <c r="I1402" s="1">
        <v>99</v>
      </c>
      <c r="J1402" s="1">
        <v>210</v>
      </c>
      <c r="L1402" t="str">
        <f t="shared" si="21"/>
        <v>http://www.badatelna.eu/reprodukce/?fondId=1073&amp;zaznamId=1108959&amp;reproId=3780051</v>
      </c>
      <c r="M1402">
        <f>VLOOKUP(F1402,Sheet2!$B$1:$E$19,2,FALSE)</f>
        <v>1073</v>
      </c>
      <c r="N1402">
        <f>VLOOKUP(F1402,Sheet2!$B$1:$E$19,3,FALSE)</f>
        <v>1108959</v>
      </c>
      <c r="O1402">
        <f>IF(G1402="Not available","",VLOOKUP(F1402,Sheet2!$B$1:$E$19,4,FALSE)+(G1402-1))</f>
        <v>3780051</v>
      </c>
    </row>
    <row r="1403" spans="1:15" s="1" customFormat="1" ht="15" customHeight="1" x14ac:dyDescent="0.25">
      <c r="A1403" s="18" t="s">
        <v>202</v>
      </c>
      <c r="B1403" s="18" t="s">
        <v>342</v>
      </c>
      <c r="C1403" s="5">
        <v>1784</v>
      </c>
      <c r="E1403" s="1" t="s">
        <v>2</v>
      </c>
      <c r="F1403" s="18">
        <v>2173</v>
      </c>
      <c r="G1403" s="18">
        <v>3</v>
      </c>
      <c r="H1403" s="5">
        <v>1</v>
      </c>
      <c r="I1403" s="1">
        <v>107</v>
      </c>
      <c r="J1403" s="1">
        <v>229</v>
      </c>
      <c r="L1403" t="str">
        <f t="shared" si="21"/>
        <v>http://www.badatelna.eu/reprodukce/?fondId=1073&amp;zaznamId=1108959&amp;reproId=3779996</v>
      </c>
      <c r="M1403">
        <f>VLOOKUP(F1403,Sheet2!$B$1:$E$19,2,FALSE)</f>
        <v>1073</v>
      </c>
      <c r="N1403">
        <f>VLOOKUP(F1403,Sheet2!$B$1:$E$19,3,FALSE)</f>
        <v>1108959</v>
      </c>
      <c r="O1403">
        <f>IF(G1403="Not available","",VLOOKUP(F1403,Sheet2!$B$1:$E$19,4,FALSE)+(G1403-1))</f>
        <v>3779996</v>
      </c>
    </row>
    <row r="1404" spans="1:15" s="1" customFormat="1" ht="15" customHeight="1" x14ac:dyDescent="0.25">
      <c r="A1404" s="18" t="s">
        <v>202</v>
      </c>
      <c r="B1404" s="18" t="s">
        <v>13</v>
      </c>
      <c r="C1404" s="5">
        <v>1803</v>
      </c>
      <c r="E1404" s="1" t="s">
        <v>2</v>
      </c>
      <c r="F1404" s="18">
        <v>2173</v>
      </c>
      <c r="G1404" s="18">
        <v>46</v>
      </c>
      <c r="H1404" s="5">
        <v>87</v>
      </c>
      <c r="I1404" s="1">
        <v>98</v>
      </c>
      <c r="J1404" s="1">
        <v>209</v>
      </c>
      <c r="L1404" t="str">
        <f t="shared" si="21"/>
        <v>http://www.badatelna.eu/reprodukce/?fondId=1073&amp;zaznamId=1108959&amp;reproId=3780039</v>
      </c>
      <c r="M1404">
        <f>VLOOKUP(F1404,Sheet2!$B$1:$E$19,2,FALSE)</f>
        <v>1073</v>
      </c>
      <c r="N1404">
        <f>VLOOKUP(F1404,Sheet2!$B$1:$E$19,3,FALSE)</f>
        <v>1108959</v>
      </c>
      <c r="O1404">
        <f>IF(G1404="Not available","",VLOOKUP(F1404,Sheet2!$B$1:$E$19,4,FALSE)+(G1404-1))</f>
        <v>3780039</v>
      </c>
    </row>
    <row r="1405" spans="1:15" s="1" customFormat="1" ht="15" customHeight="1" x14ac:dyDescent="0.25">
      <c r="A1405" s="18" t="s">
        <v>202</v>
      </c>
      <c r="B1405" s="18" t="s">
        <v>100</v>
      </c>
      <c r="C1405" s="5">
        <v>1808</v>
      </c>
      <c r="E1405" s="1" t="s">
        <v>2</v>
      </c>
      <c r="F1405" s="18">
        <v>2173</v>
      </c>
      <c r="G1405" s="18">
        <v>54</v>
      </c>
      <c r="H1405" s="5">
        <v>102</v>
      </c>
      <c r="I1405" s="1">
        <v>98</v>
      </c>
      <c r="J1405" s="1">
        <v>209</v>
      </c>
      <c r="L1405" t="str">
        <f t="shared" si="21"/>
        <v>http://www.badatelna.eu/reprodukce/?fondId=1073&amp;zaznamId=1108959&amp;reproId=3780047</v>
      </c>
      <c r="M1405">
        <f>VLOOKUP(F1405,Sheet2!$B$1:$E$19,2,FALSE)</f>
        <v>1073</v>
      </c>
      <c r="N1405">
        <f>VLOOKUP(F1405,Sheet2!$B$1:$E$19,3,FALSE)</f>
        <v>1108959</v>
      </c>
      <c r="O1405">
        <f>IF(G1405="Not available","",VLOOKUP(F1405,Sheet2!$B$1:$E$19,4,FALSE)+(G1405-1))</f>
        <v>3780047</v>
      </c>
    </row>
    <row r="1406" spans="1:15" s="1" customFormat="1" ht="15" customHeight="1" x14ac:dyDescent="0.25">
      <c r="A1406" s="18" t="s">
        <v>202</v>
      </c>
      <c r="B1406" s="18" t="s">
        <v>44</v>
      </c>
      <c r="C1406" s="5" t="s">
        <v>1411</v>
      </c>
      <c r="D1406" s="1" t="s">
        <v>219</v>
      </c>
      <c r="E1406" s="1" t="s">
        <v>2</v>
      </c>
      <c r="F1406" s="18">
        <v>2165</v>
      </c>
      <c r="G1406" s="18">
        <v>30</v>
      </c>
      <c r="H1406" s="5">
        <v>27</v>
      </c>
      <c r="I1406" s="1">
        <v>83</v>
      </c>
      <c r="J1406" s="1" t="s">
        <v>3271</v>
      </c>
      <c r="L1406" t="str">
        <f t="shared" si="21"/>
        <v>http://www.badatelna.eu/reprodukce/?fondId=1073&amp;zaznamId=1108952&amp;reproId=3778891</v>
      </c>
      <c r="M1406">
        <f>VLOOKUP(F1406,Sheet2!$B$1:$E$19,2,FALSE)</f>
        <v>1073</v>
      </c>
      <c r="N1406">
        <f>VLOOKUP(F1406,Sheet2!$B$1:$E$19,3,FALSE)</f>
        <v>1108952</v>
      </c>
      <c r="O1406">
        <f>IF(G1406="Not available","",VLOOKUP(F1406,Sheet2!$B$1:$E$19,4,FALSE)+(G1406-1))</f>
        <v>3778891</v>
      </c>
    </row>
    <row r="1407" spans="1:15" s="1" customFormat="1" ht="15" customHeight="1" x14ac:dyDescent="0.25">
      <c r="A1407" s="18" t="s">
        <v>202</v>
      </c>
      <c r="B1407" s="18" t="s">
        <v>76</v>
      </c>
      <c r="C1407" s="5">
        <v>1848</v>
      </c>
      <c r="D1407" s="1" t="s">
        <v>489</v>
      </c>
      <c r="E1407" s="1" t="s">
        <v>2</v>
      </c>
      <c r="F1407" s="18">
        <v>2164</v>
      </c>
      <c r="G1407" s="18">
        <v>34</v>
      </c>
      <c r="H1407" s="5">
        <v>32</v>
      </c>
      <c r="I1407" s="1">
        <v>128</v>
      </c>
      <c r="J1407" s="1" t="s">
        <v>3271</v>
      </c>
      <c r="L1407" t="str">
        <f t="shared" si="21"/>
        <v>http://www.badatelna.eu/reprodukce/?fondId=1073&amp;zaznamId=1108951&amp;reproId=3778748</v>
      </c>
      <c r="M1407">
        <f>VLOOKUP(F1407,Sheet2!$B$1:$E$19,2,FALSE)</f>
        <v>1073</v>
      </c>
      <c r="N1407">
        <f>VLOOKUP(F1407,Sheet2!$B$1:$E$19,3,FALSE)</f>
        <v>1108951</v>
      </c>
      <c r="O1407">
        <f>IF(G1407="Not available","",VLOOKUP(F1407,Sheet2!$B$1:$E$19,4,FALSE)+(G1407-1))</f>
        <v>3778748</v>
      </c>
    </row>
    <row r="1408" spans="1:15" s="1" customFormat="1" ht="15" customHeight="1" x14ac:dyDescent="0.25">
      <c r="A1408" s="18" t="s">
        <v>202</v>
      </c>
      <c r="B1408" s="18" t="s">
        <v>545</v>
      </c>
      <c r="C1408" s="5" t="s">
        <v>1439</v>
      </c>
      <c r="D1408" s="1" t="s">
        <v>219</v>
      </c>
      <c r="E1408" s="1" t="s">
        <v>2</v>
      </c>
      <c r="F1408" s="18">
        <v>2165</v>
      </c>
      <c r="G1408" s="18">
        <v>76</v>
      </c>
      <c r="H1408" s="5">
        <v>73</v>
      </c>
      <c r="I1408" s="1">
        <v>83</v>
      </c>
      <c r="J1408" s="1" t="s">
        <v>3271</v>
      </c>
      <c r="L1408" t="str">
        <f t="shared" si="21"/>
        <v>http://www.badatelna.eu/reprodukce/?fondId=1073&amp;zaznamId=1108952&amp;reproId=3778937</v>
      </c>
      <c r="M1408">
        <f>VLOOKUP(F1408,Sheet2!$B$1:$E$19,2,FALSE)</f>
        <v>1073</v>
      </c>
      <c r="N1408">
        <f>VLOOKUP(F1408,Sheet2!$B$1:$E$19,3,FALSE)</f>
        <v>1108952</v>
      </c>
      <c r="O1408">
        <f>IF(G1408="Not available","",VLOOKUP(F1408,Sheet2!$B$1:$E$19,4,FALSE)+(G1408-1))</f>
        <v>3778937</v>
      </c>
    </row>
    <row r="1409" spans="1:15" s="1" customFormat="1" ht="15" customHeight="1" x14ac:dyDescent="0.25">
      <c r="A1409" s="18" t="s">
        <v>660</v>
      </c>
      <c r="B1409" s="18" t="s">
        <v>738</v>
      </c>
      <c r="C1409" s="5" t="s">
        <v>1401</v>
      </c>
      <c r="D1409" s="1" t="s">
        <v>370</v>
      </c>
      <c r="E1409" s="1" t="s">
        <v>2</v>
      </c>
      <c r="F1409" s="18">
        <v>2165</v>
      </c>
      <c r="G1409" s="18">
        <v>21</v>
      </c>
      <c r="H1409" s="5">
        <v>18</v>
      </c>
      <c r="I1409" s="1">
        <v>82</v>
      </c>
      <c r="J1409" s="1" t="s">
        <v>3271</v>
      </c>
      <c r="L1409" t="str">
        <f t="shared" si="21"/>
        <v>http://www.badatelna.eu/reprodukce/?fondId=1073&amp;zaznamId=1108952&amp;reproId=3778882</v>
      </c>
      <c r="M1409">
        <f>VLOOKUP(F1409,Sheet2!$B$1:$E$19,2,FALSE)</f>
        <v>1073</v>
      </c>
      <c r="N1409">
        <f>VLOOKUP(F1409,Sheet2!$B$1:$E$19,3,FALSE)</f>
        <v>1108952</v>
      </c>
      <c r="O1409">
        <f>IF(G1409="Not available","",VLOOKUP(F1409,Sheet2!$B$1:$E$19,4,FALSE)+(G1409-1))</f>
        <v>3778882</v>
      </c>
    </row>
    <row r="1410" spans="1:15" s="1" customFormat="1" ht="15" customHeight="1" x14ac:dyDescent="0.25">
      <c r="A1410" s="18" t="s">
        <v>660</v>
      </c>
      <c r="B1410" s="18" t="s">
        <v>546</v>
      </c>
      <c r="C1410" s="5" t="s">
        <v>1410</v>
      </c>
      <c r="D1410" s="1" t="s">
        <v>370</v>
      </c>
      <c r="E1410" s="1" t="s">
        <v>2</v>
      </c>
      <c r="F1410" s="18">
        <v>2165</v>
      </c>
      <c r="G1410" s="18">
        <v>33</v>
      </c>
      <c r="H1410" s="5">
        <v>30</v>
      </c>
      <c r="I1410" s="1">
        <v>83</v>
      </c>
      <c r="J1410" s="1" t="s">
        <v>3271</v>
      </c>
      <c r="L1410" t="str">
        <f t="shared" si="21"/>
        <v>http://www.badatelna.eu/reprodukce/?fondId=1073&amp;zaznamId=1108952&amp;reproId=3778894</v>
      </c>
      <c r="M1410">
        <f>VLOOKUP(F1410,Sheet2!$B$1:$E$19,2,FALSE)</f>
        <v>1073</v>
      </c>
      <c r="N1410">
        <f>VLOOKUP(F1410,Sheet2!$B$1:$E$19,3,FALSE)</f>
        <v>1108952</v>
      </c>
      <c r="O1410">
        <f>IF(G1410="Not available","",VLOOKUP(F1410,Sheet2!$B$1:$E$19,4,FALSE)+(G1410-1))</f>
        <v>3778894</v>
      </c>
    </row>
    <row r="1411" spans="1:15" s="1" customFormat="1" ht="15" customHeight="1" x14ac:dyDescent="0.25">
      <c r="A1411" s="18" t="s">
        <v>660</v>
      </c>
      <c r="B1411" s="18" t="s">
        <v>1027</v>
      </c>
      <c r="C1411" s="5" t="s">
        <v>1432</v>
      </c>
      <c r="D1411" s="1" t="s">
        <v>370</v>
      </c>
      <c r="E1411" s="1" t="s">
        <v>2</v>
      </c>
      <c r="F1411" s="18">
        <v>2165</v>
      </c>
      <c r="G1411" s="18">
        <v>66</v>
      </c>
      <c r="H1411" s="5">
        <v>63</v>
      </c>
      <c r="I1411" s="1">
        <v>83</v>
      </c>
      <c r="J1411" s="1" t="s">
        <v>3271</v>
      </c>
      <c r="L1411" t="str">
        <f t="shared" ref="L1411:L1474" si="22">IF(G1411="Not available","","http://www.badatelna.eu/reprodukce/?fondId="&amp;M1411&amp;"&amp;zaznamId="&amp;N1411&amp;"&amp;reproId="&amp;O1411)</f>
        <v>http://www.badatelna.eu/reprodukce/?fondId=1073&amp;zaznamId=1108952&amp;reproId=3778927</v>
      </c>
      <c r="M1411">
        <f>VLOOKUP(F1411,Sheet2!$B$1:$E$19,2,FALSE)</f>
        <v>1073</v>
      </c>
      <c r="N1411">
        <f>VLOOKUP(F1411,Sheet2!$B$1:$E$19,3,FALSE)</f>
        <v>1108952</v>
      </c>
      <c r="O1411">
        <f>IF(G1411="Not available","",VLOOKUP(F1411,Sheet2!$B$1:$E$19,4,FALSE)+(G1411-1))</f>
        <v>3778927</v>
      </c>
    </row>
    <row r="1412" spans="1:15" s="1" customFormat="1" ht="15" customHeight="1" x14ac:dyDescent="0.25">
      <c r="A1412" s="18" t="s">
        <v>660</v>
      </c>
      <c r="B1412" s="18" t="s">
        <v>2865</v>
      </c>
      <c r="C1412" s="5">
        <v>1866</v>
      </c>
      <c r="D1412" s="1" t="s">
        <v>370</v>
      </c>
      <c r="E1412" s="1" t="s">
        <v>939</v>
      </c>
      <c r="F1412" s="18">
        <v>999</v>
      </c>
      <c r="G1412" s="18">
        <v>58</v>
      </c>
      <c r="H1412" s="5">
        <v>56</v>
      </c>
      <c r="I1412" s="1">
        <v>67</v>
      </c>
      <c r="J1412" s="1">
        <v>101</v>
      </c>
      <c r="L1412" t="str">
        <f t="shared" si="22"/>
        <v>http://www.badatelna.eu/reprodukce/?fondId=241&amp;zaznamId=1133739&amp;reproId=3885787</v>
      </c>
      <c r="M1412">
        <f>VLOOKUP(F1412,Sheet2!$B$1:$E$19,2,FALSE)</f>
        <v>241</v>
      </c>
      <c r="N1412">
        <f>VLOOKUP(F1412,Sheet2!$B$1:$E$19,3,FALSE)</f>
        <v>1133739</v>
      </c>
      <c r="O1412">
        <f>IF(G1412="Not available","",VLOOKUP(F1412,Sheet2!$B$1:$E$19,4,FALSE)+(G1412-1))</f>
        <v>3885787</v>
      </c>
    </row>
    <row r="1413" spans="1:15" s="1" customFormat="1" ht="15" customHeight="1" x14ac:dyDescent="0.25">
      <c r="A1413" s="18" t="s">
        <v>660</v>
      </c>
      <c r="B1413" s="18" t="s">
        <v>428</v>
      </c>
      <c r="C1413" s="5" t="s">
        <v>1417</v>
      </c>
      <c r="D1413" s="1" t="s">
        <v>370</v>
      </c>
      <c r="E1413" s="1" t="s">
        <v>2</v>
      </c>
      <c r="F1413" s="18">
        <v>2165</v>
      </c>
      <c r="G1413" s="18">
        <v>45</v>
      </c>
      <c r="H1413" s="5">
        <v>42</v>
      </c>
      <c r="I1413" s="1">
        <v>83</v>
      </c>
      <c r="J1413" s="1" t="s">
        <v>3271</v>
      </c>
      <c r="L1413" t="str">
        <f t="shared" si="22"/>
        <v>http://www.badatelna.eu/reprodukce/?fondId=1073&amp;zaznamId=1108952&amp;reproId=3778906</v>
      </c>
      <c r="M1413">
        <f>VLOOKUP(F1413,Sheet2!$B$1:$E$19,2,FALSE)</f>
        <v>1073</v>
      </c>
      <c r="N1413">
        <f>VLOOKUP(F1413,Sheet2!$B$1:$E$19,3,FALSE)</f>
        <v>1108952</v>
      </c>
      <c r="O1413">
        <f>IF(G1413="Not available","",VLOOKUP(F1413,Sheet2!$B$1:$E$19,4,FALSE)+(G1413-1))</f>
        <v>3778906</v>
      </c>
    </row>
    <row r="1414" spans="1:15" s="1" customFormat="1" ht="15" customHeight="1" x14ac:dyDescent="0.25">
      <c r="A1414" s="18" t="s">
        <v>660</v>
      </c>
      <c r="B1414" s="18" t="s">
        <v>233</v>
      </c>
      <c r="C1414" s="5">
        <v>1843</v>
      </c>
      <c r="D1414" s="1" t="s">
        <v>489</v>
      </c>
      <c r="E1414" s="1" t="s">
        <v>2</v>
      </c>
      <c r="F1414" s="18">
        <v>2174</v>
      </c>
      <c r="G1414" s="18">
        <v>132</v>
      </c>
      <c r="H1414" s="6" t="s">
        <v>3200</v>
      </c>
      <c r="I1414" s="1">
        <v>186</v>
      </c>
      <c r="J1414" s="1">
        <v>214</v>
      </c>
      <c r="L1414" t="str">
        <f t="shared" si="22"/>
        <v>http://www.badatelna.eu/reprodukce/?fondId=1073&amp;zaznamId=1108960&amp;reproId=3780356</v>
      </c>
      <c r="M1414">
        <f>VLOOKUP(F1414,Sheet2!$B$1:$E$19,2,FALSE)</f>
        <v>1073</v>
      </c>
      <c r="N1414">
        <f>VLOOKUP(F1414,Sheet2!$B$1:$E$19,3,FALSE)</f>
        <v>1108960</v>
      </c>
      <c r="O1414">
        <f>IF(G1414="Not available","",VLOOKUP(F1414,Sheet2!$B$1:$E$19,4,FALSE)+(G1414-1))</f>
        <v>3780356</v>
      </c>
    </row>
    <row r="1415" spans="1:15" s="1" customFormat="1" ht="15" customHeight="1" x14ac:dyDescent="0.25">
      <c r="A1415" s="18" t="s">
        <v>2303</v>
      </c>
      <c r="B1415" s="18" t="s">
        <v>2089</v>
      </c>
      <c r="C1415" s="10" t="s">
        <v>2026</v>
      </c>
      <c r="D1415" s="3" t="s">
        <v>2304</v>
      </c>
      <c r="E1415" s="4" t="s">
        <v>2</v>
      </c>
      <c r="F1415" s="18">
        <v>2176</v>
      </c>
      <c r="G1415" s="18" t="s">
        <v>3271</v>
      </c>
      <c r="H1415" s="10" t="s">
        <v>1954</v>
      </c>
      <c r="I1415" s="3">
        <v>16</v>
      </c>
      <c r="J1415" s="3" t="s">
        <v>3271</v>
      </c>
      <c r="K1415" s="3"/>
      <c r="L1415" t="str">
        <f t="shared" si="22"/>
        <v/>
      </c>
      <c r="M1415">
        <f>VLOOKUP(F1415,Sheet2!$B$1:$E$19,2,FALSE)</f>
        <v>1073</v>
      </c>
      <c r="N1415">
        <f>VLOOKUP(F1415,Sheet2!$B$1:$E$19,3,FALSE)</f>
        <v>1108963</v>
      </c>
      <c r="O1415" t="str">
        <f>IF(G1415="Not available","",VLOOKUP(F1415,Sheet2!$B$1:$E$19,4,FALSE)+(G1415-1))</f>
        <v/>
      </c>
    </row>
    <row r="1416" spans="1:15" s="1" customFormat="1" ht="15" customHeight="1" x14ac:dyDescent="0.25">
      <c r="A1416" s="18" t="s">
        <v>2303</v>
      </c>
      <c r="B1416" s="18" t="s">
        <v>1175</v>
      </c>
      <c r="C1416" s="10" t="s">
        <v>2257</v>
      </c>
      <c r="D1416" s="3" t="s">
        <v>2349</v>
      </c>
      <c r="E1416" s="4" t="s">
        <v>2</v>
      </c>
      <c r="F1416" s="18">
        <v>2176</v>
      </c>
      <c r="G1416" s="18" t="s">
        <v>3271</v>
      </c>
      <c r="H1416" s="10" t="s">
        <v>2105</v>
      </c>
      <c r="I1416" s="3">
        <v>17</v>
      </c>
      <c r="J1416" s="3" t="s">
        <v>3271</v>
      </c>
      <c r="K1416" s="3"/>
      <c r="L1416" t="str">
        <f t="shared" si="22"/>
        <v/>
      </c>
      <c r="M1416">
        <f>VLOOKUP(F1416,Sheet2!$B$1:$E$19,2,FALSE)</f>
        <v>1073</v>
      </c>
      <c r="N1416">
        <f>VLOOKUP(F1416,Sheet2!$B$1:$E$19,3,FALSE)</f>
        <v>1108963</v>
      </c>
      <c r="O1416" t="str">
        <f>IF(G1416="Not available","",VLOOKUP(F1416,Sheet2!$B$1:$E$19,4,FALSE)+(G1416-1))</f>
        <v/>
      </c>
    </row>
    <row r="1417" spans="1:15" s="1" customFormat="1" ht="15" customHeight="1" x14ac:dyDescent="0.25">
      <c r="A1417" s="18" t="s">
        <v>2303</v>
      </c>
      <c r="B1417" s="18" t="s">
        <v>2196</v>
      </c>
      <c r="C1417" s="10" t="s">
        <v>2115</v>
      </c>
      <c r="D1417" s="3" t="s">
        <v>2354</v>
      </c>
      <c r="E1417" s="4" t="s">
        <v>2</v>
      </c>
      <c r="F1417" s="18">
        <v>2176</v>
      </c>
      <c r="G1417" s="18" t="s">
        <v>3271</v>
      </c>
      <c r="H1417" s="10" t="s">
        <v>1954</v>
      </c>
      <c r="I1417" s="3">
        <v>17</v>
      </c>
      <c r="J1417" s="3" t="s">
        <v>3271</v>
      </c>
      <c r="K1417" s="3"/>
      <c r="L1417" t="str">
        <f t="shared" si="22"/>
        <v/>
      </c>
      <c r="M1417">
        <f>VLOOKUP(F1417,Sheet2!$B$1:$E$19,2,FALSE)</f>
        <v>1073</v>
      </c>
      <c r="N1417">
        <f>VLOOKUP(F1417,Sheet2!$B$1:$E$19,3,FALSE)</f>
        <v>1108963</v>
      </c>
      <c r="O1417" t="str">
        <f>IF(G1417="Not available","",VLOOKUP(F1417,Sheet2!$B$1:$E$19,4,FALSE)+(G1417-1))</f>
        <v/>
      </c>
    </row>
    <row r="1418" spans="1:15" s="1" customFormat="1" ht="15" customHeight="1" x14ac:dyDescent="0.25">
      <c r="A1418" s="18" t="s">
        <v>1248</v>
      </c>
      <c r="B1418" s="18" t="s">
        <v>1152</v>
      </c>
      <c r="C1418" s="10" t="s">
        <v>1957</v>
      </c>
      <c r="D1418" s="3" t="s">
        <v>2336</v>
      </c>
      <c r="E1418" s="4" t="s">
        <v>2</v>
      </c>
      <c r="F1418" s="18">
        <v>2176</v>
      </c>
      <c r="G1418" s="18" t="s">
        <v>3271</v>
      </c>
      <c r="H1418" s="10" t="s">
        <v>2016</v>
      </c>
      <c r="I1418" s="3">
        <v>17</v>
      </c>
      <c r="J1418" s="3" t="s">
        <v>3271</v>
      </c>
      <c r="K1418" s="3"/>
      <c r="L1418" t="str">
        <f t="shared" si="22"/>
        <v/>
      </c>
      <c r="M1418">
        <f>VLOOKUP(F1418,Sheet2!$B$1:$E$19,2,FALSE)</f>
        <v>1073</v>
      </c>
      <c r="N1418">
        <f>VLOOKUP(F1418,Sheet2!$B$1:$E$19,3,FALSE)</f>
        <v>1108963</v>
      </c>
      <c r="O1418" t="str">
        <f>IF(G1418="Not available","",VLOOKUP(F1418,Sheet2!$B$1:$E$19,4,FALSE)+(G1418-1))</f>
        <v/>
      </c>
    </row>
    <row r="1419" spans="1:15" s="1" customFormat="1" ht="15" customHeight="1" x14ac:dyDescent="0.25">
      <c r="A1419" s="18" t="s">
        <v>1248</v>
      </c>
      <c r="B1419" s="18" t="s">
        <v>1152</v>
      </c>
      <c r="C1419" s="5" t="s">
        <v>1926</v>
      </c>
      <c r="D1419" s="1" t="s">
        <v>24</v>
      </c>
      <c r="E1419" s="1" t="s">
        <v>2</v>
      </c>
      <c r="F1419" s="18">
        <v>2165</v>
      </c>
      <c r="G1419" s="18">
        <v>282</v>
      </c>
      <c r="H1419" s="5">
        <v>2</v>
      </c>
      <c r="I1419" s="1">
        <v>284</v>
      </c>
      <c r="J1419" s="1">
        <v>258</v>
      </c>
      <c r="L1419" t="str">
        <f t="shared" si="22"/>
        <v>http://www.badatelna.eu/reprodukce/?fondId=1073&amp;zaznamId=1108952&amp;reproId=3779143</v>
      </c>
      <c r="M1419">
        <f>VLOOKUP(F1419,Sheet2!$B$1:$E$19,2,FALSE)</f>
        <v>1073</v>
      </c>
      <c r="N1419">
        <f>VLOOKUP(F1419,Sheet2!$B$1:$E$19,3,FALSE)</f>
        <v>1108952</v>
      </c>
      <c r="O1419">
        <f>IF(G1419="Not available","",VLOOKUP(F1419,Sheet2!$B$1:$E$19,4,FALSE)+(G1419-1))</f>
        <v>3779143</v>
      </c>
    </row>
    <row r="1420" spans="1:15" s="1" customFormat="1" ht="15" customHeight="1" x14ac:dyDescent="0.25">
      <c r="A1420" s="18" t="s">
        <v>1248</v>
      </c>
      <c r="B1420" s="18" t="s">
        <v>1212</v>
      </c>
      <c r="C1420" s="14" t="s">
        <v>2244</v>
      </c>
      <c r="D1420" s="4" t="s">
        <v>178</v>
      </c>
      <c r="E1420" s="1" t="s">
        <v>2</v>
      </c>
      <c r="F1420" s="18">
        <v>2165</v>
      </c>
      <c r="G1420" s="18">
        <v>299</v>
      </c>
      <c r="H1420" s="5">
        <v>3</v>
      </c>
      <c r="I1420" s="1">
        <v>300</v>
      </c>
      <c r="J1420" s="1">
        <v>273</v>
      </c>
      <c r="L1420" t="str">
        <f t="shared" si="22"/>
        <v>http://www.badatelna.eu/reprodukce/?fondId=1073&amp;zaznamId=1108952&amp;reproId=3779160</v>
      </c>
      <c r="M1420">
        <f>VLOOKUP(F1420,Sheet2!$B$1:$E$19,2,FALSE)</f>
        <v>1073</v>
      </c>
      <c r="N1420">
        <f>VLOOKUP(F1420,Sheet2!$B$1:$E$19,3,FALSE)</f>
        <v>1108952</v>
      </c>
      <c r="O1420">
        <f>IF(G1420="Not available","",VLOOKUP(F1420,Sheet2!$B$1:$E$19,4,FALSE)+(G1420-1))</f>
        <v>3779160</v>
      </c>
    </row>
    <row r="1421" spans="1:15" s="1" customFormat="1" ht="15" customHeight="1" x14ac:dyDescent="0.25">
      <c r="A1421" s="18" t="s">
        <v>1248</v>
      </c>
      <c r="B1421" s="18" t="s">
        <v>1212</v>
      </c>
      <c r="C1421" s="10" t="s">
        <v>2244</v>
      </c>
      <c r="D1421" s="3" t="s">
        <v>2336</v>
      </c>
      <c r="E1421" s="4" t="s">
        <v>2</v>
      </c>
      <c r="F1421" s="18">
        <v>2176</v>
      </c>
      <c r="G1421" s="18" t="s">
        <v>3271</v>
      </c>
      <c r="H1421" s="10" t="s">
        <v>2080</v>
      </c>
      <c r="I1421" s="3">
        <v>17</v>
      </c>
      <c r="J1421" s="3" t="s">
        <v>3271</v>
      </c>
      <c r="K1421" s="3"/>
      <c r="L1421" t="str">
        <f t="shared" si="22"/>
        <v/>
      </c>
      <c r="M1421">
        <f>VLOOKUP(F1421,Sheet2!$B$1:$E$19,2,FALSE)</f>
        <v>1073</v>
      </c>
      <c r="N1421">
        <f>VLOOKUP(F1421,Sheet2!$B$1:$E$19,3,FALSE)</f>
        <v>1108963</v>
      </c>
      <c r="O1421" t="str">
        <f>IF(G1421="Not available","",VLOOKUP(F1421,Sheet2!$B$1:$E$19,4,FALSE)+(G1421-1))</f>
        <v/>
      </c>
    </row>
    <row r="1422" spans="1:15" s="1" customFormat="1" ht="15" customHeight="1" x14ac:dyDescent="0.25">
      <c r="A1422" s="18" t="s">
        <v>2356</v>
      </c>
      <c r="B1422" s="18" t="s">
        <v>2357</v>
      </c>
      <c r="C1422" s="10" t="s">
        <v>2115</v>
      </c>
      <c r="D1422" s="3" t="s">
        <v>2358</v>
      </c>
      <c r="E1422" s="4" t="s">
        <v>2</v>
      </c>
      <c r="F1422" s="18">
        <v>2176</v>
      </c>
      <c r="G1422" s="18" t="s">
        <v>3271</v>
      </c>
      <c r="H1422" s="10" t="s">
        <v>2088</v>
      </c>
      <c r="I1422" s="3">
        <v>17</v>
      </c>
      <c r="J1422" s="3" t="s">
        <v>3271</v>
      </c>
      <c r="K1422" s="3"/>
      <c r="L1422" t="str">
        <f t="shared" si="22"/>
        <v/>
      </c>
      <c r="M1422">
        <f>VLOOKUP(F1422,Sheet2!$B$1:$E$19,2,FALSE)</f>
        <v>1073</v>
      </c>
      <c r="N1422">
        <f>VLOOKUP(F1422,Sheet2!$B$1:$E$19,3,FALSE)</f>
        <v>1108963</v>
      </c>
      <c r="O1422" t="str">
        <f>IF(G1422="Not available","",VLOOKUP(F1422,Sheet2!$B$1:$E$19,4,FALSE)+(G1422-1))</f>
        <v/>
      </c>
    </row>
    <row r="1423" spans="1:15" s="1" customFormat="1" ht="15" customHeight="1" x14ac:dyDescent="0.25">
      <c r="A1423" s="18" t="s">
        <v>1023</v>
      </c>
      <c r="B1423" s="18" t="s">
        <v>885</v>
      </c>
      <c r="C1423" s="5" t="s">
        <v>1419</v>
      </c>
      <c r="D1423" s="1" t="s">
        <v>21</v>
      </c>
      <c r="E1423" s="1" t="s">
        <v>2</v>
      </c>
      <c r="F1423" s="18">
        <v>2165</v>
      </c>
      <c r="G1423" s="18">
        <v>47</v>
      </c>
      <c r="H1423" s="5">
        <v>44</v>
      </c>
      <c r="I1423" s="1">
        <v>83</v>
      </c>
      <c r="J1423" s="1" t="s">
        <v>3271</v>
      </c>
      <c r="L1423" t="str">
        <f t="shared" si="22"/>
        <v>http://www.badatelna.eu/reprodukce/?fondId=1073&amp;zaznamId=1108952&amp;reproId=3778908</v>
      </c>
      <c r="M1423">
        <f>VLOOKUP(F1423,Sheet2!$B$1:$E$19,2,FALSE)</f>
        <v>1073</v>
      </c>
      <c r="N1423">
        <f>VLOOKUP(F1423,Sheet2!$B$1:$E$19,3,FALSE)</f>
        <v>1108952</v>
      </c>
      <c r="O1423">
        <f>IF(G1423="Not available","",VLOOKUP(F1423,Sheet2!$B$1:$E$19,4,FALSE)+(G1423-1))</f>
        <v>3778908</v>
      </c>
    </row>
    <row r="1424" spans="1:15" s="1" customFormat="1" ht="15" customHeight="1" x14ac:dyDescent="0.25">
      <c r="A1424" s="18" t="s">
        <v>1023</v>
      </c>
      <c r="B1424" s="18" t="s">
        <v>602</v>
      </c>
      <c r="C1424" s="5" t="s">
        <v>1436</v>
      </c>
      <c r="D1424" s="1" t="s">
        <v>21</v>
      </c>
      <c r="E1424" s="1" t="s">
        <v>2</v>
      </c>
      <c r="F1424" s="18">
        <v>2165</v>
      </c>
      <c r="G1424" s="18">
        <v>73</v>
      </c>
      <c r="H1424" s="5">
        <v>70</v>
      </c>
      <c r="I1424" s="1">
        <v>83</v>
      </c>
      <c r="J1424" s="1" t="s">
        <v>3271</v>
      </c>
      <c r="L1424" t="str">
        <f t="shared" si="22"/>
        <v>http://www.badatelna.eu/reprodukce/?fondId=1073&amp;zaznamId=1108952&amp;reproId=3778934</v>
      </c>
      <c r="M1424">
        <f>VLOOKUP(F1424,Sheet2!$B$1:$E$19,2,FALSE)</f>
        <v>1073</v>
      </c>
      <c r="N1424">
        <f>VLOOKUP(F1424,Sheet2!$B$1:$E$19,3,FALSE)</f>
        <v>1108952</v>
      </c>
      <c r="O1424">
        <f>IF(G1424="Not available","",VLOOKUP(F1424,Sheet2!$B$1:$E$19,4,FALSE)+(G1424-1))</f>
        <v>3778934</v>
      </c>
    </row>
    <row r="1425" spans="1:15" s="1" customFormat="1" ht="15" customHeight="1" x14ac:dyDescent="0.25">
      <c r="A1425" s="18" t="s">
        <v>1023</v>
      </c>
      <c r="B1425" s="18" t="s">
        <v>44</v>
      </c>
      <c r="C1425" s="5" t="s">
        <v>1429</v>
      </c>
      <c r="D1425" s="1" t="s">
        <v>21</v>
      </c>
      <c r="E1425" s="1" t="s">
        <v>2</v>
      </c>
      <c r="F1425" s="18">
        <v>2165</v>
      </c>
      <c r="G1425" s="18">
        <v>60</v>
      </c>
      <c r="H1425" s="5">
        <v>57</v>
      </c>
      <c r="I1425" s="1">
        <v>83</v>
      </c>
      <c r="J1425" s="1" t="s">
        <v>3271</v>
      </c>
      <c r="L1425" t="str">
        <f t="shared" si="22"/>
        <v>http://www.badatelna.eu/reprodukce/?fondId=1073&amp;zaznamId=1108952&amp;reproId=3778921</v>
      </c>
      <c r="M1425">
        <f>VLOOKUP(F1425,Sheet2!$B$1:$E$19,2,FALSE)</f>
        <v>1073</v>
      </c>
      <c r="N1425">
        <f>VLOOKUP(F1425,Sheet2!$B$1:$E$19,3,FALSE)</f>
        <v>1108952</v>
      </c>
      <c r="O1425">
        <f>IF(G1425="Not available","",VLOOKUP(F1425,Sheet2!$B$1:$E$19,4,FALSE)+(G1425-1))</f>
        <v>3778921</v>
      </c>
    </row>
    <row r="1426" spans="1:15" s="1" customFormat="1" ht="15" customHeight="1" x14ac:dyDescent="0.25">
      <c r="A1426" s="18" t="s">
        <v>203</v>
      </c>
      <c r="B1426" s="18" t="s">
        <v>50</v>
      </c>
      <c r="C1426" s="5">
        <v>1791</v>
      </c>
      <c r="E1426" s="1" t="s">
        <v>2</v>
      </c>
      <c r="F1426" s="18">
        <v>2173</v>
      </c>
      <c r="G1426" s="18">
        <v>25</v>
      </c>
      <c r="H1426" s="5">
        <v>45</v>
      </c>
      <c r="I1426" s="1">
        <v>98</v>
      </c>
      <c r="J1426" s="1">
        <v>209</v>
      </c>
      <c r="L1426" t="str">
        <f t="shared" si="22"/>
        <v>http://www.badatelna.eu/reprodukce/?fondId=1073&amp;zaznamId=1108959&amp;reproId=3780018</v>
      </c>
      <c r="M1426">
        <f>VLOOKUP(F1426,Sheet2!$B$1:$E$19,2,FALSE)</f>
        <v>1073</v>
      </c>
      <c r="N1426">
        <f>VLOOKUP(F1426,Sheet2!$B$1:$E$19,3,FALSE)</f>
        <v>1108959</v>
      </c>
      <c r="O1426">
        <f>IF(G1426="Not available","",VLOOKUP(F1426,Sheet2!$B$1:$E$19,4,FALSE)+(G1426-1))</f>
        <v>3780018</v>
      </c>
    </row>
    <row r="1427" spans="1:15" s="1" customFormat="1" ht="15" customHeight="1" x14ac:dyDescent="0.25">
      <c r="A1427" s="18" t="s">
        <v>203</v>
      </c>
      <c r="B1427" s="18" t="s">
        <v>92</v>
      </c>
      <c r="C1427" s="5">
        <v>1795</v>
      </c>
      <c r="D1427" s="1" t="s">
        <v>133</v>
      </c>
      <c r="E1427" s="1" t="s">
        <v>2</v>
      </c>
      <c r="F1427" s="18">
        <v>2173</v>
      </c>
      <c r="G1427" s="18">
        <v>33</v>
      </c>
      <c r="H1427" s="5">
        <v>60</v>
      </c>
      <c r="I1427" s="1">
        <v>98</v>
      </c>
      <c r="J1427" s="1">
        <v>209</v>
      </c>
      <c r="L1427" t="str">
        <f t="shared" si="22"/>
        <v>http://www.badatelna.eu/reprodukce/?fondId=1073&amp;zaznamId=1108959&amp;reproId=3780026</v>
      </c>
      <c r="M1427">
        <f>VLOOKUP(F1427,Sheet2!$B$1:$E$19,2,FALSE)</f>
        <v>1073</v>
      </c>
      <c r="N1427">
        <f>VLOOKUP(F1427,Sheet2!$B$1:$E$19,3,FALSE)</f>
        <v>1108959</v>
      </c>
      <c r="O1427">
        <f>IF(G1427="Not available","",VLOOKUP(F1427,Sheet2!$B$1:$E$19,4,FALSE)+(G1427-1))</f>
        <v>3780026</v>
      </c>
    </row>
    <row r="1428" spans="1:15" s="1" customFormat="1" ht="15" customHeight="1" x14ac:dyDescent="0.25">
      <c r="A1428" s="18" t="s">
        <v>203</v>
      </c>
      <c r="B1428" s="18" t="s">
        <v>136</v>
      </c>
      <c r="C1428" s="5">
        <v>1817</v>
      </c>
      <c r="E1428" s="1" t="s">
        <v>2</v>
      </c>
      <c r="F1428" s="18">
        <v>2173</v>
      </c>
      <c r="G1428" s="18">
        <v>66</v>
      </c>
      <c r="H1428" s="5">
        <v>127</v>
      </c>
      <c r="I1428" s="1">
        <v>99</v>
      </c>
      <c r="J1428" s="1">
        <v>210</v>
      </c>
      <c r="L1428" t="str">
        <f t="shared" si="22"/>
        <v>http://www.badatelna.eu/reprodukce/?fondId=1073&amp;zaznamId=1108959&amp;reproId=3780059</v>
      </c>
      <c r="M1428">
        <f>VLOOKUP(F1428,Sheet2!$B$1:$E$19,2,FALSE)</f>
        <v>1073</v>
      </c>
      <c r="N1428">
        <f>VLOOKUP(F1428,Sheet2!$B$1:$E$19,3,FALSE)</f>
        <v>1108959</v>
      </c>
      <c r="O1428">
        <f>IF(G1428="Not available","",VLOOKUP(F1428,Sheet2!$B$1:$E$19,4,FALSE)+(G1428-1))</f>
        <v>3780059</v>
      </c>
    </row>
    <row r="1429" spans="1:15" s="1" customFormat="1" ht="15" customHeight="1" x14ac:dyDescent="0.25">
      <c r="A1429" s="18" t="s">
        <v>203</v>
      </c>
      <c r="B1429" s="18" t="s">
        <v>122</v>
      </c>
      <c r="C1429" s="5">
        <v>1807</v>
      </c>
      <c r="E1429" s="1" t="s">
        <v>2</v>
      </c>
      <c r="F1429" s="18">
        <v>2173</v>
      </c>
      <c r="G1429" s="18">
        <v>52</v>
      </c>
      <c r="H1429" s="5">
        <v>99</v>
      </c>
      <c r="I1429" s="1">
        <v>98</v>
      </c>
      <c r="J1429" s="1">
        <v>209</v>
      </c>
      <c r="L1429" t="str">
        <f t="shared" si="22"/>
        <v>http://www.badatelna.eu/reprodukce/?fondId=1073&amp;zaznamId=1108959&amp;reproId=3780045</v>
      </c>
      <c r="M1429">
        <f>VLOOKUP(F1429,Sheet2!$B$1:$E$19,2,FALSE)</f>
        <v>1073</v>
      </c>
      <c r="N1429">
        <f>VLOOKUP(F1429,Sheet2!$B$1:$E$19,3,FALSE)</f>
        <v>1108959</v>
      </c>
      <c r="O1429">
        <f>IF(G1429="Not available","",VLOOKUP(F1429,Sheet2!$B$1:$E$19,4,FALSE)+(G1429-1))</f>
        <v>3780045</v>
      </c>
    </row>
    <row r="1430" spans="1:15" s="1" customFormat="1" ht="15" customHeight="1" x14ac:dyDescent="0.25">
      <c r="A1430" s="18" t="s">
        <v>203</v>
      </c>
      <c r="B1430" s="18" t="s">
        <v>135</v>
      </c>
      <c r="C1430" s="5">
        <v>1805</v>
      </c>
      <c r="E1430" s="1" t="s">
        <v>2</v>
      </c>
      <c r="F1430" s="18">
        <v>2173</v>
      </c>
      <c r="G1430" s="18">
        <v>49</v>
      </c>
      <c r="H1430" s="5">
        <v>93</v>
      </c>
      <c r="I1430" s="1">
        <v>98</v>
      </c>
      <c r="J1430" s="1">
        <v>209</v>
      </c>
      <c r="L1430" t="str">
        <f t="shared" si="22"/>
        <v>http://www.badatelna.eu/reprodukce/?fondId=1073&amp;zaznamId=1108959&amp;reproId=3780042</v>
      </c>
      <c r="M1430">
        <f>VLOOKUP(F1430,Sheet2!$B$1:$E$19,2,FALSE)</f>
        <v>1073</v>
      </c>
      <c r="N1430">
        <f>VLOOKUP(F1430,Sheet2!$B$1:$E$19,3,FALSE)</f>
        <v>1108959</v>
      </c>
      <c r="O1430">
        <f>IF(G1430="Not available","",VLOOKUP(F1430,Sheet2!$B$1:$E$19,4,FALSE)+(G1430-1))</f>
        <v>3780042</v>
      </c>
    </row>
    <row r="1431" spans="1:15" s="1" customFormat="1" ht="15" customHeight="1" x14ac:dyDescent="0.25">
      <c r="A1431" s="18" t="s">
        <v>203</v>
      </c>
      <c r="B1431" s="18" t="s">
        <v>172</v>
      </c>
      <c r="C1431" s="5">
        <v>1825</v>
      </c>
      <c r="E1431" s="1" t="s">
        <v>2</v>
      </c>
      <c r="F1431" s="18">
        <v>2173</v>
      </c>
      <c r="G1431" s="18">
        <v>78</v>
      </c>
      <c r="H1431" s="5">
        <v>149</v>
      </c>
      <c r="I1431" s="1">
        <v>99</v>
      </c>
      <c r="J1431" s="1">
        <v>210</v>
      </c>
      <c r="L1431" t="str">
        <f t="shared" si="22"/>
        <v>http://www.badatelna.eu/reprodukce/?fondId=1073&amp;zaznamId=1108959&amp;reproId=3780071</v>
      </c>
      <c r="M1431">
        <f>VLOOKUP(F1431,Sheet2!$B$1:$E$19,2,FALSE)</f>
        <v>1073</v>
      </c>
      <c r="N1431">
        <f>VLOOKUP(F1431,Sheet2!$B$1:$E$19,3,FALSE)</f>
        <v>1108959</v>
      </c>
      <c r="O1431">
        <f>IF(G1431="Not available","",VLOOKUP(F1431,Sheet2!$B$1:$E$19,4,FALSE)+(G1431-1))</f>
        <v>3780071</v>
      </c>
    </row>
    <row r="1432" spans="1:15" s="1" customFormat="1" ht="15" customHeight="1" x14ac:dyDescent="0.25">
      <c r="A1432" s="18" t="s">
        <v>203</v>
      </c>
      <c r="B1432" s="18" t="s">
        <v>56</v>
      </c>
      <c r="C1432" s="5">
        <v>1818</v>
      </c>
      <c r="E1432" s="1" t="s">
        <v>2</v>
      </c>
      <c r="F1432" s="18">
        <v>2173</v>
      </c>
      <c r="G1432" s="18">
        <v>68</v>
      </c>
      <c r="H1432" s="5">
        <v>129</v>
      </c>
      <c r="I1432" s="1">
        <v>99</v>
      </c>
      <c r="J1432" s="1">
        <v>210</v>
      </c>
      <c r="L1432" t="str">
        <f t="shared" si="22"/>
        <v>http://www.badatelna.eu/reprodukce/?fondId=1073&amp;zaznamId=1108959&amp;reproId=3780061</v>
      </c>
      <c r="M1432">
        <f>VLOOKUP(F1432,Sheet2!$B$1:$E$19,2,FALSE)</f>
        <v>1073</v>
      </c>
      <c r="N1432">
        <f>VLOOKUP(F1432,Sheet2!$B$1:$E$19,3,FALSE)</f>
        <v>1108959</v>
      </c>
      <c r="O1432">
        <f>IF(G1432="Not available","",VLOOKUP(F1432,Sheet2!$B$1:$E$19,4,FALSE)+(G1432-1))</f>
        <v>3780061</v>
      </c>
    </row>
    <row r="1433" spans="1:15" s="1" customFormat="1" ht="15" customHeight="1" x14ac:dyDescent="0.25">
      <c r="A1433" s="18" t="s">
        <v>203</v>
      </c>
      <c r="B1433" s="18" t="s">
        <v>21</v>
      </c>
      <c r="C1433" s="5">
        <v>1812</v>
      </c>
      <c r="E1433" s="1" t="s">
        <v>2</v>
      </c>
      <c r="F1433" s="18">
        <v>2173</v>
      </c>
      <c r="G1433" s="18">
        <v>59</v>
      </c>
      <c r="H1433" s="5">
        <v>113</v>
      </c>
      <c r="I1433" s="1">
        <v>99</v>
      </c>
      <c r="J1433" s="1">
        <v>210</v>
      </c>
      <c r="L1433" t="str">
        <f t="shared" si="22"/>
        <v>http://www.badatelna.eu/reprodukce/?fondId=1073&amp;zaznamId=1108959&amp;reproId=3780052</v>
      </c>
      <c r="M1433">
        <f>VLOOKUP(F1433,Sheet2!$B$1:$E$19,2,FALSE)</f>
        <v>1073</v>
      </c>
      <c r="N1433">
        <f>VLOOKUP(F1433,Sheet2!$B$1:$E$19,3,FALSE)</f>
        <v>1108959</v>
      </c>
      <c r="O1433">
        <f>IF(G1433="Not available","",VLOOKUP(F1433,Sheet2!$B$1:$E$19,4,FALSE)+(G1433-1))</f>
        <v>3780052</v>
      </c>
    </row>
    <row r="1434" spans="1:15" s="1" customFormat="1" ht="15" customHeight="1" x14ac:dyDescent="0.25">
      <c r="A1434" s="18" t="s">
        <v>203</v>
      </c>
      <c r="B1434" s="18" t="s">
        <v>214</v>
      </c>
      <c r="C1434" s="5">
        <v>1827</v>
      </c>
      <c r="E1434" s="1" t="s">
        <v>2</v>
      </c>
      <c r="F1434" s="18">
        <v>2173</v>
      </c>
      <c r="G1434" s="18">
        <v>80</v>
      </c>
      <c r="H1434" s="5">
        <v>152</v>
      </c>
      <c r="I1434" s="1">
        <v>99</v>
      </c>
      <c r="J1434" s="1">
        <v>210</v>
      </c>
      <c r="L1434" t="str">
        <f t="shared" si="22"/>
        <v>http://www.badatelna.eu/reprodukce/?fondId=1073&amp;zaznamId=1108959&amp;reproId=3780073</v>
      </c>
      <c r="M1434">
        <f>VLOOKUP(F1434,Sheet2!$B$1:$E$19,2,FALSE)</f>
        <v>1073</v>
      </c>
      <c r="N1434">
        <f>VLOOKUP(F1434,Sheet2!$B$1:$E$19,3,FALSE)</f>
        <v>1108959</v>
      </c>
      <c r="O1434">
        <f>IF(G1434="Not available","",VLOOKUP(F1434,Sheet2!$B$1:$E$19,4,FALSE)+(G1434-1))</f>
        <v>3780073</v>
      </c>
    </row>
    <row r="1435" spans="1:15" s="1" customFormat="1" ht="15" customHeight="1" x14ac:dyDescent="0.25">
      <c r="A1435" s="18" t="s">
        <v>203</v>
      </c>
      <c r="B1435" s="18" t="s">
        <v>13</v>
      </c>
      <c r="C1435" s="5">
        <v>1793</v>
      </c>
      <c r="D1435" s="1" t="s">
        <v>133</v>
      </c>
      <c r="E1435" s="1" t="s">
        <v>2</v>
      </c>
      <c r="F1435" s="18">
        <v>2173</v>
      </c>
      <c r="G1435" s="18">
        <v>30</v>
      </c>
      <c r="H1435" s="5">
        <v>54</v>
      </c>
      <c r="I1435" s="1">
        <v>98</v>
      </c>
      <c r="J1435" s="1">
        <v>209</v>
      </c>
      <c r="L1435" t="str">
        <f t="shared" si="22"/>
        <v>http://www.badatelna.eu/reprodukce/?fondId=1073&amp;zaznamId=1108959&amp;reproId=3780023</v>
      </c>
      <c r="M1435">
        <f>VLOOKUP(F1435,Sheet2!$B$1:$E$19,2,FALSE)</f>
        <v>1073</v>
      </c>
      <c r="N1435">
        <f>VLOOKUP(F1435,Sheet2!$B$1:$E$19,3,FALSE)</f>
        <v>1108959</v>
      </c>
      <c r="O1435">
        <f>IF(G1435="Not available","",VLOOKUP(F1435,Sheet2!$B$1:$E$19,4,FALSE)+(G1435-1))</f>
        <v>3780023</v>
      </c>
    </row>
    <row r="1436" spans="1:15" s="1" customFormat="1" ht="15" customHeight="1" x14ac:dyDescent="0.25">
      <c r="A1436" s="18" t="s">
        <v>1026</v>
      </c>
      <c r="B1436" s="18" t="s">
        <v>2189</v>
      </c>
      <c r="C1436" s="10" t="s">
        <v>2024</v>
      </c>
      <c r="D1436" s="3" t="s">
        <v>2300</v>
      </c>
      <c r="E1436" s="4" t="s">
        <v>2</v>
      </c>
      <c r="F1436" s="18">
        <v>2176</v>
      </c>
      <c r="G1436" s="18" t="s">
        <v>3271</v>
      </c>
      <c r="H1436" s="10" t="s">
        <v>2088</v>
      </c>
      <c r="I1436" s="3">
        <v>16</v>
      </c>
      <c r="J1436" s="3" t="s">
        <v>3271</v>
      </c>
      <c r="K1436" s="3"/>
      <c r="L1436" t="str">
        <f t="shared" si="22"/>
        <v/>
      </c>
      <c r="M1436">
        <f>VLOOKUP(F1436,Sheet2!$B$1:$E$19,2,FALSE)</f>
        <v>1073</v>
      </c>
      <c r="N1436">
        <f>VLOOKUP(F1436,Sheet2!$B$1:$E$19,3,FALSE)</f>
        <v>1108963</v>
      </c>
      <c r="O1436" t="str">
        <f>IF(G1436="Not available","",VLOOKUP(F1436,Sheet2!$B$1:$E$19,4,FALSE)+(G1436-1))</f>
        <v/>
      </c>
    </row>
    <row r="1437" spans="1:15" s="1" customFormat="1" ht="15" customHeight="1" x14ac:dyDescent="0.25">
      <c r="A1437" s="18" t="s">
        <v>1026</v>
      </c>
      <c r="B1437" s="18" t="s">
        <v>1164</v>
      </c>
      <c r="C1437" s="5">
        <v>1885</v>
      </c>
      <c r="D1437" s="1" t="s">
        <v>649</v>
      </c>
      <c r="E1437" s="1" t="s">
        <v>2</v>
      </c>
      <c r="F1437" s="18">
        <v>2165</v>
      </c>
      <c r="G1437" s="18">
        <v>199</v>
      </c>
      <c r="H1437" s="5">
        <v>1</v>
      </c>
      <c r="I1437" s="1">
        <v>204</v>
      </c>
      <c r="J1437" s="1">
        <v>187</v>
      </c>
      <c r="L1437" t="str">
        <f t="shared" si="22"/>
        <v>http://www.badatelna.eu/reprodukce/?fondId=1073&amp;zaznamId=1108952&amp;reproId=3779060</v>
      </c>
      <c r="M1437">
        <f>VLOOKUP(F1437,Sheet2!$B$1:$E$19,2,FALSE)</f>
        <v>1073</v>
      </c>
      <c r="N1437">
        <f>VLOOKUP(F1437,Sheet2!$B$1:$E$19,3,FALSE)</f>
        <v>1108952</v>
      </c>
      <c r="O1437">
        <f>IF(G1437="Not available","",VLOOKUP(F1437,Sheet2!$B$1:$E$19,4,FALSE)+(G1437-1))</f>
        <v>3779060</v>
      </c>
    </row>
    <row r="1438" spans="1:15" s="1" customFormat="1" ht="15" customHeight="1" x14ac:dyDescent="0.25">
      <c r="A1438" s="18" t="s">
        <v>1026</v>
      </c>
      <c r="B1438" s="18" t="s">
        <v>2119</v>
      </c>
      <c r="C1438" s="10" t="s">
        <v>1960</v>
      </c>
      <c r="D1438" s="3" t="s">
        <v>2365</v>
      </c>
      <c r="E1438" s="4" t="s">
        <v>2</v>
      </c>
      <c r="F1438" s="18">
        <v>2176</v>
      </c>
      <c r="G1438" s="18" t="s">
        <v>3271</v>
      </c>
      <c r="H1438" s="10" t="s">
        <v>1954</v>
      </c>
      <c r="I1438" s="3">
        <v>18</v>
      </c>
      <c r="J1438" s="3" t="s">
        <v>3271</v>
      </c>
      <c r="K1438" s="3"/>
      <c r="L1438" t="str">
        <f t="shared" si="22"/>
        <v/>
      </c>
      <c r="M1438">
        <f>VLOOKUP(F1438,Sheet2!$B$1:$E$19,2,FALSE)</f>
        <v>1073</v>
      </c>
      <c r="N1438">
        <f>VLOOKUP(F1438,Sheet2!$B$1:$E$19,3,FALSE)</f>
        <v>1108963</v>
      </c>
      <c r="O1438" t="str">
        <f>IF(G1438="Not available","",VLOOKUP(F1438,Sheet2!$B$1:$E$19,4,FALSE)+(G1438-1))</f>
        <v/>
      </c>
    </row>
    <row r="1439" spans="1:15" s="1" customFormat="1" ht="15" customHeight="1" x14ac:dyDescent="0.25">
      <c r="A1439" s="18" t="s">
        <v>1026</v>
      </c>
      <c r="B1439" s="18" t="s">
        <v>2089</v>
      </c>
      <c r="C1439" s="10" t="s">
        <v>2026</v>
      </c>
      <c r="D1439" s="3" t="s">
        <v>2298</v>
      </c>
      <c r="E1439" s="4" t="s">
        <v>2</v>
      </c>
      <c r="F1439" s="18">
        <v>2176</v>
      </c>
      <c r="G1439" s="18" t="s">
        <v>3271</v>
      </c>
      <c r="H1439" s="10" t="s">
        <v>2053</v>
      </c>
      <c r="I1439" s="3">
        <v>16</v>
      </c>
      <c r="J1439" s="3" t="s">
        <v>3271</v>
      </c>
      <c r="K1439" s="3"/>
      <c r="L1439" t="str">
        <f t="shared" si="22"/>
        <v/>
      </c>
      <c r="M1439">
        <f>VLOOKUP(F1439,Sheet2!$B$1:$E$19,2,FALSE)</f>
        <v>1073</v>
      </c>
      <c r="N1439">
        <f>VLOOKUP(F1439,Sheet2!$B$1:$E$19,3,FALSE)</f>
        <v>1108963</v>
      </c>
      <c r="O1439" t="str">
        <f>IF(G1439="Not available","",VLOOKUP(F1439,Sheet2!$B$1:$E$19,4,FALSE)+(G1439-1))</f>
        <v/>
      </c>
    </row>
    <row r="1440" spans="1:15" s="1" customFormat="1" ht="15" customHeight="1" x14ac:dyDescent="0.25">
      <c r="A1440" s="18" t="s">
        <v>1026</v>
      </c>
      <c r="B1440" s="18" t="s">
        <v>431</v>
      </c>
      <c r="C1440" s="5" t="s">
        <v>1718</v>
      </c>
      <c r="D1440" s="1" t="s">
        <v>12</v>
      </c>
      <c r="E1440" s="1" t="s">
        <v>2</v>
      </c>
      <c r="F1440" s="18">
        <v>2165</v>
      </c>
      <c r="G1440" s="18">
        <v>166</v>
      </c>
      <c r="H1440" s="5">
        <v>2</v>
      </c>
      <c r="I1440" s="1">
        <v>170</v>
      </c>
      <c r="J1440" s="1">
        <v>148</v>
      </c>
      <c r="L1440" t="str">
        <f t="shared" si="22"/>
        <v>http://www.badatelna.eu/reprodukce/?fondId=1073&amp;zaznamId=1108952&amp;reproId=3779027</v>
      </c>
      <c r="M1440">
        <f>VLOOKUP(F1440,Sheet2!$B$1:$E$19,2,FALSE)</f>
        <v>1073</v>
      </c>
      <c r="N1440">
        <f>VLOOKUP(F1440,Sheet2!$B$1:$E$19,3,FALSE)</f>
        <v>1108952</v>
      </c>
      <c r="O1440">
        <f>IF(G1440="Not available","",VLOOKUP(F1440,Sheet2!$B$1:$E$19,4,FALSE)+(G1440-1))</f>
        <v>3779027</v>
      </c>
    </row>
    <row r="1441" spans="1:15" s="1" customFormat="1" ht="15" customHeight="1" x14ac:dyDescent="0.25">
      <c r="A1441" s="18" t="s">
        <v>1026</v>
      </c>
      <c r="B1441" s="18" t="s">
        <v>1175</v>
      </c>
      <c r="C1441" s="10" t="s">
        <v>2015</v>
      </c>
      <c r="D1441" s="3" t="s">
        <v>2298</v>
      </c>
      <c r="E1441" s="4" t="s">
        <v>2</v>
      </c>
      <c r="F1441" s="18">
        <v>2176</v>
      </c>
      <c r="G1441" s="18" t="s">
        <v>3271</v>
      </c>
      <c r="H1441" s="10" t="s">
        <v>2080</v>
      </c>
      <c r="I1441" s="3">
        <v>16</v>
      </c>
      <c r="J1441" s="3" t="s">
        <v>3271</v>
      </c>
      <c r="K1441" s="3"/>
      <c r="L1441" t="str">
        <f t="shared" si="22"/>
        <v/>
      </c>
      <c r="M1441">
        <f>VLOOKUP(F1441,Sheet2!$B$1:$E$19,2,FALSE)</f>
        <v>1073</v>
      </c>
      <c r="N1441">
        <f>VLOOKUP(F1441,Sheet2!$B$1:$E$19,3,FALSE)</f>
        <v>1108963</v>
      </c>
      <c r="O1441" t="str">
        <f>IF(G1441="Not available","",VLOOKUP(F1441,Sheet2!$B$1:$E$19,4,FALSE)+(G1441-1))</f>
        <v/>
      </c>
    </row>
    <row r="1442" spans="1:15" s="1" customFormat="1" ht="15" customHeight="1" x14ac:dyDescent="0.25">
      <c r="A1442" s="18" t="s">
        <v>1026</v>
      </c>
      <c r="B1442" s="18" t="s">
        <v>2369</v>
      </c>
      <c r="C1442" s="10" t="s">
        <v>2121</v>
      </c>
      <c r="D1442" s="3" t="s">
        <v>2361</v>
      </c>
      <c r="E1442" s="4" t="s">
        <v>2</v>
      </c>
      <c r="F1442" s="18">
        <v>2176</v>
      </c>
      <c r="G1442" s="18" t="s">
        <v>3271</v>
      </c>
      <c r="H1442" s="10" t="s">
        <v>1955</v>
      </c>
      <c r="I1442" s="3">
        <v>18</v>
      </c>
      <c r="J1442" s="3" t="s">
        <v>3271</v>
      </c>
      <c r="K1442" s="3"/>
      <c r="L1442" t="str">
        <f t="shared" si="22"/>
        <v/>
      </c>
      <c r="M1442">
        <f>VLOOKUP(F1442,Sheet2!$B$1:$E$19,2,FALSE)</f>
        <v>1073</v>
      </c>
      <c r="N1442">
        <f>VLOOKUP(F1442,Sheet2!$B$1:$E$19,3,FALSE)</f>
        <v>1108963</v>
      </c>
      <c r="O1442" t="str">
        <f>IF(G1442="Not available","",VLOOKUP(F1442,Sheet2!$B$1:$E$19,4,FALSE)+(G1442-1))</f>
        <v/>
      </c>
    </row>
    <row r="1443" spans="1:15" s="1" customFormat="1" ht="15" customHeight="1" x14ac:dyDescent="0.25">
      <c r="A1443" s="18" t="s">
        <v>1026</v>
      </c>
      <c r="B1443" s="18" t="s">
        <v>2360</v>
      </c>
      <c r="C1443" s="10" t="s">
        <v>2263</v>
      </c>
      <c r="D1443" s="3" t="s">
        <v>2361</v>
      </c>
      <c r="E1443" s="4" t="s">
        <v>2</v>
      </c>
      <c r="F1443" s="18">
        <v>2176</v>
      </c>
      <c r="G1443" s="18" t="s">
        <v>3271</v>
      </c>
      <c r="H1443" s="10" t="s">
        <v>2088</v>
      </c>
      <c r="I1443" s="3">
        <v>18</v>
      </c>
      <c r="J1443" s="3" t="s">
        <v>3271</v>
      </c>
      <c r="K1443" s="3"/>
      <c r="L1443" t="str">
        <f t="shared" si="22"/>
        <v/>
      </c>
      <c r="M1443">
        <f>VLOOKUP(F1443,Sheet2!$B$1:$E$19,2,FALSE)</f>
        <v>1073</v>
      </c>
      <c r="N1443">
        <f>VLOOKUP(F1443,Sheet2!$B$1:$E$19,3,FALSE)</f>
        <v>1108963</v>
      </c>
      <c r="O1443" t="str">
        <f>IF(G1443="Not available","",VLOOKUP(F1443,Sheet2!$B$1:$E$19,4,FALSE)+(G1443-1))</f>
        <v/>
      </c>
    </row>
    <row r="1444" spans="1:15" s="1" customFormat="1" ht="15" customHeight="1" x14ac:dyDescent="0.25">
      <c r="A1444" s="18" t="s">
        <v>1026</v>
      </c>
      <c r="B1444" s="18" t="s">
        <v>1078</v>
      </c>
      <c r="C1444" s="5">
        <v>1882</v>
      </c>
      <c r="D1444" s="1" t="s">
        <v>12</v>
      </c>
      <c r="E1444" s="1" t="s">
        <v>2</v>
      </c>
      <c r="F1444" s="18">
        <v>2165</v>
      </c>
      <c r="G1444" s="18">
        <v>180</v>
      </c>
      <c r="H1444" s="5">
        <v>4</v>
      </c>
      <c r="I1444" s="1">
        <v>182</v>
      </c>
      <c r="J1444" s="1">
        <v>159</v>
      </c>
      <c r="L1444" t="str">
        <f t="shared" si="22"/>
        <v>http://www.badatelna.eu/reprodukce/?fondId=1073&amp;zaznamId=1108952&amp;reproId=3779041</v>
      </c>
      <c r="M1444">
        <f>VLOOKUP(F1444,Sheet2!$B$1:$E$19,2,FALSE)</f>
        <v>1073</v>
      </c>
      <c r="N1444">
        <f>VLOOKUP(F1444,Sheet2!$B$1:$E$19,3,FALSE)</f>
        <v>1108952</v>
      </c>
      <c r="O1444">
        <f>IF(G1444="Not available","",VLOOKUP(F1444,Sheet2!$B$1:$E$19,4,FALSE)+(G1444-1))</f>
        <v>3779041</v>
      </c>
    </row>
    <row r="1445" spans="1:15" s="1" customFormat="1" ht="15" customHeight="1" x14ac:dyDescent="0.25">
      <c r="A1445" s="18" t="s">
        <v>1026</v>
      </c>
      <c r="B1445" s="18" t="s">
        <v>1078</v>
      </c>
      <c r="C1445" s="10" t="s">
        <v>1285</v>
      </c>
      <c r="D1445" s="3" t="s">
        <v>2298</v>
      </c>
      <c r="E1445" s="4" t="s">
        <v>2</v>
      </c>
      <c r="F1445" s="18">
        <v>2176</v>
      </c>
      <c r="G1445" s="18" t="s">
        <v>3271</v>
      </c>
      <c r="H1445" s="10" t="s">
        <v>2065</v>
      </c>
      <c r="I1445" s="3">
        <v>16</v>
      </c>
      <c r="J1445" s="3" t="s">
        <v>3271</v>
      </c>
      <c r="K1445" s="3"/>
      <c r="L1445" t="str">
        <f t="shared" si="22"/>
        <v/>
      </c>
      <c r="M1445">
        <f>VLOOKUP(F1445,Sheet2!$B$1:$E$19,2,FALSE)</f>
        <v>1073</v>
      </c>
      <c r="N1445">
        <f>VLOOKUP(F1445,Sheet2!$B$1:$E$19,3,FALSE)</f>
        <v>1108963</v>
      </c>
      <c r="O1445" t="str">
        <f>IF(G1445="Not available","",VLOOKUP(F1445,Sheet2!$B$1:$E$19,4,FALSE)+(G1445-1))</f>
        <v/>
      </c>
    </row>
    <row r="1446" spans="1:15" s="1" customFormat="1" ht="15" customHeight="1" x14ac:dyDescent="0.25">
      <c r="A1446" s="18" t="s">
        <v>2344</v>
      </c>
      <c r="B1446" s="18" t="s">
        <v>1259</v>
      </c>
      <c r="C1446" s="10" t="s">
        <v>2106</v>
      </c>
      <c r="D1446" s="3" t="s">
        <v>2345</v>
      </c>
      <c r="E1446" s="4" t="s">
        <v>2</v>
      </c>
      <c r="F1446" s="18">
        <v>2176</v>
      </c>
      <c r="G1446" s="18" t="s">
        <v>3271</v>
      </c>
      <c r="H1446" s="10" t="s">
        <v>1974</v>
      </c>
      <c r="I1446" s="3">
        <v>17</v>
      </c>
      <c r="J1446" s="3" t="s">
        <v>3271</v>
      </c>
      <c r="K1446" s="3"/>
      <c r="L1446" t="str">
        <f t="shared" si="22"/>
        <v/>
      </c>
      <c r="M1446">
        <f>VLOOKUP(F1446,Sheet2!$B$1:$E$19,2,FALSE)</f>
        <v>1073</v>
      </c>
      <c r="N1446">
        <f>VLOOKUP(F1446,Sheet2!$B$1:$E$19,3,FALSE)</f>
        <v>1108963</v>
      </c>
      <c r="O1446" t="str">
        <f>IF(G1446="Not available","",VLOOKUP(F1446,Sheet2!$B$1:$E$19,4,FALSE)+(G1446-1))</f>
        <v/>
      </c>
    </row>
    <row r="1447" spans="1:15" s="1" customFormat="1" ht="15" customHeight="1" x14ac:dyDescent="0.25">
      <c r="A1447" s="18" t="s">
        <v>2344</v>
      </c>
      <c r="B1447" s="18" t="s">
        <v>809</v>
      </c>
      <c r="C1447" s="10" t="s">
        <v>2102</v>
      </c>
      <c r="D1447" s="3" t="s">
        <v>2345</v>
      </c>
      <c r="E1447" s="4" t="s">
        <v>2</v>
      </c>
      <c r="F1447" s="18">
        <v>2176</v>
      </c>
      <c r="G1447" s="18" t="s">
        <v>3271</v>
      </c>
      <c r="H1447" s="10" t="s">
        <v>1979</v>
      </c>
      <c r="I1447" s="3">
        <v>17</v>
      </c>
      <c r="J1447" s="3" t="s">
        <v>3271</v>
      </c>
      <c r="K1447" s="3"/>
      <c r="L1447" t="str">
        <f t="shared" si="22"/>
        <v/>
      </c>
      <c r="M1447">
        <f>VLOOKUP(F1447,Sheet2!$B$1:$E$19,2,FALSE)</f>
        <v>1073</v>
      </c>
      <c r="N1447">
        <f>VLOOKUP(F1447,Sheet2!$B$1:$E$19,3,FALSE)</f>
        <v>1108963</v>
      </c>
      <c r="O1447" t="str">
        <f>IF(G1447="Not available","",VLOOKUP(F1447,Sheet2!$B$1:$E$19,4,FALSE)+(G1447-1))</f>
        <v/>
      </c>
    </row>
    <row r="1448" spans="1:15" s="1" customFormat="1" ht="15" customHeight="1" x14ac:dyDescent="0.25">
      <c r="A1448" s="18" t="s">
        <v>3346</v>
      </c>
      <c r="B1448" s="18" t="s">
        <v>136</v>
      </c>
      <c r="C1448" s="10" t="s">
        <v>3343</v>
      </c>
      <c r="D1448" s="3" t="s">
        <v>3368</v>
      </c>
      <c r="E1448" s="4" t="s">
        <v>2</v>
      </c>
      <c r="F1448" s="18">
        <v>2173</v>
      </c>
      <c r="G1448" s="18">
        <v>67</v>
      </c>
      <c r="H1448" s="10" t="s">
        <v>338</v>
      </c>
      <c r="I1448" s="3"/>
      <c r="J1448" s="3"/>
      <c r="K1448" s="3"/>
      <c r="L1448" t="str">
        <f t="shared" si="22"/>
        <v>http://www.badatelna.eu/reprodukce/?fondId=1073&amp;zaznamId=1108959&amp;reproId=3780060</v>
      </c>
      <c r="M1448">
        <f>VLOOKUP(F1448,Sheet2!$B$1:$E$19,2,FALSE)</f>
        <v>1073</v>
      </c>
      <c r="N1448">
        <f>VLOOKUP(F1448,Sheet2!$B$1:$E$19,3,FALSE)</f>
        <v>1108959</v>
      </c>
      <c r="O1448">
        <f>IF(G1448="Not available","",VLOOKUP(F1448,Sheet2!$B$1:$E$19,4,FALSE)+(G1448-1))</f>
        <v>3780060</v>
      </c>
    </row>
    <row r="1449" spans="1:15" s="1" customFormat="1" ht="15" customHeight="1" x14ac:dyDescent="0.25">
      <c r="A1449" s="18" t="s">
        <v>201</v>
      </c>
      <c r="B1449" s="18" t="s">
        <v>50</v>
      </c>
      <c r="C1449" s="5">
        <v>1787</v>
      </c>
      <c r="D1449" s="1" t="s">
        <v>13</v>
      </c>
      <c r="E1449" s="1" t="s">
        <v>2</v>
      </c>
      <c r="F1449" s="18">
        <v>2173</v>
      </c>
      <c r="G1449" s="18">
        <v>15</v>
      </c>
      <c r="H1449" s="5">
        <v>24</v>
      </c>
      <c r="I1449" s="1">
        <v>98</v>
      </c>
      <c r="J1449" s="1">
        <v>209</v>
      </c>
      <c r="L1449" t="str">
        <f t="shared" si="22"/>
        <v>http://www.badatelna.eu/reprodukce/?fondId=1073&amp;zaznamId=1108959&amp;reproId=3780008</v>
      </c>
      <c r="M1449">
        <f>VLOOKUP(F1449,Sheet2!$B$1:$E$19,2,FALSE)</f>
        <v>1073</v>
      </c>
      <c r="N1449">
        <f>VLOOKUP(F1449,Sheet2!$B$1:$E$19,3,FALSE)</f>
        <v>1108959</v>
      </c>
      <c r="O1449">
        <f>IF(G1449="Not available","",VLOOKUP(F1449,Sheet2!$B$1:$E$19,4,FALSE)+(G1449-1))</f>
        <v>3780008</v>
      </c>
    </row>
    <row r="1450" spans="1:15" s="1" customFormat="1" ht="15" customHeight="1" x14ac:dyDescent="0.25">
      <c r="A1450" s="18" t="s">
        <v>174</v>
      </c>
      <c r="B1450" s="18" t="s">
        <v>50</v>
      </c>
      <c r="C1450" s="5">
        <v>1792</v>
      </c>
      <c r="D1450" s="1" t="s">
        <v>26</v>
      </c>
      <c r="E1450" s="1" t="s">
        <v>2</v>
      </c>
      <c r="F1450" s="18">
        <v>2173</v>
      </c>
      <c r="G1450" s="18">
        <v>28</v>
      </c>
      <c r="H1450" s="5">
        <v>50</v>
      </c>
      <c r="I1450" s="1">
        <v>98</v>
      </c>
      <c r="J1450" s="1">
        <v>209</v>
      </c>
      <c r="L1450" t="str">
        <f t="shared" si="22"/>
        <v>http://www.badatelna.eu/reprodukce/?fondId=1073&amp;zaznamId=1108959&amp;reproId=3780021</v>
      </c>
      <c r="M1450">
        <f>VLOOKUP(F1450,Sheet2!$B$1:$E$19,2,FALSE)</f>
        <v>1073</v>
      </c>
      <c r="N1450">
        <f>VLOOKUP(F1450,Sheet2!$B$1:$E$19,3,FALSE)</f>
        <v>1108959</v>
      </c>
      <c r="O1450">
        <f>IF(G1450="Not available","",VLOOKUP(F1450,Sheet2!$B$1:$E$19,4,FALSE)+(G1450-1))</f>
        <v>3780021</v>
      </c>
    </row>
    <row r="1451" spans="1:15" s="1" customFormat="1" ht="15" customHeight="1" x14ac:dyDescent="0.25">
      <c r="A1451" s="18" t="s">
        <v>174</v>
      </c>
      <c r="B1451" s="18" t="s">
        <v>632</v>
      </c>
      <c r="C1451" s="5" t="s">
        <v>1404</v>
      </c>
      <c r="D1451" s="1" t="s">
        <v>219</v>
      </c>
      <c r="E1451" s="1" t="s">
        <v>2</v>
      </c>
      <c r="F1451" s="18">
        <v>2165</v>
      </c>
      <c r="G1451" s="18">
        <v>28</v>
      </c>
      <c r="H1451" s="5">
        <v>25</v>
      </c>
      <c r="I1451" s="1">
        <v>83</v>
      </c>
      <c r="J1451" s="1" t="s">
        <v>3271</v>
      </c>
      <c r="L1451" t="str">
        <f t="shared" si="22"/>
        <v>http://www.badatelna.eu/reprodukce/?fondId=1073&amp;zaznamId=1108952&amp;reproId=3778889</v>
      </c>
      <c r="M1451">
        <f>VLOOKUP(F1451,Sheet2!$B$1:$E$19,2,FALSE)</f>
        <v>1073</v>
      </c>
      <c r="N1451">
        <f>VLOOKUP(F1451,Sheet2!$B$1:$E$19,3,FALSE)</f>
        <v>1108952</v>
      </c>
      <c r="O1451">
        <f>IF(G1451="Not available","",VLOOKUP(F1451,Sheet2!$B$1:$E$19,4,FALSE)+(G1451-1))</f>
        <v>3778889</v>
      </c>
    </row>
    <row r="1452" spans="1:15" s="1" customFormat="1" ht="15" customHeight="1" x14ac:dyDescent="0.25">
      <c r="A1452" s="18" t="s">
        <v>174</v>
      </c>
      <c r="B1452" s="18" t="s">
        <v>196</v>
      </c>
      <c r="C1452" s="5">
        <v>1827</v>
      </c>
      <c r="E1452" s="1" t="s">
        <v>2</v>
      </c>
      <c r="F1452" s="18">
        <v>2173</v>
      </c>
      <c r="G1452" s="18">
        <v>80</v>
      </c>
      <c r="H1452" s="5">
        <v>153</v>
      </c>
      <c r="I1452" s="1">
        <v>99</v>
      </c>
      <c r="J1452" s="1">
        <v>210</v>
      </c>
      <c r="L1452" t="str">
        <f t="shared" si="22"/>
        <v>http://www.badatelna.eu/reprodukce/?fondId=1073&amp;zaznamId=1108959&amp;reproId=3780073</v>
      </c>
      <c r="M1452">
        <f>VLOOKUP(F1452,Sheet2!$B$1:$E$19,2,FALSE)</f>
        <v>1073</v>
      </c>
      <c r="N1452">
        <f>VLOOKUP(F1452,Sheet2!$B$1:$E$19,3,FALSE)</f>
        <v>1108959</v>
      </c>
      <c r="O1452">
        <f>IF(G1452="Not available","",VLOOKUP(F1452,Sheet2!$B$1:$E$19,4,FALSE)+(G1452-1))</f>
        <v>3780073</v>
      </c>
    </row>
    <row r="1453" spans="1:15" s="1" customFormat="1" ht="15" customHeight="1" x14ac:dyDescent="0.25">
      <c r="A1453" s="18" t="s">
        <v>174</v>
      </c>
      <c r="B1453" s="18" t="s">
        <v>657</v>
      </c>
      <c r="C1453" s="5">
        <v>1835</v>
      </c>
      <c r="D1453" s="1" t="s">
        <v>166</v>
      </c>
      <c r="E1453" s="1" t="s">
        <v>2</v>
      </c>
      <c r="F1453" s="18">
        <v>2174</v>
      </c>
      <c r="G1453" s="18">
        <v>81</v>
      </c>
      <c r="H1453" s="6" t="s">
        <v>3148</v>
      </c>
      <c r="I1453" s="1">
        <v>186</v>
      </c>
      <c r="J1453" s="1">
        <v>214</v>
      </c>
      <c r="L1453" t="str">
        <f t="shared" si="22"/>
        <v>http://www.badatelna.eu/reprodukce/?fondId=1073&amp;zaznamId=1108960&amp;reproId=3780305</v>
      </c>
      <c r="M1453">
        <f>VLOOKUP(F1453,Sheet2!$B$1:$E$19,2,FALSE)</f>
        <v>1073</v>
      </c>
      <c r="N1453">
        <f>VLOOKUP(F1453,Sheet2!$B$1:$E$19,3,FALSE)</f>
        <v>1108960</v>
      </c>
      <c r="O1453">
        <f>IF(G1453="Not available","",VLOOKUP(F1453,Sheet2!$B$1:$E$19,4,FALSE)+(G1453-1))</f>
        <v>3780305</v>
      </c>
    </row>
    <row r="1454" spans="1:15" s="1" customFormat="1" ht="15" customHeight="1" x14ac:dyDescent="0.25">
      <c r="A1454" s="18" t="s">
        <v>174</v>
      </c>
      <c r="B1454" s="18" t="s">
        <v>769</v>
      </c>
      <c r="C1454" s="5">
        <v>1864</v>
      </c>
      <c r="E1454" s="1" t="s">
        <v>939</v>
      </c>
      <c r="F1454" s="18">
        <v>999</v>
      </c>
      <c r="G1454" s="18">
        <v>51</v>
      </c>
      <c r="H1454" s="5">
        <v>49</v>
      </c>
      <c r="I1454" s="1">
        <v>67</v>
      </c>
      <c r="J1454" s="1">
        <v>101</v>
      </c>
      <c r="L1454" t="str">
        <f t="shared" si="22"/>
        <v>http://www.badatelna.eu/reprodukce/?fondId=241&amp;zaznamId=1133739&amp;reproId=3885780</v>
      </c>
      <c r="M1454">
        <f>VLOOKUP(F1454,Sheet2!$B$1:$E$19,2,FALSE)</f>
        <v>241</v>
      </c>
      <c r="N1454">
        <f>VLOOKUP(F1454,Sheet2!$B$1:$E$19,3,FALSE)</f>
        <v>1133739</v>
      </c>
      <c r="O1454">
        <f>IF(G1454="Not available","",VLOOKUP(F1454,Sheet2!$B$1:$E$19,4,FALSE)+(G1454-1))</f>
        <v>3885780</v>
      </c>
    </row>
    <row r="1455" spans="1:15" s="1" customFormat="1" ht="15" customHeight="1" x14ac:dyDescent="0.25">
      <c r="A1455" s="18" t="s">
        <v>174</v>
      </c>
      <c r="B1455" s="18" t="s">
        <v>166</v>
      </c>
      <c r="C1455" s="5">
        <v>1794</v>
      </c>
      <c r="D1455" s="1" t="s">
        <v>26</v>
      </c>
      <c r="E1455" s="1" t="s">
        <v>2</v>
      </c>
      <c r="F1455" s="18">
        <v>2173</v>
      </c>
      <c r="G1455" s="18">
        <v>31</v>
      </c>
      <c r="H1455" s="5">
        <v>56</v>
      </c>
      <c r="I1455" s="1">
        <v>98</v>
      </c>
      <c r="J1455" s="1">
        <v>209</v>
      </c>
      <c r="L1455" t="str">
        <f t="shared" si="22"/>
        <v>http://www.badatelna.eu/reprodukce/?fondId=1073&amp;zaznamId=1108959&amp;reproId=3780024</v>
      </c>
      <c r="M1455">
        <f>VLOOKUP(F1455,Sheet2!$B$1:$E$19,2,FALSE)</f>
        <v>1073</v>
      </c>
      <c r="N1455">
        <f>VLOOKUP(F1455,Sheet2!$B$1:$E$19,3,FALSE)</f>
        <v>1108959</v>
      </c>
      <c r="O1455">
        <f>IF(G1455="Not available","",VLOOKUP(F1455,Sheet2!$B$1:$E$19,4,FALSE)+(G1455-1))</f>
        <v>3780024</v>
      </c>
    </row>
    <row r="1456" spans="1:15" s="1" customFormat="1" ht="15" customHeight="1" x14ac:dyDescent="0.25">
      <c r="A1456" s="18" t="s">
        <v>174</v>
      </c>
      <c r="B1456" s="18" t="s">
        <v>166</v>
      </c>
      <c r="C1456" s="5">
        <v>1795</v>
      </c>
      <c r="D1456" s="1" t="s">
        <v>26</v>
      </c>
      <c r="E1456" s="1" t="s">
        <v>2</v>
      </c>
      <c r="F1456" s="18">
        <v>2173</v>
      </c>
      <c r="G1456" s="18">
        <v>32</v>
      </c>
      <c r="H1456" s="5">
        <v>59</v>
      </c>
      <c r="I1456" s="1">
        <v>95</v>
      </c>
      <c r="J1456" s="1">
        <v>201</v>
      </c>
      <c r="L1456" t="str">
        <f t="shared" si="22"/>
        <v>http://www.badatelna.eu/reprodukce/?fondId=1073&amp;zaznamId=1108959&amp;reproId=3780025</v>
      </c>
      <c r="M1456">
        <f>VLOOKUP(F1456,Sheet2!$B$1:$E$19,2,FALSE)</f>
        <v>1073</v>
      </c>
      <c r="N1456">
        <f>VLOOKUP(F1456,Sheet2!$B$1:$E$19,3,FALSE)</f>
        <v>1108959</v>
      </c>
      <c r="O1456">
        <f>IF(G1456="Not available","",VLOOKUP(F1456,Sheet2!$B$1:$E$19,4,FALSE)+(G1456-1))</f>
        <v>3780025</v>
      </c>
    </row>
    <row r="1457" spans="1:15" s="1" customFormat="1" ht="15" customHeight="1" x14ac:dyDescent="0.25">
      <c r="A1457" s="18" t="s">
        <v>174</v>
      </c>
      <c r="B1457" s="18" t="s">
        <v>135</v>
      </c>
      <c r="C1457" s="5">
        <v>1866</v>
      </c>
      <c r="E1457" s="1" t="s">
        <v>939</v>
      </c>
      <c r="F1457" s="18">
        <v>999</v>
      </c>
      <c r="G1457" s="18">
        <v>58</v>
      </c>
      <c r="H1457" s="5">
        <v>56</v>
      </c>
      <c r="I1457" s="1">
        <v>67</v>
      </c>
      <c r="J1457" s="1">
        <v>101</v>
      </c>
      <c r="L1457" t="str">
        <f t="shared" si="22"/>
        <v>http://www.badatelna.eu/reprodukce/?fondId=241&amp;zaznamId=1133739&amp;reproId=3885787</v>
      </c>
      <c r="M1457">
        <f>VLOOKUP(F1457,Sheet2!$B$1:$E$19,2,FALSE)</f>
        <v>241</v>
      </c>
      <c r="N1457">
        <f>VLOOKUP(F1457,Sheet2!$B$1:$E$19,3,FALSE)</f>
        <v>1133739</v>
      </c>
      <c r="O1457">
        <f>IF(G1457="Not available","",VLOOKUP(F1457,Sheet2!$B$1:$E$19,4,FALSE)+(G1457-1))</f>
        <v>3885787</v>
      </c>
    </row>
    <row r="1458" spans="1:15" s="1" customFormat="1" ht="15" customHeight="1" x14ac:dyDescent="0.25">
      <c r="A1458" s="18" t="s">
        <v>174</v>
      </c>
      <c r="B1458" s="18" t="s">
        <v>135</v>
      </c>
      <c r="C1458" s="5" t="s">
        <v>1395</v>
      </c>
      <c r="D1458" s="1" t="s">
        <v>219</v>
      </c>
      <c r="E1458" s="1" t="s">
        <v>2</v>
      </c>
      <c r="F1458" s="18">
        <v>2165</v>
      </c>
      <c r="G1458" s="18">
        <v>13</v>
      </c>
      <c r="H1458" s="5">
        <v>10</v>
      </c>
      <c r="I1458" s="1">
        <v>82</v>
      </c>
      <c r="J1458" s="1" t="s">
        <v>3271</v>
      </c>
      <c r="L1458" t="str">
        <f t="shared" si="22"/>
        <v>http://www.badatelna.eu/reprodukce/?fondId=1073&amp;zaznamId=1108952&amp;reproId=3778874</v>
      </c>
      <c r="M1458">
        <f>VLOOKUP(F1458,Sheet2!$B$1:$E$19,2,FALSE)</f>
        <v>1073</v>
      </c>
      <c r="N1458">
        <f>VLOOKUP(F1458,Sheet2!$B$1:$E$19,3,FALSE)</f>
        <v>1108952</v>
      </c>
      <c r="O1458">
        <f>IF(G1458="Not available","",VLOOKUP(F1458,Sheet2!$B$1:$E$19,4,FALSE)+(G1458-1))</f>
        <v>3778874</v>
      </c>
    </row>
    <row r="1459" spans="1:15" s="1" customFormat="1" ht="15" customHeight="1" x14ac:dyDescent="0.25">
      <c r="A1459" s="18" t="s">
        <v>174</v>
      </c>
      <c r="B1459" s="18" t="s">
        <v>495</v>
      </c>
      <c r="C1459" s="5">
        <v>1836</v>
      </c>
      <c r="D1459" s="1" t="s">
        <v>166</v>
      </c>
      <c r="E1459" s="1" t="s">
        <v>2</v>
      </c>
      <c r="F1459" s="18">
        <v>2174</v>
      </c>
      <c r="G1459" s="18">
        <v>95</v>
      </c>
      <c r="H1459" s="6" t="s">
        <v>3159</v>
      </c>
      <c r="I1459" s="1">
        <v>186</v>
      </c>
      <c r="J1459" s="1">
        <v>214</v>
      </c>
      <c r="L1459" t="str">
        <f t="shared" si="22"/>
        <v>http://www.badatelna.eu/reprodukce/?fondId=1073&amp;zaznamId=1108960&amp;reproId=3780319</v>
      </c>
      <c r="M1459">
        <f>VLOOKUP(F1459,Sheet2!$B$1:$E$19,2,FALSE)</f>
        <v>1073</v>
      </c>
      <c r="N1459">
        <f>VLOOKUP(F1459,Sheet2!$B$1:$E$19,3,FALSE)</f>
        <v>1108960</v>
      </c>
      <c r="O1459">
        <f>IF(G1459="Not available","",VLOOKUP(F1459,Sheet2!$B$1:$E$19,4,FALSE)+(G1459-1))</f>
        <v>3780319</v>
      </c>
    </row>
    <row r="1460" spans="1:15" s="1" customFormat="1" ht="15" customHeight="1" x14ac:dyDescent="0.25">
      <c r="A1460" s="18" t="s">
        <v>174</v>
      </c>
      <c r="B1460" s="18" t="s">
        <v>1022</v>
      </c>
      <c r="C1460" s="5" t="s">
        <v>1416</v>
      </c>
      <c r="D1460" s="1" t="s">
        <v>219</v>
      </c>
      <c r="E1460" s="1" t="s">
        <v>2</v>
      </c>
      <c r="F1460" s="18">
        <v>2165</v>
      </c>
      <c r="G1460" s="18">
        <v>44</v>
      </c>
      <c r="H1460" s="5">
        <v>41</v>
      </c>
      <c r="I1460" s="1">
        <v>83</v>
      </c>
      <c r="J1460" s="1" t="s">
        <v>3271</v>
      </c>
      <c r="L1460" t="str">
        <f t="shared" si="22"/>
        <v>http://www.badatelna.eu/reprodukce/?fondId=1073&amp;zaznamId=1108952&amp;reproId=3778905</v>
      </c>
      <c r="M1460">
        <f>VLOOKUP(F1460,Sheet2!$B$1:$E$19,2,FALSE)</f>
        <v>1073</v>
      </c>
      <c r="N1460">
        <f>VLOOKUP(F1460,Sheet2!$B$1:$E$19,3,FALSE)</f>
        <v>1108952</v>
      </c>
      <c r="O1460">
        <f>IF(G1460="Not available","",VLOOKUP(F1460,Sheet2!$B$1:$E$19,4,FALSE)+(G1460-1))</f>
        <v>3778905</v>
      </c>
    </row>
    <row r="1461" spans="1:15" s="1" customFormat="1" ht="15" customHeight="1" x14ac:dyDescent="0.25">
      <c r="A1461" s="18" t="s">
        <v>174</v>
      </c>
      <c r="B1461" s="18" t="s">
        <v>65</v>
      </c>
      <c r="C1461" s="5">
        <v>1824</v>
      </c>
      <c r="E1461" s="1" t="s">
        <v>2</v>
      </c>
      <c r="F1461" s="18">
        <v>2173</v>
      </c>
      <c r="G1461" s="18">
        <v>75</v>
      </c>
      <c r="H1461" s="5">
        <v>143</v>
      </c>
      <c r="I1461" s="1">
        <v>99</v>
      </c>
      <c r="J1461" s="1">
        <v>210</v>
      </c>
      <c r="L1461" t="str">
        <f t="shared" si="22"/>
        <v>http://www.badatelna.eu/reprodukce/?fondId=1073&amp;zaznamId=1108959&amp;reproId=3780068</v>
      </c>
      <c r="M1461">
        <f>VLOOKUP(F1461,Sheet2!$B$1:$E$19,2,FALSE)</f>
        <v>1073</v>
      </c>
      <c r="N1461">
        <f>VLOOKUP(F1461,Sheet2!$B$1:$E$19,3,FALSE)</f>
        <v>1108959</v>
      </c>
      <c r="O1461">
        <f>IF(G1461="Not available","",VLOOKUP(F1461,Sheet2!$B$1:$E$19,4,FALSE)+(G1461-1))</f>
        <v>3780068</v>
      </c>
    </row>
    <row r="1462" spans="1:15" s="1" customFormat="1" ht="15" customHeight="1" x14ac:dyDescent="0.25">
      <c r="A1462" s="18" t="s">
        <v>174</v>
      </c>
      <c r="B1462" s="18" t="s">
        <v>12</v>
      </c>
      <c r="C1462" s="5">
        <v>1796</v>
      </c>
      <c r="D1462" s="1" t="s">
        <v>26</v>
      </c>
      <c r="E1462" s="1" t="s">
        <v>2</v>
      </c>
      <c r="F1462" s="18">
        <v>2173</v>
      </c>
      <c r="G1462" s="18">
        <v>34</v>
      </c>
      <c r="H1462" s="5">
        <v>63</v>
      </c>
      <c r="I1462" s="1">
        <v>98</v>
      </c>
      <c r="J1462" s="1">
        <v>209</v>
      </c>
      <c r="L1462" t="str">
        <f t="shared" si="22"/>
        <v>http://www.badatelna.eu/reprodukce/?fondId=1073&amp;zaznamId=1108959&amp;reproId=3780027</v>
      </c>
      <c r="M1462">
        <f>VLOOKUP(F1462,Sheet2!$B$1:$E$19,2,FALSE)</f>
        <v>1073</v>
      </c>
      <c r="N1462">
        <f>VLOOKUP(F1462,Sheet2!$B$1:$E$19,3,FALSE)</f>
        <v>1108959</v>
      </c>
      <c r="O1462">
        <f>IF(G1462="Not available","",VLOOKUP(F1462,Sheet2!$B$1:$E$19,4,FALSE)+(G1462-1))</f>
        <v>3780027</v>
      </c>
    </row>
    <row r="1463" spans="1:15" s="1" customFormat="1" ht="15" customHeight="1" x14ac:dyDescent="0.25">
      <c r="A1463" s="18" t="s">
        <v>174</v>
      </c>
      <c r="B1463" s="18" t="s">
        <v>40</v>
      </c>
      <c r="C1463" s="5">
        <v>1815</v>
      </c>
      <c r="E1463" s="1" t="s">
        <v>2</v>
      </c>
      <c r="F1463" s="18">
        <v>2173</v>
      </c>
      <c r="G1463" s="18">
        <v>64</v>
      </c>
      <c r="H1463" s="5">
        <v>123</v>
      </c>
      <c r="I1463" s="1">
        <v>99</v>
      </c>
      <c r="J1463" s="1">
        <v>210</v>
      </c>
      <c r="L1463" t="str">
        <f t="shared" si="22"/>
        <v>http://www.badatelna.eu/reprodukce/?fondId=1073&amp;zaznamId=1108959&amp;reproId=3780057</v>
      </c>
      <c r="M1463">
        <f>VLOOKUP(F1463,Sheet2!$B$1:$E$19,2,FALSE)</f>
        <v>1073</v>
      </c>
      <c r="N1463">
        <f>VLOOKUP(F1463,Sheet2!$B$1:$E$19,3,FALSE)</f>
        <v>1108959</v>
      </c>
      <c r="O1463">
        <f>IF(G1463="Not available","",VLOOKUP(F1463,Sheet2!$B$1:$E$19,4,FALSE)+(G1463-1))</f>
        <v>3780057</v>
      </c>
    </row>
    <row r="1464" spans="1:15" s="1" customFormat="1" ht="15" customHeight="1" x14ac:dyDescent="0.25">
      <c r="A1464" s="18" t="s">
        <v>174</v>
      </c>
      <c r="B1464" s="18" t="s">
        <v>51</v>
      </c>
      <c r="C1464" s="5">
        <v>1840</v>
      </c>
      <c r="D1464" s="1" t="s">
        <v>166</v>
      </c>
      <c r="E1464" s="1" t="s">
        <v>2</v>
      </c>
      <c r="F1464" s="18">
        <v>2174</v>
      </c>
      <c r="G1464" s="18">
        <v>109</v>
      </c>
      <c r="H1464" s="6" t="s">
        <v>3176</v>
      </c>
      <c r="I1464" s="1">
        <v>186</v>
      </c>
      <c r="J1464" s="1">
        <v>214</v>
      </c>
      <c r="L1464" t="str">
        <f t="shared" si="22"/>
        <v>http://www.badatelna.eu/reprodukce/?fondId=1073&amp;zaznamId=1108960&amp;reproId=3780333</v>
      </c>
      <c r="M1464">
        <f>VLOOKUP(F1464,Sheet2!$B$1:$E$19,2,FALSE)</f>
        <v>1073</v>
      </c>
      <c r="N1464">
        <f>VLOOKUP(F1464,Sheet2!$B$1:$E$19,3,FALSE)</f>
        <v>1108960</v>
      </c>
      <c r="O1464">
        <f>IF(G1464="Not available","",VLOOKUP(F1464,Sheet2!$B$1:$E$19,4,FALSE)+(G1464-1))</f>
        <v>3780333</v>
      </c>
    </row>
    <row r="1465" spans="1:15" s="1" customFormat="1" ht="15" customHeight="1" x14ac:dyDescent="0.25">
      <c r="A1465" s="18" t="s">
        <v>174</v>
      </c>
      <c r="B1465" s="18" t="s">
        <v>133</v>
      </c>
      <c r="C1465" s="5">
        <v>1816</v>
      </c>
      <c r="E1465" s="1" t="s">
        <v>2</v>
      </c>
      <c r="F1465" s="18">
        <v>2173</v>
      </c>
      <c r="G1465" s="18">
        <v>66</v>
      </c>
      <c r="H1465" s="5">
        <v>126</v>
      </c>
      <c r="I1465" s="1">
        <v>99</v>
      </c>
      <c r="J1465" s="1">
        <v>210</v>
      </c>
      <c r="L1465" t="str">
        <f t="shared" si="22"/>
        <v>http://www.badatelna.eu/reprodukce/?fondId=1073&amp;zaznamId=1108959&amp;reproId=3780059</v>
      </c>
      <c r="M1465">
        <f>VLOOKUP(F1465,Sheet2!$B$1:$E$19,2,FALSE)</f>
        <v>1073</v>
      </c>
      <c r="N1465">
        <f>VLOOKUP(F1465,Sheet2!$B$1:$E$19,3,FALSE)</f>
        <v>1108959</v>
      </c>
      <c r="O1465">
        <f>IF(G1465="Not available","",VLOOKUP(F1465,Sheet2!$B$1:$E$19,4,FALSE)+(G1465-1))</f>
        <v>3780059</v>
      </c>
    </row>
    <row r="1466" spans="1:15" s="1" customFormat="1" ht="15" customHeight="1" x14ac:dyDescent="0.25">
      <c r="A1466" s="18" t="s">
        <v>174</v>
      </c>
      <c r="B1466" s="18" t="s">
        <v>602</v>
      </c>
      <c r="C1466" s="5" t="s">
        <v>1438</v>
      </c>
      <c r="D1466" s="1" t="s">
        <v>219</v>
      </c>
      <c r="E1466" s="1" t="s">
        <v>2</v>
      </c>
      <c r="F1466" s="18">
        <v>2165</v>
      </c>
      <c r="G1466" s="18">
        <v>76</v>
      </c>
      <c r="H1466" s="5">
        <v>73</v>
      </c>
      <c r="I1466" s="1">
        <v>83</v>
      </c>
      <c r="J1466" s="1" t="s">
        <v>3271</v>
      </c>
      <c r="L1466" t="str">
        <f t="shared" si="22"/>
        <v>http://www.badatelna.eu/reprodukce/?fondId=1073&amp;zaznamId=1108952&amp;reproId=3778937</v>
      </c>
      <c r="M1466">
        <f>VLOOKUP(F1466,Sheet2!$B$1:$E$19,2,FALSE)</f>
        <v>1073</v>
      </c>
      <c r="N1466">
        <f>VLOOKUP(F1466,Sheet2!$B$1:$E$19,3,FALSE)</f>
        <v>1108952</v>
      </c>
      <c r="O1466">
        <f>IF(G1466="Not available","",VLOOKUP(F1466,Sheet2!$B$1:$E$19,4,FALSE)+(G1466-1))</f>
        <v>3778937</v>
      </c>
    </row>
    <row r="1467" spans="1:15" s="1" customFormat="1" ht="15" customHeight="1" x14ac:dyDescent="0.25">
      <c r="A1467" s="18" t="s">
        <v>174</v>
      </c>
      <c r="B1467" s="18" t="s">
        <v>2066</v>
      </c>
      <c r="C1467" s="10" t="s">
        <v>2005</v>
      </c>
      <c r="D1467" s="3" t="s">
        <v>2288</v>
      </c>
      <c r="E1467" s="4" t="s">
        <v>2</v>
      </c>
      <c r="F1467" s="18">
        <v>2176</v>
      </c>
      <c r="G1467" s="18" t="s">
        <v>3271</v>
      </c>
      <c r="H1467" s="10" t="s">
        <v>2037</v>
      </c>
      <c r="I1467" s="3">
        <v>16</v>
      </c>
      <c r="J1467" s="3" t="s">
        <v>3271</v>
      </c>
      <c r="L1467" t="str">
        <f t="shared" si="22"/>
        <v/>
      </c>
      <c r="M1467">
        <f>VLOOKUP(F1467,Sheet2!$B$1:$E$19,2,FALSE)</f>
        <v>1073</v>
      </c>
      <c r="N1467">
        <f>VLOOKUP(F1467,Sheet2!$B$1:$E$19,3,FALSE)</f>
        <v>1108963</v>
      </c>
      <c r="O1467" t="str">
        <f>IF(G1467="Not available","",VLOOKUP(F1467,Sheet2!$B$1:$E$19,4,FALSE)+(G1467-1))</f>
        <v/>
      </c>
    </row>
    <row r="1468" spans="1:15" s="1" customFormat="1" ht="15" customHeight="1" x14ac:dyDescent="0.25">
      <c r="A1468" s="18" t="s">
        <v>174</v>
      </c>
      <c r="B1468" s="18" t="s">
        <v>216</v>
      </c>
      <c r="C1468" s="5">
        <v>1830</v>
      </c>
      <c r="E1468" s="1" t="s">
        <v>2</v>
      </c>
      <c r="F1468" s="18">
        <v>2173</v>
      </c>
      <c r="G1468" s="18">
        <v>87</v>
      </c>
      <c r="H1468" s="5">
        <v>161</v>
      </c>
      <c r="I1468" s="1">
        <v>99</v>
      </c>
      <c r="J1468" s="1">
        <v>210</v>
      </c>
      <c r="L1468" t="str">
        <f t="shared" si="22"/>
        <v>http://www.badatelna.eu/reprodukce/?fondId=1073&amp;zaznamId=1108959&amp;reproId=3780080</v>
      </c>
      <c r="M1468">
        <f>VLOOKUP(F1468,Sheet2!$B$1:$E$19,2,FALSE)</f>
        <v>1073</v>
      </c>
      <c r="N1468">
        <f>VLOOKUP(F1468,Sheet2!$B$1:$E$19,3,FALSE)</f>
        <v>1108959</v>
      </c>
      <c r="O1468">
        <f>IF(G1468="Not available","",VLOOKUP(F1468,Sheet2!$B$1:$E$19,4,FALSE)+(G1468-1))</f>
        <v>3780080</v>
      </c>
    </row>
    <row r="1469" spans="1:15" s="1" customFormat="1" ht="15" customHeight="1" x14ac:dyDescent="0.25">
      <c r="A1469" s="18" t="s">
        <v>174</v>
      </c>
      <c r="B1469" s="19" t="s">
        <v>2932</v>
      </c>
      <c r="C1469" s="5">
        <v>1788</v>
      </c>
      <c r="D1469" s="1" t="s">
        <v>26</v>
      </c>
      <c r="E1469" s="1" t="s">
        <v>2</v>
      </c>
      <c r="F1469" s="18">
        <v>2173</v>
      </c>
      <c r="G1469" s="18">
        <v>18</v>
      </c>
      <c r="H1469" s="5">
        <v>31</v>
      </c>
      <c r="I1469" s="1">
        <v>98</v>
      </c>
      <c r="J1469" s="1">
        <v>209</v>
      </c>
      <c r="L1469" t="str">
        <f t="shared" si="22"/>
        <v>http://www.badatelna.eu/reprodukce/?fondId=1073&amp;zaznamId=1108959&amp;reproId=3780011</v>
      </c>
      <c r="M1469">
        <f>VLOOKUP(F1469,Sheet2!$B$1:$E$19,2,FALSE)</f>
        <v>1073</v>
      </c>
      <c r="N1469">
        <f>VLOOKUP(F1469,Sheet2!$B$1:$E$19,3,FALSE)</f>
        <v>1108959</v>
      </c>
      <c r="O1469">
        <f>IF(G1469="Not available","",VLOOKUP(F1469,Sheet2!$B$1:$E$19,4,FALSE)+(G1469-1))</f>
        <v>3780011</v>
      </c>
    </row>
    <row r="1470" spans="1:15" s="1" customFormat="1" ht="15" customHeight="1" x14ac:dyDescent="0.25">
      <c r="A1470" s="18" t="s">
        <v>174</v>
      </c>
      <c r="B1470" s="18" t="s">
        <v>937</v>
      </c>
      <c r="C1470" s="5" t="s">
        <v>1427</v>
      </c>
      <c r="D1470" s="1" t="s">
        <v>219</v>
      </c>
      <c r="E1470" s="1" t="s">
        <v>2</v>
      </c>
      <c r="F1470" s="18">
        <v>2165</v>
      </c>
      <c r="G1470" s="18">
        <v>58</v>
      </c>
      <c r="H1470" s="5">
        <v>55</v>
      </c>
      <c r="I1470" s="1">
        <v>83</v>
      </c>
      <c r="J1470" s="1" t="s">
        <v>3271</v>
      </c>
      <c r="L1470" t="str">
        <f t="shared" si="22"/>
        <v>http://www.badatelna.eu/reprodukce/?fondId=1073&amp;zaznamId=1108952&amp;reproId=3778919</v>
      </c>
      <c r="M1470">
        <f>VLOOKUP(F1470,Sheet2!$B$1:$E$19,2,FALSE)</f>
        <v>1073</v>
      </c>
      <c r="N1470">
        <f>VLOOKUP(F1470,Sheet2!$B$1:$E$19,3,FALSE)</f>
        <v>1108952</v>
      </c>
      <c r="O1470">
        <f>IF(G1470="Not available","",VLOOKUP(F1470,Sheet2!$B$1:$E$19,4,FALSE)+(G1470-1))</f>
        <v>3778919</v>
      </c>
    </row>
    <row r="1471" spans="1:15" s="1" customFormat="1" ht="15" customHeight="1" x14ac:dyDescent="0.25">
      <c r="A1471" s="18" t="s">
        <v>174</v>
      </c>
      <c r="B1471" s="18" t="s">
        <v>13</v>
      </c>
      <c r="C1471" s="5">
        <v>1791</v>
      </c>
      <c r="D1471" s="1" t="s">
        <v>26</v>
      </c>
      <c r="E1471" s="1" t="s">
        <v>2</v>
      </c>
      <c r="F1471" s="18">
        <v>2173</v>
      </c>
      <c r="G1471" s="18">
        <v>24</v>
      </c>
      <c r="H1471" s="5">
        <v>43</v>
      </c>
      <c r="I1471" s="1">
        <v>98</v>
      </c>
      <c r="J1471" s="1">
        <v>209</v>
      </c>
      <c r="L1471" t="str">
        <f t="shared" si="22"/>
        <v>http://www.badatelna.eu/reprodukce/?fondId=1073&amp;zaznamId=1108959&amp;reproId=3780017</v>
      </c>
      <c r="M1471">
        <f>VLOOKUP(F1471,Sheet2!$B$1:$E$19,2,FALSE)</f>
        <v>1073</v>
      </c>
      <c r="N1471">
        <f>VLOOKUP(F1471,Sheet2!$B$1:$E$19,3,FALSE)</f>
        <v>1108959</v>
      </c>
      <c r="O1471">
        <f>IF(G1471="Not available","",VLOOKUP(F1471,Sheet2!$B$1:$E$19,4,FALSE)+(G1471-1))</f>
        <v>3780017</v>
      </c>
    </row>
    <row r="1472" spans="1:15" s="1" customFormat="1" ht="15" customHeight="1" x14ac:dyDescent="0.25">
      <c r="A1472" s="18" t="s">
        <v>174</v>
      </c>
      <c r="B1472" s="19" t="s">
        <v>93</v>
      </c>
      <c r="C1472" s="5">
        <v>1820</v>
      </c>
      <c r="E1472" s="1" t="s">
        <v>2</v>
      </c>
      <c r="F1472" s="18">
        <v>2173</v>
      </c>
      <c r="G1472" s="18">
        <v>70</v>
      </c>
      <c r="H1472" s="5">
        <v>133</v>
      </c>
      <c r="I1472" s="1">
        <v>99</v>
      </c>
      <c r="J1472" s="1">
        <v>210</v>
      </c>
      <c r="L1472" t="str">
        <f t="shared" si="22"/>
        <v>http://www.badatelna.eu/reprodukce/?fondId=1073&amp;zaznamId=1108959&amp;reproId=3780063</v>
      </c>
      <c r="M1472">
        <f>VLOOKUP(F1472,Sheet2!$B$1:$E$19,2,FALSE)</f>
        <v>1073</v>
      </c>
      <c r="N1472">
        <f>VLOOKUP(F1472,Sheet2!$B$1:$E$19,3,FALSE)</f>
        <v>1108959</v>
      </c>
      <c r="O1472">
        <f>IF(G1472="Not available","",VLOOKUP(F1472,Sheet2!$B$1:$E$19,4,FALSE)+(G1472-1))</f>
        <v>3780063</v>
      </c>
    </row>
    <row r="1473" spans="1:15" s="1" customFormat="1" ht="15" customHeight="1" x14ac:dyDescent="0.25">
      <c r="A1473" s="18" t="s">
        <v>99</v>
      </c>
      <c r="B1473" s="19" t="s">
        <v>563</v>
      </c>
      <c r="C1473" s="5">
        <v>1798</v>
      </c>
      <c r="E1473" s="1" t="s">
        <v>2</v>
      </c>
      <c r="F1473" s="18">
        <v>2173</v>
      </c>
      <c r="G1473" s="18">
        <v>41</v>
      </c>
      <c r="H1473" s="5">
        <v>76</v>
      </c>
      <c r="I1473" s="1">
        <v>98</v>
      </c>
      <c r="J1473" s="1">
        <v>209</v>
      </c>
      <c r="L1473" t="str">
        <f t="shared" si="22"/>
        <v>http://www.badatelna.eu/reprodukce/?fondId=1073&amp;zaznamId=1108959&amp;reproId=3780034</v>
      </c>
      <c r="M1473">
        <f>VLOOKUP(F1473,Sheet2!$B$1:$E$19,2,FALSE)</f>
        <v>1073</v>
      </c>
      <c r="N1473">
        <f>VLOOKUP(F1473,Sheet2!$B$1:$E$19,3,FALSE)</f>
        <v>1108959</v>
      </c>
      <c r="O1473">
        <f>IF(G1473="Not available","",VLOOKUP(F1473,Sheet2!$B$1:$E$19,4,FALSE)+(G1473-1))</f>
        <v>3780034</v>
      </c>
    </row>
    <row r="1474" spans="1:15" s="1" customFormat="1" ht="15" customHeight="1" x14ac:dyDescent="0.25">
      <c r="A1474" s="18" t="s">
        <v>99</v>
      </c>
      <c r="B1474" s="18" t="s">
        <v>212</v>
      </c>
      <c r="C1474" s="5">
        <v>1818</v>
      </c>
      <c r="E1474" s="1" t="s">
        <v>2</v>
      </c>
      <c r="F1474" s="18">
        <v>2173</v>
      </c>
      <c r="G1474" s="18">
        <v>68</v>
      </c>
      <c r="H1474" s="5">
        <v>129</v>
      </c>
      <c r="I1474" s="1">
        <v>99</v>
      </c>
      <c r="J1474" s="1">
        <v>210</v>
      </c>
      <c r="L1474" t="str">
        <f t="shared" si="22"/>
        <v>http://www.badatelna.eu/reprodukce/?fondId=1073&amp;zaznamId=1108959&amp;reproId=3780061</v>
      </c>
      <c r="M1474">
        <f>VLOOKUP(F1474,Sheet2!$B$1:$E$19,2,FALSE)</f>
        <v>1073</v>
      </c>
      <c r="N1474">
        <f>VLOOKUP(F1474,Sheet2!$B$1:$E$19,3,FALSE)</f>
        <v>1108959</v>
      </c>
      <c r="O1474">
        <f>IF(G1474="Not available","",VLOOKUP(F1474,Sheet2!$B$1:$E$19,4,FALSE)+(G1474-1))</f>
        <v>3780061</v>
      </c>
    </row>
    <row r="1475" spans="1:15" s="1" customFormat="1" ht="15" customHeight="1" x14ac:dyDescent="0.25">
      <c r="A1475" s="18" t="s">
        <v>99</v>
      </c>
      <c r="B1475" s="18" t="s">
        <v>200</v>
      </c>
      <c r="C1475" s="5">
        <v>1785</v>
      </c>
      <c r="D1475" s="1" t="s">
        <v>50</v>
      </c>
      <c r="E1475" s="1" t="s">
        <v>2</v>
      </c>
      <c r="F1475" s="18">
        <v>2173</v>
      </c>
      <c r="G1475" s="18">
        <v>12</v>
      </c>
      <c r="H1475" s="5">
        <v>18</v>
      </c>
      <c r="I1475" s="1">
        <v>98</v>
      </c>
      <c r="J1475" s="1">
        <v>209</v>
      </c>
      <c r="L1475" t="str">
        <f t="shared" ref="L1475:L1538" si="23">IF(G1475="Not available","","http://www.badatelna.eu/reprodukce/?fondId="&amp;M1475&amp;"&amp;zaznamId="&amp;N1475&amp;"&amp;reproId="&amp;O1475)</f>
        <v>http://www.badatelna.eu/reprodukce/?fondId=1073&amp;zaznamId=1108959&amp;reproId=3780005</v>
      </c>
      <c r="M1475">
        <f>VLOOKUP(F1475,Sheet2!$B$1:$E$19,2,FALSE)</f>
        <v>1073</v>
      </c>
      <c r="N1475">
        <f>VLOOKUP(F1475,Sheet2!$B$1:$E$19,3,FALSE)</f>
        <v>1108959</v>
      </c>
      <c r="O1475">
        <f>IF(G1475="Not available","",VLOOKUP(F1475,Sheet2!$B$1:$E$19,4,FALSE)+(G1475-1))</f>
        <v>3780005</v>
      </c>
    </row>
    <row r="1476" spans="1:15" s="1" customFormat="1" ht="15" customHeight="1" x14ac:dyDescent="0.25">
      <c r="A1476" s="18" t="s">
        <v>205</v>
      </c>
      <c r="B1476" s="19" t="s">
        <v>2933</v>
      </c>
      <c r="C1476" s="5">
        <v>1802</v>
      </c>
      <c r="E1476" s="1" t="s">
        <v>2</v>
      </c>
      <c r="F1476" s="18">
        <v>2173</v>
      </c>
      <c r="G1476" s="18">
        <v>45</v>
      </c>
      <c r="H1476" s="5">
        <v>84</v>
      </c>
      <c r="I1476" s="1">
        <v>98</v>
      </c>
      <c r="J1476" s="1">
        <v>209</v>
      </c>
      <c r="L1476" t="str">
        <f t="shared" si="23"/>
        <v>http://www.badatelna.eu/reprodukce/?fondId=1073&amp;zaznamId=1108959&amp;reproId=3780038</v>
      </c>
      <c r="M1476">
        <f>VLOOKUP(F1476,Sheet2!$B$1:$E$19,2,FALSE)</f>
        <v>1073</v>
      </c>
      <c r="N1476">
        <f>VLOOKUP(F1476,Sheet2!$B$1:$E$19,3,FALSE)</f>
        <v>1108959</v>
      </c>
      <c r="O1476">
        <f>IF(G1476="Not available","",VLOOKUP(F1476,Sheet2!$B$1:$E$19,4,FALSE)+(G1476-1))</f>
        <v>3780038</v>
      </c>
    </row>
    <row r="1477" spans="1:15" s="1" customFormat="1" ht="15" customHeight="1" x14ac:dyDescent="0.25">
      <c r="A1477" s="18" t="s">
        <v>205</v>
      </c>
      <c r="B1477" s="18" t="s">
        <v>50</v>
      </c>
      <c r="C1477" s="5">
        <v>1833</v>
      </c>
      <c r="D1477" s="1" t="s">
        <v>422</v>
      </c>
      <c r="E1477" s="1" t="s">
        <v>2</v>
      </c>
      <c r="F1477" s="18">
        <v>2174</v>
      </c>
      <c r="G1477" s="18">
        <v>71</v>
      </c>
      <c r="H1477" s="6" t="s">
        <v>3139</v>
      </c>
      <c r="I1477" s="1">
        <v>186</v>
      </c>
      <c r="J1477" s="1">
        <v>214</v>
      </c>
      <c r="L1477" t="str">
        <f t="shared" si="23"/>
        <v>http://www.badatelna.eu/reprodukce/?fondId=1073&amp;zaznamId=1108960&amp;reproId=3780295</v>
      </c>
      <c r="M1477">
        <f>VLOOKUP(F1477,Sheet2!$B$1:$E$19,2,FALSE)</f>
        <v>1073</v>
      </c>
      <c r="N1477">
        <f>VLOOKUP(F1477,Sheet2!$B$1:$E$19,3,FALSE)</f>
        <v>1108960</v>
      </c>
      <c r="O1477">
        <f>IF(G1477="Not available","",VLOOKUP(F1477,Sheet2!$B$1:$E$19,4,FALSE)+(G1477-1))</f>
        <v>3780295</v>
      </c>
    </row>
    <row r="1478" spans="1:15" s="1" customFormat="1" ht="15" customHeight="1" x14ac:dyDescent="0.25">
      <c r="A1478" s="18" t="s">
        <v>205</v>
      </c>
      <c r="B1478" s="18" t="s">
        <v>50</v>
      </c>
      <c r="C1478" s="5">
        <v>1843</v>
      </c>
      <c r="D1478" s="1" t="s">
        <v>615</v>
      </c>
      <c r="E1478" s="1" t="s">
        <v>2</v>
      </c>
      <c r="F1478" s="18">
        <v>2174</v>
      </c>
      <c r="G1478" s="18">
        <v>133</v>
      </c>
      <c r="H1478" s="6" t="s">
        <v>3203</v>
      </c>
      <c r="I1478" s="1">
        <v>186</v>
      </c>
      <c r="J1478" s="1">
        <v>214</v>
      </c>
      <c r="L1478" t="str">
        <f t="shared" si="23"/>
        <v>http://www.badatelna.eu/reprodukce/?fondId=1073&amp;zaznamId=1108960&amp;reproId=3780357</v>
      </c>
      <c r="M1478">
        <f>VLOOKUP(F1478,Sheet2!$B$1:$E$19,2,FALSE)</f>
        <v>1073</v>
      </c>
      <c r="N1478">
        <f>VLOOKUP(F1478,Sheet2!$B$1:$E$19,3,FALSE)</f>
        <v>1108960</v>
      </c>
      <c r="O1478">
        <f>IF(G1478="Not available","",VLOOKUP(F1478,Sheet2!$B$1:$E$19,4,FALSE)+(G1478-1))</f>
        <v>3780357</v>
      </c>
    </row>
    <row r="1479" spans="1:15" s="1" customFormat="1" ht="15" customHeight="1" x14ac:dyDescent="0.25">
      <c r="A1479" s="18" t="s">
        <v>205</v>
      </c>
      <c r="B1479" s="18" t="s">
        <v>1025</v>
      </c>
      <c r="C1479" s="5" t="s">
        <v>1424</v>
      </c>
      <c r="D1479" s="1" t="s">
        <v>545</v>
      </c>
      <c r="E1479" s="1" t="s">
        <v>2</v>
      </c>
      <c r="F1479" s="18">
        <v>2165</v>
      </c>
      <c r="G1479" s="18">
        <v>54</v>
      </c>
      <c r="H1479" s="5">
        <v>51</v>
      </c>
      <c r="I1479" s="1">
        <v>83</v>
      </c>
      <c r="J1479" s="1" t="s">
        <v>3271</v>
      </c>
      <c r="L1479" t="str">
        <f t="shared" si="23"/>
        <v>http://www.badatelna.eu/reprodukce/?fondId=1073&amp;zaznamId=1108952&amp;reproId=3778915</v>
      </c>
      <c r="M1479">
        <f>VLOOKUP(F1479,Sheet2!$B$1:$E$19,2,FALSE)</f>
        <v>1073</v>
      </c>
      <c r="N1479">
        <f>VLOOKUP(F1479,Sheet2!$B$1:$E$19,3,FALSE)</f>
        <v>1108952</v>
      </c>
      <c r="O1479">
        <f>IF(G1479="Not available","",VLOOKUP(F1479,Sheet2!$B$1:$E$19,4,FALSE)+(G1479-1))</f>
        <v>3778915</v>
      </c>
    </row>
    <row r="1480" spans="1:15" s="1" customFormat="1" ht="15" customHeight="1" x14ac:dyDescent="0.25">
      <c r="A1480" s="18" t="s">
        <v>205</v>
      </c>
      <c r="B1480" s="18" t="s">
        <v>547</v>
      </c>
      <c r="C1480" s="5">
        <v>1831</v>
      </c>
      <c r="D1480" s="1" t="s">
        <v>422</v>
      </c>
      <c r="E1480" s="1" t="s">
        <v>2</v>
      </c>
      <c r="F1480" s="18">
        <v>2174</v>
      </c>
      <c r="G1480" s="18">
        <v>65</v>
      </c>
      <c r="H1480" s="6" t="s">
        <v>3109</v>
      </c>
      <c r="I1480" s="1">
        <v>186</v>
      </c>
      <c r="J1480" s="1">
        <v>214</v>
      </c>
      <c r="L1480" t="str">
        <f t="shared" si="23"/>
        <v>http://www.badatelna.eu/reprodukce/?fondId=1073&amp;zaznamId=1108960&amp;reproId=3780289</v>
      </c>
      <c r="M1480">
        <f>VLOOKUP(F1480,Sheet2!$B$1:$E$19,2,FALSE)</f>
        <v>1073</v>
      </c>
      <c r="N1480">
        <f>VLOOKUP(F1480,Sheet2!$B$1:$E$19,3,FALSE)</f>
        <v>1108960</v>
      </c>
      <c r="O1480">
        <f>IF(G1480="Not available","",VLOOKUP(F1480,Sheet2!$B$1:$E$19,4,FALSE)+(G1480-1))</f>
        <v>3780289</v>
      </c>
    </row>
    <row r="1481" spans="1:15" s="1" customFormat="1" ht="15" customHeight="1" x14ac:dyDescent="0.25">
      <c r="A1481" s="18" t="s">
        <v>205</v>
      </c>
      <c r="B1481" s="18" t="s">
        <v>868</v>
      </c>
      <c r="C1481" s="5" t="s">
        <v>1432</v>
      </c>
      <c r="D1481" s="1" t="s">
        <v>233</v>
      </c>
      <c r="E1481" s="1" t="s">
        <v>2</v>
      </c>
      <c r="F1481" s="18">
        <v>2165</v>
      </c>
      <c r="G1481" s="18">
        <v>66</v>
      </c>
      <c r="H1481" s="5">
        <v>63</v>
      </c>
      <c r="I1481" s="1">
        <v>83</v>
      </c>
      <c r="J1481" s="1" t="s">
        <v>3271</v>
      </c>
      <c r="L1481" t="str">
        <f t="shared" si="23"/>
        <v>http://www.badatelna.eu/reprodukce/?fondId=1073&amp;zaznamId=1108952&amp;reproId=3778927</v>
      </c>
      <c r="M1481">
        <f>VLOOKUP(F1481,Sheet2!$B$1:$E$19,2,FALSE)</f>
        <v>1073</v>
      </c>
      <c r="N1481">
        <f>VLOOKUP(F1481,Sheet2!$B$1:$E$19,3,FALSE)</f>
        <v>1108952</v>
      </c>
      <c r="O1481">
        <f>IF(G1481="Not available","",VLOOKUP(F1481,Sheet2!$B$1:$E$19,4,FALSE)+(G1481-1))</f>
        <v>3778927</v>
      </c>
    </row>
    <row r="1482" spans="1:15" s="1" customFormat="1" ht="15" customHeight="1" x14ac:dyDescent="0.25">
      <c r="A1482" s="18" t="s">
        <v>205</v>
      </c>
      <c r="B1482" s="18" t="s">
        <v>658</v>
      </c>
      <c r="C1482" s="5">
        <v>1836</v>
      </c>
      <c r="D1482" s="1" t="s">
        <v>422</v>
      </c>
      <c r="E1482" s="1" t="s">
        <v>2</v>
      </c>
      <c r="F1482" s="18">
        <v>2174</v>
      </c>
      <c r="G1482" s="18">
        <v>93</v>
      </c>
      <c r="H1482" s="6" t="s">
        <v>3158</v>
      </c>
      <c r="I1482" s="1">
        <v>186</v>
      </c>
      <c r="J1482" s="1">
        <v>214</v>
      </c>
      <c r="L1482" t="str">
        <f t="shared" si="23"/>
        <v>http://www.badatelna.eu/reprodukce/?fondId=1073&amp;zaznamId=1108960&amp;reproId=3780317</v>
      </c>
      <c r="M1482">
        <f>VLOOKUP(F1482,Sheet2!$B$1:$E$19,2,FALSE)</f>
        <v>1073</v>
      </c>
      <c r="N1482">
        <f>VLOOKUP(F1482,Sheet2!$B$1:$E$19,3,FALSE)</f>
        <v>1108960</v>
      </c>
      <c r="O1482">
        <f>IF(G1482="Not available","",VLOOKUP(F1482,Sheet2!$B$1:$E$19,4,FALSE)+(G1482-1))</f>
        <v>3780317</v>
      </c>
    </row>
    <row r="1483" spans="1:15" s="1" customFormat="1" ht="15" customHeight="1" x14ac:dyDescent="0.25">
      <c r="A1483" s="18" t="s">
        <v>205</v>
      </c>
      <c r="B1483" s="18" t="s">
        <v>769</v>
      </c>
      <c r="C1483" s="5">
        <v>1862</v>
      </c>
      <c r="E1483" s="1" t="s">
        <v>939</v>
      </c>
      <c r="F1483" s="18">
        <v>999</v>
      </c>
      <c r="G1483" s="18">
        <v>36</v>
      </c>
      <c r="H1483" s="5">
        <v>34</v>
      </c>
      <c r="I1483" s="1">
        <v>67</v>
      </c>
      <c r="J1483" s="1">
        <v>101</v>
      </c>
      <c r="L1483" t="str">
        <f t="shared" si="23"/>
        <v>http://www.badatelna.eu/reprodukce/?fondId=241&amp;zaznamId=1133739&amp;reproId=3885765</v>
      </c>
      <c r="M1483">
        <f>VLOOKUP(F1483,Sheet2!$B$1:$E$19,2,FALSE)</f>
        <v>241</v>
      </c>
      <c r="N1483">
        <f>VLOOKUP(F1483,Sheet2!$B$1:$E$19,3,FALSE)</f>
        <v>1133739</v>
      </c>
      <c r="O1483">
        <f>IF(G1483="Not available","",VLOOKUP(F1483,Sheet2!$B$1:$E$19,4,FALSE)+(G1483-1))</f>
        <v>3885765</v>
      </c>
    </row>
    <row r="1484" spans="1:15" s="1" customFormat="1" ht="15" customHeight="1" x14ac:dyDescent="0.25">
      <c r="A1484" s="18" t="s">
        <v>205</v>
      </c>
      <c r="B1484" s="18" t="s">
        <v>484</v>
      </c>
      <c r="C1484" s="5">
        <v>1866</v>
      </c>
      <c r="E1484" s="1" t="s">
        <v>939</v>
      </c>
      <c r="F1484" s="18">
        <v>999</v>
      </c>
      <c r="G1484" s="18">
        <v>61</v>
      </c>
      <c r="H1484" s="5">
        <v>59</v>
      </c>
      <c r="I1484" s="1">
        <v>67</v>
      </c>
      <c r="J1484" s="1">
        <v>101</v>
      </c>
      <c r="L1484" t="str">
        <f t="shared" si="23"/>
        <v>http://www.badatelna.eu/reprodukce/?fondId=241&amp;zaznamId=1133739&amp;reproId=3885790</v>
      </c>
      <c r="M1484">
        <f>VLOOKUP(F1484,Sheet2!$B$1:$E$19,2,FALSE)</f>
        <v>241</v>
      </c>
      <c r="N1484">
        <f>VLOOKUP(F1484,Sheet2!$B$1:$E$19,3,FALSE)</f>
        <v>1133739</v>
      </c>
      <c r="O1484">
        <f>IF(G1484="Not available","",VLOOKUP(F1484,Sheet2!$B$1:$E$19,4,FALSE)+(G1484-1))</f>
        <v>3885790</v>
      </c>
    </row>
    <row r="1485" spans="1:15" s="1" customFormat="1" ht="15" customHeight="1" x14ac:dyDescent="0.25">
      <c r="A1485" s="18" t="s">
        <v>205</v>
      </c>
      <c r="B1485" s="18" t="s">
        <v>484</v>
      </c>
      <c r="C1485" s="5" t="s">
        <v>1398</v>
      </c>
      <c r="D1485" s="1" t="s">
        <v>233</v>
      </c>
      <c r="E1485" s="1" t="s">
        <v>2</v>
      </c>
      <c r="F1485" s="18">
        <v>2165</v>
      </c>
      <c r="G1485" s="18">
        <v>16</v>
      </c>
      <c r="H1485" s="5">
        <v>13</v>
      </c>
      <c r="I1485" s="1">
        <v>82</v>
      </c>
      <c r="J1485" s="1" t="s">
        <v>3271</v>
      </c>
      <c r="L1485" t="str">
        <f t="shared" si="23"/>
        <v>http://www.badatelna.eu/reprodukce/?fondId=1073&amp;zaznamId=1108952&amp;reproId=3778877</v>
      </c>
      <c r="M1485">
        <f>VLOOKUP(F1485,Sheet2!$B$1:$E$19,2,FALSE)</f>
        <v>1073</v>
      </c>
      <c r="N1485">
        <f>VLOOKUP(F1485,Sheet2!$B$1:$E$19,3,FALSE)</f>
        <v>1108952</v>
      </c>
      <c r="O1485">
        <f>IF(G1485="Not available","",VLOOKUP(F1485,Sheet2!$B$1:$E$19,4,FALSE)+(G1485-1))</f>
        <v>3778877</v>
      </c>
    </row>
    <row r="1486" spans="1:15" s="1" customFormat="1" ht="15" customHeight="1" x14ac:dyDescent="0.25">
      <c r="A1486" s="18" t="s">
        <v>205</v>
      </c>
      <c r="B1486" s="18" t="s">
        <v>481</v>
      </c>
      <c r="C1486" s="10" t="s">
        <v>1969</v>
      </c>
      <c r="D1486" s="3" t="s">
        <v>2282</v>
      </c>
      <c r="E1486" s="4" t="s">
        <v>2</v>
      </c>
      <c r="F1486" s="18">
        <v>2176</v>
      </c>
      <c r="G1486" s="18" t="s">
        <v>3271</v>
      </c>
      <c r="H1486" s="10" t="s">
        <v>2283</v>
      </c>
      <c r="I1486" s="3">
        <v>16</v>
      </c>
      <c r="J1486" s="3" t="s">
        <v>3271</v>
      </c>
      <c r="L1486" t="str">
        <f t="shared" si="23"/>
        <v/>
      </c>
      <c r="M1486">
        <f>VLOOKUP(F1486,Sheet2!$B$1:$E$19,2,FALSE)</f>
        <v>1073</v>
      </c>
      <c r="N1486">
        <f>VLOOKUP(F1486,Sheet2!$B$1:$E$19,3,FALSE)</f>
        <v>1108963</v>
      </c>
      <c r="O1486" t="str">
        <f>IF(G1486="Not available","",VLOOKUP(F1486,Sheet2!$B$1:$E$19,4,FALSE)+(G1486-1))</f>
        <v/>
      </c>
    </row>
    <row r="1487" spans="1:15" s="1" customFormat="1" ht="15" customHeight="1" x14ac:dyDescent="0.25">
      <c r="A1487" s="18" t="s">
        <v>205</v>
      </c>
      <c r="B1487" s="18" t="s">
        <v>428</v>
      </c>
      <c r="C1487" s="5" t="s">
        <v>1414</v>
      </c>
      <c r="D1487" s="1" t="s">
        <v>233</v>
      </c>
      <c r="E1487" s="1" t="s">
        <v>2</v>
      </c>
      <c r="F1487" s="18">
        <v>2165</v>
      </c>
      <c r="G1487" s="18">
        <v>38</v>
      </c>
      <c r="H1487" s="5">
        <v>35</v>
      </c>
      <c r="I1487" s="1">
        <v>83</v>
      </c>
      <c r="J1487" s="1" t="s">
        <v>3271</v>
      </c>
      <c r="L1487" t="str">
        <f t="shared" si="23"/>
        <v>http://www.badatelna.eu/reprodukce/?fondId=1073&amp;zaznamId=1108952&amp;reproId=3778899</v>
      </c>
      <c r="M1487">
        <f>VLOOKUP(F1487,Sheet2!$B$1:$E$19,2,FALSE)</f>
        <v>1073</v>
      </c>
      <c r="N1487">
        <f>VLOOKUP(F1487,Sheet2!$B$1:$E$19,3,FALSE)</f>
        <v>1108952</v>
      </c>
      <c r="O1487">
        <f>IF(G1487="Not available","",VLOOKUP(F1487,Sheet2!$B$1:$E$19,4,FALSE)+(G1487-1))</f>
        <v>3778899</v>
      </c>
    </row>
    <row r="1488" spans="1:15" s="1" customFormat="1" ht="15" customHeight="1" x14ac:dyDescent="0.25">
      <c r="A1488" s="18" t="s">
        <v>205</v>
      </c>
      <c r="B1488" s="18" t="s">
        <v>40</v>
      </c>
      <c r="C1488" s="5">
        <v>1810</v>
      </c>
      <c r="E1488" s="1" t="s">
        <v>2</v>
      </c>
      <c r="F1488" s="18">
        <v>2173</v>
      </c>
      <c r="G1488" s="18">
        <v>56</v>
      </c>
      <c r="H1488" s="5">
        <v>107</v>
      </c>
      <c r="I1488" s="1">
        <v>99</v>
      </c>
      <c r="J1488" s="1">
        <v>210</v>
      </c>
      <c r="L1488" t="str">
        <f t="shared" si="23"/>
        <v>http://www.badatelna.eu/reprodukce/?fondId=1073&amp;zaznamId=1108959&amp;reproId=3780049</v>
      </c>
      <c r="M1488">
        <f>VLOOKUP(F1488,Sheet2!$B$1:$E$19,2,FALSE)</f>
        <v>1073</v>
      </c>
      <c r="N1488">
        <f>VLOOKUP(F1488,Sheet2!$B$1:$E$19,3,FALSE)</f>
        <v>1108959</v>
      </c>
      <c r="O1488">
        <f>IF(G1488="Not available","",VLOOKUP(F1488,Sheet2!$B$1:$E$19,4,FALSE)+(G1488-1))</f>
        <v>3780049</v>
      </c>
    </row>
    <row r="1489" spans="1:15" s="1" customFormat="1" ht="15" customHeight="1" x14ac:dyDescent="0.25">
      <c r="A1489" s="18" t="s">
        <v>205</v>
      </c>
      <c r="B1489" s="18" t="s">
        <v>437</v>
      </c>
      <c r="C1489" s="5">
        <v>1848</v>
      </c>
      <c r="D1489" s="1" t="s">
        <v>504</v>
      </c>
      <c r="E1489" s="1" t="s">
        <v>2</v>
      </c>
      <c r="F1489" s="18">
        <v>2164</v>
      </c>
      <c r="G1489" s="18">
        <v>16</v>
      </c>
      <c r="H1489" s="5">
        <v>14</v>
      </c>
      <c r="I1489" s="1">
        <v>128</v>
      </c>
      <c r="J1489" s="1" t="s">
        <v>3271</v>
      </c>
      <c r="L1489" t="str">
        <f t="shared" si="23"/>
        <v>http://www.badatelna.eu/reprodukce/?fondId=1073&amp;zaznamId=1108951&amp;reproId=3778730</v>
      </c>
      <c r="M1489">
        <f>VLOOKUP(F1489,Sheet2!$B$1:$E$19,2,FALSE)</f>
        <v>1073</v>
      </c>
      <c r="N1489">
        <f>VLOOKUP(F1489,Sheet2!$B$1:$E$19,3,FALSE)</f>
        <v>1108951</v>
      </c>
      <c r="O1489">
        <f>IF(G1489="Not available","",VLOOKUP(F1489,Sheet2!$B$1:$E$19,4,FALSE)+(G1489-1))</f>
        <v>3778730</v>
      </c>
    </row>
    <row r="1490" spans="1:15" s="1" customFormat="1" ht="15" customHeight="1" x14ac:dyDescent="0.25">
      <c r="A1490" s="18" t="s">
        <v>205</v>
      </c>
      <c r="B1490" s="18" t="s">
        <v>602</v>
      </c>
      <c r="C1490" s="10" t="s">
        <v>2025</v>
      </c>
      <c r="D1490" s="3" t="s">
        <v>2282</v>
      </c>
      <c r="E1490" s="4" t="s">
        <v>2</v>
      </c>
      <c r="F1490" s="18">
        <v>2176</v>
      </c>
      <c r="G1490" s="18" t="s">
        <v>3271</v>
      </c>
      <c r="H1490" s="10" t="s">
        <v>2086</v>
      </c>
      <c r="I1490" s="3">
        <v>16</v>
      </c>
      <c r="J1490" s="3" t="s">
        <v>3271</v>
      </c>
      <c r="K1490" s="3"/>
      <c r="L1490" t="str">
        <f t="shared" si="23"/>
        <v/>
      </c>
      <c r="M1490">
        <f>VLOOKUP(F1490,Sheet2!$B$1:$E$19,2,FALSE)</f>
        <v>1073</v>
      </c>
      <c r="N1490">
        <f>VLOOKUP(F1490,Sheet2!$B$1:$E$19,3,FALSE)</f>
        <v>1108963</v>
      </c>
      <c r="O1490" t="str">
        <f>IF(G1490="Not available","",VLOOKUP(F1490,Sheet2!$B$1:$E$19,4,FALSE)+(G1490-1))</f>
        <v/>
      </c>
    </row>
    <row r="1491" spans="1:15" s="1" customFormat="1" ht="15" customHeight="1" x14ac:dyDescent="0.25">
      <c r="A1491" s="18" t="s">
        <v>205</v>
      </c>
      <c r="B1491" s="18" t="s">
        <v>479</v>
      </c>
      <c r="C1491" s="5">
        <v>1848</v>
      </c>
      <c r="D1491" s="1" t="s">
        <v>504</v>
      </c>
      <c r="E1491" s="1" t="s">
        <v>2</v>
      </c>
      <c r="F1491" s="18">
        <v>2164</v>
      </c>
      <c r="G1491" s="18">
        <v>63</v>
      </c>
      <c r="H1491" s="5">
        <v>61</v>
      </c>
      <c r="I1491" s="1">
        <v>128</v>
      </c>
      <c r="J1491" s="1" t="s">
        <v>3271</v>
      </c>
      <c r="L1491" t="str">
        <f t="shared" si="23"/>
        <v>http://www.badatelna.eu/reprodukce/?fondId=1073&amp;zaznamId=1108951&amp;reproId=3778777</v>
      </c>
      <c r="M1491">
        <f>VLOOKUP(F1491,Sheet2!$B$1:$E$19,2,FALSE)</f>
        <v>1073</v>
      </c>
      <c r="N1491">
        <f>VLOOKUP(F1491,Sheet2!$B$1:$E$19,3,FALSE)</f>
        <v>1108951</v>
      </c>
      <c r="O1491">
        <f>IF(G1491="Not available","",VLOOKUP(F1491,Sheet2!$B$1:$E$19,4,FALSE)+(G1491-1))</f>
        <v>3778777</v>
      </c>
    </row>
    <row r="1492" spans="1:15" s="1" customFormat="1" ht="15" customHeight="1" x14ac:dyDescent="0.25">
      <c r="A1492" s="18" t="s">
        <v>205</v>
      </c>
      <c r="B1492" s="18" t="s">
        <v>237</v>
      </c>
      <c r="C1492" s="5">
        <v>1836</v>
      </c>
      <c r="D1492" s="1" t="s">
        <v>422</v>
      </c>
      <c r="E1492" s="1" t="s">
        <v>2</v>
      </c>
      <c r="F1492" s="18">
        <v>2174</v>
      </c>
      <c r="G1492" s="18">
        <v>83</v>
      </c>
      <c r="H1492" s="6" t="s">
        <v>3147</v>
      </c>
      <c r="I1492" s="1">
        <v>186</v>
      </c>
      <c r="J1492" s="1">
        <v>214</v>
      </c>
      <c r="L1492" t="str">
        <f t="shared" si="23"/>
        <v>http://www.badatelna.eu/reprodukce/?fondId=1073&amp;zaznamId=1108960&amp;reproId=3780307</v>
      </c>
      <c r="M1492">
        <f>VLOOKUP(F1492,Sheet2!$B$1:$E$19,2,FALSE)</f>
        <v>1073</v>
      </c>
      <c r="N1492">
        <f>VLOOKUP(F1492,Sheet2!$B$1:$E$19,3,FALSE)</f>
        <v>1108960</v>
      </c>
      <c r="O1492">
        <f>IF(G1492="Not available","",VLOOKUP(F1492,Sheet2!$B$1:$E$19,4,FALSE)+(G1492-1))</f>
        <v>3780307</v>
      </c>
    </row>
    <row r="1493" spans="1:15" s="1" customFormat="1" ht="15" customHeight="1" x14ac:dyDescent="0.25">
      <c r="A1493" s="18" t="s">
        <v>205</v>
      </c>
      <c r="B1493" s="18" t="s">
        <v>233</v>
      </c>
      <c r="C1493" s="5">
        <v>1842</v>
      </c>
      <c r="D1493" s="1" t="s">
        <v>615</v>
      </c>
      <c r="E1493" s="1" t="s">
        <v>2</v>
      </c>
      <c r="F1493" s="18">
        <v>2174</v>
      </c>
      <c r="G1493" s="18">
        <v>125</v>
      </c>
      <c r="H1493" s="6" t="s">
        <v>3197</v>
      </c>
      <c r="I1493" s="1">
        <v>186</v>
      </c>
      <c r="J1493" s="1">
        <v>214</v>
      </c>
      <c r="L1493" t="str">
        <f t="shared" si="23"/>
        <v>http://www.badatelna.eu/reprodukce/?fondId=1073&amp;zaznamId=1108960&amp;reproId=3780349</v>
      </c>
      <c r="M1493">
        <f>VLOOKUP(F1493,Sheet2!$B$1:$E$19,2,FALSE)</f>
        <v>1073</v>
      </c>
      <c r="N1493">
        <f>VLOOKUP(F1493,Sheet2!$B$1:$E$19,3,FALSE)</f>
        <v>1108960</v>
      </c>
      <c r="O1493">
        <f>IF(G1493="Not available","",VLOOKUP(F1493,Sheet2!$B$1:$E$19,4,FALSE)+(G1493-1))</f>
        <v>3780349</v>
      </c>
    </row>
    <row r="1494" spans="1:15" s="1" customFormat="1" ht="15" customHeight="1" x14ac:dyDescent="0.25">
      <c r="A1494" s="18" t="s">
        <v>205</v>
      </c>
      <c r="B1494" s="18" t="s">
        <v>668</v>
      </c>
      <c r="C1494" s="10" t="s">
        <v>2005</v>
      </c>
      <c r="D1494" s="3" t="s">
        <v>2282</v>
      </c>
      <c r="E1494" s="4" t="s">
        <v>2</v>
      </c>
      <c r="F1494" s="18">
        <v>2176</v>
      </c>
      <c r="G1494" s="18" t="s">
        <v>3271</v>
      </c>
      <c r="H1494" s="10" t="s">
        <v>2210</v>
      </c>
      <c r="I1494" s="3">
        <v>16</v>
      </c>
      <c r="J1494" s="3" t="s">
        <v>3271</v>
      </c>
      <c r="K1494" s="3"/>
      <c r="L1494" t="str">
        <f t="shared" si="23"/>
        <v/>
      </c>
      <c r="M1494">
        <f>VLOOKUP(F1494,Sheet2!$B$1:$E$19,2,FALSE)</f>
        <v>1073</v>
      </c>
      <c r="N1494">
        <f>VLOOKUP(F1494,Sheet2!$B$1:$E$19,3,FALSE)</f>
        <v>1108963</v>
      </c>
      <c r="O1494" t="str">
        <f>IF(G1494="Not available","",VLOOKUP(F1494,Sheet2!$B$1:$E$19,4,FALSE)+(G1494-1))</f>
        <v/>
      </c>
    </row>
    <row r="1495" spans="1:15" s="1" customFormat="1" ht="15" customHeight="1" x14ac:dyDescent="0.25">
      <c r="A1495" s="18" t="s">
        <v>205</v>
      </c>
      <c r="B1495" s="19" t="s">
        <v>25</v>
      </c>
      <c r="C1495" s="5">
        <v>1838</v>
      </c>
      <c r="D1495" s="1" t="s">
        <v>422</v>
      </c>
      <c r="E1495" s="1" t="s">
        <v>2</v>
      </c>
      <c r="F1495" s="18">
        <v>2174</v>
      </c>
      <c r="G1495" s="18">
        <v>100</v>
      </c>
      <c r="H1495" s="6" t="s">
        <v>3168</v>
      </c>
      <c r="I1495" s="1">
        <v>186</v>
      </c>
      <c r="J1495" s="1">
        <v>214</v>
      </c>
      <c r="L1495" t="str">
        <f t="shared" si="23"/>
        <v>http://www.badatelna.eu/reprodukce/?fondId=1073&amp;zaznamId=1108960&amp;reproId=3780324</v>
      </c>
      <c r="M1495">
        <f>VLOOKUP(F1495,Sheet2!$B$1:$E$19,2,FALSE)</f>
        <v>1073</v>
      </c>
      <c r="N1495">
        <f>VLOOKUP(F1495,Sheet2!$B$1:$E$19,3,FALSE)</f>
        <v>1108960</v>
      </c>
      <c r="O1495">
        <f>IF(G1495="Not available","",VLOOKUP(F1495,Sheet2!$B$1:$E$19,4,FALSE)+(G1495-1))</f>
        <v>3780324</v>
      </c>
    </row>
    <row r="1496" spans="1:15" s="1" customFormat="1" ht="14.1" customHeight="1" x14ac:dyDescent="0.25">
      <c r="A1496" s="18" t="s">
        <v>205</v>
      </c>
      <c r="B1496" s="18" t="s">
        <v>21</v>
      </c>
      <c r="C1496" s="5">
        <v>1851</v>
      </c>
      <c r="D1496" s="1" t="s">
        <v>504</v>
      </c>
      <c r="E1496" s="1" t="s">
        <v>2</v>
      </c>
      <c r="F1496" s="18">
        <v>2164</v>
      </c>
      <c r="G1496" s="18">
        <v>75</v>
      </c>
      <c r="H1496" s="5">
        <v>73</v>
      </c>
      <c r="I1496" s="1">
        <v>128</v>
      </c>
      <c r="J1496" s="1" t="s">
        <v>3271</v>
      </c>
      <c r="L1496" t="str">
        <f t="shared" si="23"/>
        <v>http://www.badatelna.eu/reprodukce/?fondId=1073&amp;zaznamId=1108951&amp;reproId=3778789</v>
      </c>
      <c r="M1496">
        <f>VLOOKUP(F1496,Sheet2!$B$1:$E$19,2,FALSE)</f>
        <v>1073</v>
      </c>
      <c r="N1496">
        <f>VLOOKUP(F1496,Sheet2!$B$1:$E$19,3,FALSE)</f>
        <v>1108951</v>
      </c>
      <c r="O1496">
        <f>IF(G1496="Not available","",VLOOKUP(F1496,Sheet2!$B$1:$E$19,4,FALSE)+(G1496-1))</f>
        <v>3778789</v>
      </c>
    </row>
    <row r="1497" spans="1:15" s="1" customFormat="1" ht="15" customHeight="1" x14ac:dyDescent="0.25">
      <c r="A1497" s="18" t="s">
        <v>205</v>
      </c>
      <c r="B1497" s="18" t="s">
        <v>341</v>
      </c>
      <c r="C1497" s="5">
        <v>1839</v>
      </c>
      <c r="D1497" s="1" t="s">
        <v>422</v>
      </c>
      <c r="E1497" s="1" t="s">
        <v>2</v>
      </c>
      <c r="F1497" s="18">
        <v>2174</v>
      </c>
      <c r="G1497" s="18">
        <v>109</v>
      </c>
      <c r="H1497" s="6" t="s">
        <v>3176</v>
      </c>
      <c r="I1497" s="1">
        <v>186</v>
      </c>
      <c r="J1497" s="1">
        <v>214</v>
      </c>
      <c r="L1497" t="str">
        <f t="shared" si="23"/>
        <v>http://www.badatelna.eu/reprodukce/?fondId=1073&amp;zaznamId=1108960&amp;reproId=3780333</v>
      </c>
      <c r="M1497">
        <f>VLOOKUP(F1497,Sheet2!$B$1:$E$19,2,FALSE)</f>
        <v>1073</v>
      </c>
      <c r="N1497">
        <f>VLOOKUP(F1497,Sheet2!$B$1:$E$19,3,FALSE)</f>
        <v>1108960</v>
      </c>
      <c r="O1497">
        <f>IF(G1497="Not available","",VLOOKUP(F1497,Sheet2!$B$1:$E$19,4,FALSE)+(G1497-1))</f>
        <v>3780333</v>
      </c>
    </row>
    <row r="1498" spans="1:15" s="1" customFormat="1" ht="15" customHeight="1" x14ac:dyDescent="0.25">
      <c r="A1498" s="18" t="s">
        <v>205</v>
      </c>
      <c r="B1498" s="18" t="s">
        <v>937</v>
      </c>
      <c r="C1498" s="5" t="s">
        <v>1422</v>
      </c>
      <c r="D1498" s="1" t="s">
        <v>233</v>
      </c>
      <c r="E1498" s="1" t="s">
        <v>2</v>
      </c>
      <c r="F1498" s="18">
        <v>2165</v>
      </c>
      <c r="G1498" s="18">
        <v>52</v>
      </c>
      <c r="H1498" s="5">
        <v>49</v>
      </c>
      <c r="I1498" s="1">
        <v>83</v>
      </c>
      <c r="J1498" s="1" t="s">
        <v>3271</v>
      </c>
      <c r="L1498" t="str">
        <f t="shared" si="23"/>
        <v>http://www.badatelna.eu/reprodukce/?fondId=1073&amp;zaznamId=1108952&amp;reproId=3778913</v>
      </c>
      <c r="M1498">
        <f>VLOOKUP(F1498,Sheet2!$B$1:$E$19,2,FALSE)</f>
        <v>1073</v>
      </c>
      <c r="N1498">
        <f>VLOOKUP(F1498,Sheet2!$B$1:$E$19,3,FALSE)</f>
        <v>1108952</v>
      </c>
      <c r="O1498">
        <f>IF(G1498="Not available","",VLOOKUP(F1498,Sheet2!$B$1:$E$19,4,FALSE)+(G1498-1))</f>
        <v>3778913</v>
      </c>
    </row>
    <row r="1499" spans="1:15" s="1" customFormat="1" ht="15" customHeight="1" x14ac:dyDescent="0.25">
      <c r="A1499" s="18" t="s">
        <v>205</v>
      </c>
      <c r="B1499" s="18" t="s">
        <v>434</v>
      </c>
      <c r="C1499" s="5" t="s">
        <v>1403</v>
      </c>
      <c r="D1499" s="1" t="s">
        <v>233</v>
      </c>
      <c r="E1499" s="1" t="s">
        <v>2</v>
      </c>
      <c r="F1499" s="18">
        <v>2165</v>
      </c>
      <c r="G1499" s="18">
        <v>26</v>
      </c>
      <c r="H1499" s="5">
        <v>23</v>
      </c>
      <c r="I1499" s="1">
        <v>83</v>
      </c>
      <c r="J1499" s="1" t="s">
        <v>3271</v>
      </c>
      <c r="L1499" t="str">
        <f t="shared" si="23"/>
        <v>http://www.badatelna.eu/reprodukce/?fondId=1073&amp;zaznamId=1108952&amp;reproId=3778887</v>
      </c>
      <c r="M1499">
        <f>VLOOKUP(F1499,Sheet2!$B$1:$E$19,2,FALSE)</f>
        <v>1073</v>
      </c>
      <c r="N1499">
        <f>VLOOKUP(F1499,Sheet2!$B$1:$E$19,3,FALSE)</f>
        <v>1108952</v>
      </c>
      <c r="O1499">
        <f>IF(G1499="Not available","",VLOOKUP(F1499,Sheet2!$B$1:$E$19,4,FALSE)+(G1499-1))</f>
        <v>3778887</v>
      </c>
    </row>
    <row r="1500" spans="1:15" s="1" customFormat="1" ht="12.95" customHeight="1" x14ac:dyDescent="0.25">
      <c r="A1500" s="18" t="s">
        <v>205</v>
      </c>
      <c r="B1500" s="18" t="s">
        <v>434</v>
      </c>
      <c r="C1500" s="5" t="s">
        <v>1409</v>
      </c>
      <c r="D1500" s="1" t="s">
        <v>545</v>
      </c>
      <c r="E1500" s="1" t="s">
        <v>2</v>
      </c>
      <c r="F1500" s="18">
        <v>2165</v>
      </c>
      <c r="G1500" s="18">
        <v>31</v>
      </c>
      <c r="H1500" s="5">
        <v>28</v>
      </c>
      <c r="I1500" s="1">
        <v>83</v>
      </c>
      <c r="J1500" s="1" t="s">
        <v>3271</v>
      </c>
      <c r="L1500" t="str">
        <f t="shared" si="23"/>
        <v>http://www.badatelna.eu/reprodukce/?fondId=1073&amp;zaznamId=1108952&amp;reproId=3778892</v>
      </c>
      <c r="M1500">
        <f>VLOOKUP(F1500,Sheet2!$B$1:$E$19,2,FALSE)</f>
        <v>1073</v>
      </c>
      <c r="N1500">
        <f>VLOOKUP(F1500,Sheet2!$B$1:$E$19,3,FALSE)</f>
        <v>1108952</v>
      </c>
      <c r="O1500">
        <f>IF(G1500="Not available","",VLOOKUP(F1500,Sheet2!$B$1:$E$19,4,FALSE)+(G1500-1))</f>
        <v>3778892</v>
      </c>
    </row>
    <row r="1501" spans="1:15" s="1" customFormat="1" ht="15" customHeight="1" x14ac:dyDescent="0.25">
      <c r="A1501" s="18" t="s">
        <v>205</v>
      </c>
      <c r="B1501" s="18" t="s">
        <v>13</v>
      </c>
      <c r="C1501" s="5">
        <v>1797</v>
      </c>
      <c r="D1501" s="1" t="s">
        <v>50</v>
      </c>
      <c r="E1501" s="1" t="s">
        <v>2</v>
      </c>
      <c r="F1501" s="18">
        <v>2173</v>
      </c>
      <c r="G1501" s="18">
        <v>36</v>
      </c>
      <c r="H1501" s="5">
        <v>66</v>
      </c>
      <c r="I1501" s="1">
        <v>98</v>
      </c>
      <c r="J1501" s="1">
        <v>209</v>
      </c>
      <c r="L1501" t="str">
        <f t="shared" si="23"/>
        <v>http://www.badatelna.eu/reprodukce/?fondId=1073&amp;zaznamId=1108959&amp;reproId=3780029</v>
      </c>
      <c r="M1501">
        <f>VLOOKUP(F1501,Sheet2!$B$1:$E$19,2,FALSE)</f>
        <v>1073</v>
      </c>
      <c r="N1501">
        <f>VLOOKUP(F1501,Sheet2!$B$1:$E$19,3,FALSE)</f>
        <v>1108959</v>
      </c>
      <c r="O1501">
        <f>IF(G1501="Not available","",VLOOKUP(F1501,Sheet2!$B$1:$E$19,4,FALSE)+(G1501-1))</f>
        <v>3780029</v>
      </c>
    </row>
    <row r="1502" spans="1:15" s="1" customFormat="1" ht="15" customHeight="1" x14ac:dyDescent="0.25">
      <c r="A1502" s="18" t="s">
        <v>205</v>
      </c>
      <c r="B1502" s="18" t="s">
        <v>207</v>
      </c>
      <c r="C1502" s="5">
        <v>1808</v>
      </c>
      <c r="E1502" s="1" t="s">
        <v>2</v>
      </c>
      <c r="F1502" s="18">
        <v>2173</v>
      </c>
      <c r="G1502" s="18">
        <v>53</v>
      </c>
      <c r="H1502" s="5">
        <v>101</v>
      </c>
      <c r="I1502" s="1">
        <v>98</v>
      </c>
      <c r="J1502" s="1">
        <v>209</v>
      </c>
      <c r="L1502" t="str">
        <f t="shared" si="23"/>
        <v>http://www.badatelna.eu/reprodukce/?fondId=1073&amp;zaznamId=1108959&amp;reproId=3780046</v>
      </c>
      <c r="M1502">
        <f>VLOOKUP(F1502,Sheet2!$B$1:$E$19,2,FALSE)</f>
        <v>1073</v>
      </c>
      <c r="N1502">
        <f>VLOOKUP(F1502,Sheet2!$B$1:$E$19,3,FALSE)</f>
        <v>1108959</v>
      </c>
      <c r="O1502">
        <f>IF(G1502="Not available","",VLOOKUP(F1502,Sheet2!$B$1:$E$19,4,FALSE)+(G1502-1))</f>
        <v>3780046</v>
      </c>
    </row>
    <row r="1503" spans="1:15" s="1" customFormat="1" ht="15" customHeight="1" x14ac:dyDescent="0.25">
      <c r="A1503" s="18" t="s">
        <v>205</v>
      </c>
      <c r="B1503" s="18" t="s">
        <v>427</v>
      </c>
      <c r="C1503" s="5">
        <v>1843</v>
      </c>
      <c r="D1503" s="1" t="s">
        <v>422</v>
      </c>
      <c r="E1503" s="1" t="s">
        <v>2</v>
      </c>
      <c r="F1503" s="18">
        <v>2174</v>
      </c>
      <c r="G1503" s="18">
        <v>137</v>
      </c>
      <c r="H1503" s="6" t="s">
        <v>3209</v>
      </c>
      <c r="I1503" s="1">
        <v>186</v>
      </c>
      <c r="J1503" s="1">
        <v>214</v>
      </c>
      <c r="L1503" t="str">
        <f t="shared" si="23"/>
        <v>http://www.badatelna.eu/reprodukce/?fondId=1073&amp;zaznamId=1108960&amp;reproId=3780361</v>
      </c>
      <c r="M1503">
        <f>VLOOKUP(F1503,Sheet2!$B$1:$E$19,2,FALSE)</f>
        <v>1073</v>
      </c>
      <c r="N1503">
        <f>VLOOKUP(F1503,Sheet2!$B$1:$E$19,3,FALSE)</f>
        <v>1108960</v>
      </c>
      <c r="O1503">
        <f>IF(G1503="Not available","",VLOOKUP(F1503,Sheet2!$B$1:$E$19,4,FALSE)+(G1503-1))</f>
        <v>3780361</v>
      </c>
    </row>
    <row r="1504" spans="1:15" s="1" customFormat="1" ht="15" customHeight="1" x14ac:dyDescent="0.25">
      <c r="A1504" s="18" t="s">
        <v>205</v>
      </c>
      <c r="B1504" s="18" t="s">
        <v>18</v>
      </c>
      <c r="C1504" s="5">
        <v>1804</v>
      </c>
      <c r="E1504" s="1" t="s">
        <v>2</v>
      </c>
      <c r="F1504" s="18">
        <v>2173</v>
      </c>
      <c r="G1504" s="18">
        <v>48</v>
      </c>
      <c r="H1504" s="5">
        <v>91</v>
      </c>
      <c r="I1504" s="1">
        <v>98</v>
      </c>
      <c r="J1504" s="1">
        <v>209</v>
      </c>
      <c r="L1504" t="str">
        <f t="shared" si="23"/>
        <v>http://www.badatelna.eu/reprodukce/?fondId=1073&amp;zaznamId=1108959&amp;reproId=3780041</v>
      </c>
      <c r="M1504">
        <f>VLOOKUP(F1504,Sheet2!$B$1:$E$19,2,FALSE)</f>
        <v>1073</v>
      </c>
      <c r="N1504">
        <f>VLOOKUP(F1504,Sheet2!$B$1:$E$19,3,FALSE)</f>
        <v>1108959</v>
      </c>
      <c r="O1504">
        <f>IF(G1504="Not available","",VLOOKUP(F1504,Sheet2!$B$1:$E$19,4,FALSE)+(G1504-1))</f>
        <v>3780041</v>
      </c>
    </row>
    <row r="1505" spans="1:15" s="1" customFormat="1" ht="15" customHeight="1" x14ac:dyDescent="0.25">
      <c r="A1505" s="18" t="s">
        <v>205</v>
      </c>
      <c r="B1505" s="18" t="s">
        <v>18</v>
      </c>
      <c r="C1505" s="5">
        <v>1813</v>
      </c>
      <c r="E1505" s="1" t="s">
        <v>2</v>
      </c>
      <c r="F1505" s="18">
        <v>2173</v>
      </c>
      <c r="G1505" s="18">
        <v>60</v>
      </c>
      <c r="H1505" s="5">
        <v>115</v>
      </c>
      <c r="I1505" s="1">
        <v>99</v>
      </c>
      <c r="J1505" s="1">
        <v>210</v>
      </c>
      <c r="L1505" t="str">
        <f t="shared" si="23"/>
        <v>http://www.badatelna.eu/reprodukce/?fondId=1073&amp;zaznamId=1108959&amp;reproId=3780053</v>
      </c>
      <c r="M1505">
        <f>VLOOKUP(F1505,Sheet2!$B$1:$E$19,2,FALSE)</f>
        <v>1073</v>
      </c>
      <c r="N1505">
        <f>VLOOKUP(F1505,Sheet2!$B$1:$E$19,3,FALSE)</f>
        <v>1108959</v>
      </c>
      <c r="O1505">
        <f>IF(G1505="Not available","",VLOOKUP(F1505,Sheet2!$B$1:$E$19,4,FALSE)+(G1505-1))</f>
        <v>3780053</v>
      </c>
    </row>
    <row r="1506" spans="1:15" s="1" customFormat="1" ht="15" customHeight="1" x14ac:dyDescent="0.25">
      <c r="A1506" s="18" t="s">
        <v>205</v>
      </c>
      <c r="B1506" s="18" t="s">
        <v>663</v>
      </c>
      <c r="C1506" s="5">
        <v>1844</v>
      </c>
      <c r="D1506" s="1" t="s">
        <v>422</v>
      </c>
      <c r="E1506" s="1" t="s">
        <v>2</v>
      </c>
      <c r="F1506" s="18">
        <v>2174</v>
      </c>
      <c r="G1506" s="18">
        <v>150</v>
      </c>
      <c r="H1506" s="6" t="s">
        <v>3217</v>
      </c>
      <c r="I1506" s="1">
        <v>186</v>
      </c>
      <c r="J1506" s="1">
        <v>214</v>
      </c>
      <c r="L1506" t="str">
        <f t="shared" si="23"/>
        <v>http://www.badatelna.eu/reprodukce/?fondId=1073&amp;zaznamId=1108960&amp;reproId=3780374</v>
      </c>
      <c r="M1506">
        <f>VLOOKUP(F1506,Sheet2!$B$1:$E$19,2,FALSE)</f>
        <v>1073</v>
      </c>
      <c r="N1506">
        <f>VLOOKUP(F1506,Sheet2!$B$1:$E$19,3,FALSE)</f>
        <v>1108960</v>
      </c>
      <c r="O1506">
        <f>IF(G1506="Not available","",VLOOKUP(F1506,Sheet2!$B$1:$E$19,4,FALSE)+(G1506-1))</f>
        <v>3780374</v>
      </c>
    </row>
    <row r="1507" spans="1:15" s="1" customFormat="1" ht="15" customHeight="1" x14ac:dyDescent="0.25">
      <c r="A1507" s="18" t="s">
        <v>205</v>
      </c>
      <c r="B1507" s="18" t="s">
        <v>71</v>
      </c>
      <c r="C1507" s="5">
        <v>1798</v>
      </c>
      <c r="E1507" s="1" t="s">
        <v>2</v>
      </c>
      <c r="F1507" s="18">
        <v>2173</v>
      </c>
      <c r="G1507" s="18">
        <v>40</v>
      </c>
      <c r="H1507" s="5">
        <v>75</v>
      </c>
      <c r="I1507" s="1">
        <v>98</v>
      </c>
      <c r="J1507" s="1">
        <v>209</v>
      </c>
      <c r="L1507" t="str">
        <f t="shared" si="23"/>
        <v>http://www.badatelna.eu/reprodukce/?fondId=1073&amp;zaznamId=1108959&amp;reproId=3780033</v>
      </c>
      <c r="M1507">
        <f>VLOOKUP(F1507,Sheet2!$B$1:$E$19,2,FALSE)</f>
        <v>1073</v>
      </c>
      <c r="N1507">
        <f>VLOOKUP(F1507,Sheet2!$B$1:$E$19,3,FALSE)</f>
        <v>1108959</v>
      </c>
      <c r="O1507">
        <f>IF(G1507="Not available","",VLOOKUP(F1507,Sheet2!$B$1:$E$19,4,FALSE)+(G1507-1))</f>
        <v>3780033</v>
      </c>
    </row>
    <row r="1508" spans="1:15" s="1" customFormat="1" ht="15" customHeight="1" x14ac:dyDescent="0.25">
      <c r="A1508" s="18" t="s">
        <v>205</v>
      </c>
      <c r="B1508" s="18" t="s">
        <v>44</v>
      </c>
      <c r="C1508" s="5">
        <v>1845</v>
      </c>
      <c r="D1508" s="1" t="s">
        <v>615</v>
      </c>
      <c r="E1508" s="1" t="s">
        <v>2</v>
      </c>
      <c r="F1508" s="18">
        <v>2174</v>
      </c>
      <c r="G1508" s="18">
        <v>155</v>
      </c>
      <c r="H1508" s="6" t="s">
        <v>3221</v>
      </c>
      <c r="I1508" s="1">
        <v>186</v>
      </c>
      <c r="J1508" s="1">
        <v>214</v>
      </c>
      <c r="L1508" t="str">
        <f t="shared" si="23"/>
        <v>http://www.badatelna.eu/reprodukce/?fondId=1073&amp;zaznamId=1108960&amp;reproId=3780379</v>
      </c>
      <c r="M1508">
        <f>VLOOKUP(F1508,Sheet2!$B$1:$E$19,2,FALSE)</f>
        <v>1073</v>
      </c>
      <c r="N1508">
        <f>VLOOKUP(F1508,Sheet2!$B$1:$E$19,3,FALSE)</f>
        <v>1108960</v>
      </c>
      <c r="O1508">
        <f>IF(G1508="Not available","",VLOOKUP(F1508,Sheet2!$B$1:$E$19,4,FALSE)+(G1508-1))</f>
        <v>3780379</v>
      </c>
    </row>
    <row r="1509" spans="1:15" s="1" customFormat="1" ht="15" customHeight="1" x14ac:dyDescent="0.25">
      <c r="A1509" s="18" t="s">
        <v>205</v>
      </c>
      <c r="B1509" s="18" t="s">
        <v>23</v>
      </c>
      <c r="C1509" s="5">
        <v>1830</v>
      </c>
      <c r="E1509" s="1" t="s">
        <v>2</v>
      </c>
      <c r="F1509" s="18">
        <v>2173</v>
      </c>
      <c r="G1509" s="18">
        <v>87</v>
      </c>
      <c r="H1509" s="5">
        <v>162</v>
      </c>
      <c r="I1509" s="1">
        <v>99</v>
      </c>
      <c r="J1509" s="1">
        <v>210</v>
      </c>
      <c r="L1509" t="str">
        <f t="shared" si="23"/>
        <v>http://www.badatelna.eu/reprodukce/?fondId=1073&amp;zaznamId=1108959&amp;reproId=3780080</v>
      </c>
      <c r="M1509">
        <f>VLOOKUP(F1509,Sheet2!$B$1:$E$19,2,FALSE)</f>
        <v>1073</v>
      </c>
      <c r="N1509">
        <f>VLOOKUP(F1509,Sheet2!$B$1:$E$19,3,FALSE)</f>
        <v>1108959</v>
      </c>
      <c r="O1509">
        <f>IF(G1509="Not available","",VLOOKUP(F1509,Sheet2!$B$1:$E$19,4,FALSE)+(G1509-1))</f>
        <v>3780080</v>
      </c>
    </row>
    <row r="1510" spans="1:15" s="1" customFormat="1" ht="15" customHeight="1" x14ac:dyDescent="0.25">
      <c r="A1510" s="18" t="s">
        <v>205</v>
      </c>
      <c r="B1510" s="18" t="s">
        <v>93</v>
      </c>
      <c r="C1510" s="5">
        <v>1834</v>
      </c>
      <c r="D1510" s="1" t="s">
        <v>422</v>
      </c>
      <c r="E1510" s="1" t="s">
        <v>2</v>
      </c>
      <c r="F1510" s="18">
        <v>2174</v>
      </c>
      <c r="G1510" s="18">
        <v>76</v>
      </c>
      <c r="H1510" s="6" t="s">
        <v>3142</v>
      </c>
      <c r="I1510" s="1">
        <v>186</v>
      </c>
      <c r="J1510" s="1">
        <v>214</v>
      </c>
      <c r="L1510" t="str">
        <f t="shared" si="23"/>
        <v>http://www.badatelna.eu/reprodukce/?fondId=1073&amp;zaznamId=1108960&amp;reproId=3780300</v>
      </c>
      <c r="M1510">
        <f>VLOOKUP(F1510,Sheet2!$B$1:$E$19,2,FALSE)</f>
        <v>1073</v>
      </c>
      <c r="N1510">
        <f>VLOOKUP(F1510,Sheet2!$B$1:$E$19,3,FALSE)</f>
        <v>1108960</v>
      </c>
      <c r="O1510">
        <f>IF(G1510="Not available","",VLOOKUP(F1510,Sheet2!$B$1:$E$19,4,FALSE)+(G1510-1))</f>
        <v>3780300</v>
      </c>
    </row>
    <row r="1511" spans="1:15" s="1" customFormat="1" ht="15" customHeight="1" x14ac:dyDescent="0.25">
      <c r="A1511" s="18" t="s">
        <v>2346</v>
      </c>
      <c r="B1511" s="18" t="s">
        <v>92</v>
      </c>
      <c r="C1511" s="10" t="s">
        <v>2109</v>
      </c>
      <c r="D1511" s="3" t="s">
        <v>2347</v>
      </c>
      <c r="E1511" s="4" t="s">
        <v>2</v>
      </c>
      <c r="F1511" s="18">
        <v>2176</v>
      </c>
      <c r="G1511" s="18" t="s">
        <v>3271</v>
      </c>
      <c r="H1511" s="10" t="s">
        <v>2094</v>
      </c>
      <c r="I1511" s="3">
        <v>17</v>
      </c>
      <c r="J1511" s="3" t="s">
        <v>3271</v>
      </c>
      <c r="K1511" s="3"/>
      <c r="L1511" t="str">
        <f t="shared" si="23"/>
        <v/>
      </c>
      <c r="M1511">
        <f>VLOOKUP(F1511,Sheet2!$B$1:$E$19,2,FALSE)</f>
        <v>1073</v>
      </c>
      <c r="N1511">
        <f>VLOOKUP(F1511,Sheet2!$B$1:$E$19,3,FALSE)</f>
        <v>1108963</v>
      </c>
      <c r="O1511" t="str">
        <f>IF(G1511="Not available","",VLOOKUP(F1511,Sheet2!$B$1:$E$19,4,FALSE)+(G1511-1))</f>
        <v/>
      </c>
    </row>
    <row r="1512" spans="1:15" s="1" customFormat="1" ht="15" customHeight="1" x14ac:dyDescent="0.25">
      <c r="A1512" s="18" t="s">
        <v>2346</v>
      </c>
      <c r="B1512" s="18" t="s">
        <v>1208</v>
      </c>
      <c r="C1512" s="10" t="s">
        <v>2111</v>
      </c>
      <c r="D1512" s="3" t="s">
        <v>2347</v>
      </c>
      <c r="E1512" s="4" t="s">
        <v>2</v>
      </c>
      <c r="F1512" s="18">
        <v>2176</v>
      </c>
      <c r="G1512" s="18" t="s">
        <v>3271</v>
      </c>
      <c r="H1512" s="10" t="s">
        <v>2355</v>
      </c>
      <c r="I1512" s="3">
        <v>17</v>
      </c>
      <c r="J1512" s="3" t="s">
        <v>3271</v>
      </c>
      <c r="K1512" s="3"/>
      <c r="L1512" t="str">
        <f t="shared" si="23"/>
        <v/>
      </c>
      <c r="M1512">
        <f>VLOOKUP(F1512,Sheet2!$B$1:$E$19,2,FALSE)</f>
        <v>1073</v>
      </c>
      <c r="N1512">
        <f>VLOOKUP(F1512,Sheet2!$B$1:$E$19,3,FALSE)</f>
        <v>1108963</v>
      </c>
      <c r="O1512" t="str">
        <f>IF(G1512="Not available","",VLOOKUP(F1512,Sheet2!$B$1:$E$19,4,FALSE)+(G1512-1))</f>
        <v/>
      </c>
    </row>
    <row r="1513" spans="1:15" s="1" customFormat="1" ht="15" customHeight="1" x14ac:dyDescent="0.25">
      <c r="A1513" s="18" t="s">
        <v>2346</v>
      </c>
      <c r="B1513" s="18" t="s">
        <v>2253</v>
      </c>
      <c r="C1513" s="10" t="s">
        <v>2103</v>
      </c>
      <c r="D1513" s="3" t="s">
        <v>2347</v>
      </c>
      <c r="E1513" s="4" t="s">
        <v>2</v>
      </c>
      <c r="F1513" s="18">
        <v>2176</v>
      </c>
      <c r="G1513" s="18" t="s">
        <v>3271</v>
      </c>
      <c r="H1513" s="10" t="s">
        <v>2083</v>
      </c>
      <c r="I1513" s="3">
        <v>17</v>
      </c>
      <c r="J1513" s="3" t="s">
        <v>3271</v>
      </c>
      <c r="K1513" s="3"/>
      <c r="L1513" t="str">
        <f t="shared" si="23"/>
        <v/>
      </c>
      <c r="M1513">
        <f>VLOOKUP(F1513,Sheet2!$B$1:$E$19,2,FALSE)</f>
        <v>1073</v>
      </c>
      <c r="N1513">
        <f>VLOOKUP(F1513,Sheet2!$B$1:$E$19,3,FALSE)</f>
        <v>1108963</v>
      </c>
      <c r="O1513" t="str">
        <f>IF(G1513="Not available","",VLOOKUP(F1513,Sheet2!$B$1:$E$19,4,FALSE)+(G1513-1))</f>
        <v/>
      </c>
    </row>
    <row r="1514" spans="1:15" s="1" customFormat="1" ht="15" customHeight="1" x14ac:dyDescent="0.25">
      <c r="A1514" s="18" t="s">
        <v>2346</v>
      </c>
      <c r="B1514" s="18" t="s">
        <v>2348</v>
      </c>
      <c r="C1514" s="10" t="s">
        <v>2106</v>
      </c>
      <c r="D1514" s="3" t="s">
        <v>2347</v>
      </c>
      <c r="E1514" s="4" t="s">
        <v>2</v>
      </c>
      <c r="F1514" s="18">
        <v>2176</v>
      </c>
      <c r="G1514" s="18" t="s">
        <v>3271</v>
      </c>
      <c r="H1514" s="10" t="s">
        <v>2285</v>
      </c>
      <c r="I1514" s="3">
        <v>17</v>
      </c>
      <c r="J1514" s="3" t="s">
        <v>3271</v>
      </c>
      <c r="K1514" s="3"/>
      <c r="L1514" t="str">
        <f t="shared" si="23"/>
        <v/>
      </c>
      <c r="M1514">
        <f>VLOOKUP(F1514,Sheet2!$B$1:$E$19,2,FALSE)</f>
        <v>1073</v>
      </c>
      <c r="N1514">
        <f>VLOOKUP(F1514,Sheet2!$B$1:$E$19,3,FALSE)</f>
        <v>1108963</v>
      </c>
      <c r="O1514" t="str">
        <f>IF(G1514="Not available","",VLOOKUP(F1514,Sheet2!$B$1:$E$19,4,FALSE)+(G1514-1))</f>
        <v/>
      </c>
    </row>
    <row r="1515" spans="1:15" s="1" customFormat="1" ht="15" customHeight="1" x14ac:dyDescent="0.25">
      <c r="A1515" s="18" t="s">
        <v>655</v>
      </c>
      <c r="B1515" s="18" t="s">
        <v>18</v>
      </c>
      <c r="C1515" s="5">
        <v>1831</v>
      </c>
      <c r="D1515" s="1" t="s">
        <v>656</v>
      </c>
      <c r="E1515" s="1" t="s">
        <v>2</v>
      </c>
      <c r="F1515" s="18">
        <v>2174</v>
      </c>
      <c r="G1515" s="18">
        <v>65</v>
      </c>
      <c r="H1515" s="6" t="s">
        <v>3109</v>
      </c>
      <c r="I1515" s="1">
        <v>186</v>
      </c>
      <c r="J1515" s="1">
        <v>214</v>
      </c>
      <c r="K1515" s="2"/>
      <c r="L1515" t="str">
        <f t="shared" si="23"/>
        <v>http://www.badatelna.eu/reprodukce/?fondId=1073&amp;zaznamId=1108960&amp;reproId=3780289</v>
      </c>
      <c r="M1515">
        <f>VLOOKUP(F1515,Sheet2!$B$1:$E$19,2,FALSE)</f>
        <v>1073</v>
      </c>
      <c r="N1515">
        <f>VLOOKUP(F1515,Sheet2!$B$1:$E$19,3,FALSE)</f>
        <v>1108960</v>
      </c>
      <c r="O1515">
        <f>IF(G1515="Not available","",VLOOKUP(F1515,Sheet2!$B$1:$E$19,4,FALSE)+(G1515-1))</f>
        <v>3780289</v>
      </c>
    </row>
    <row r="1516" spans="1:15" s="1" customFormat="1" ht="15" customHeight="1" x14ac:dyDescent="0.25">
      <c r="A1516" s="18" t="s">
        <v>1247</v>
      </c>
      <c r="B1516" s="18" t="s">
        <v>1126</v>
      </c>
      <c r="C1516" s="10" t="s">
        <v>1957</v>
      </c>
      <c r="D1516" s="3" t="s">
        <v>2335</v>
      </c>
      <c r="E1516" s="4" t="s">
        <v>2</v>
      </c>
      <c r="F1516" s="18">
        <v>2176</v>
      </c>
      <c r="G1516" s="18" t="s">
        <v>3271</v>
      </c>
      <c r="H1516" s="10" t="s">
        <v>2075</v>
      </c>
      <c r="I1516" s="3">
        <v>17</v>
      </c>
      <c r="J1516" s="3" t="s">
        <v>3271</v>
      </c>
      <c r="K1516" s="3"/>
      <c r="L1516" t="str">
        <f t="shared" si="23"/>
        <v/>
      </c>
      <c r="M1516">
        <f>VLOOKUP(F1516,Sheet2!$B$1:$E$19,2,FALSE)</f>
        <v>1073</v>
      </c>
      <c r="N1516">
        <f>VLOOKUP(F1516,Sheet2!$B$1:$E$19,3,FALSE)</f>
        <v>1108963</v>
      </c>
      <c r="O1516" t="str">
        <f>IF(G1516="Not available","",VLOOKUP(F1516,Sheet2!$B$1:$E$19,4,FALSE)+(G1516-1))</f>
        <v/>
      </c>
    </row>
    <row r="1517" spans="1:15" s="1" customFormat="1" ht="15" customHeight="1" x14ac:dyDescent="0.25">
      <c r="A1517" s="18" t="s">
        <v>1247</v>
      </c>
      <c r="B1517" s="18" t="s">
        <v>1126</v>
      </c>
      <c r="C1517" s="5" t="s">
        <v>1925</v>
      </c>
      <c r="D1517" s="1" t="s">
        <v>477</v>
      </c>
      <c r="E1517" s="1" t="s">
        <v>2</v>
      </c>
      <c r="F1517" s="18">
        <v>2165</v>
      </c>
      <c r="G1517" s="18">
        <v>281</v>
      </c>
      <c r="H1517" s="5">
        <v>1</v>
      </c>
      <c r="I1517" s="1">
        <v>284</v>
      </c>
      <c r="J1517" s="1">
        <v>258</v>
      </c>
      <c r="L1517" t="str">
        <f t="shared" si="23"/>
        <v>http://www.badatelna.eu/reprodukce/?fondId=1073&amp;zaznamId=1108952&amp;reproId=3779142</v>
      </c>
      <c r="M1517">
        <f>VLOOKUP(F1517,Sheet2!$B$1:$E$19,2,FALSE)</f>
        <v>1073</v>
      </c>
      <c r="N1517">
        <f>VLOOKUP(F1517,Sheet2!$B$1:$E$19,3,FALSE)</f>
        <v>1108952</v>
      </c>
      <c r="O1517">
        <f>IF(G1517="Not available","",VLOOKUP(F1517,Sheet2!$B$1:$E$19,4,FALSE)+(G1517-1))</f>
        <v>3779142</v>
      </c>
    </row>
    <row r="1518" spans="1:15" s="1" customFormat="1" ht="15" customHeight="1" x14ac:dyDescent="0.25">
      <c r="A1518" s="18" t="s">
        <v>859</v>
      </c>
      <c r="B1518" s="18" t="s">
        <v>860</v>
      </c>
      <c r="C1518" s="5">
        <v>1856</v>
      </c>
      <c r="D1518" s="1" t="s">
        <v>484</v>
      </c>
      <c r="E1518" s="1" t="s">
        <v>2</v>
      </c>
      <c r="F1518" s="18">
        <v>2164</v>
      </c>
      <c r="G1518" s="18">
        <v>111</v>
      </c>
      <c r="H1518" s="5">
        <v>109</v>
      </c>
      <c r="I1518" s="1">
        <v>128</v>
      </c>
      <c r="J1518" s="1" t="s">
        <v>3271</v>
      </c>
      <c r="L1518" t="str">
        <f t="shared" si="23"/>
        <v>http://www.badatelna.eu/reprodukce/?fondId=1073&amp;zaznamId=1108951&amp;reproId=3778825</v>
      </c>
      <c r="M1518">
        <f>VLOOKUP(F1518,Sheet2!$B$1:$E$19,2,FALSE)</f>
        <v>1073</v>
      </c>
      <c r="N1518">
        <f>VLOOKUP(F1518,Sheet2!$B$1:$E$19,3,FALSE)</f>
        <v>1108951</v>
      </c>
      <c r="O1518">
        <f>IF(G1518="Not available","",VLOOKUP(F1518,Sheet2!$B$1:$E$19,4,FALSE)+(G1518-1))</f>
        <v>3778825</v>
      </c>
    </row>
    <row r="1519" spans="1:15" s="1" customFormat="1" ht="15" customHeight="1" x14ac:dyDescent="0.25">
      <c r="A1519" s="18" t="s">
        <v>859</v>
      </c>
      <c r="B1519" s="18" t="s">
        <v>917</v>
      </c>
      <c r="C1519" s="5">
        <v>1858</v>
      </c>
      <c r="E1519" s="1" t="s">
        <v>939</v>
      </c>
      <c r="F1519" s="18">
        <v>999</v>
      </c>
      <c r="G1519" s="18">
        <v>5</v>
      </c>
      <c r="H1519" s="5">
        <v>3</v>
      </c>
      <c r="I1519" s="1">
        <v>67</v>
      </c>
      <c r="J1519" s="1">
        <v>101</v>
      </c>
      <c r="L1519" t="str">
        <f t="shared" si="23"/>
        <v>http://www.badatelna.eu/reprodukce/?fondId=241&amp;zaznamId=1133739&amp;reproId=3885734</v>
      </c>
      <c r="M1519">
        <f>VLOOKUP(F1519,Sheet2!$B$1:$E$19,2,FALSE)</f>
        <v>241</v>
      </c>
      <c r="N1519">
        <f>VLOOKUP(F1519,Sheet2!$B$1:$E$19,3,FALSE)</f>
        <v>1133739</v>
      </c>
      <c r="O1519">
        <f>IF(G1519="Not available","",VLOOKUP(F1519,Sheet2!$B$1:$E$19,4,FALSE)+(G1519-1))</f>
        <v>3885734</v>
      </c>
    </row>
    <row r="1520" spans="1:15" s="1" customFormat="1" ht="15" customHeight="1" x14ac:dyDescent="0.25">
      <c r="A1520" s="18" t="s">
        <v>859</v>
      </c>
      <c r="B1520" s="18" t="s">
        <v>233</v>
      </c>
      <c r="C1520" s="5">
        <v>1864</v>
      </c>
      <c r="E1520" s="1" t="s">
        <v>939</v>
      </c>
      <c r="F1520" s="18">
        <v>999</v>
      </c>
      <c r="G1520" s="18">
        <v>46</v>
      </c>
      <c r="H1520" s="5">
        <v>44</v>
      </c>
      <c r="I1520" s="1">
        <v>67</v>
      </c>
      <c r="J1520" s="1">
        <v>101</v>
      </c>
      <c r="L1520" t="str">
        <f t="shared" si="23"/>
        <v>http://www.badatelna.eu/reprodukce/?fondId=241&amp;zaznamId=1133739&amp;reproId=3885775</v>
      </c>
      <c r="M1520">
        <f>VLOOKUP(F1520,Sheet2!$B$1:$E$19,2,FALSE)</f>
        <v>241</v>
      </c>
      <c r="N1520">
        <f>VLOOKUP(F1520,Sheet2!$B$1:$E$19,3,FALSE)</f>
        <v>1133739</v>
      </c>
      <c r="O1520">
        <f>IF(G1520="Not available","",VLOOKUP(F1520,Sheet2!$B$1:$E$19,4,FALSE)+(G1520-1))</f>
        <v>3885775</v>
      </c>
    </row>
    <row r="1521" spans="1:15" s="1" customFormat="1" ht="15" customHeight="1" x14ac:dyDescent="0.25">
      <c r="A1521" s="18" t="s">
        <v>859</v>
      </c>
      <c r="B1521" s="18" t="s">
        <v>25</v>
      </c>
      <c r="C1521" s="5">
        <v>1860</v>
      </c>
      <c r="E1521" s="1" t="s">
        <v>939</v>
      </c>
      <c r="F1521" s="18">
        <v>999</v>
      </c>
      <c r="G1521" s="18">
        <v>20</v>
      </c>
      <c r="H1521" s="5">
        <v>18</v>
      </c>
      <c r="I1521" s="1">
        <v>67</v>
      </c>
      <c r="J1521" s="1">
        <v>101</v>
      </c>
      <c r="L1521" t="str">
        <f t="shared" si="23"/>
        <v>http://www.badatelna.eu/reprodukce/?fondId=241&amp;zaznamId=1133739&amp;reproId=3885749</v>
      </c>
      <c r="M1521">
        <f>VLOOKUP(F1521,Sheet2!$B$1:$E$19,2,FALSE)</f>
        <v>241</v>
      </c>
      <c r="N1521">
        <f>VLOOKUP(F1521,Sheet2!$B$1:$E$19,3,FALSE)</f>
        <v>1133739</v>
      </c>
      <c r="O1521">
        <f>IF(G1521="Not available","",VLOOKUP(F1521,Sheet2!$B$1:$E$19,4,FALSE)+(G1521-1))</f>
        <v>3885749</v>
      </c>
    </row>
    <row r="1522" spans="1:15" s="1" customFormat="1" ht="15" customHeight="1" x14ac:dyDescent="0.25">
      <c r="A1522" s="18" t="s">
        <v>859</v>
      </c>
      <c r="B1522" s="18" t="s">
        <v>44</v>
      </c>
      <c r="C1522" s="5">
        <v>1862</v>
      </c>
      <c r="E1522" s="1" t="s">
        <v>939</v>
      </c>
      <c r="F1522" s="18">
        <v>999</v>
      </c>
      <c r="G1522" s="18">
        <v>34</v>
      </c>
      <c r="H1522" s="5">
        <v>32</v>
      </c>
      <c r="I1522" s="1">
        <v>67</v>
      </c>
      <c r="J1522" s="1">
        <v>101</v>
      </c>
      <c r="L1522" t="str">
        <f t="shared" si="23"/>
        <v>http://www.badatelna.eu/reprodukce/?fondId=241&amp;zaznamId=1133739&amp;reproId=3885763</v>
      </c>
      <c r="M1522">
        <f>VLOOKUP(F1522,Sheet2!$B$1:$E$19,2,FALSE)</f>
        <v>241</v>
      </c>
      <c r="N1522">
        <f>VLOOKUP(F1522,Sheet2!$B$1:$E$19,3,FALSE)</f>
        <v>1133739</v>
      </c>
      <c r="O1522">
        <f>IF(G1522="Not available","",VLOOKUP(F1522,Sheet2!$B$1:$E$19,4,FALSE)+(G1522-1))</f>
        <v>3885763</v>
      </c>
    </row>
    <row r="1523" spans="1:15" s="1" customFormat="1" ht="15" customHeight="1" x14ac:dyDescent="0.25">
      <c r="A1523" s="18" t="s">
        <v>208</v>
      </c>
      <c r="B1523" s="18" t="s">
        <v>92</v>
      </c>
      <c r="C1523" s="10" t="s">
        <v>2081</v>
      </c>
      <c r="D1523" s="3" t="s">
        <v>2328</v>
      </c>
      <c r="E1523" s="4" t="s">
        <v>2</v>
      </c>
      <c r="F1523" s="18">
        <v>2176</v>
      </c>
      <c r="G1523" s="18" t="s">
        <v>3271</v>
      </c>
      <c r="H1523" s="10" t="s">
        <v>1979</v>
      </c>
      <c r="I1523" s="3">
        <v>17</v>
      </c>
      <c r="J1523" s="3" t="s">
        <v>3271</v>
      </c>
      <c r="K1523" s="3"/>
      <c r="L1523" t="str">
        <f t="shared" si="23"/>
        <v/>
      </c>
      <c r="M1523">
        <f>VLOOKUP(F1523,Sheet2!$B$1:$E$19,2,FALSE)</f>
        <v>1073</v>
      </c>
      <c r="N1523">
        <f>VLOOKUP(F1523,Sheet2!$B$1:$E$19,3,FALSE)</f>
        <v>1108963</v>
      </c>
      <c r="O1523" t="str">
        <f>IF(G1523="Not available","",VLOOKUP(F1523,Sheet2!$B$1:$E$19,4,FALSE)+(G1523-1))</f>
        <v/>
      </c>
    </row>
    <row r="1524" spans="1:15" s="1" customFormat="1" ht="15" customHeight="1" x14ac:dyDescent="0.25">
      <c r="A1524" s="18" t="s">
        <v>208</v>
      </c>
      <c r="B1524" s="18" t="s">
        <v>92</v>
      </c>
      <c r="C1524" s="5" t="s">
        <v>1813</v>
      </c>
      <c r="D1524" s="1" t="s">
        <v>44</v>
      </c>
      <c r="E1524" s="1" t="s">
        <v>2</v>
      </c>
      <c r="F1524" s="18">
        <v>2165</v>
      </c>
      <c r="G1524" s="18">
        <v>248</v>
      </c>
      <c r="H1524" s="5">
        <v>2</v>
      </c>
      <c r="I1524" s="1">
        <v>250</v>
      </c>
      <c r="J1524" s="1">
        <v>226</v>
      </c>
      <c r="L1524" t="str">
        <f t="shared" si="23"/>
        <v>http://www.badatelna.eu/reprodukce/?fondId=1073&amp;zaznamId=1108952&amp;reproId=3779109</v>
      </c>
      <c r="M1524">
        <f>VLOOKUP(F1524,Sheet2!$B$1:$E$19,2,FALSE)</f>
        <v>1073</v>
      </c>
      <c r="N1524">
        <f>VLOOKUP(F1524,Sheet2!$B$1:$E$19,3,FALSE)</f>
        <v>1108952</v>
      </c>
      <c r="O1524">
        <f>IF(G1524="Not available","",VLOOKUP(F1524,Sheet2!$B$1:$E$19,4,FALSE)+(G1524-1))</f>
        <v>3779109</v>
      </c>
    </row>
    <row r="1525" spans="1:15" s="1" customFormat="1" ht="15" customHeight="1" x14ac:dyDescent="0.25">
      <c r="A1525" s="18" t="s">
        <v>208</v>
      </c>
      <c r="B1525" s="18" t="s">
        <v>162</v>
      </c>
      <c r="C1525" s="5">
        <v>1809</v>
      </c>
      <c r="E1525" s="1" t="s">
        <v>2</v>
      </c>
      <c r="F1525" s="18">
        <v>2173</v>
      </c>
      <c r="G1525" s="18">
        <v>55</v>
      </c>
      <c r="H1525" s="5">
        <v>104</v>
      </c>
      <c r="I1525" s="1">
        <v>98</v>
      </c>
      <c r="J1525" s="1">
        <v>209</v>
      </c>
      <c r="L1525" t="str">
        <f t="shared" si="23"/>
        <v>http://www.badatelna.eu/reprodukce/?fondId=1073&amp;zaznamId=1108959&amp;reproId=3780048</v>
      </c>
      <c r="M1525">
        <f>VLOOKUP(F1525,Sheet2!$B$1:$E$19,2,FALSE)</f>
        <v>1073</v>
      </c>
      <c r="N1525">
        <f>VLOOKUP(F1525,Sheet2!$B$1:$E$19,3,FALSE)</f>
        <v>1108959</v>
      </c>
      <c r="O1525">
        <f>IF(G1525="Not available","",VLOOKUP(F1525,Sheet2!$B$1:$E$19,4,FALSE)+(G1525-1))</f>
        <v>3780048</v>
      </c>
    </row>
    <row r="1526" spans="1:15" s="1" customFormat="1" ht="15" customHeight="1" x14ac:dyDescent="0.25">
      <c r="A1526" s="18" t="s">
        <v>208</v>
      </c>
      <c r="B1526" s="18" t="s">
        <v>2334</v>
      </c>
      <c r="C1526" s="10" t="s">
        <v>2093</v>
      </c>
      <c r="D1526" s="3" t="s">
        <v>2328</v>
      </c>
      <c r="E1526" s="4" t="s">
        <v>2</v>
      </c>
      <c r="F1526" s="18">
        <v>2176</v>
      </c>
      <c r="G1526" s="18" t="s">
        <v>3271</v>
      </c>
      <c r="H1526" s="10" t="s">
        <v>1979</v>
      </c>
      <c r="I1526" s="3">
        <v>17</v>
      </c>
      <c r="J1526" s="3" t="s">
        <v>3271</v>
      </c>
      <c r="K1526" s="3"/>
      <c r="L1526" t="str">
        <f t="shared" si="23"/>
        <v/>
      </c>
      <c r="M1526">
        <f>VLOOKUP(F1526,Sheet2!$B$1:$E$19,2,FALSE)</f>
        <v>1073</v>
      </c>
      <c r="N1526">
        <f>VLOOKUP(F1526,Sheet2!$B$1:$E$19,3,FALSE)</f>
        <v>1108963</v>
      </c>
      <c r="O1526" t="str">
        <f>IF(G1526="Not available","",VLOOKUP(F1526,Sheet2!$B$1:$E$19,4,FALSE)+(G1526-1))</f>
        <v/>
      </c>
    </row>
    <row r="1527" spans="1:15" s="1" customFormat="1" ht="15" customHeight="1" x14ac:dyDescent="0.25">
      <c r="A1527" s="18" t="s">
        <v>208</v>
      </c>
      <c r="B1527" s="18" t="s">
        <v>1078</v>
      </c>
      <c r="C1527" s="10" t="s">
        <v>2092</v>
      </c>
      <c r="D1527" s="3" t="s">
        <v>2328</v>
      </c>
      <c r="E1527" s="4" t="s">
        <v>2</v>
      </c>
      <c r="F1527" s="18">
        <v>2176</v>
      </c>
      <c r="G1527" s="18" t="s">
        <v>3271</v>
      </c>
      <c r="H1527" s="10" t="s">
        <v>2083</v>
      </c>
      <c r="I1527" s="3">
        <v>17</v>
      </c>
      <c r="J1527" s="3" t="s">
        <v>3271</v>
      </c>
      <c r="K1527" s="3"/>
      <c r="L1527" t="str">
        <f t="shared" si="23"/>
        <v/>
      </c>
      <c r="M1527">
        <f>VLOOKUP(F1527,Sheet2!$B$1:$E$19,2,FALSE)</f>
        <v>1073</v>
      </c>
      <c r="N1527">
        <f>VLOOKUP(F1527,Sheet2!$B$1:$E$19,3,FALSE)</f>
        <v>1108963</v>
      </c>
      <c r="O1527" t="str">
        <f>IF(G1527="Not available","",VLOOKUP(F1527,Sheet2!$B$1:$E$19,4,FALSE)+(G1527-1))</f>
        <v/>
      </c>
    </row>
    <row r="1528" spans="1:15" s="1" customFormat="1" ht="15" customHeight="1" x14ac:dyDescent="0.25">
      <c r="A1528" s="18" t="s">
        <v>1240</v>
      </c>
      <c r="B1528" s="18" t="s">
        <v>1066</v>
      </c>
      <c r="C1528" s="5" t="s">
        <v>1909</v>
      </c>
      <c r="D1528" s="1" t="s">
        <v>44</v>
      </c>
      <c r="E1528" s="1" t="s">
        <v>2</v>
      </c>
      <c r="F1528" s="18">
        <v>2165</v>
      </c>
      <c r="G1528" s="18">
        <v>277</v>
      </c>
      <c r="H1528" s="5">
        <v>3</v>
      </c>
      <c r="I1528" s="1">
        <v>278</v>
      </c>
      <c r="J1528" s="1">
        <v>252</v>
      </c>
      <c r="L1528" t="str">
        <f t="shared" si="23"/>
        <v>http://www.badatelna.eu/reprodukce/?fondId=1073&amp;zaznamId=1108952&amp;reproId=3779138</v>
      </c>
      <c r="M1528">
        <f>VLOOKUP(F1528,Sheet2!$B$1:$E$19,2,FALSE)</f>
        <v>1073</v>
      </c>
      <c r="N1528">
        <f>VLOOKUP(F1528,Sheet2!$B$1:$E$19,3,FALSE)</f>
        <v>1108952</v>
      </c>
      <c r="O1528">
        <f>IF(G1528="Not available","",VLOOKUP(F1528,Sheet2!$B$1:$E$19,4,FALSE)+(G1528-1))</f>
        <v>3779138</v>
      </c>
    </row>
    <row r="1529" spans="1:15" s="1" customFormat="1" ht="15" customHeight="1" x14ac:dyDescent="0.25">
      <c r="A1529" s="18" t="s">
        <v>1240</v>
      </c>
      <c r="B1529" s="18" t="s">
        <v>1078</v>
      </c>
      <c r="C1529" s="5" t="s">
        <v>1889</v>
      </c>
      <c r="D1529" s="1" t="s">
        <v>44</v>
      </c>
      <c r="E1529" s="1" t="s">
        <v>2</v>
      </c>
      <c r="F1529" s="18">
        <v>2165</v>
      </c>
      <c r="G1529" s="18">
        <v>269</v>
      </c>
      <c r="H1529" s="5">
        <v>1</v>
      </c>
      <c r="I1529" s="1">
        <v>272</v>
      </c>
      <c r="J1529" s="1">
        <v>246</v>
      </c>
      <c r="L1529" t="str">
        <f t="shared" si="23"/>
        <v>http://www.badatelna.eu/reprodukce/?fondId=1073&amp;zaznamId=1108952&amp;reproId=3779130</v>
      </c>
      <c r="M1529">
        <f>VLOOKUP(F1529,Sheet2!$B$1:$E$19,2,FALSE)</f>
        <v>1073</v>
      </c>
      <c r="N1529">
        <f>VLOOKUP(F1529,Sheet2!$B$1:$E$19,3,FALSE)</f>
        <v>1108952</v>
      </c>
      <c r="O1529">
        <f>IF(G1529="Not available","",VLOOKUP(F1529,Sheet2!$B$1:$E$19,4,FALSE)+(G1529-1))</f>
        <v>3779130</v>
      </c>
    </row>
    <row r="1530" spans="1:15" s="1" customFormat="1" ht="15" customHeight="1" x14ac:dyDescent="0.25">
      <c r="A1530" s="18" t="s">
        <v>1165</v>
      </c>
      <c r="B1530" s="18" t="s">
        <v>1271</v>
      </c>
      <c r="C1530" s="14" t="s">
        <v>2098</v>
      </c>
      <c r="D1530" s="4" t="s">
        <v>2858</v>
      </c>
      <c r="E1530" s="1" t="s">
        <v>2</v>
      </c>
      <c r="F1530" s="18">
        <v>2165</v>
      </c>
      <c r="G1530" s="18">
        <v>302</v>
      </c>
      <c r="H1530" s="5">
        <v>1</v>
      </c>
      <c r="I1530" s="1">
        <v>305</v>
      </c>
      <c r="J1530" s="1">
        <v>278</v>
      </c>
      <c r="L1530" t="str">
        <f t="shared" si="23"/>
        <v>http://www.badatelna.eu/reprodukce/?fondId=1073&amp;zaznamId=1108952&amp;reproId=3779163</v>
      </c>
      <c r="M1530">
        <f>VLOOKUP(F1530,Sheet2!$B$1:$E$19,2,FALSE)</f>
        <v>1073</v>
      </c>
      <c r="N1530">
        <f>VLOOKUP(F1530,Sheet2!$B$1:$E$19,3,FALSE)</f>
        <v>1108952</v>
      </c>
      <c r="O1530">
        <f>IF(G1530="Not available","",VLOOKUP(F1530,Sheet2!$B$1:$E$19,4,FALSE)+(G1530-1))</f>
        <v>3779163</v>
      </c>
    </row>
    <row r="1531" spans="1:15" s="1" customFormat="1" ht="15" customHeight="1" x14ac:dyDescent="0.25">
      <c r="A1531" s="18" t="s">
        <v>1165</v>
      </c>
      <c r="B1531" s="18" t="s">
        <v>963</v>
      </c>
      <c r="C1531" s="10" t="s">
        <v>2098</v>
      </c>
      <c r="D1531" s="3" t="s">
        <v>2340</v>
      </c>
      <c r="E1531" s="4" t="s">
        <v>2</v>
      </c>
      <c r="F1531" s="18">
        <v>2176</v>
      </c>
      <c r="G1531" s="18" t="s">
        <v>3271</v>
      </c>
      <c r="H1531" s="10" t="s">
        <v>2142</v>
      </c>
      <c r="I1531" s="3">
        <v>17</v>
      </c>
      <c r="J1531" s="3" t="s">
        <v>3271</v>
      </c>
      <c r="K1531" s="3"/>
      <c r="L1531" t="str">
        <f t="shared" si="23"/>
        <v/>
      </c>
      <c r="M1531">
        <f>VLOOKUP(F1531,Sheet2!$B$1:$E$19,2,FALSE)</f>
        <v>1073</v>
      </c>
      <c r="N1531">
        <f>VLOOKUP(F1531,Sheet2!$B$1:$E$19,3,FALSE)</f>
        <v>1108963</v>
      </c>
      <c r="O1531" t="str">
        <f>IF(G1531="Not available","",VLOOKUP(F1531,Sheet2!$B$1:$E$19,4,FALSE)+(G1531-1))</f>
        <v/>
      </c>
    </row>
    <row r="1532" spans="1:15" s="1" customFormat="1" ht="15" customHeight="1" x14ac:dyDescent="0.25">
      <c r="A1532" s="18" t="s">
        <v>1165</v>
      </c>
      <c r="B1532" s="18" t="s">
        <v>478</v>
      </c>
      <c r="C1532" s="10" t="s">
        <v>2097</v>
      </c>
      <c r="D1532" s="3" t="s">
        <v>2857</v>
      </c>
      <c r="E1532" s="4" t="s">
        <v>2</v>
      </c>
      <c r="F1532" s="18">
        <v>2176</v>
      </c>
      <c r="G1532" s="18" t="s">
        <v>3271</v>
      </c>
      <c r="H1532" s="10" t="s">
        <v>2088</v>
      </c>
      <c r="I1532" s="3">
        <v>17</v>
      </c>
      <c r="J1532" s="3" t="s">
        <v>3271</v>
      </c>
      <c r="K1532" s="3"/>
      <c r="L1532" t="str">
        <f t="shared" si="23"/>
        <v/>
      </c>
      <c r="M1532">
        <f>VLOOKUP(F1532,Sheet2!$B$1:$E$19,2,FALSE)</f>
        <v>1073</v>
      </c>
      <c r="N1532">
        <f>VLOOKUP(F1532,Sheet2!$B$1:$E$19,3,FALSE)</f>
        <v>1108963</v>
      </c>
      <c r="O1532" t="str">
        <f>IF(G1532="Not available","",VLOOKUP(F1532,Sheet2!$B$1:$E$19,4,FALSE)+(G1532-1))</f>
        <v/>
      </c>
    </row>
    <row r="1533" spans="1:15" s="1" customFormat="1" ht="15" customHeight="1" x14ac:dyDescent="0.25">
      <c r="A1533" s="18" t="s">
        <v>1165</v>
      </c>
      <c r="B1533" s="18" t="s">
        <v>520</v>
      </c>
      <c r="C1533" s="14" t="s">
        <v>2097</v>
      </c>
      <c r="D1533" s="4" t="s">
        <v>1258</v>
      </c>
      <c r="E1533" s="1" t="s">
        <v>2</v>
      </c>
      <c r="F1533" s="18">
        <v>2165</v>
      </c>
      <c r="G1533" s="18">
        <v>292</v>
      </c>
      <c r="H1533" s="5">
        <v>1</v>
      </c>
      <c r="I1533" s="1">
        <v>295</v>
      </c>
      <c r="J1533" s="1">
        <v>268</v>
      </c>
      <c r="L1533" t="str">
        <f t="shared" si="23"/>
        <v>http://www.badatelna.eu/reprodukce/?fondId=1073&amp;zaznamId=1108952&amp;reproId=3779153</v>
      </c>
      <c r="M1533">
        <f>VLOOKUP(F1533,Sheet2!$B$1:$E$19,2,FALSE)</f>
        <v>1073</v>
      </c>
      <c r="N1533">
        <f>VLOOKUP(F1533,Sheet2!$B$1:$E$19,3,FALSE)</f>
        <v>1108952</v>
      </c>
      <c r="O1533">
        <f>IF(G1533="Not available","",VLOOKUP(F1533,Sheet2!$B$1:$E$19,4,FALSE)+(G1533-1))</f>
        <v>3779153</v>
      </c>
    </row>
    <row r="1534" spans="1:15" s="1" customFormat="1" ht="15" customHeight="1" x14ac:dyDescent="0.25">
      <c r="A1534" s="18" t="s">
        <v>1165</v>
      </c>
      <c r="B1534" s="18" t="s">
        <v>2314</v>
      </c>
      <c r="C1534" s="10" t="s">
        <v>2043</v>
      </c>
      <c r="D1534" s="3" t="s">
        <v>2315</v>
      </c>
      <c r="E1534" s="4" t="s">
        <v>2</v>
      </c>
      <c r="F1534" s="18">
        <v>2176</v>
      </c>
      <c r="G1534" s="18" t="s">
        <v>3271</v>
      </c>
      <c r="H1534" s="10" t="s">
        <v>2088</v>
      </c>
      <c r="I1534" s="3">
        <v>17</v>
      </c>
      <c r="J1534" s="3" t="s">
        <v>3271</v>
      </c>
      <c r="K1534" s="3"/>
      <c r="L1534" t="str">
        <f t="shared" si="23"/>
        <v/>
      </c>
      <c r="M1534">
        <f>VLOOKUP(F1534,Sheet2!$B$1:$E$19,2,FALSE)</f>
        <v>1073</v>
      </c>
      <c r="N1534">
        <f>VLOOKUP(F1534,Sheet2!$B$1:$E$19,3,FALSE)</f>
        <v>1108963</v>
      </c>
      <c r="O1534" t="str">
        <f>IF(G1534="Not available","",VLOOKUP(F1534,Sheet2!$B$1:$E$19,4,FALSE)+(G1534-1))</f>
        <v/>
      </c>
    </row>
    <row r="1535" spans="1:15" s="1" customFormat="1" ht="15" customHeight="1" x14ac:dyDescent="0.25">
      <c r="A1535" s="18" t="s">
        <v>1165</v>
      </c>
      <c r="B1535" s="18" t="s">
        <v>1164</v>
      </c>
      <c r="C1535" s="5">
        <v>1885</v>
      </c>
      <c r="D1535" s="1" t="s">
        <v>1166</v>
      </c>
      <c r="E1535" s="1" t="s">
        <v>2</v>
      </c>
      <c r="F1535" s="18">
        <v>2165</v>
      </c>
      <c r="G1535" s="18">
        <v>199</v>
      </c>
      <c r="H1535" s="5">
        <v>1</v>
      </c>
      <c r="I1535" s="1">
        <v>204</v>
      </c>
      <c r="J1535" s="1">
        <v>187</v>
      </c>
      <c r="L1535" t="str">
        <f t="shared" si="23"/>
        <v>http://www.badatelna.eu/reprodukce/?fondId=1073&amp;zaznamId=1108952&amp;reproId=3779060</v>
      </c>
      <c r="M1535">
        <f>VLOOKUP(F1535,Sheet2!$B$1:$E$19,2,FALSE)</f>
        <v>1073</v>
      </c>
      <c r="N1535">
        <f>VLOOKUP(F1535,Sheet2!$B$1:$E$19,3,FALSE)</f>
        <v>1108952</v>
      </c>
      <c r="O1535">
        <f>IF(G1535="Not available","",VLOOKUP(F1535,Sheet2!$B$1:$E$19,4,FALSE)+(G1535-1))</f>
        <v>3779060</v>
      </c>
    </row>
    <row r="1536" spans="1:15" s="1" customFormat="1" ht="15" customHeight="1" x14ac:dyDescent="0.25">
      <c r="A1536" s="18" t="s">
        <v>1165</v>
      </c>
      <c r="B1536" s="18" t="s">
        <v>2173</v>
      </c>
      <c r="C1536" s="10" t="s">
        <v>2102</v>
      </c>
      <c r="D1536" s="3" t="s">
        <v>2343</v>
      </c>
      <c r="E1536" s="4" t="s">
        <v>2</v>
      </c>
      <c r="F1536" s="18">
        <v>2176</v>
      </c>
      <c r="G1536" s="18" t="s">
        <v>3271</v>
      </c>
      <c r="H1536" s="10" t="s">
        <v>1974</v>
      </c>
      <c r="I1536" s="3">
        <v>17</v>
      </c>
      <c r="J1536" s="3" t="s">
        <v>3271</v>
      </c>
      <c r="K1536" s="3"/>
      <c r="L1536" t="str">
        <f t="shared" si="23"/>
        <v/>
      </c>
      <c r="M1536">
        <f>VLOOKUP(F1536,Sheet2!$B$1:$E$19,2,FALSE)</f>
        <v>1073</v>
      </c>
      <c r="N1536">
        <f>VLOOKUP(F1536,Sheet2!$B$1:$E$19,3,FALSE)</f>
        <v>1108963</v>
      </c>
      <c r="O1536" t="str">
        <f>IF(G1536="Not available","",VLOOKUP(F1536,Sheet2!$B$1:$E$19,4,FALSE)+(G1536-1))</f>
        <v/>
      </c>
    </row>
    <row r="1537" spans="1:15" s="1" customFormat="1" ht="15" customHeight="1" x14ac:dyDescent="0.25">
      <c r="A1537" s="18" t="s">
        <v>659</v>
      </c>
      <c r="B1537" s="18" t="s">
        <v>620</v>
      </c>
      <c r="C1537" s="5">
        <v>1838</v>
      </c>
      <c r="D1537" s="1" t="s">
        <v>21</v>
      </c>
      <c r="E1537" s="1" t="s">
        <v>2</v>
      </c>
      <c r="F1537" s="18">
        <v>2174</v>
      </c>
      <c r="G1537" s="18">
        <v>96</v>
      </c>
      <c r="H1537" s="6" t="s">
        <v>3164</v>
      </c>
      <c r="I1537" s="1">
        <v>186</v>
      </c>
      <c r="J1537" s="1">
        <v>214</v>
      </c>
      <c r="L1537" t="str">
        <f t="shared" si="23"/>
        <v>http://www.badatelna.eu/reprodukce/?fondId=1073&amp;zaznamId=1108960&amp;reproId=3780320</v>
      </c>
      <c r="M1537">
        <f>VLOOKUP(F1537,Sheet2!$B$1:$E$19,2,FALSE)</f>
        <v>1073</v>
      </c>
      <c r="N1537">
        <f>VLOOKUP(F1537,Sheet2!$B$1:$E$19,3,FALSE)</f>
        <v>1108960</v>
      </c>
      <c r="O1537">
        <f>IF(G1537="Not available","",VLOOKUP(F1537,Sheet2!$B$1:$E$19,4,FALSE)+(G1537-1))</f>
        <v>3780320</v>
      </c>
    </row>
    <row r="1538" spans="1:15" s="1" customFormat="1" ht="15" customHeight="1" x14ac:dyDescent="0.25">
      <c r="A1538" s="18" t="s">
        <v>198</v>
      </c>
      <c r="B1538" s="18" t="s">
        <v>50</v>
      </c>
      <c r="C1538" s="5">
        <v>1839</v>
      </c>
      <c r="D1538" s="1" t="s">
        <v>21</v>
      </c>
      <c r="E1538" s="1" t="s">
        <v>2</v>
      </c>
      <c r="F1538" s="18">
        <v>2174</v>
      </c>
      <c r="G1538" s="18">
        <v>106</v>
      </c>
      <c r="H1538" s="6" t="s">
        <v>3173</v>
      </c>
      <c r="I1538" s="1">
        <v>186</v>
      </c>
      <c r="J1538" s="1">
        <v>214</v>
      </c>
      <c r="L1538" t="str">
        <f t="shared" si="23"/>
        <v>http://www.badatelna.eu/reprodukce/?fondId=1073&amp;zaznamId=1108960&amp;reproId=3780330</v>
      </c>
      <c r="M1538">
        <f>VLOOKUP(F1538,Sheet2!$B$1:$E$19,2,FALSE)</f>
        <v>1073</v>
      </c>
      <c r="N1538">
        <f>VLOOKUP(F1538,Sheet2!$B$1:$E$19,3,FALSE)</f>
        <v>1108960</v>
      </c>
      <c r="O1538">
        <f>IF(G1538="Not available","",VLOOKUP(F1538,Sheet2!$B$1:$E$19,4,FALSE)+(G1538-1))</f>
        <v>3780330</v>
      </c>
    </row>
    <row r="1539" spans="1:15" s="1" customFormat="1" ht="15" customHeight="1" x14ac:dyDescent="0.25">
      <c r="A1539" s="18" t="s">
        <v>198</v>
      </c>
      <c r="B1539" s="18" t="s">
        <v>632</v>
      </c>
      <c r="C1539" s="5">
        <v>1863</v>
      </c>
      <c r="E1539" s="1" t="s">
        <v>939</v>
      </c>
      <c r="F1539" s="26">
        <v>999</v>
      </c>
      <c r="G1539" s="18">
        <v>41</v>
      </c>
      <c r="H1539" s="5">
        <v>39</v>
      </c>
      <c r="I1539" s="1">
        <v>67</v>
      </c>
      <c r="J1539" s="1">
        <v>101</v>
      </c>
      <c r="L1539" t="str">
        <f t="shared" ref="L1539:L1602" si="24">IF(G1539="Not available","","http://www.badatelna.eu/reprodukce/?fondId="&amp;M1539&amp;"&amp;zaznamId="&amp;N1539&amp;"&amp;reproId="&amp;O1539)</f>
        <v>http://www.badatelna.eu/reprodukce/?fondId=241&amp;zaznamId=1133739&amp;reproId=3885770</v>
      </c>
      <c r="M1539">
        <f>VLOOKUP(F1539,Sheet2!$B$1:$E$19,2,FALSE)</f>
        <v>241</v>
      </c>
      <c r="N1539">
        <f>VLOOKUP(F1539,Sheet2!$B$1:$E$19,3,FALSE)</f>
        <v>1133739</v>
      </c>
      <c r="O1539">
        <f>IF(G1539="Not available","",VLOOKUP(F1539,Sheet2!$B$1:$E$19,4,FALSE)+(G1539-1))</f>
        <v>3885770</v>
      </c>
    </row>
    <row r="1540" spans="1:15" s="1" customFormat="1" ht="15" customHeight="1" x14ac:dyDescent="0.25">
      <c r="A1540" s="18" t="s">
        <v>198</v>
      </c>
      <c r="B1540" s="18" t="s">
        <v>53</v>
      </c>
      <c r="C1540" s="10" t="s">
        <v>2081</v>
      </c>
      <c r="D1540" s="3" t="s">
        <v>1970</v>
      </c>
      <c r="E1540" s="4" t="s">
        <v>2</v>
      </c>
      <c r="F1540" s="18">
        <v>2176</v>
      </c>
      <c r="G1540" s="18" t="s">
        <v>3271</v>
      </c>
      <c r="H1540" s="10" t="s">
        <v>2063</v>
      </c>
      <c r="I1540" s="3">
        <v>17</v>
      </c>
      <c r="J1540" s="3" t="s">
        <v>3271</v>
      </c>
      <c r="K1540" s="3"/>
      <c r="L1540" t="str">
        <f t="shared" si="24"/>
        <v/>
      </c>
      <c r="M1540">
        <f>VLOOKUP(F1540,Sheet2!$B$1:$E$19,2,FALSE)</f>
        <v>1073</v>
      </c>
      <c r="N1540">
        <f>VLOOKUP(F1540,Sheet2!$B$1:$E$19,3,FALSE)</f>
        <v>1108963</v>
      </c>
      <c r="O1540" t="str">
        <f>IF(G1540="Not available","",VLOOKUP(F1540,Sheet2!$B$1:$E$19,4,FALSE)+(G1540-1))</f>
        <v/>
      </c>
    </row>
    <row r="1541" spans="1:15" s="1" customFormat="1" ht="15" customHeight="1" x14ac:dyDescent="0.25">
      <c r="A1541" s="18" t="s">
        <v>198</v>
      </c>
      <c r="B1541" s="18" t="s">
        <v>53</v>
      </c>
      <c r="C1541" s="5" t="s">
        <v>1814</v>
      </c>
      <c r="D1541" s="1" t="s">
        <v>998</v>
      </c>
      <c r="E1541" s="1" t="s">
        <v>2</v>
      </c>
      <c r="F1541" s="18">
        <v>2165</v>
      </c>
      <c r="G1541" s="18">
        <v>249</v>
      </c>
      <c r="H1541" s="5">
        <v>3</v>
      </c>
      <c r="I1541" s="1">
        <v>250</v>
      </c>
      <c r="J1541" s="1">
        <v>226</v>
      </c>
      <c r="L1541" t="str">
        <f t="shared" si="24"/>
        <v>http://www.badatelna.eu/reprodukce/?fondId=1073&amp;zaznamId=1108952&amp;reproId=3779110</v>
      </c>
      <c r="M1541">
        <f>VLOOKUP(F1541,Sheet2!$B$1:$E$19,2,FALSE)</f>
        <v>1073</v>
      </c>
      <c r="N1541">
        <f>VLOOKUP(F1541,Sheet2!$B$1:$E$19,3,FALSE)</f>
        <v>1108952</v>
      </c>
      <c r="O1541">
        <f>IF(G1541="Not available","",VLOOKUP(F1541,Sheet2!$B$1:$E$19,4,FALSE)+(G1541-1))</f>
        <v>3779110</v>
      </c>
    </row>
    <row r="1542" spans="1:15" s="1" customFormat="1" ht="15" customHeight="1" x14ac:dyDescent="0.25">
      <c r="A1542" s="18" t="s">
        <v>198</v>
      </c>
      <c r="B1542" s="18" t="s">
        <v>92</v>
      </c>
      <c r="C1542" s="5" t="s">
        <v>1421</v>
      </c>
      <c r="D1542" s="1" t="s">
        <v>998</v>
      </c>
      <c r="E1542" s="1" t="s">
        <v>2</v>
      </c>
      <c r="F1542" s="18">
        <v>2165</v>
      </c>
      <c r="G1542" s="18">
        <v>49</v>
      </c>
      <c r="H1542" s="5">
        <v>46</v>
      </c>
      <c r="I1542" s="1">
        <v>83</v>
      </c>
      <c r="J1542" s="1" t="s">
        <v>3271</v>
      </c>
      <c r="L1542" t="str">
        <f t="shared" si="24"/>
        <v>http://www.badatelna.eu/reprodukce/?fondId=1073&amp;zaznamId=1108952&amp;reproId=3778910</v>
      </c>
      <c r="M1542">
        <f>VLOOKUP(F1542,Sheet2!$B$1:$E$19,2,FALSE)</f>
        <v>1073</v>
      </c>
      <c r="N1542">
        <f>VLOOKUP(F1542,Sheet2!$B$1:$E$19,3,FALSE)</f>
        <v>1108952</v>
      </c>
      <c r="O1542">
        <f>IF(G1542="Not available","",VLOOKUP(F1542,Sheet2!$B$1:$E$19,4,FALSE)+(G1542-1))</f>
        <v>3778910</v>
      </c>
    </row>
    <row r="1543" spans="1:15" s="1" customFormat="1" ht="15" customHeight="1" x14ac:dyDescent="0.25">
      <c r="A1543" s="18" t="s">
        <v>198</v>
      </c>
      <c r="B1543" s="18" t="s">
        <v>637</v>
      </c>
      <c r="C1543" s="5" t="s">
        <v>1423</v>
      </c>
      <c r="D1543" s="1" t="s">
        <v>65</v>
      </c>
      <c r="E1543" s="1" t="s">
        <v>2</v>
      </c>
      <c r="F1543" s="18">
        <v>2165</v>
      </c>
      <c r="G1543" s="18">
        <v>52</v>
      </c>
      <c r="H1543" s="5">
        <v>49</v>
      </c>
      <c r="I1543" s="1">
        <v>83</v>
      </c>
      <c r="J1543" s="1" t="s">
        <v>3271</v>
      </c>
      <c r="L1543" t="str">
        <f t="shared" si="24"/>
        <v>http://www.badatelna.eu/reprodukce/?fondId=1073&amp;zaznamId=1108952&amp;reproId=3778913</v>
      </c>
      <c r="M1543">
        <f>VLOOKUP(F1543,Sheet2!$B$1:$E$19,2,FALSE)</f>
        <v>1073</v>
      </c>
      <c r="N1543">
        <f>VLOOKUP(F1543,Sheet2!$B$1:$E$19,3,FALSE)</f>
        <v>1108952</v>
      </c>
      <c r="O1543">
        <f>IF(G1543="Not available","",VLOOKUP(F1543,Sheet2!$B$1:$E$19,4,FALSE)+(G1543-1))</f>
        <v>3778913</v>
      </c>
    </row>
    <row r="1544" spans="1:15" s="1" customFormat="1" ht="15" customHeight="1" x14ac:dyDescent="0.25">
      <c r="A1544" s="18" t="s">
        <v>198</v>
      </c>
      <c r="B1544" s="18" t="s">
        <v>2359</v>
      </c>
      <c r="C1544" s="10" t="s">
        <v>2116</v>
      </c>
      <c r="D1544" s="3" t="s">
        <v>2350</v>
      </c>
      <c r="E1544" s="4" t="s">
        <v>2</v>
      </c>
      <c r="F1544" s="18">
        <v>2176</v>
      </c>
      <c r="G1544" s="18" t="s">
        <v>3271</v>
      </c>
      <c r="H1544" s="10" t="s">
        <v>1954</v>
      </c>
      <c r="I1544" s="3">
        <v>18</v>
      </c>
      <c r="J1544" s="3" t="s">
        <v>3271</v>
      </c>
      <c r="K1544" s="3"/>
      <c r="L1544" t="str">
        <f t="shared" si="24"/>
        <v/>
      </c>
      <c r="M1544">
        <f>VLOOKUP(F1544,Sheet2!$B$1:$E$19,2,FALSE)</f>
        <v>1073</v>
      </c>
      <c r="N1544">
        <f>VLOOKUP(F1544,Sheet2!$B$1:$E$19,3,FALSE)</f>
        <v>1108963</v>
      </c>
      <c r="O1544" t="str">
        <f>IF(G1544="Not available","",VLOOKUP(F1544,Sheet2!$B$1:$E$19,4,FALSE)+(G1544-1))</f>
        <v/>
      </c>
    </row>
    <row r="1545" spans="1:15" s="1" customFormat="1" ht="15" customHeight="1" x14ac:dyDescent="0.25">
      <c r="A1545" s="18" t="s">
        <v>198</v>
      </c>
      <c r="B1545" s="18" t="s">
        <v>819</v>
      </c>
      <c r="C1545" s="5" t="s">
        <v>1402</v>
      </c>
      <c r="D1545" s="1" t="s">
        <v>632</v>
      </c>
      <c r="E1545" s="1" t="s">
        <v>2</v>
      </c>
      <c r="F1545" s="18">
        <v>2165</v>
      </c>
      <c r="G1545" s="18">
        <v>21</v>
      </c>
      <c r="H1545" s="5">
        <v>18</v>
      </c>
      <c r="I1545" s="1">
        <v>83</v>
      </c>
      <c r="J1545" s="1" t="s">
        <v>3271</v>
      </c>
      <c r="L1545" t="str">
        <f t="shared" si="24"/>
        <v>http://www.badatelna.eu/reprodukce/?fondId=1073&amp;zaznamId=1108952&amp;reproId=3778882</v>
      </c>
      <c r="M1545">
        <f>VLOOKUP(F1545,Sheet2!$B$1:$E$19,2,FALSE)</f>
        <v>1073</v>
      </c>
      <c r="N1545">
        <f>VLOOKUP(F1545,Sheet2!$B$1:$E$19,3,FALSE)</f>
        <v>1108952</v>
      </c>
      <c r="O1545">
        <f>IF(G1545="Not available","",VLOOKUP(F1545,Sheet2!$B$1:$E$19,4,FALSE)+(G1545-1))</f>
        <v>3778882</v>
      </c>
    </row>
    <row r="1546" spans="1:15" s="1" customFormat="1" ht="15" customHeight="1" x14ac:dyDescent="0.25">
      <c r="A1546" s="18" t="s">
        <v>198</v>
      </c>
      <c r="B1546" s="18" t="s">
        <v>1968</v>
      </c>
      <c r="C1546" s="10" t="s">
        <v>2052</v>
      </c>
      <c r="D1546" s="3" t="s">
        <v>2219</v>
      </c>
      <c r="E1546" s="4" t="s">
        <v>2</v>
      </c>
      <c r="F1546" s="18">
        <v>2176</v>
      </c>
      <c r="G1546" s="18" t="s">
        <v>3271</v>
      </c>
      <c r="H1546" s="10" t="s">
        <v>2031</v>
      </c>
      <c r="I1546" s="3">
        <v>17</v>
      </c>
      <c r="J1546" s="3" t="s">
        <v>3271</v>
      </c>
      <c r="K1546" s="3"/>
      <c r="L1546" t="str">
        <f t="shared" si="24"/>
        <v/>
      </c>
      <c r="M1546">
        <f>VLOOKUP(F1546,Sheet2!$B$1:$E$19,2,FALSE)</f>
        <v>1073</v>
      </c>
      <c r="N1546">
        <f>VLOOKUP(F1546,Sheet2!$B$1:$E$19,3,FALSE)</f>
        <v>1108963</v>
      </c>
      <c r="O1546" t="str">
        <f>IF(G1546="Not available","",VLOOKUP(F1546,Sheet2!$B$1:$E$19,4,FALSE)+(G1546-1))</f>
        <v/>
      </c>
    </row>
    <row r="1547" spans="1:15" s="1" customFormat="1" ht="15" customHeight="1" x14ac:dyDescent="0.25">
      <c r="A1547" s="18" t="s">
        <v>198</v>
      </c>
      <c r="B1547" s="18" t="s">
        <v>14</v>
      </c>
      <c r="C1547" s="5">
        <v>1808</v>
      </c>
      <c r="E1547" s="1" t="s">
        <v>2</v>
      </c>
      <c r="F1547" s="18">
        <v>2173</v>
      </c>
      <c r="G1547" s="18">
        <v>54</v>
      </c>
      <c r="H1547" s="5">
        <v>102</v>
      </c>
      <c r="I1547" s="1">
        <v>98</v>
      </c>
      <c r="J1547" s="1">
        <v>209</v>
      </c>
      <c r="L1547" t="str">
        <f t="shared" si="24"/>
        <v>http://www.badatelna.eu/reprodukce/?fondId=1073&amp;zaznamId=1108959&amp;reproId=3780047</v>
      </c>
      <c r="M1547">
        <f>VLOOKUP(F1547,Sheet2!$B$1:$E$19,2,FALSE)</f>
        <v>1073</v>
      </c>
      <c r="N1547">
        <f>VLOOKUP(F1547,Sheet2!$B$1:$E$19,3,FALSE)</f>
        <v>1108959</v>
      </c>
      <c r="O1547">
        <f>IF(G1547="Not available","",VLOOKUP(F1547,Sheet2!$B$1:$E$19,4,FALSE)+(G1547-1))</f>
        <v>3780047</v>
      </c>
    </row>
    <row r="1548" spans="1:15" s="1" customFormat="1" ht="15" customHeight="1" x14ac:dyDescent="0.25">
      <c r="A1548" s="18" t="s">
        <v>198</v>
      </c>
      <c r="B1548" s="18" t="s">
        <v>2096</v>
      </c>
      <c r="C1548" s="10" t="s">
        <v>2074</v>
      </c>
      <c r="D1548" s="3" t="s">
        <v>1970</v>
      </c>
      <c r="E1548" s="4" t="s">
        <v>2</v>
      </c>
      <c r="F1548" s="18">
        <v>2176</v>
      </c>
      <c r="G1548" s="18" t="s">
        <v>3271</v>
      </c>
      <c r="H1548" s="10" t="s">
        <v>1954</v>
      </c>
      <c r="I1548" s="3">
        <v>17</v>
      </c>
      <c r="J1548" s="3" t="s">
        <v>3271</v>
      </c>
      <c r="K1548" s="3"/>
      <c r="L1548" t="str">
        <f t="shared" si="24"/>
        <v/>
      </c>
      <c r="M1548">
        <f>VLOOKUP(F1548,Sheet2!$B$1:$E$19,2,FALSE)</f>
        <v>1073</v>
      </c>
      <c r="N1548">
        <f>VLOOKUP(F1548,Sheet2!$B$1:$E$19,3,FALSE)</f>
        <v>1108963</v>
      </c>
      <c r="O1548" t="str">
        <f>IF(G1548="Not available","",VLOOKUP(F1548,Sheet2!$B$1:$E$19,4,FALSE)+(G1548-1))</f>
        <v/>
      </c>
    </row>
    <row r="1549" spans="1:15" s="1" customFormat="1" ht="15" customHeight="1" x14ac:dyDescent="0.25">
      <c r="A1549" s="18" t="s">
        <v>198</v>
      </c>
      <c r="B1549" s="18" t="s">
        <v>478</v>
      </c>
      <c r="C1549" s="5">
        <v>1860</v>
      </c>
      <c r="E1549" s="1" t="s">
        <v>939</v>
      </c>
      <c r="F1549" s="18">
        <v>999</v>
      </c>
      <c r="G1549" s="18">
        <v>24</v>
      </c>
      <c r="H1549" s="5">
        <v>22</v>
      </c>
      <c r="I1549" s="1">
        <v>67</v>
      </c>
      <c r="J1549" s="1">
        <v>101</v>
      </c>
      <c r="L1549" t="str">
        <f t="shared" si="24"/>
        <v>http://www.badatelna.eu/reprodukce/?fondId=241&amp;zaznamId=1133739&amp;reproId=3885753</v>
      </c>
      <c r="M1549">
        <f>VLOOKUP(F1549,Sheet2!$B$1:$E$19,2,FALSE)</f>
        <v>241</v>
      </c>
      <c r="N1549">
        <f>VLOOKUP(F1549,Sheet2!$B$1:$E$19,3,FALSE)</f>
        <v>1133739</v>
      </c>
      <c r="O1549">
        <f>IF(G1549="Not available","",VLOOKUP(F1549,Sheet2!$B$1:$E$19,4,FALSE)+(G1549-1))</f>
        <v>3885753</v>
      </c>
    </row>
    <row r="1550" spans="1:15" s="1" customFormat="1" ht="15" customHeight="1" x14ac:dyDescent="0.25">
      <c r="A1550" s="18" t="s">
        <v>198</v>
      </c>
      <c r="B1550" s="18" t="s">
        <v>478</v>
      </c>
      <c r="C1550" s="5" t="s">
        <v>1393</v>
      </c>
      <c r="D1550" s="1" t="s">
        <v>428</v>
      </c>
      <c r="E1550" s="1" t="s">
        <v>2</v>
      </c>
      <c r="F1550" s="18">
        <v>2165</v>
      </c>
      <c r="G1550" s="18">
        <v>6</v>
      </c>
      <c r="H1550" s="5">
        <v>3</v>
      </c>
      <c r="I1550" s="1">
        <v>82</v>
      </c>
      <c r="J1550" s="1" t="s">
        <v>3271</v>
      </c>
      <c r="L1550" t="str">
        <f t="shared" si="24"/>
        <v>http://www.badatelna.eu/reprodukce/?fondId=1073&amp;zaznamId=1108952&amp;reproId=3778867</v>
      </c>
      <c r="M1550">
        <f>VLOOKUP(F1550,Sheet2!$B$1:$E$19,2,FALSE)</f>
        <v>1073</v>
      </c>
      <c r="N1550">
        <f>VLOOKUP(F1550,Sheet2!$B$1:$E$19,3,FALSE)</f>
        <v>1108952</v>
      </c>
      <c r="O1550">
        <f>IF(G1550="Not available","",VLOOKUP(F1550,Sheet2!$B$1:$E$19,4,FALSE)+(G1550-1))</f>
        <v>3778867</v>
      </c>
    </row>
    <row r="1551" spans="1:15" s="1" customFormat="1" ht="15" customHeight="1" x14ac:dyDescent="0.25">
      <c r="A1551" s="18" t="s">
        <v>198</v>
      </c>
      <c r="B1551" s="18" t="s">
        <v>520</v>
      </c>
      <c r="C1551" s="5">
        <v>1865</v>
      </c>
      <c r="E1551" s="1" t="s">
        <v>939</v>
      </c>
      <c r="F1551" s="18">
        <v>999</v>
      </c>
      <c r="G1551" s="18">
        <v>54</v>
      </c>
      <c r="H1551" s="5">
        <v>52</v>
      </c>
      <c r="I1551" s="1">
        <v>67</v>
      </c>
      <c r="J1551" s="1">
        <v>101</v>
      </c>
      <c r="L1551" t="str">
        <f t="shared" si="24"/>
        <v>http://www.badatelna.eu/reprodukce/?fondId=241&amp;zaznamId=1133739&amp;reproId=3885783</v>
      </c>
      <c r="M1551">
        <f>VLOOKUP(F1551,Sheet2!$B$1:$E$19,2,FALSE)</f>
        <v>241</v>
      </c>
      <c r="N1551">
        <f>VLOOKUP(F1551,Sheet2!$B$1:$E$19,3,FALSE)</f>
        <v>1133739</v>
      </c>
      <c r="O1551">
        <f>IF(G1551="Not available","",VLOOKUP(F1551,Sheet2!$B$1:$E$19,4,FALSE)+(G1551-1))</f>
        <v>3885783</v>
      </c>
    </row>
    <row r="1552" spans="1:15" s="1" customFormat="1" ht="15" customHeight="1" x14ac:dyDescent="0.25">
      <c r="A1552" s="18" t="s">
        <v>198</v>
      </c>
      <c r="B1552" s="18" t="s">
        <v>1043</v>
      </c>
      <c r="C1552" s="10" t="s">
        <v>1949</v>
      </c>
      <c r="D1552" s="3" t="s">
        <v>2050</v>
      </c>
      <c r="E1552" s="4" t="s">
        <v>2</v>
      </c>
      <c r="F1552" s="18">
        <v>2176</v>
      </c>
      <c r="G1552" s="18" t="s">
        <v>3271</v>
      </c>
      <c r="H1552" s="10" t="s">
        <v>2142</v>
      </c>
      <c r="I1552" s="3">
        <v>17</v>
      </c>
      <c r="J1552" s="3" t="s">
        <v>3271</v>
      </c>
      <c r="K1552" s="3"/>
      <c r="L1552" t="str">
        <f t="shared" si="24"/>
        <v/>
      </c>
      <c r="M1552">
        <f>VLOOKUP(F1552,Sheet2!$B$1:$E$19,2,FALSE)</f>
        <v>1073</v>
      </c>
      <c r="N1552">
        <f>VLOOKUP(F1552,Sheet2!$B$1:$E$19,3,FALSE)</f>
        <v>1108963</v>
      </c>
      <c r="O1552" t="str">
        <f>IF(G1552="Not available","",VLOOKUP(F1552,Sheet2!$B$1:$E$19,4,FALSE)+(G1552-1))</f>
        <v/>
      </c>
    </row>
    <row r="1553" spans="1:15" s="1" customFormat="1" ht="15" customHeight="1" x14ac:dyDescent="0.25">
      <c r="A1553" s="18" t="s">
        <v>198</v>
      </c>
      <c r="B1553" s="18" t="s">
        <v>674</v>
      </c>
      <c r="C1553" s="5">
        <v>1848</v>
      </c>
      <c r="D1553" s="1" t="s">
        <v>19</v>
      </c>
      <c r="E1553" s="1" t="s">
        <v>2</v>
      </c>
      <c r="F1553" s="18">
        <v>2164</v>
      </c>
      <c r="G1553" s="18">
        <v>44</v>
      </c>
      <c r="H1553" s="5">
        <v>42</v>
      </c>
      <c r="I1553" s="1">
        <v>128</v>
      </c>
      <c r="J1553" s="1" t="s">
        <v>3271</v>
      </c>
      <c r="L1553" t="str">
        <f t="shared" si="24"/>
        <v>http://www.badatelna.eu/reprodukce/?fondId=1073&amp;zaznamId=1108951&amp;reproId=3778758</v>
      </c>
      <c r="M1553">
        <f>VLOOKUP(F1553,Sheet2!$B$1:$E$19,2,FALSE)</f>
        <v>1073</v>
      </c>
      <c r="N1553">
        <f>VLOOKUP(F1553,Sheet2!$B$1:$E$19,3,FALSE)</f>
        <v>1108951</v>
      </c>
      <c r="O1553">
        <f>IF(G1553="Not available","",VLOOKUP(F1553,Sheet2!$B$1:$E$19,4,FALSE)+(G1553-1))</f>
        <v>3778758</v>
      </c>
    </row>
    <row r="1554" spans="1:15" s="1" customFormat="1" ht="15" customHeight="1" x14ac:dyDescent="0.25">
      <c r="A1554" s="18" t="s">
        <v>198</v>
      </c>
      <c r="B1554" s="18" t="s">
        <v>547</v>
      </c>
      <c r="C1554" s="5">
        <v>1857</v>
      </c>
      <c r="D1554" s="1" t="s">
        <v>24</v>
      </c>
      <c r="E1554" s="1" t="s">
        <v>2</v>
      </c>
      <c r="F1554" s="18">
        <v>2164</v>
      </c>
      <c r="G1554" s="18">
        <v>117</v>
      </c>
      <c r="H1554" s="5">
        <v>115</v>
      </c>
      <c r="I1554" s="1">
        <v>128</v>
      </c>
      <c r="J1554" s="1" t="s">
        <v>3271</v>
      </c>
      <c r="L1554" t="str">
        <f t="shared" si="24"/>
        <v>http://www.badatelna.eu/reprodukce/?fondId=1073&amp;zaznamId=1108951&amp;reproId=3778831</v>
      </c>
      <c r="M1554">
        <f>VLOOKUP(F1554,Sheet2!$B$1:$E$19,2,FALSE)</f>
        <v>1073</v>
      </c>
      <c r="N1554">
        <f>VLOOKUP(F1554,Sheet2!$B$1:$E$19,3,FALSE)</f>
        <v>1108951</v>
      </c>
      <c r="O1554">
        <f>IF(G1554="Not available","",VLOOKUP(F1554,Sheet2!$B$1:$E$19,4,FALSE)+(G1554-1))</f>
        <v>3778831</v>
      </c>
    </row>
    <row r="1555" spans="1:15" s="1" customFormat="1" ht="15" customHeight="1" x14ac:dyDescent="0.25">
      <c r="A1555" s="18" t="s">
        <v>198</v>
      </c>
      <c r="B1555" s="18" t="s">
        <v>868</v>
      </c>
      <c r="C1555" s="5" t="s">
        <v>1425</v>
      </c>
      <c r="D1555" s="1" t="s">
        <v>1003</v>
      </c>
      <c r="E1555" s="1" t="s">
        <v>2</v>
      </c>
      <c r="F1555" s="18">
        <v>2165</v>
      </c>
      <c r="G1555" s="18">
        <v>57</v>
      </c>
      <c r="H1555" s="5">
        <v>54</v>
      </c>
      <c r="I1555" s="1">
        <v>83</v>
      </c>
      <c r="J1555" s="1" t="s">
        <v>3271</v>
      </c>
      <c r="L1555" t="str">
        <f t="shared" si="24"/>
        <v>http://www.badatelna.eu/reprodukce/?fondId=1073&amp;zaznamId=1108952&amp;reproId=3778918</v>
      </c>
      <c r="M1555">
        <f>VLOOKUP(F1555,Sheet2!$B$1:$E$19,2,FALSE)</f>
        <v>1073</v>
      </c>
      <c r="N1555">
        <f>VLOOKUP(F1555,Sheet2!$B$1:$E$19,3,FALSE)</f>
        <v>1108952</v>
      </c>
      <c r="O1555">
        <f>IF(G1555="Not available","",VLOOKUP(F1555,Sheet2!$B$1:$E$19,4,FALSE)+(G1555-1))</f>
        <v>3778918</v>
      </c>
    </row>
    <row r="1556" spans="1:15" s="1" customFormat="1" ht="15" customHeight="1" x14ac:dyDescent="0.25">
      <c r="A1556" s="18" t="s">
        <v>198</v>
      </c>
      <c r="B1556" s="18" t="s">
        <v>816</v>
      </c>
      <c r="C1556" s="5" t="s">
        <v>1394</v>
      </c>
      <c r="D1556" s="1" t="s">
        <v>65</v>
      </c>
      <c r="E1556" s="1" t="s">
        <v>2</v>
      </c>
      <c r="F1556" s="18">
        <v>2165</v>
      </c>
      <c r="G1556" s="18">
        <v>12</v>
      </c>
      <c r="H1556" s="5">
        <v>9</v>
      </c>
      <c r="I1556" s="1">
        <v>82</v>
      </c>
      <c r="J1556" s="1" t="s">
        <v>3271</v>
      </c>
      <c r="L1556" t="str">
        <f t="shared" si="24"/>
        <v>http://www.badatelna.eu/reprodukce/?fondId=1073&amp;zaznamId=1108952&amp;reproId=3778873</v>
      </c>
      <c r="M1556">
        <f>VLOOKUP(F1556,Sheet2!$B$1:$E$19,2,FALSE)</f>
        <v>1073</v>
      </c>
      <c r="N1556">
        <f>VLOOKUP(F1556,Sheet2!$B$1:$E$19,3,FALSE)</f>
        <v>1108952</v>
      </c>
      <c r="O1556">
        <f>IF(G1556="Not available","",VLOOKUP(F1556,Sheet2!$B$1:$E$19,4,FALSE)+(G1556-1))</f>
        <v>3778873</v>
      </c>
    </row>
    <row r="1557" spans="1:15" s="1" customFormat="1" ht="15" customHeight="1" x14ac:dyDescent="0.25">
      <c r="A1557" s="18" t="s">
        <v>198</v>
      </c>
      <c r="B1557" s="18" t="s">
        <v>482</v>
      </c>
      <c r="C1557" s="5">
        <v>1853</v>
      </c>
      <c r="D1557" s="1" t="s">
        <v>65</v>
      </c>
      <c r="E1557" s="1" t="s">
        <v>2</v>
      </c>
      <c r="F1557" s="18">
        <v>2164</v>
      </c>
      <c r="G1557" s="18">
        <v>94</v>
      </c>
      <c r="H1557" s="5">
        <v>92</v>
      </c>
      <c r="I1557" s="1">
        <v>128</v>
      </c>
      <c r="J1557" s="1" t="s">
        <v>3271</v>
      </c>
      <c r="L1557" t="str">
        <f t="shared" si="24"/>
        <v>http://www.badatelna.eu/reprodukce/?fondId=1073&amp;zaznamId=1108951&amp;reproId=3778808</v>
      </c>
      <c r="M1557">
        <f>VLOOKUP(F1557,Sheet2!$B$1:$E$19,2,FALSE)</f>
        <v>1073</v>
      </c>
      <c r="N1557">
        <f>VLOOKUP(F1557,Sheet2!$B$1:$E$19,3,FALSE)</f>
        <v>1108951</v>
      </c>
      <c r="O1557">
        <f>IF(G1557="Not available","",VLOOKUP(F1557,Sheet2!$B$1:$E$19,4,FALSE)+(G1557-1))</f>
        <v>3778808</v>
      </c>
    </row>
    <row r="1558" spans="1:15" s="1" customFormat="1" ht="15" customHeight="1" x14ac:dyDescent="0.25">
      <c r="A1558" s="18" t="s">
        <v>198</v>
      </c>
      <c r="B1558" s="18" t="s">
        <v>1230</v>
      </c>
      <c r="C1558" s="10" t="s">
        <v>2087</v>
      </c>
      <c r="D1558" s="3" t="s">
        <v>2330</v>
      </c>
      <c r="E1558" s="4" t="s">
        <v>2</v>
      </c>
      <c r="F1558" s="18">
        <v>2176</v>
      </c>
      <c r="G1558" s="18" t="s">
        <v>3271</v>
      </c>
      <c r="H1558" s="10" t="s">
        <v>2142</v>
      </c>
      <c r="I1558" s="3">
        <v>17</v>
      </c>
      <c r="J1558" s="3" t="s">
        <v>3271</v>
      </c>
      <c r="K1558" s="3"/>
      <c r="L1558" t="str">
        <f t="shared" si="24"/>
        <v/>
      </c>
      <c r="M1558">
        <f>VLOOKUP(F1558,Sheet2!$B$1:$E$19,2,FALSE)</f>
        <v>1073</v>
      </c>
      <c r="N1558">
        <f>VLOOKUP(F1558,Sheet2!$B$1:$E$19,3,FALSE)</f>
        <v>1108963</v>
      </c>
      <c r="O1558" t="str">
        <f>IF(G1558="Not available","",VLOOKUP(F1558,Sheet2!$B$1:$E$19,4,FALSE)+(G1558-1))</f>
        <v/>
      </c>
    </row>
    <row r="1559" spans="1:15" s="1" customFormat="1" ht="15" customHeight="1" x14ac:dyDescent="0.25">
      <c r="A1559" s="18" t="s">
        <v>198</v>
      </c>
      <c r="B1559" s="18" t="s">
        <v>1230</v>
      </c>
      <c r="C1559" s="5" t="s">
        <v>1865</v>
      </c>
      <c r="D1559" s="1" t="s">
        <v>1231</v>
      </c>
      <c r="E1559" s="1" t="s">
        <v>2</v>
      </c>
      <c r="F1559" s="18">
        <v>2165</v>
      </c>
      <c r="G1559" s="18">
        <v>260</v>
      </c>
      <c r="H1559" s="5">
        <v>1</v>
      </c>
      <c r="I1559" s="1">
        <v>265</v>
      </c>
      <c r="J1559" s="1">
        <v>239</v>
      </c>
      <c r="L1559" t="str">
        <f t="shared" si="24"/>
        <v>http://www.badatelna.eu/reprodukce/?fondId=1073&amp;zaznamId=1108952&amp;reproId=3779121</v>
      </c>
      <c r="M1559">
        <f>VLOOKUP(F1559,Sheet2!$B$1:$E$19,2,FALSE)</f>
        <v>1073</v>
      </c>
      <c r="N1559">
        <f>VLOOKUP(F1559,Sheet2!$B$1:$E$19,3,FALSE)</f>
        <v>1108952</v>
      </c>
      <c r="O1559">
        <f>IF(G1559="Not available","",VLOOKUP(F1559,Sheet2!$B$1:$E$19,4,FALSE)+(G1559-1))</f>
        <v>3779121</v>
      </c>
    </row>
    <row r="1560" spans="1:15" s="1" customFormat="1" ht="15" customHeight="1" x14ac:dyDescent="0.25">
      <c r="A1560" s="18" t="s">
        <v>198</v>
      </c>
      <c r="B1560" s="18" t="s">
        <v>1126</v>
      </c>
      <c r="C1560" s="5">
        <v>1884</v>
      </c>
      <c r="D1560" s="1" t="s">
        <v>432</v>
      </c>
      <c r="E1560" s="1" t="s">
        <v>2</v>
      </c>
      <c r="F1560" s="18">
        <v>2165</v>
      </c>
      <c r="G1560" s="18">
        <v>195</v>
      </c>
      <c r="H1560" s="5">
        <v>3</v>
      </c>
      <c r="I1560" s="1">
        <v>196</v>
      </c>
      <c r="J1560" s="1">
        <v>173</v>
      </c>
      <c r="L1560" t="str">
        <f t="shared" si="24"/>
        <v>http://www.badatelna.eu/reprodukce/?fondId=1073&amp;zaznamId=1108952&amp;reproId=3779056</v>
      </c>
      <c r="M1560">
        <f>VLOOKUP(F1560,Sheet2!$B$1:$E$19,2,FALSE)</f>
        <v>1073</v>
      </c>
      <c r="N1560">
        <f>VLOOKUP(F1560,Sheet2!$B$1:$E$19,3,FALSE)</f>
        <v>1108952</v>
      </c>
      <c r="O1560">
        <f>IF(G1560="Not available","",VLOOKUP(F1560,Sheet2!$B$1:$E$19,4,FALSE)+(G1560-1))</f>
        <v>3779056</v>
      </c>
    </row>
    <row r="1561" spans="1:15" s="1" customFormat="1" ht="15" customHeight="1" x14ac:dyDescent="0.25">
      <c r="A1561" s="18" t="s">
        <v>198</v>
      </c>
      <c r="B1561" s="18" t="s">
        <v>1126</v>
      </c>
      <c r="C1561" s="10" t="s">
        <v>2041</v>
      </c>
      <c r="D1561" s="3" t="s">
        <v>2219</v>
      </c>
      <c r="E1561" s="4" t="s">
        <v>2</v>
      </c>
      <c r="F1561" s="18">
        <v>2176</v>
      </c>
      <c r="G1561" s="18" t="s">
        <v>3271</v>
      </c>
      <c r="H1561" s="10" t="s">
        <v>1981</v>
      </c>
      <c r="I1561" s="3">
        <v>17</v>
      </c>
      <c r="J1561" s="3" t="s">
        <v>3271</v>
      </c>
      <c r="K1561" s="3"/>
      <c r="L1561" t="str">
        <f t="shared" si="24"/>
        <v/>
      </c>
      <c r="M1561">
        <f>VLOOKUP(F1561,Sheet2!$B$1:$E$19,2,FALSE)</f>
        <v>1073</v>
      </c>
      <c r="N1561">
        <f>VLOOKUP(F1561,Sheet2!$B$1:$E$19,3,FALSE)</f>
        <v>1108963</v>
      </c>
      <c r="O1561" t="str">
        <f>IF(G1561="Not available","",VLOOKUP(F1561,Sheet2!$B$1:$E$19,4,FALSE)+(G1561-1))</f>
        <v/>
      </c>
    </row>
    <row r="1562" spans="1:15" s="1" customFormat="1" ht="15" customHeight="1" x14ac:dyDescent="0.25">
      <c r="A1562" s="18" t="s">
        <v>198</v>
      </c>
      <c r="B1562" s="18" t="s">
        <v>2261</v>
      </c>
      <c r="C1562" s="10" t="s">
        <v>2024</v>
      </c>
      <c r="D1562" s="3" t="s">
        <v>2293</v>
      </c>
      <c r="E1562" s="4" t="s">
        <v>2</v>
      </c>
      <c r="F1562" s="18">
        <v>2176</v>
      </c>
      <c r="G1562" s="18" t="s">
        <v>3271</v>
      </c>
      <c r="H1562" s="10" t="s">
        <v>2301</v>
      </c>
      <c r="I1562" s="3">
        <v>16</v>
      </c>
      <c r="J1562" s="3" t="s">
        <v>3271</v>
      </c>
      <c r="K1562" s="3"/>
      <c r="L1562" t="str">
        <f t="shared" si="24"/>
        <v/>
      </c>
      <c r="M1562">
        <f>VLOOKUP(F1562,Sheet2!$B$1:$E$19,2,FALSE)</f>
        <v>1073</v>
      </c>
      <c r="N1562">
        <f>VLOOKUP(F1562,Sheet2!$B$1:$E$19,3,FALSE)</f>
        <v>1108963</v>
      </c>
      <c r="O1562" t="str">
        <f>IF(G1562="Not available","",VLOOKUP(F1562,Sheet2!$B$1:$E$19,4,FALSE)+(G1562-1))</f>
        <v/>
      </c>
    </row>
    <row r="1563" spans="1:15" s="1" customFormat="1" ht="15" customHeight="1" x14ac:dyDescent="0.25">
      <c r="A1563" s="18" t="s">
        <v>198</v>
      </c>
      <c r="B1563" s="18" t="s">
        <v>769</v>
      </c>
      <c r="C1563" s="5" t="s">
        <v>1435</v>
      </c>
      <c r="D1563" s="1" t="s">
        <v>632</v>
      </c>
      <c r="E1563" s="1" t="s">
        <v>2</v>
      </c>
      <c r="F1563" s="18">
        <v>2165</v>
      </c>
      <c r="G1563" s="18">
        <v>70</v>
      </c>
      <c r="H1563" s="5">
        <v>67</v>
      </c>
      <c r="I1563" s="1">
        <v>83</v>
      </c>
      <c r="J1563" s="1" t="s">
        <v>3271</v>
      </c>
      <c r="L1563" t="str">
        <f t="shared" si="24"/>
        <v>http://www.badatelna.eu/reprodukce/?fondId=1073&amp;zaznamId=1108952&amp;reproId=3778931</v>
      </c>
      <c r="M1563">
        <f>VLOOKUP(F1563,Sheet2!$B$1:$E$19,2,FALSE)</f>
        <v>1073</v>
      </c>
      <c r="N1563">
        <f>VLOOKUP(F1563,Sheet2!$B$1:$E$19,3,FALSE)</f>
        <v>1108952</v>
      </c>
      <c r="O1563">
        <f>IF(G1563="Not available","",VLOOKUP(F1563,Sheet2!$B$1:$E$19,4,FALSE)+(G1563-1))</f>
        <v>3778931</v>
      </c>
    </row>
    <row r="1564" spans="1:15" s="1" customFormat="1" ht="15" customHeight="1" x14ac:dyDescent="0.25">
      <c r="A1564" s="18" t="s">
        <v>198</v>
      </c>
      <c r="B1564" s="18" t="s">
        <v>1051</v>
      </c>
      <c r="C1564" s="5">
        <v>1886</v>
      </c>
      <c r="D1564" s="1" t="s">
        <v>432</v>
      </c>
      <c r="E1564" s="1" t="s">
        <v>2</v>
      </c>
      <c r="F1564" s="18">
        <v>2165</v>
      </c>
      <c r="G1564" s="18">
        <v>209</v>
      </c>
      <c r="H1564" s="5">
        <v>3</v>
      </c>
      <c r="I1564" s="1">
        <v>210</v>
      </c>
      <c r="J1564" s="1">
        <v>186</v>
      </c>
      <c r="L1564" t="str">
        <f t="shared" si="24"/>
        <v>http://www.badatelna.eu/reprodukce/?fondId=1073&amp;zaznamId=1108952&amp;reproId=3779070</v>
      </c>
      <c r="M1564">
        <f>VLOOKUP(F1564,Sheet2!$B$1:$E$19,2,FALSE)</f>
        <v>1073</v>
      </c>
      <c r="N1564">
        <f>VLOOKUP(F1564,Sheet2!$B$1:$E$19,3,FALSE)</f>
        <v>1108952</v>
      </c>
      <c r="O1564">
        <f>IF(G1564="Not available","",VLOOKUP(F1564,Sheet2!$B$1:$E$19,4,FALSE)+(G1564-1))</f>
        <v>3779070</v>
      </c>
    </row>
    <row r="1565" spans="1:15" s="1" customFormat="1" ht="15" customHeight="1" x14ac:dyDescent="0.25">
      <c r="A1565" s="18" t="s">
        <v>198</v>
      </c>
      <c r="B1565" s="18" t="s">
        <v>950</v>
      </c>
      <c r="C1565" s="5">
        <v>1861</v>
      </c>
      <c r="E1565" s="1" t="s">
        <v>939</v>
      </c>
      <c r="F1565" s="18">
        <v>999</v>
      </c>
      <c r="G1565" s="18">
        <v>30</v>
      </c>
      <c r="H1565" s="5">
        <v>28</v>
      </c>
      <c r="I1565" s="1">
        <v>67</v>
      </c>
      <c r="J1565" s="1">
        <v>101</v>
      </c>
      <c r="L1565" t="str">
        <f t="shared" si="24"/>
        <v>http://www.badatelna.eu/reprodukce/?fondId=241&amp;zaznamId=1133739&amp;reproId=3885759</v>
      </c>
      <c r="M1565">
        <f>VLOOKUP(F1565,Sheet2!$B$1:$E$19,2,FALSE)</f>
        <v>241</v>
      </c>
      <c r="N1565">
        <f>VLOOKUP(F1565,Sheet2!$B$1:$E$19,3,FALSE)</f>
        <v>1133739</v>
      </c>
      <c r="O1565">
        <f>IF(G1565="Not available","",VLOOKUP(F1565,Sheet2!$B$1:$E$19,4,FALSE)+(G1565-1))</f>
        <v>3885759</v>
      </c>
    </row>
    <row r="1566" spans="1:15" s="1" customFormat="1" ht="15" customHeight="1" x14ac:dyDescent="0.25">
      <c r="A1566" s="18" t="s">
        <v>198</v>
      </c>
      <c r="B1566" s="18" t="s">
        <v>1066</v>
      </c>
      <c r="C1566" s="6" t="s">
        <v>2100</v>
      </c>
      <c r="D1566" s="4" t="s">
        <v>377</v>
      </c>
      <c r="E1566" s="1" t="s">
        <v>2</v>
      </c>
      <c r="F1566" s="18">
        <v>2165</v>
      </c>
      <c r="G1566" s="18">
        <v>308</v>
      </c>
      <c r="H1566" s="5">
        <v>1</v>
      </c>
      <c r="I1566" s="1">
        <v>311</v>
      </c>
      <c r="J1566" s="1">
        <v>284</v>
      </c>
      <c r="L1566" t="str">
        <f t="shared" si="24"/>
        <v>http://www.badatelna.eu/reprodukce/?fondId=1073&amp;zaznamId=1108952&amp;reproId=3779169</v>
      </c>
      <c r="M1566">
        <f>VLOOKUP(F1566,Sheet2!$B$1:$E$19,2,FALSE)</f>
        <v>1073</v>
      </c>
      <c r="N1566">
        <f>VLOOKUP(F1566,Sheet2!$B$1:$E$19,3,FALSE)</f>
        <v>1108952</v>
      </c>
      <c r="O1566">
        <f>IF(G1566="Not available","",VLOOKUP(F1566,Sheet2!$B$1:$E$19,4,FALSE)+(G1566-1))</f>
        <v>3779169</v>
      </c>
    </row>
    <row r="1567" spans="1:15" s="1" customFormat="1" ht="15" customHeight="1" x14ac:dyDescent="0.25">
      <c r="A1567" s="18" t="s">
        <v>198</v>
      </c>
      <c r="B1567" s="18" t="s">
        <v>1066</v>
      </c>
      <c r="C1567" s="10" t="s">
        <v>2100</v>
      </c>
      <c r="D1567" s="3" t="s">
        <v>2342</v>
      </c>
      <c r="E1567" s="4" t="s">
        <v>2</v>
      </c>
      <c r="F1567" s="18">
        <v>2176</v>
      </c>
      <c r="G1567" s="18" t="s">
        <v>3271</v>
      </c>
      <c r="H1567" s="10" t="s">
        <v>2088</v>
      </c>
      <c r="I1567" s="3">
        <v>17</v>
      </c>
      <c r="J1567" s="3" t="s">
        <v>3271</v>
      </c>
      <c r="K1567" s="3"/>
      <c r="L1567" t="str">
        <f t="shared" si="24"/>
        <v/>
      </c>
      <c r="M1567">
        <f>VLOOKUP(F1567,Sheet2!$B$1:$E$19,2,FALSE)</f>
        <v>1073</v>
      </c>
      <c r="N1567">
        <f>VLOOKUP(F1567,Sheet2!$B$1:$E$19,3,FALSE)</f>
        <v>1108963</v>
      </c>
      <c r="O1567" t="str">
        <f>IF(G1567="Not available","",VLOOKUP(F1567,Sheet2!$B$1:$E$19,4,FALSE)+(G1567-1))</f>
        <v/>
      </c>
    </row>
    <row r="1568" spans="1:15" s="1" customFormat="1" ht="15" customHeight="1" x14ac:dyDescent="0.25">
      <c r="A1568" s="18" t="s">
        <v>198</v>
      </c>
      <c r="B1568" s="18" t="s">
        <v>2228</v>
      </c>
      <c r="C1568" s="10" t="s">
        <v>2072</v>
      </c>
      <c r="D1568" s="3" t="s">
        <v>2050</v>
      </c>
      <c r="E1568" s="4" t="s">
        <v>2</v>
      </c>
      <c r="F1568" s="18">
        <v>2176</v>
      </c>
      <c r="G1568" s="18" t="s">
        <v>3271</v>
      </c>
      <c r="H1568" s="10" t="s">
        <v>2080</v>
      </c>
      <c r="I1568" s="3">
        <v>17</v>
      </c>
      <c r="J1568" s="3" t="s">
        <v>3271</v>
      </c>
      <c r="K1568" s="3"/>
      <c r="L1568" t="str">
        <f t="shared" si="24"/>
        <v/>
      </c>
      <c r="M1568">
        <f>VLOOKUP(F1568,Sheet2!$B$1:$E$19,2,FALSE)</f>
        <v>1073</v>
      </c>
      <c r="N1568">
        <f>VLOOKUP(F1568,Sheet2!$B$1:$E$19,3,FALSE)</f>
        <v>1108963</v>
      </c>
      <c r="O1568" t="str">
        <f>IF(G1568="Not available","",VLOOKUP(F1568,Sheet2!$B$1:$E$19,4,FALSE)+(G1568-1))</f>
        <v/>
      </c>
    </row>
    <row r="1569" spans="1:15" s="1" customFormat="1" ht="15" customHeight="1" x14ac:dyDescent="0.25">
      <c r="A1569" s="18" t="s">
        <v>198</v>
      </c>
      <c r="B1569" s="18" t="s">
        <v>735</v>
      </c>
      <c r="C1569" s="5">
        <v>1851</v>
      </c>
      <c r="D1569" s="1" t="s">
        <v>65</v>
      </c>
      <c r="E1569" s="1" t="s">
        <v>2</v>
      </c>
      <c r="F1569" s="18">
        <v>2164</v>
      </c>
      <c r="G1569" s="18">
        <v>76</v>
      </c>
      <c r="H1569" s="5">
        <v>74</v>
      </c>
      <c r="I1569" s="1">
        <v>128</v>
      </c>
      <c r="J1569" s="1" t="s">
        <v>3271</v>
      </c>
      <c r="L1569" t="str">
        <f t="shared" si="24"/>
        <v>http://www.badatelna.eu/reprodukce/?fondId=1073&amp;zaznamId=1108951&amp;reproId=3778790</v>
      </c>
      <c r="M1569">
        <f>VLOOKUP(F1569,Sheet2!$B$1:$E$19,2,FALSE)</f>
        <v>1073</v>
      </c>
      <c r="N1569">
        <f>VLOOKUP(F1569,Sheet2!$B$1:$E$19,3,FALSE)</f>
        <v>1108951</v>
      </c>
      <c r="O1569">
        <f>IF(G1569="Not available","",VLOOKUP(F1569,Sheet2!$B$1:$E$19,4,FALSE)+(G1569-1))</f>
        <v>3778790</v>
      </c>
    </row>
    <row r="1570" spans="1:15" s="1" customFormat="1" ht="15" customHeight="1" x14ac:dyDescent="0.25">
      <c r="A1570" s="18" t="s">
        <v>198</v>
      </c>
      <c r="B1570" s="18"/>
      <c r="C1570" s="5">
        <v>1854</v>
      </c>
      <c r="D1570" s="1" t="s">
        <v>24</v>
      </c>
      <c r="E1570" s="1" t="s">
        <v>2</v>
      </c>
      <c r="F1570" s="18">
        <v>2164</v>
      </c>
      <c r="G1570" s="18">
        <v>96</v>
      </c>
      <c r="H1570" s="5">
        <v>94</v>
      </c>
      <c r="I1570" s="1">
        <v>128</v>
      </c>
      <c r="J1570" s="1" t="s">
        <v>3271</v>
      </c>
      <c r="L1570" t="str">
        <f t="shared" si="24"/>
        <v>http://www.badatelna.eu/reprodukce/?fondId=1073&amp;zaznamId=1108951&amp;reproId=3778810</v>
      </c>
      <c r="M1570">
        <f>VLOOKUP(F1570,Sheet2!$B$1:$E$19,2,FALSE)</f>
        <v>1073</v>
      </c>
      <c r="N1570">
        <f>VLOOKUP(F1570,Sheet2!$B$1:$E$19,3,FALSE)</f>
        <v>1108951</v>
      </c>
      <c r="O1570">
        <f>IF(G1570="Not available","",VLOOKUP(F1570,Sheet2!$B$1:$E$19,4,FALSE)+(G1570-1))</f>
        <v>3778810</v>
      </c>
    </row>
    <row r="1571" spans="1:15" s="1" customFormat="1" ht="15" customHeight="1" x14ac:dyDescent="0.25">
      <c r="A1571" s="18" t="s">
        <v>198</v>
      </c>
      <c r="B1571" s="18" t="s">
        <v>885</v>
      </c>
      <c r="C1571" s="5">
        <v>1860</v>
      </c>
      <c r="E1571" s="1" t="s">
        <v>939</v>
      </c>
      <c r="F1571" s="18">
        <v>999</v>
      </c>
      <c r="G1571" s="18">
        <v>21</v>
      </c>
      <c r="H1571" s="5">
        <v>19</v>
      </c>
      <c r="I1571" s="1">
        <v>67</v>
      </c>
      <c r="J1571" s="1">
        <v>101</v>
      </c>
      <c r="L1571" t="str">
        <f t="shared" si="24"/>
        <v>http://www.badatelna.eu/reprodukce/?fondId=241&amp;zaznamId=1133739&amp;reproId=3885750</v>
      </c>
      <c r="M1571">
        <f>VLOOKUP(F1571,Sheet2!$B$1:$E$19,2,FALSE)</f>
        <v>241</v>
      </c>
      <c r="N1571">
        <f>VLOOKUP(F1571,Sheet2!$B$1:$E$19,3,FALSE)</f>
        <v>1133739</v>
      </c>
      <c r="O1571">
        <f>IF(G1571="Not available","",VLOOKUP(F1571,Sheet2!$B$1:$E$19,4,FALSE)+(G1571-1))</f>
        <v>3885750</v>
      </c>
    </row>
    <row r="1572" spans="1:15" s="1" customFormat="1" ht="15" customHeight="1" x14ac:dyDescent="0.25">
      <c r="A1572" s="18" t="s">
        <v>198</v>
      </c>
      <c r="B1572" s="18" t="s">
        <v>2376</v>
      </c>
      <c r="C1572" s="10" t="s">
        <v>2125</v>
      </c>
      <c r="D1572" s="3" t="s">
        <v>2374</v>
      </c>
      <c r="E1572" s="4" t="s">
        <v>2</v>
      </c>
      <c r="F1572" s="18">
        <v>2176</v>
      </c>
      <c r="G1572" s="18" t="s">
        <v>3271</v>
      </c>
      <c r="H1572" s="10" t="s">
        <v>1954</v>
      </c>
      <c r="I1572" s="3">
        <v>18</v>
      </c>
      <c r="J1572" s="3" t="s">
        <v>3271</v>
      </c>
      <c r="K1572" s="3"/>
      <c r="L1572" t="str">
        <f t="shared" si="24"/>
        <v/>
      </c>
      <c r="M1572">
        <f>VLOOKUP(F1572,Sheet2!$B$1:$E$19,2,FALSE)</f>
        <v>1073</v>
      </c>
      <c r="N1572">
        <f>VLOOKUP(F1572,Sheet2!$B$1:$E$19,3,FALSE)</f>
        <v>1108963</v>
      </c>
      <c r="O1572" t="str">
        <f>IF(G1572="Not available","",VLOOKUP(F1572,Sheet2!$B$1:$E$19,4,FALSE)+(G1572-1))</f>
        <v/>
      </c>
    </row>
    <row r="1573" spans="1:15" s="1" customFormat="1" ht="15" customHeight="1" x14ac:dyDescent="0.25">
      <c r="A1573" s="18" t="s">
        <v>198</v>
      </c>
      <c r="B1573" s="18" t="s">
        <v>1209</v>
      </c>
      <c r="C1573" s="5" t="s">
        <v>1774</v>
      </c>
      <c r="D1573" s="1" t="s">
        <v>998</v>
      </c>
      <c r="E1573" s="1" t="s">
        <v>2</v>
      </c>
      <c r="F1573" s="18">
        <v>2165</v>
      </c>
      <c r="G1573" s="18">
        <v>234</v>
      </c>
      <c r="H1573" s="5">
        <v>1</v>
      </c>
      <c r="I1573" s="1">
        <v>237</v>
      </c>
      <c r="J1573" s="1">
        <v>213</v>
      </c>
      <c r="L1573" t="str">
        <f t="shared" si="24"/>
        <v>http://www.badatelna.eu/reprodukce/?fondId=1073&amp;zaznamId=1108952&amp;reproId=3779095</v>
      </c>
      <c r="M1573">
        <f>VLOOKUP(F1573,Sheet2!$B$1:$E$19,2,FALSE)</f>
        <v>1073</v>
      </c>
      <c r="N1573">
        <f>VLOOKUP(F1573,Sheet2!$B$1:$E$19,3,FALSE)</f>
        <v>1108952</v>
      </c>
      <c r="O1573">
        <f>IF(G1573="Not available","",VLOOKUP(F1573,Sheet2!$B$1:$E$19,4,FALSE)+(G1573-1))</f>
        <v>3779095</v>
      </c>
    </row>
    <row r="1574" spans="1:15" s="1" customFormat="1" ht="15" customHeight="1" x14ac:dyDescent="0.25">
      <c r="A1574" s="18" t="s">
        <v>198</v>
      </c>
      <c r="B1574" s="18" t="s">
        <v>213</v>
      </c>
      <c r="C1574" s="5">
        <v>1819</v>
      </c>
      <c r="E1574" s="1" t="s">
        <v>2</v>
      </c>
      <c r="F1574" s="18">
        <v>2173</v>
      </c>
      <c r="G1574" s="18">
        <v>69</v>
      </c>
      <c r="H1574" s="5">
        <v>131</v>
      </c>
      <c r="I1574" s="1">
        <v>99</v>
      </c>
      <c r="J1574" s="1">
        <v>210</v>
      </c>
      <c r="L1574" t="str">
        <f t="shared" si="24"/>
        <v>http://www.badatelna.eu/reprodukce/?fondId=1073&amp;zaznamId=1108959&amp;reproId=3780062</v>
      </c>
      <c r="M1574">
        <f>VLOOKUP(F1574,Sheet2!$B$1:$E$19,2,FALSE)</f>
        <v>1073</v>
      </c>
      <c r="N1574">
        <f>VLOOKUP(F1574,Sheet2!$B$1:$E$19,3,FALSE)</f>
        <v>1108959</v>
      </c>
      <c r="O1574">
        <f>IF(G1574="Not available","",VLOOKUP(F1574,Sheet2!$B$1:$E$19,4,FALSE)+(G1574-1))</f>
        <v>3780062</v>
      </c>
    </row>
    <row r="1575" spans="1:15" s="1" customFormat="1" ht="15" customHeight="1" x14ac:dyDescent="0.25">
      <c r="A1575" s="18" t="s">
        <v>198</v>
      </c>
      <c r="B1575" s="18" t="s">
        <v>2373</v>
      </c>
      <c r="C1575" s="10" t="s">
        <v>2372</v>
      </c>
      <c r="D1575" s="3" t="s">
        <v>2374</v>
      </c>
      <c r="E1575" s="4" t="s">
        <v>2</v>
      </c>
      <c r="F1575" s="18">
        <v>2176</v>
      </c>
      <c r="G1575" s="18" t="s">
        <v>3271</v>
      </c>
      <c r="H1575" s="10" t="s">
        <v>2088</v>
      </c>
      <c r="I1575" s="3">
        <v>18</v>
      </c>
      <c r="J1575" s="3" t="s">
        <v>3271</v>
      </c>
      <c r="K1575" s="3"/>
      <c r="L1575" t="str">
        <f t="shared" si="24"/>
        <v/>
      </c>
      <c r="M1575">
        <f>VLOOKUP(F1575,Sheet2!$B$1:$E$19,2,FALSE)</f>
        <v>1073</v>
      </c>
      <c r="N1575">
        <f>VLOOKUP(F1575,Sheet2!$B$1:$E$19,3,FALSE)</f>
        <v>1108963</v>
      </c>
      <c r="O1575" t="str">
        <f>IF(G1575="Not available","",VLOOKUP(F1575,Sheet2!$B$1:$E$19,4,FALSE)+(G1575-1))</f>
        <v/>
      </c>
    </row>
    <row r="1576" spans="1:15" s="1" customFormat="1" ht="15" customHeight="1" x14ac:dyDescent="0.25">
      <c r="A1576" s="18" t="s">
        <v>198</v>
      </c>
      <c r="B1576" s="18" t="s">
        <v>2366</v>
      </c>
      <c r="C1576" s="10" t="s">
        <v>1960</v>
      </c>
      <c r="D1576" s="3" t="s">
        <v>2367</v>
      </c>
      <c r="E1576" s="4" t="s">
        <v>2</v>
      </c>
      <c r="F1576" s="18">
        <v>2176</v>
      </c>
      <c r="G1576" s="18" t="s">
        <v>3271</v>
      </c>
      <c r="H1576" s="10" t="s">
        <v>2088</v>
      </c>
      <c r="I1576" s="3">
        <v>18</v>
      </c>
      <c r="J1576" s="3" t="s">
        <v>3271</v>
      </c>
      <c r="K1576" s="3"/>
      <c r="L1576" t="str">
        <f t="shared" si="24"/>
        <v/>
      </c>
      <c r="M1576">
        <f>VLOOKUP(F1576,Sheet2!$B$1:$E$19,2,FALSE)</f>
        <v>1073</v>
      </c>
      <c r="N1576">
        <f>VLOOKUP(F1576,Sheet2!$B$1:$E$19,3,FALSE)</f>
        <v>1108963</v>
      </c>
      <c r="O1576" t="str">
        <f>IF(G1576="Not available","",VLOOKUP(F1576,Sheet2!$B$1:$E$19,4,FALSE)+(G1576-1))</f>
        <v/>
      </c>
    </row>
    <row r="1577" spans="1:15" s="1" customFormat="1" ht="15" customHeight="1" x14ac:dyDescent="0.25">
      <c r="A1577" s="18" t="s">
        <v>198</v>
      </c>
      <c r="B1577" s="18" t="s">
        <v>219</v>
      </c>
      <c r="C1577" s="5" t="s">
        <v>1399</v>
      </c>
      <c r="D1577" s="1" t="s">
        <v>632</v>
      </c>
      <c r="E1577" s="1" t="s">
        <v>2</v>
      </c>
      <c r="F1577" s="18">
        <v>2165</v>
      </c>
      <c r="G1577" s="18">
        <v>14</v>
      </c>
      <c r="H1577" s="5">
        <v>11</v>
      </c>
      <c r="I1577" s="1">
        <v>82</v>
      </c>
      <c r="J1577" s="1" t="s">
        <v>3271</v>
      </c>
      <c r="L1577" t="str">
        <f t="shared" si="24"/>
        <v>http://www.badatelna.eu/reprodukce/?fondId=1073&amp;zaznamId=1108952&amp;reproId=3778875</v>
      </c>
      <c r="M1577">
        <f>VLOOKUP(F1577,Sheet2!$B$1:$E$19,2,FALSE)</f>
        <v>1073</v>
      </c>
      <c r="N1577">
        <f>VLOOKUP(F1577,Sheet2!$B$1:$E$19,3,FALSE)</f>
        <v>1108952</v>
      </c>
      <c r="O1577">
        <f>IF(G1577="Not available","",VLOOKUP(F1577,Sheet2!$B$1:$E$19,4,FALSE)+(G1577-1))</f>
        <v>3778875</v>
      </c>
    </row>
    <row r="1578" spans="1:15" s="1" customFormat="1" ht="15" customHeight="1" x14ac:dyDescent="0.25">
      <c r="A1578" s="18" t="s">
        <v>198</v>
      </c>
      <c r="B1578" s="18" t="s">
        <v>129</v>
      </c>
      <c r="C1578" s="5">
        <v>1861</v>
      </c>
      <c r="E1578" s="1" t="s">
        <v>939</v>
      </c>
      <c r="F1578" s="18">
        <v>999</v>
      </c>
      <c r="G1578" s="18">
        <v>27</v>
      </c>
      <c r="H1578" s="5">
        <v>25</v>
      </c>
      <c r="I1578" s="1">
        <v>67</v>
      </c>
      <c r="J1578" s="1">
        <v>101</v>
      </c>
      <c r="L1578" t="str">
        <f t="shared" si="24"/>
        <v>http://www.badatelna.eu/reprodukce/?fondId=241&amp;zaznamId=1133739&amp;reproId=3885756</v>
      </c>
      <c r="M1578">
        <f>VLOOKUP(F1578,Sheet2!$B$1:$E$19,2,FALSE)</f>
        <v>241</v>
      </c>
      <c r="N1578">
        <f>VLOOKUP(F1578,Sheet2!$B$1:$E$19,3,FALSE)</f>
        <v>1133739</v>
      </c>
      <c r="O1578">
        <f>IF(G1578="Not available","",VLOOKUP(F1578,Sheet2!$B$1:$E$19,4,FALSE)+(G1578-1))</f>
        <v>3885756</v>
      </c>
    </row>
    <row r="1579" spans="1:15" s="1" customFormat="1" ht="15" customHeight="1" x14ac:dyDescent="0.25">
      <c r="A1579" s="18" t="s">
        <v>198</v>
      </c>
      <c r="B1579" s="18" t="s">
        <v>495</v>
      </c>
      <c r="C1579" s="5">
        <v>1866</v>
      </c>
      <c r="E1579" s="1" t="s">
        <v>939</v>
      </c>
      <c r="F1579" s="18">
        <v>999</v>
      </c>
      <c r="G1579" s="18">
        <v>59</v>
      </c>
      <c r="H1579" s="5">
        <v>57</v>
      </c>
      <c r="I1579" s="1">
        <v>67</v>
      </c>
      <c r="J1579" s="1">
        <v>101</v>
      </c>
      <c r="L1579" t="str">
        <f t="shared" si="24"/>
        <v>http://www.badatelna.eu/reprodukce/?fondId=241&amp;zaznamId=1133739&amp;reproId=3885788</v>
      </c>
      <c r="M1579">
        <f>VLOOKUP(F1579,Sheet2!$B$1:$E$19,2,FALSE)</f>
        <v>241</v>
      </c>
      <c r="N1579">
        <f>VLOOKUP(F1579,Sheet2!$B$1:$E$19,3,FALSE)</f>
        <v>1133739</v>
      </c>
      <c r="O1579">
        <f>IF(G1579="Not available","",VLOOKUP(F1579,Sheet2!$B$1:$E$19,4,FALSE)+(G1579-1))</f>
        <v>3885788</v>
      </c>
    </row>
    <row r="1580" spans="1:15" s="1" customFormat="1" ht="15" customHeight="1" x14ac:dyDescent="0.25">
      <c r="A1580" s="18" t="s">
        <v>198</v>
      </c>
      <c r="B1580" s="19" t="s">
        <v>75</v>
      </c>
      <c r="C1580" s="5">
        <v>1825</v>
      </c>
      <c r="E1580" s="1" t="s">
        <v>2</v>
      </c>
      <c r="F1580" s="18">
        <v>2173</v>
      </c>
      <c r="G1580" s="18">
        <v>76</v>
      </c>
      <c r="H1580" s="5">
        <v>145</v>
      </c>
      <c r="I1580" s="1">
        <v>99</v>
      </c>
      <c r="J1580" s="1">
        <v>210</v>
      </c>
      <c r="L1580" t="str">
        <f t="shared" si="24"/>
        <v>http://www.badatelna.eu/reprodukce/?fondId=1073&amp;zaznamId=1108959&amp;reproId=3780069</v>
      </c>
      <c r="M1580">
        <f>VLOOKUP(F1580,Sheet2!$B$1:$E$19,2,FALSE)</f>
        <v>1073</v>
      </c>
      <c r="N1580">
        <f>VLOOKUP(F1580,Sheet2!$B$1:$E$19,3,FALSE)</f>
        <v>1108959</v>
      </c>
      <c r="O1580">
        <f>IF(G1580="Not available","",VLOOKUP(F1580,Sheet2!$B$1:$E$19,4,FALSE)+(G1580-1))</f>
        <v>3780069</v>
      </c>
    </row>
    <row r="1581" spans="1:15" s="1" customFormat="1" ht="15" customHeight="1" x14ac:dyDescent="0.25">
      <c r="A1581" s="18" t="s">
        <v>198</v>
      </c>
      <c r="B1581" s="18" t="s">
        <v>1208</v>
      </c>
      <c r="C1581" s="14" t="s">
        <v>2098</v>
      </c>
      <c r="D1581" s="4" t="s">
        <v>819</v>
      </c>
      <c r="E1581" s="1" t="s">
        <v>2</v>
      </c>
      <c r="F1581" s="18">
        <v>2165</v>
      </c>
      <c r="G1581" s="18">
        <v>302</v>
      </c>
      <c r="H1581" s="5">
        <v>1</v>
      </c>
      <c r="I1581" s="1">
        <v>305</v>
      </c>
      <c r="J1581" s="1">
        <v>278</v>
      </c>
      <c r="L1581" t="str">
        <f t="shared" si="24"/>
        <v>http://www.badatelna.eu/reprodukce/?fondId=1073&amp;zaznamId=1108952&amp;reproId=3779163</v>
      </c>
      <c r="M1581">
        <f>VLOOKUP(F1581,Sheet2!$B$1:$E$19,2,FALSE)</f>
        <v>1073</v>
      </c>
      <c r="N1581">
        <f>VLOOKUP(F1581,Sheet2!$B$1:$E$19,3,FALSE)</f>
        <v>1108952</v>
      </c>
      <c r="O1581">
        <f>IF(G1581="Not available","",VLOOKUP(F1581,Sheet2!$B$1:$E$19,4,FALSE)+(G1581-1))</f>
        <v>3779163</v>
      </c>
    </row>
    <row r="1582" spans="1:15" s="1" customFormat="1" ht="15" customHeight="1" x14ac:dyDescent="0.25">
      <c r="A1582" s="18" t="s">
        <v>198</v>
      </c>
      <c r="B1582" s="18" t="s">
        <v>1208</v>
      </c>
      <c r="C1582" s="10" t="s">
        <v>2098</v>
      </c>
      <c r="D1582" s="3" t="s">
        <v>2339</v>
      </c>
      <c r="E1582" s="4" t="s">
        <v>2</v>
      </c>
      <c r="F1582" s="18">
        <v>2176</v>
      </c>
      <c r="G1582" s="18" t="s">
        <v>3271</v>
      </c>
      <c r="H1582" s="10" t="s">
        <v>2083</v>
      </c>
      <c r="I1582" s="3">
        <v>17</v>
      </c>
      <c r="J1582" s="3" t="s">
        <v>3271</v>
      </c>
      <c r="K1582" s="3"/>
      <c r="L1582" t="str">
        <f t="shared" si="24"/>
        <v/>
      </c>
      <c r="M1582">
        <f>VLOOKUP(F1582,Sheet2!$B$1:$E$19,2,FALSE)</f>
        <v>1073</v>
      </c>
      <c r="N1582">
        <f>VLOOKUP(F1582,Sheet2!$B$1:$E$19,3,FALSE)</f>
        <v>1108963</v>
      </c>
      <c r="O1582" t="str">
        <f>IF(G1582="Not available","",VLOOKUP(F1582,Sheet2!$B$1:$E$19,4,FALSE)+(G1582-1))</f>
        <v/>
      </c>
    </row>
    <row r="1583" spans="1:15" s="1" customFormat="1" ht="15" customHeight="1" x14ac:dyDescent="0.25">
      <c r="A1583" s="18" t="s">
        <v>198</v>
      </c>
      <c r="B1583" s="18" t="s">
        <v>1052</v>
      </c>
      <c r="C1583" s="5">
        <v>1885</v>
      </c>
      <c r="D1583" s="1" t="s">
        <v>432</v>
      </c>
      <c r="E1583" s="1" t="s">
        <v>2</v>
      </c>
      <c r="F1583" s="18">
        <v>2165</v>
      </c>
      <c r="G1583" s="18">
        <v>203</v>
      </c>
      <c r="H1583" s="5">
        <v>5</v>
      </c>
      <c r="I1583" s="1">
        <v>204</v>
      </c>
      <c r="J1583" s="1">
        <v>187</v>
      </c>
      <c r="L1583" t="str">
        <f t="shared" si="24"/>
        <v>http://www.badatelna.eu/reprodukce/?fondId=1073&amp;zaznamId=1108952&amp;reproId=3779064</v>
      </c>
      <c r="M1583">
        <f>VLOOKUP(F1583,Sheet2!$B$1:$E$19,2,FALSE)</f>
        <v>1073</v>
      </c>
      <c r="N1583">
        <f>VLOOKUP(F1583,Sheet2!$B$1:$E$19,3,FALSE)</f>
        <v>1108952</v>
      </c>
      <c r="O1583">
        <f>IF(G1583="Not available","",VLOOKUP(F1583,Sheet2!$B$1:$E$19,4,FALSE)+(G1583-1))</f>
        <v>3779064</v>
      </c>
    </row>
    <row r="1584" spans="1:15" s="1" customFormat="1" ht="15" customHeight="1" x14ac:dyDescent="0.25">
      <c r="A1584" s="18" t="s">
        <v>198</v>
      </c>
      <c r="B1584" s="18" t="s">
        <v>1052</v>
      </c>
      <c r="C1584" s="10" t="s">
        <v>2043</v>
      </c>
      <c r="D1584" s="3" t="s">
        <v>2219</v>
      </c>
      <c r="E1584" s="4" t="s">
        <v>2</v>
      </c>
      <c r="F1584" s="18">
        <v>2176</v>
      </c>
      <c r="G1584" s="18" t="s">
        <v>3271</v>
      </c>
      <c r="H1584" s="10" t="s">
        <v>2320</v>
      </c>
      <c r="I1584" s="3">
        <v>17</v>
      </c>
      <c r="J1584" s="3" t="s">
        <v>3271</v>
      </c>
      <c r="K1584" s="3"/>
      <c r="L1584" t="str">
        <f t="shared" si="24"/>
        <v/>
      </c>
      <c r="M1584">
        <f>VLOOKUP(F1584,Sheet2!$B$1:$E$19,2,FALSE)</f>
        <v>1073</v>
      </c>
      <c r="N1584">
        <f>VLOOKUP(F1584,Sheet2!$B$1:$E$19,3,FALSE)</f>
        <v>1108963</v>
      </c>
      <c r="O1584" t="str">
        <f>IF(G1584="Not available","",VLOOKUP(F1584,Sheet2!$B$1:$E$19,4,FALSE)+(G1584-1))</f>
        <v/>
      </c>
    </row>
    <row r="1585" spans="1:15" s="1" customFormat="1" ht="15" customHeight="1" x14ac:dyDescent="0.25">
      <c r="A1585" s="18" t="s">
        <v>198</v>
      </c>
      <c r="B1585" s="18" t="s">
        <v>1102</v>
      </c>
      <c r="C1585" s="5">
        <v>1885</v>
      </c>
      <c r="D1585" s="1" t="s">
        <v>1167</v>
      </c>
      <c r="E1585" s="1" t="s">
        <v>2</v>
      </c>
      <c r="F1585" s="18">
        <v>2165</v>
      </c>
      <c r="G1585" s="18">
        <v>201</v>
      </c>
      <c r="H1585" s="5">
        <v>3</v>
      </c>
      <c r="I1585" s="1">
        <v>204</v>
      </c>
      <c r="J1585" s="1">
        <v>187</v>
      </c>
      <c r="L1585" t="str">
        <f t="shared" si="24"/>
        <v>http://www.badatelna.eu/reprodukce/?fondId=1073&amp;zaznamId=1108952&amp;reproId=3779062</v>
      </c>
      <c r="M1585">
        <f>VLOOKUP(F1585,Sheet2!$B$1:$E$19,2,FALSE)</f>
        <v>1073</v>
      </c>
      <c r="N1585">
        <f>VLOOKUP(F1585,Sheet2!$B$1:$E$19,3,FALSE)</f>
        <v>1108952</v>
      </c>
      <c r="O1585">
        <f>IF(G1585="Not available","",VLOOKUP(F1585,Sheet2!$B$1:$E$19,4,FALSE)+(G1585-1))</f>
        <v>3779062</v>
      </c>
    </row>
    <row r="1586" spans="1:15" s="1" customFormat="1" ht="15" customHeight="1" x14ac:dyDescent="0.25">
      <c r="A1586" s="18" t="s">
        <v>198</v>
      </c>
      <c r="B1586" s="18" t="s">
        <v>370</v>
      </c>
      <c r="C1586" s="5" t="s">
        <v>1408</v>
      </c>
      <c r="D1586" s="1" t="s">
        <v>1021</v>
      </c>
      <c r="E1586" s="1" t="s">
        <v>2</v>
      </c>
      <c r="F1586" s="18">
        <v>2165</v>
      </c>
      <c r="G1586" s="18">
        <v>31</v>
      </c>
      <c r="H1586" s="5">
        <v>28</v>
      </c>
      <c r="I1586" s="1">
        <v>83</v>
      </c>
      <c r="J1586" s="1" t="s">
        <v>3271</v>
      </c>
      <c r="L1586" t="str">
        <f t="shared" si="24"/>
        <v>http://www.badatelna.eu/reprodukce/?fondId=1073&amp;zaznamId=1108952&amp;reproId=3778892</v>
      </c>
      <c r="M1586">
        <f>VLOOKUP(F1586,Sheet2!$B$1:$E$19,2,FALSE)</f>
        <v>1073</v>
      </c>
      <c r="N1586">
        <f>VLOOKUP(F1586,Sheet2!$B$1:$E$19,3,FALSE)</f>
        <v>1108952</v>
      </c>
      <c r="O1586">
        <f>IF(G1586="Not available","",VLOOKUP(F1586,Sheet2!$B$1:$E$19,4,FALSE)+(G1586-1))</f>
        <v>3778892</v>
      </c>
    </row>
    <row r="1587" spans="1:15" s="1" customFormat="1" ht="15" customHeight="1" x14ac:dyDescent="0.25">
      <c r="A1587" s="18" t="s">
        <v>198</v>
      </c>
      <c r="B1587" s="18" t="s">
        <v>370</v>
      </c>
      <c r="C1587" s="5" t="s">
        <v>1418</v>
      </c>
      <c r="D1587" s="1" t="s">
        <v>1003</v>
      </c>
      <c r="E1587" s="1" t="s">
        <v>2</v>
      </c>
      <c r="F1587" s="18">
        <v>2165</v>
      </c>
      <c r="G1587" s="18">
        <v>47</v>
      </c>
      <c r="H1587" s="5">
        <v>44</v>
      </c>
      <c r="I1587" s="1">
        <v>83</v>
      </c>
      <c r="J1587" s="1" t="s">
        <v>3271</v>
      </c>
      <c r="L1587" t="str">
        <f t="shared" si="24"/>
        <v>http://www.badatelna.eu/reprodukce/?fondId=1073&amp;zaznamId=1108952&amp;reproId=3778908</v>
      </c>
      <c r="M1587">
        <f>VLOOKUP(F1587,Sheet2!$B$1:$E$19,2,FALSE)</f>
        <v>1073</v>
      </c>
      <c r="N1587">
        <f>VLOOKUP(F1587,Sheet2!$B$1:$E$19,3,FALSE)</f>
        <v>1108952</v>
      </c>
      <c r="O1587">
        <f>IF(G1587="Not available","",VLOOKUP(F1587,Sheet2!$B$1:$E$19,4,FALSE)+(G1587-1))</f>
        <v>3778908</v>
      </c>
    </row>
    <row r="1588" spans="1:15" s="1" customFormat="1" ht="15" customHeight="1" x14ac:dyDescent="0.25">
      <c r="A1588" s="18" t="s">
        <v>198</v>
      </c>
      <c r="B1588" s="18" t="s">
        <v>34</v>
      </c>
      <c r="C1588" s="5">
        <v>1807</v>
      </c>
      <c r="E1588" s="1" t="s">
        <v>2</v>
      </c>
      <c r="F1588" s="18">
        <v>2173</v>
      </c>
      <c r="G1588" s="18">
        <v>52</v>
      </c>
      <c r="H1588" s="5">
        <v>99</v>
      </c>
      <c r="I1588" s="1">
        <v>98</v>
      </c>
      <c r="J1588" s="1">
        <v>209</v>
      </c>
      <c r="L1588" t="str">
        <f t="shared" si="24"/>
        <v>http://www.badatelna.eu/reprodukce/?fondId=1073&amp;zaznamId=1108959&amp;reproId=3780045</v>
      </c>
      <c r="M1588">
        <f>VLOOKUP(F1588,Sheet2!$B$1:$E$19,2,FALSE)</f>
        <v>1073</v>
      </c>
      <c r="N1588">
        <f>VLOOKUP(F1588,Sheet2!$B$1:$E$19,3,FALSE)</f>
        <v>1108959</v>
      </c>
      <c r="O1588">
        <f>IF(G1588="Not available","",VLOOKUP(F1588,Sheet2!$B$1:$E$19,4,FALSE)+(G1588-1))</f>
        <v>3780045</v>
      </c>
    </row>
    <row r="1589" spans="1:15" s="1" customFormat="1" ht="15" customHeight="1" x14ac:dyDescent="0.25">
      <c r="A1589" s="18" t="s">
        <v>198</v>
      </c>
      <c r="B1589" s="18" t="s">
        <v>34</v>
      </c>
      <c r="C1589" s="5">
        <v>1851</v>
      </c>
      <c r="D1589" s="1" t="s">
        <v>24</v>
      </c>
      <c r="E1589" s="1" t="s">
        <v>2</v>
      </c>
      <c r="F1589" s="18">
        <v>2164</v>
      </c>
      <c r="G1589" s="18">
        <v>71</v>
      </c>
      <c r="H1589" s="5">
        <v>69</v>
      </c>
      <c r="I1589" s="1">
        <v>128</v>
      </c>
      <c r="J1589" s="1" t="s">
        <v>3271</v>
      </c>
      <c r="L1589" t="str">
        <f t="shared" si="24"/>
        <v>http://www.badatelna.eu/reprodukce/?fondId=1073&amp;zaznamId=1108951&amp;reproId=3778785</v>
      </c>
      <c r="M1589">
        <f>VLOOKUP(F1589,Sheet2!$B$1:$E$19,2,FALSE)</f>
        <v>1073</v>
      </c>
      <c r="N1589">
        <f>VLOOKUP(F1589,Sheet2!$B$1:$E$19,3,FALSE)</f>
        <v>1108951</v>
      </c>
      <c r="O1589">
        <f>IF(G1589="Not available","",VLOOKUP(F1589,Sheet2!$B$1:$E$19,4,FALSE)+(G1589-1))</f>
        <v>3778785</v>
      </c>
    </row>
    <row r="1590" spans="1:15" s="1" customFormat="1" ht="15" customHeight="1" x14ac:dyDescent="0.25">
      <c r="A1590" s="18" t="s">
        <v>198</v>
      </c>
      <c r="B1590" s="18" t="s">
        <v>809</v>
      </c>
      <c r="C1590" s="5">
        <v>1857</v>
      </c>
      <c r="D1590" s="1" t="s">
        <v>12</v>
      </c>
      <c r="E1590" s="1" t="s">
        <v>2</v>
      </c>
      <c r="F1590" s="18">
        <v>2164</v>
      </c>
      <c r="G1590" s="18">
        <v>118</v>
      </c>
      <c r="H1590" s="5">
        <v>116</v>
      </c>
      <c r="I1590" s="1">
        <v>128</v>
      </c>
      <c r="J1590" s="1" t="s">
        <v>3271</v>
      </c>
      <c r="L1590" t="str">
        <f t="shared" si="24"/>
        <v>http://www.badatelna.eu/reprodukce/?fondId=1073&amp;zaznamId=1108951&amp;reproId=3778832</v>
      </c>
      <c r="M1590">
        <f>VLOOKUP(F1590,Sheet2!$B$1:$E$19,2,FALSE)</f>
        <v>1073</v>
      </c>
      <c r="N1590">
        <f>VLOOKUP(F1590,Sheet2!$B$1:$E$19,3,FALSE)</f>
        <v>1108951</v>
      </c>
      <c r="O1590">
        <f>IF(G1590="Not available","",VLOOKUP(F1590,Sheet2!$B$1:$E$19,4,FALSE)+(G1590-1))</f>
        <v>3778832</v>
      </c>
    </row>
    <row r="1591" spans="1:15" s="1" customFormat="1" ht="15" customHeight="1" x14ac:dyDescent="0.25">
      <c r="A1591" s="18" t="s">
        <v>198</v>
      </c>
      <c r="B1591" s="18" t="s">
        <v>65</v>
      </c>
      <c r="C1591" s="5">
        <v>1817</v>
      </c>
      <c r="E1591" s="1" t="s">
        <v>2</v>
      </c>
      <c r="F1591" s="18">
        <v>2173</v>
      </c>
      <c r="G1591" s="18">
        <v>67</v>
      </c>
      <c r="H1591" s="6" t="s">
        <v>2999</v>
      </c>
      <c r="I1591" s="1">
        <v>99</v>
      </c>
      <c r="J1591" s="1">
        <v>210</v>
      </c>
      <c r="L1591" t="str">
        <f t="shared" si="24"/>
        <v>http://www.badatelna.eu/reprodukce/?fondId=1073&amp;zaznamId=1108959&amp;reproId=3780060</v>
      </c>
      <c r="M1591">
        <f>VLOOKUP(F1591,Sheet2!$B$1:$E$19,2,FALSE)</f>
        <v>1073</v>
      </c>
      <c r="N1591">
        <f>VLOOKUP(F1591,Sheet2!$B$1:$E$19,3,FALSE)</f>
        <v>1108959</v>
      </c>
      <c r="O1591">
        <f>IF(G1591="Not available","",VLOOKUP(F1591,Sheet2!$B$1:$E$19,4,FALSE)+(G1591-1))</f>
        <v>3780060</v>
      </c>
    </row>
    <row r="1592" spans="1:15" s="1" customFormat="1" ht="15" customHeight="1" x14ac:dyDescent="0.25">
      <c r="A1592" s="18" t="s">
        <v>198</v>
      </c>
      <c r="B1592" s="18" t="s">
        <v>428</v>
      </c>
      <c r="C1592" s="5" t="s">
        <v>1406</v>
      </c>
      <c r="D1592" s="1" t="s">
        <v>988</v>
      </c>
      <c r="E1592" s="1" t="s">
        <v>2</v>
      </c>
      <c r="F1592" s="18">
        <v>2165</v>
      </c>
      <c r="G1592" s="18">
        <v>29</v>
      </c>
      <c r="H1592" s="5">
        <v>26</v>
      </c>
      <c r="I1592" s="1">
        <v>83</v>
      </c>
      <c r="J1592" s="1" t="s">
        <v>3271</v>
      </c>
      <c r="L1592" t="str">
        <f t="shared" si="24"/>
        <v>http://www.badatelna.eu/reprodukce/?fondId=1073&amp;zaznamId=1108952&amp;reproId=3778890</v>
      </c>
      <c r="M1592">
        <f>VLOOKUP(F1592,Sheet2!$B$1:$E$19,2,FALSE)</f>
        <v>1073</v>
      </c>
      <c r="N1592">
        <f>VLOOKUP(F1592,Sheet2!$B$1:$E$19,3,FALSE)</f>
        <v>1108952</v>
      </c>
      <c r="O1592">
        <f>IF(G1592="Not available","",VLOOKUP(F1592,Sheet2!$B$1:$E$19,4,FALSE)+(G1592-1))</f>
        <v>3778890</v>
      </c>
    </row>
    <row r="1593" spans="1:15" s="1" customFormat="1" ht="15" customHeight="1" x14ac:dyDescent="0.25">
      <c r="A1593" s="18" t="s">
        <v>198</v>
      </c>
      <c r="B1593" s="18" t="s">
        <v>12</v>
      </c>
      <c r="C1593" s="5">
        <v>1812</v>
      </c>
      <c r="E1593" s="1" t="s">
        <v>2</v>
      </c>
      <c r="F1593" s="18">
        <v>2173</v>
      </c>
      <c r="G1593" s="18">
        <v>59</v>
      </c>
      <c r="H1593" s="5">
        <v>112</v>
      </c>
      <c r="I1593" s="1">
        <v>99</v>
      </c>
      <c r="J1593" s="1">
        <v>210</v>
      </c>
      <c r="L1593" t="str">
        <f t="shared" si="24"/>
        <v>http://www.badatelna.eu/reprodukce/?fondId=1073&amp;zaznamId=1108959&amp;reproId=3780052</v>
      </c>
      <c r="M1593">
        <f>VLOOKUP(F1593,Sheet2!$B$1:$E$19,2,FALSE)</f>
        <v>1073</v>
      </c>
      <c r="N1593">
        <f>VLOOKUP(F1593,Sheet2!$B$1:$E$19,3,FALSE)</f>
        <v>1108959</v>
      </c>
      <c r="O1593">
        <f>IF(G1593="Not available","",VLOOKUP(F1593,Sheet2!$B$1:$E$19,4,FALSE)+(G1593-1))</f>
        <v>3780052</v>
      </c>
    </row>
    <row r="1594" spans="1:15" s="1" customFormat="1" ht="15" customHeight="1" x14ac:dyDescent="0.25">
      <c r="A1594" s="18" t="s">
        <v>198</v>
      </c>
      <c r="B1594" s="18" t="s">
        <v>12</v>
      </c>
      <c r="C1594" s="5">
        <v>1813</v>
      </c>
      <c r="E1594" s="1" t="s">
        <v>2</v>
      </c>
      <c r="F1594" s="18">
        <v>2173</v>
      </c>
      <c r="G1594" s="18">
        <v>60</v>
      </c>
      <c r="H1594" s="5">
        <v>115</v>
      </c>
      <c r="I1594" s="1">
        <v>99</v>
      </c>
      <c r="J1594" s="1">
        <v>210</v>
      </c>
      <c r="L1594" t="str">
        <f t="shared" si="24"/>
        <v>http://www.badatelna.eu/reprodukce/?fondId=1073&amp;zaznamId=1108959&amp;reproId=3780053</v>
      </c>
      <c r="M1594">
        <f>VLOOKUP(F1594,Sheet2!$B$1:$E$19,2,FALSE)</f>
        <v>1073</v>
      </c>
      <c r="N1594">
        <f>VLOOKUP(F1594,Sheet2!$B$1:$E$19,3,FALSE)</f>
        <v>1108959</v>
      </c>
      <c r="O1594">
        <f>IF(G1594="Not available","",VLOOKUP(F1594,Sheet2!$B$1:$E$19,4,FALSE)+(G1594-1))</f>
        <v>3780053</v>
      </c>
    </row>
    <row r="1595" spans="1:15" s="1" customFormat="1" ht="15" customHeight="1" x14ac:dyDescent="0.25">
      <c r="A1595" s="18" t="s">
        <v>198</v>
      </c>
      <c r="B1595" s="18" t="s">
        <v>12</v>
      </c>
      <c r="C1595" s="5">
        <v>1825</v>
      </c>
      <c r="E1595" s="1" t="s">
        <v>2</v>
      </c>
      <c r="F1595" s="18">
        <v>2173</v>
      </c>
      <c r="G1595" s="18">
        <v>76</v>
      </c>
      <c r="H1595" s="5">
        <v>145</v>
      </c>
      <c r="I1595" s="1">
        <v>99</v>
      </c>
      <c r="J1595" s="1">
        <v>210</v>
      </c>
      <c r="L1595" t="str">
        <f t="shared" si="24"/>
        <v>http://www.badatelna.eu/reprodukce/?fondId=1073&amp;zaznamId=1108959&amp;reproId=3780069</v>
      </c>
      <c r="M1595">
        <f>VLOOKUP(F1595,Sheet2!$B$1:$E$19,2,FALSE)</f>
        <v>1073</v>
      </c>
      <c r="N1595">
        <f>VLOOKUP(F1595,Sheet2!$B$1:$E$19,3,FALSE)</f>
        <v>1108959</v>
      </c>
      <c r="O1595">
        <f>IF(G1595="Not available","",VLOOKUP(F1595,Sheet2!$B$1:$E$19,4,FALSE)+(G1595-1))</f>
        <v>3780069</v>
      </c>
    </row>
    <row r="1596" spans="1:15" s="1" customFormat="1" ht="15" customHeight="1" x14ac:dyDescent="0.25">
      <c r="A1596" s="18" t="s">
        <v>198</v>
      </c>
      <c r="B1596" s="18" t="s">
        <v>12</v>
      </c>
      <c r="C1596" s="5">
        <v>1828</v>
      </c>
      <c r="E1596" s="1" t="s">
        <v>2</v>
      </c>
      <c r="F1596" s="18">
        <v>2173</v>
      </c>
      <c r="G1596" s="18">
        <v>80</v>
      </c>
      <c r="H1596" s="5">
        <v>153</v>
      </c>
      <c r="I1596" s="1">
        <v>99</v>
      </c>
      <c r="J1596" s="1">
        <v>210</v>
      </c>
      <c r="L1596" t="str">
        <f t="shared" si="24"/>
        <v>http://www.badatelna.eu/reprodukce/?fondId=1073&amp;zaznamId=1108959&amp;reproId=3780073</v>
      </c>
      <c r="M1596">
        <f>VLOOKUP(F1596,Sheet2!$B$1:$E$19,2,FALSE)</f>
        <v>1073</v>
      </c>
      <c r="N1596">
        <f>VLOOKUP(F1596,Sheet2!$B$1:$E$19,3,FALSE)</f>
        <v>1108959</v>
      </c>
      <c r="O1596">
        <f>IF(G1596="Not available","",VLOOKUP(F1596,Sheet2!$B$1:$E$19,4,FALSE)+(G1596-1))</f>
        <v>3780073</v>
      </c>
    </row>
    <row r="1597" spans="1:15" s="1" customFormat="1" ht="15" customHeight="1" x14ac:dyDescent="0.25">
      <c r="A1597" s="18" t="s">
        <v>198</v>
      </c>
      <c r="B1597" s="18" t="s">
        <v>2000</v>
      </c>
      <c r="C1597" s="10" t="s">
        <v>2257</v>
      </c>
      <c r="D1597" s="3" t="s">
        <v>2350</v>
      </c>
      <c r="E1597" s="4" t="s">
        <v>2</v>
      </c>
      <c r="F1597" s="18">
        <v>2176</v>
      </c>
      <c r="G1597" s="18" t="s">
        <v>3271</v>
      </c>
      <c r="H1597" s="10" t="s">
        <v>2351</v>
      </c>
      <c r="I1597" s="3">
        <v>17</v>
      </c>
      <c r="J1597" s="3" t="s">
        <v>3271</v>
      </c>
      <c r="K1597" s="3"/>
      <c r="L1597" t="str">
        <f t="shared" si="24"/>
        <v/>
      </c>
      <c r="M1597">
        <f>VLOOKUP(F1597,Sheet2!$B$1:$E$19,2,FALSE)</f>
        <v>1073</v>
      </c>
      <c r="N1597">
        <f>VLOOKUP(F1597,Sheet2!$B$1:$E$19,3,FALSE)</f>
        <v>1108963</v>
      </c>
      <c r="O1597" t="str">
        <f>IF(G1597="Not available","",VLOOKUP(F1597,Sheet2!$B$1:$E$19,4,FALSE)+(G1597-1))</f>
        <v/>
      </c>
    </row>
    <row r="1598" spans="1:15" s="1" customFormat="1" ht="15" customHeight="1" x14ac:dyDescent="0.25">
      <c r="A1598" s="18" t="s">
        <v>198</v>
      </c>
      <c r="B1598" s="18" t="s">
        <v>2316</v>
      </c>
      <c r="C1598" s="10" t="s">
        <v>2043</v>
      </c>
      <c r="D1598" s="3" t="s">
        <v>2317</v>
      </c>
      <c r="E1598" s="4" t="s">
        <v>2</v>
      </c>
      <c r="F1598" s="18">
        <v>2176</v>
      </c>
      <c r="G1598" s="18" t="s">
        <v>3271</v>
      </c>
      <c r="H1598" s="10" t="s">
        <v>2063</v>
      </c>
      <c r="I1598" s="3">
        <v>17</v>
      </c>
      <c r="J1598" s="3" t="s">
        <v>3271</v>
      </c>
      <c r="K1598" s="3"/>
      <c r="L1598" t="str">
        <f t="shared" si="24"/>
        <v/>
      </c>
      <c r="M1598">
        <f>VLOOKUP(F1598,Sheet2!$B$1:$E$19,2,FALSE)</f>
        <v>1073</v>
      </c>
      <c r="N1598">
        <f>VLOOKUP(F1598,Sheet2!$B$1:$E$19,3,FALSE)</f>
        <v>1108963</v>
      </c>
      <c r="O1598" t="str">
        <f>IF(G1598="Not available","",VLOOKUP(F1598,Sheet2!$B$1:$E$19,4,FALSE)+(G1598-1))</f>
        <v/>
      </c>
    </row>
    <row r="1599" spans="1:15" s="1" customFormat="1" ht="15" customHeight="1" x14ac:dyDescent="0.25">
      <c r="A1599" s="18" t="s">
        <v>198</v>
      </c>
      <c r="B1599" s="18" t="s">
        <v>1150</v>
      </c>
      <c r="C1599" s="10" t="s">
        <v>2074</v>
      </c>
      <c r="D1599" s="3" t="s">
        <v>2219</v>
      </c>
      <c r="E1599" s="4" t="s">
        <v>2</v>
      </c>
      <c r="F1599" s="18">
        <v>2176</v>
      </c>
      <c r="G1599" s="18" t="s">
        <v>3271</v>
      </c>
      <c r="H1599" s="10" t="s">
        <v>2006</v>
      </c>
      <c r="I1599" s="3">
        <v>17</v>
      </c>
      <c r="J1599" s="3" t="s">
        <v>3271</v>
      </c>
      <c r="K1599" s="3"/>
      <c r="L1599" t="str">
        <f t="shared" si="24"/>
        <v/>
      </c>
      <c r="M1599">
        <f>VLOOKUP(F1599,Sheet2!$B$1:$E$19,2,FALSE)</f>
        <v>1073</v>
      </c>
      <c r="N1599">
        <f>VLOOKUP(F1599,Sheet2!$B$1:$E$19,3,FALSE)</f>
        <v>1108963</v>
      </c>
      <c r="O1599" t="str">
        <f>IF(G1599="Not available","",VLOOKUP(F1599,Sheet2!$B$1:$E$19,4,FALSE)+(G1599-1))</f>
        <v/>
      </c>
    </row>
    <row r="1600" spans="1:15" s="1" customFormat="1" ht="15" customHeight="1" x14ac:dyDescent="0.25">
      <c r="A1600" s="18" t="s">
        <v>198</v>
      </c>
      <c r="B1600" s="18" t="s">
        <v>1210</v>
      </c>
      <c r="C1600" s="5" t="s">
        <v>1776</v>
      </c>
      <c r="D1600" s="1" t="s">
        <v>432</v>
      </c>
      <c r="E1600" s="1" t="s">
        <v>2</v>
      </c>
      <c r="F1600" s="18">
        <v>2165</v>
      </c>
      <c r="G1600" s="18">
        <v>235</v>
      </c>
      <c r="H1600" s="5">
        <v>2</v>
      </c>
      <c r="I1600" s="1">
        <v>237</v>
      </c>
      <c r="J1600" s="1">
        <v>213</v>
      </c>
      <c r="L1600" t="str">
        <f t="shared" si="24"/>
        <v>http://www.badatelna.eu/reprodukce/?fondId=1073&amp;zaznamId=1108952&amp;reproId=3779096</v>
      </c>
      <c r="M1600">
        <f>VLOOKUP(F1600,Sheet2!$B$1:$E$19,2,FALSE)</f>
        <v>1073</v>
      </c>
      <c r="N1600">
        <f>VLOOKUP(F1600,Sheet2!$B$1:$E$19,3,FALSE)</f>
        <v>1108952</v>
      </c>
      <c r="O1600">
        <f>IF(G1600="Not available","",VLOOKUP(F1600,Sheet2!$B$1:$E$19,4,FALSE)+(G1600-1))</f>
        <v>3779096</v>
      </c>
    </row>
    <row r="1601" spans="1:15" s="1" customFormat="1" ht="15" customHeight="1" x14ac:dyDescent="0.25">
      <c r="A1601" s="18" t="s">
        <v>198</v>
      </c>
      <c r="B1601" s="18" t="s">
        <v>40</v>
      </c>
      <c r="C1601" s="5">
        <v>1814</v>
      </c>
      <c r="E1601" s="1" t="s">
        <v>2</v>
      </c>
      <c r="F1601" s="18">
        <v>2173</v>
      </c>
      <c r="G1601" s="18">
        <v>62</v>
      </c>
      <c r="H1601" s="5">
        <v>118</v>
      </c>
      <c r="I1601" s="1">
        <v>99</v>
      </c>
      <c r="J1601" s="1">
        <v>210</v>
      </c>
      <c r="L1601" t="str">
        <f t="shared" si="24"/>
        <v>http://www.badatelna.eu/reprodukce/?fondId=1073&amp;zaznamId=1108959&amp;reproId=3780055</v>
      </c>
      <c r="M1601">
        <f>VLOOKUP(F1601,Sheet2!$B$1:$E$19,2,FALSE)</f>
        <v>1073</v>
      </c>
      <c r="N1601">
        <f>VLOOKUP(F1601,Sheet2!$B$1:$E$19,3,FALSE)</f>
        <v>1108959</v>
      </c>
      <c r="O1601">
        <f>IF(G1601="Not available","",VLOOKUP(F1601,Sheet2!$B$1:$E$19,4,FALSE)+(G1601-1))</f>
        <v>3780055</v>
      </c>
    </row>
    <row r="1602" spans="1:15" s="1" customFormat="1" ht="15" customHeight="1" x14ac:dyDescent="0.25">
      <c r="A1602" s="18" t="s">
        <v>198</v>
      </c>
      <c r="B1602" s="18" t="s">
        <v>239</v>
      </c>
      <c r="C1602" s="5">
        <v>1862</v>
      </c>
      <c r="E1602" s="1" t="s">
        <v>939</v>
      </c>
      <c r="F1602" s="18">
        <v>999</v>
      </c>
      <c r="G1602" s="18">
        <v>35</v>
      </c>
      <c r="H1602" s="5">
        <v>33</v>
      </c>
      <c r="I1602" s="1">
        <v>67</v>
      </c>
      <c r="J1602" s="1">
        <v>101</v>
      </c>
      <c r="L1602" t="str">
        <f t="shared" si="24"/>
        <v>http://www.badatelna.eu/reprodukce/?fondId=241&amp;zaznamId=1133739&amp;reproId=3885764</v>
      </c>
      <c r="M1602">
        <f>VLOOKUP(F1602,Sheet2!$B$1:$E$19,2,FALSE)</f>
        <v>241</v>
      </c>
      <c r="N1602">
        <f>VLOOKUP(F1602,Sheet2!$B$1:$E$19,3,FALSE)</f>
        <v>1133739</v>
      </c>
      <c r="O1602">
        <f>IF(G1602="Not available","",VLOOKUP(F1602,Sheet2!$B$1:$E$19,4,FALSE)+(G1602-1))</f>
        <v>3885764</v>
      </c>
    </row>
    <row r="1603" spans="1:15" s="1" customFormat="1" ht="15" customHeight="1" x14ac:dyDescent="0.25">
      <c r="A1603" s="18" t="s">
        <v>198</v>
      </c>
      <c r="B1603" s="18" t="s">
        <v>1011</v>
      </c>
      <c r="C1603" s="10" t="s">
        <v>2092</v>
      </c>
      <c r="D1603" s="3" t="s">
        <v>2333</v>
      </c>
      <c r="E1603" s="4" t="s">
        <v>2</v>
      </c>
      <c r="F1603" s="18">
        <v>2176</v>
      </c>
      <c r="G1603" s="18" t="s">
        <v>3271</v>
      </c>
      <c r="H1603" s="10" t="s">
        <v>2016</v>
      </c>
      <c r="I1603" s="3">
        <v>17</v>
      </c>
      <c r="J1603" s="3" t="s">
        <v>3271</v>
      </c>
      <c r="K1603" s="3"/>
      <c r="L1603" t="str">
        <f t="shared" ref="L1603:L1666" si="25">IF(G1603="Not available","","http://www.badatelna.eu/reprodukce/?fondId="&amp;M1603&amp;"&amp;zaznamId="&amp;N1603&amp;"&amp;reproId="&amp;O1603)</f>
        <v/>
      </c>
      <c r="M1603">
        <f>VLOOKUP(F1603,Sheet2!$B$1:$E$19,2,FALSE)</f>
        <v>1073</v>
      </c>
      <c r="N1603">
        <f>VLOOKUP(F1603,Sheet2!$B$1:$E$19,3,FALSE)</f>
        <v>1108963</v>
      </c>
      <c r="O1603" t="str">
        <f>IF(G1603="Not available","",VLOOKUP(F1603,Sheet2!$B$1:$E$19,4,FALSE)+(G1603-1))</f>
        <v/>
      </c>
    </row>
    <row r="1604" spans="1:15" s="1" customFormat="1" ht="15" customHeight="1" x14ac:dyDescent="0.25">
      <c r="A1604" s="18" t="s">
        <v>198</v>
      </c>
      <c r="B1604" s="18" t="s">
        <v>361</v>
      </c>
      <c r="C1604" s="5" t="s">
        <v>1890</v>
      </c>
      <c r="D1604" s="1" t="s">
        <v>432</v>
      </c>
      <c r="E1604" s="1" t="s">
        <v>2</v>
      </c>
      <c r="F1604" s="18">
        <v>2165</v>
      </c>
      <c r="G1604" s="18">
        <v>270</v>
      </c>
      <c r="H1604" s="5">
        <v>2</v>
      </c>
      <c r="I1604" s="1">
        <v>272</v>
      </c>
      <c r="J1604" s="1">
        <v>246</v>
      </c>
      <c r="L1604" t="str">
        <f t="shared" si="25"/>
        <v>http://www.badatelna.eu/reprodukce/?fondId=1073&amp;zaznamId=1108952&amp;reproId=3779131</v>
      </c>
      <c r="M1604">
        <f>VLOOKUP(F1604,Sheet2!$B$1:$E$19,2,FALSE)</f>
        <v>1073</v>
      </c>
      <c r="N1604">
        <f>VLOOKUP(F1604,Sheet2!$B$1:$E$19,3,FALSE)</f>
        <v>1108952</v>
      </c>
      <c r="O1604">
        <f>IF(G1604="Not available","",VLOOKUP(F1604,Sheet2!$B$1:$E$19,4,FALSE)+(G1604-1))</f>
        <v>3779131</v>
      </c>
    </row>
    <row r="1605" spans="1:15" s="1" customFormat="1" ht="15" customHeight="1" x14ac:dyDescent="0.25">
      <c r="A1605" s="18" t="s">
        <v>198</v>
      </c>
      <c r="B1605" s="18" t="s">
        <v>863</v>
      </c>
      <c r="C1605" s="10" t="s">
        <v>2087</v>
      </c>
      <c r="D1605" s="3" t="s">
        <v>2331</v>
      </c>
      <c r="E1605" s="4" t="s">
        <v>2</v>
      </c>
      <c r="F1605" s="18">
        <v>2176</v>
      </c>
      <c r="G1605" s="18" t="s">
        <v>3271</v>
      </c>
      <c r="H1605" s="10" t="s">
        <v>2332</v>
      </c>
      <c r="I1605" s="3">
        <v>17</v>
      </c>
      <c r="J1605" s="3" t="s">
        <v>3271</v>
      </c>
      <c r="K1605" s="3"/>
      <c r="L1605" t="str">
        <f t="shared" si="25"/>
        <v/>
      </c>
      <c r="M1605">
        <f>VLOOKUP(F1605,Sheet2!$B$1:$E$19,2,FALSE)</f>
        <v>1073</v>
      </c>
      <c r="N1605">
        <f>VLOOKUP(F1605,Sheet2!$B$1:$E$19,3,FALSE)</f>
        <v>1108963</v>
      </c>
      <c r="O1605" t="str">
        <f>IF(G1605="Not available","",VLOOKUP(F1605,Sheet2!$B$1:$E$19,4,FALSE)+(G1605-1))</f>
        <v/>
      </c>
    </row>
    <row r="1606" spans="1:15" s="1" customFormat="1" ht="15" customHeight="1" x14ac:dyDescent="0.25">
      <c r="A1606" s="18" t="s">
        <v>198</v>
      </c>
      <c r="B1606" s="18" t="s">
        <v>863</v>
      </c>
      <c r="C1606" s="5" t="s">
        <v>1866</v>
      </c>
      <c r="D1606" s="1" t="s">
        <v>1118</v>
      </c>
      <c r="E1606" s="1" t="s">
        <v>2</v>
      </c>
      <c r="F1606" s="18">
        <v>2165</v>
      </c>
      <c r="G1606" s="18">
        <v>260</v>
      </c>
      <c r="H1606" s="5">
        <v>1</v>
      </c>
      <c r="I1606" s="1">
        <v>265</v>
      </c>
      <c r="J1606" s="1">
        <v>239</v>
      </c>
      <c r="L1606" t="str">
        <f t="shared" si="25"/>
        <v>http://www.badatelna.eu/reprodukce/?fondId=1073&amp;zaznamId=1108952&amp;reproId=3779121</v>
      </c>
      <c r="M1606">
        <f>VLOOKUP(F1606,Sheet2!$B$1:$E$19,2,FALSE)</f>
        <v>1073</v>
      </c>
      <c r="N1606">
        <f>VLOOKUP(F1606,Sheet2!$B$1:$E$19,3,FALSE)</f>
        <v>1108952</v>
      </c>
      <c r="O1606">
        <f>IF(G1606="Not available","",VLOOKUP(F1606,Sheet2!$B$1:$E$19,4,FALSE)+(G1606-1))</f>
        <v>3779121</v>
      </c>
    </row>
    <row r="1607" spans="1:15" s="1" customFormat="1" ht="15" customHeight="1" x14ac:dyDescent="0.25">
      <c r="A1607" s="18" t="s">
        <v>198</v>
      </c>
      <c r="B1607" s="18" t="s">
        <v>602</v>
      </c>
      <c r="C1607" s="5">
        <v>1864</v>
      </c>
      <c r="E1607" s="1" t="s">
        <v>939</v>
      </c>
      <c r="F1607" s="18">
        <v>999</v>
      </c>
      <c r="G1607" s="18">
        <v>46</v>
      </c>
      <c r="H1607" s="5">
        <v>44</v>
      </c>
      <c r="I1607" s="1">
        <v>67</v>
      </c>
      <c r="J1607" s="1">
        <v>101</v>
      </c>
      <c r="L1607" t="str">
        <f t="shared" si="25"/>
        <v>http://www.badatelna.eu/reprodukce/?fondId=241&amp;zaznamId=1133739&amp;reproId=3885775</v>
      </c>
      <c r="M1607">
        <f>VLOOKUP(F1607,Sheet2!$B$1:$E$19,2,FALSE)</f>
        <v>241</v>
      </c>
      <c r="N1607">
        <f>VLOOKUP(F1607,Sheet2!$B$1:$E$19,3,FALSE)</f>
        <v>1133739</v>
      </c>
      <c r="O1607">
        <f>IF(G1607="Not available","",VLOOKUP(F1607,Sheet2!$B$1:$E$19,4,FALSE)+(G1607-1))</f>
        <v>3885775</v>
      </c>
    </row>
    <row r="1608" spans="1:15" s="1" customFormat="1" ht="15" customHeight="1" x14ac:dyDescent="0.25">
      <c r="A1608" s="18" t="s">
        <v>198</v>
      </c>
      <c r="B1608" s="18" t="s">
        <v>602</v>
      </c>
      <c r="C1608" s="10" t="s">
        <v>1285</v>
      </c>
      <c r="D1608" s="3" t="s">
        <v>2050</v>
      </c>
      <c r="E1608" s="4" t="s">
        <v>2</v>
      </c>
      <c r="F1608" s="18">
        <v>2176</v>
      </c>
      <c r="G1608" s="18" t="s">
        <v>3271</v>
      </c>
      <c r="H1608" s="10" t="s">
        <v>2308</v>
      </c>
      <c r="I1608" s="3">
        <v>17</v>
      </c>
      <c r="J1608" s="3" t="s">
        <v>3271</v>
      </c>
      <c r="K1608" s="3"/>
      <c r="L1608" t="str">
        <f t="shared" si="25"/>
        <v/>
      </c>
      <c r="M1608">
        <f>VLOOKUP(F1608,Sheet2!$B$1:$E$19,2,FALSE)</f>
        <v>1073</v>
      </c>
      <c r="N1608">
        <f>VLOOKUP(F1608,Sheet2!$B$1:$E$19,3,FALSE)</f>
        <v>1108963</v>
      </c>
      <c r="O1608" t="str">
        <f>IF(G1608="Not available","",VLOOKUP(F1608,Sheet2!$B$1:$E$19,4,FALSE)+(G1608-1))</f>
        <v/>
      </c>
    </row>
    <row r="1609" spans="1:15" s="1" customFormat="1" ht="15" customHeight="1" x14ac:dyDescent="0.25">
      <c r="A1609" s="18" t="s">
        <v>198</v>
      </c>
      <c r="B1609" s="18" t="s">
        <v>199</v>
      </c>
      <c r="C1609" s="5">
        <v>1785</v>
      </c>
      <c r="D1609" s="1" t="s">
        <v>38</v>
      </c>
      <c r="E1609" s="1" t="s">
        <v>2</v>
      </c>
      <c r="F1609" s="18">
        <v>2173</v>
      </c>
      <c r="G1609" s="18">
        <v>6</v>
      </c>
      <c r="H1609" s="5">
        <v>7</v>
      </c>
      <c r="I1609" s="1">
        <v>98</v>
      </c>
      <c r="J1609" s="1">
        <v>209</v>
      </c>
      <c r="L1609" t="str">
        <f t="shared" si="25"/>
        <v>http://www.badatelna.eu/reprodukce/?fondId=1073&amp;zaznamId=1108959&amp;reproId=3779999</v>
      </c>
      <c r="M1609">
        <f>VLOOKUP(F1609,Sheet2!$B$1:$E$19,2,FALSE)</f>
        <v>1073</v>
      </c>
      <c r="N1609">
        <f>VLOOKUP(F1609,Sheet2!$B$1:$E$19,3,FALSE)</f>
        <v>1108959</v>
      </c>
      <c r="O1609">
        <f>IF(G1609="Not available","",VLOOKUP(F1609,Sheet2!$B$1:$E$19,4,FALSE)+(G1609-1))</f>
        <v>3779999</v>
      </c>
    </row>
    <row r="1610" spans="1:15" s="1" customFormat="1" ht="15" customHeight="1" x14ac:dyDescent="0.25">
      <c r="A1610" s="18" t="s">
        <v>198</v>
      </c>
      <c r="B1610" s="18" t="s">
        <v>2027</v>
      </c>
      <c r="C1610" s="10" t="s">
        <v>2043</v>
      </c>
      <c r="D1610" s="3" t="s">
        <v>2293</v>
      </c>
      <c r="E1610" s="4" t="s">
        <v>2</v>
      </c>
      <c r="F1610" s="18">
        <v>2176</v>
      </c>
      <c r="G1610" s="18" t="s">
        <v>3271</v>
      </c>
      <c r="H1610" s="10" t="s">
        <v>2040</v>
      </c>
      <c r="I1610" s="3">
        <v>17</v>
      </c>
      <c r="J1610" s="3" t="s">
        <v>3271</v>
      </c>
      <c r="K1610" s="3"/>
      <c r="L1610" t="str">
        <f t="shared" si="25"/>
        <v/>
      </c>
      <c r="M1610">
        <f>VLOOKUP(F1610,Sheet2!$B$1:$E$19,2,FALSE)</f>
        <v>1073</v>
      </c>
      <c r="N1610">
        <f>VLOOKUP(F1610,Sheet2!$B$1:$E$19,3,FALSE)</f>
        <v>1108963</v>
      </c>
      <c r="O1610" t="str">
        <f>IF(G1610="Not available","",VLOOKUP(F1610,Sheet2!$B$1:$E$19,4,FALSE)+(G1610-1))</f>
        <v/>
      </c>
    </row>
    <row r="1611" spans="1:15" s="1" customFormat="1" ht="15" customHeight="1" x14ac:dyDescent="0.25">
      <c r="A1611" s="18" t="s">
        <v>198</v>
      </c>
      <c r="B1611" s="18" t="s">
        <v>847</v>
      </c>
      <c r="C1611" s="5">
        <v>1866</v>
      </c>
      <c r="E1611" s="1" t="s">
        <v>939</v>
      </c>
      <c r="F1611" s="18">
        <v>999</v>
      </c>
      <c r="G1611" s="18">
        <v>58</v>
      </c>
      <c r="H1611" s="5">
        <v>56</v>
      </c>
      <c r="I1611" s="1">
        <v>67</v>
      </c>
      <c r="J1611" s="1">
        <v>101</v>
      </c>
      <c r="L1611" t="str">
        <f t="shared" si="25"/>
        <v>http://www.badatelna.eu/reprodukce/?fondId=241&amp;zaznamId=1133739&amp;reproId=3885787</v>
      </c>
      <c r="M1611">
        <f>VLOOKUP(F1611,Sheet2!$B$1:$E$19,2,FALSE)</f>
        <v>241</v>
      </c>
      <c r="N1611">
        <f>VLOOKUP(F1611,Sheet2!$B$1:$E$19,3,FALSE)</f>
        <v>1133739</v>
      </c>
      <c r="O1611">
        <f>IF(G1611="Not available","",VLOOKUP(F1611,Sheet2!$B$1:$E$19,4,FALSE)+(G1611-1))</f>
        <v>3885787</v>
      </c>
    </row>
    <row r="1612" spans="1:15" s="1" customFormat="1" ht="15" customHeight="1" x14ac:dyDescent="0.25">
      <c r="A1612" s="18" t="s">
        <v>198</v>
      </c>
      <c r="B1612" s="18" t="s">
        <v>847</v>
      </c>
      <c r="C1612" s="5">
        <v>1885</v>
      </c>
      <c r="D1612" s="1" t="s">
        <v>1168</v>
      </c>
      <c r="E1612" s="1" t="s">
        <v>2</v>
      </c>
      <c r="F1612" s="18">
        <v>2165</v>
      </c>
      <c r="G1612" s="18">
        <v>202</v>
      </c>
      <c r="H1612" s="5">
        <v>4</v>
      </c>
      <c r="I1612" s="1">
        <v>204</v>
      </c>
      <c r="J1612" s="1">
        <v>187</v>
      </c>
      <c r="L1612" t="str">
        <f t="shared" si="25"/>
        <v>http://www.badatelna.eu/reprodukce/?fondId=1073&amp;zaznamId=1108952&amp;reproId=3779063</v>
      </c>
      <c r="M1612">
        <f>VLOOKUP(F1612,Sheet2!$B$1:$E$19,2,FALSE)</f>
        <v>1073</v>
      </c>
      <c r="N1612">
        <f>VLOOKUP(F1612,Sheet2!$B$1:$E$19,3,FALSE)</f>
        <v>1108952</v>
      </c>
      <c r="O1612">
        <f>IF(G1612="Not available","",VLOOKUP(F1612,Sheet2!$B$1:$E$19,4,FALSE)+(G1612-1))</f>
        <v>3779063</v>
      </c>
    </row>
    <row r="1613" spans="1:15" s="1" customFormat="1" ht="15" customHeight="1" x14ac:dyDescent="0.25">
      <c r="A1613" s="18" t="s">
        <v>198</v>
      </c>
      <c r="B1613" s="18" t="s">
        <v>624</v>
      </c>
      <c r="C1613" s="5">
        <v>1844</v>
      </c>
      <c r="D1613" s="1" t="s">
        <v>662</v>
      </c>
      <c r="E1613" s="1" t="s">
        <v>2</v>
      </c>
      <c r="F1613" s="18">
        <v>2174</v>
      </c>
      <c r="G1613" s="18">
        <v>149</v>
      </c>
      <c r="H1613" s="6" t="s">
        <v>3216</v>
      </c>
      <c r="I1613" s="1">
        <v>186</v>
      </c>
      <c r="J1613" s="1">
        <v>214</v>
      </c>
      <c r="L1613" t="str">
        <f t="shared" si="25"/>
        <v>http://www.badatelna.eu/reprodukce/?fondId=1073&amp;zaznamId=1108960&amp;reproId=3780373</v>
      </c>
      <c r="M1613">
        <f>VLOOKUP(F1613,Sheet2!$B$1:$E$19,2,FALSE)</f>
        <v>1073</v>
      </c>
      <c r="N1613">
        <f>VLOOKUP(F1613,Sheet2!$B$1:$E$19,3,FALSE)</f>
        <v>1108960</v>
      </c>
      <c r="O1613">
        <f>IF(G1613="Not available","",VLOOKUP(F1613,Sheet2!$B$1:$E$19,4,FALSE)+(G1613-1))</f>
        <v>3780373</v>
      </c>
    </row>
    <row r="1614" spans="1:15" s="1" customFormat="1" ht="15" customHeight="1" x14ac:dyDescent="0.25">
      <c r="A1614" s="18" t="s">
        <v>198</v>
      </c>
      <c r="B1614" s="18" t="s">
        <v>1175</v>
      </c>
      <c r="C1614" s="10" t="s">
        <v>1949</v>
      </c>
      <c r="D1614" s="3" t="s">
        <v>2219</v>
      </c>
      <c r="E1614" s="4" t="s">
        <v>2</v>
      </c>
      <c r="F1614" s="18">
        <v>2176</v>
      </c>
      <c r="G1614" s="18" t="s">
        <v>3271</v>
      </c>
      <c r="H1614" s="10" t="s">
        <v>2054</v>
      </c>
      <c r="I1614" s="3">
        <v>17</v>
      </c>
      <c r="J1614" s="3" t="s">
        <v>3271</v>
      </c>
      <c r="K1614" s="3"/>
      <c r="L1614" t="str">
        <f t="shared" si="25"/>
        <v/>
      </c>
      <c r="M1614">
        <f>VLOOKUP(F1614,Sheet2!$B$1:$E$19,2,FALSE)</f>
        <v>1073</v>
      </c>
      <c r="N1614">
        <f>VLOOKUP(F1614,Sheet2!$B$1:$E$19,3,FALSE)</f>
        <v>1108963</v>
      </c>
      <c r="O1614" t="str">
        <f>IF(G1614="Not available","",VLOOKUP(F1614,Sheet2!$B$1:$E$19,4,FALSE)+(G1614-1))</f>
        <v/>
      </c>
    </row>
    <row r="1615" spans="1:15" s="1" customFormat="1" ht="15" customHeight="1" x14ac:dyDescent="0.25">
      <c r="A1615" s="18" t="s">
        <v>198</v>
      </c>
      <c r="B1615" s="18" t="s">
        <v>233</v>
      </c>
      <c r="C1615" s="5">
        <v>1883</v>
      </c>
      <c r="D1615" s="1" t="s">
        <v>1144</v>
      </c>
      <c r="E1615" s="1" t="s">
        <v>2</v>
      </c>
      <c r="F1615" s="18">
        <v>2165</v>
      </c>
      <c r="G1615" s="18">
        <v>186</v>
      </c>
      <c r="H1615" s="5">
        <v>2</v>
      </c>
      <c r="I1615" s="1">
        <v>190</v>
      </c>
      <c r="J1615" s="1">
        <v>167</v>
      </c>
      <c r="L1615" t="str">
        <f t="shared" si="25"/>
        <v>http://www.badatelna.eu/reprodukce/?fondId=1073&amp;zaznamId=1108952&amp;reproId=3779047</v>
      </c>
      <c r="M1615">
        <f>VLOOKUP(F1615,Sheet2!$B$1:$E$19,2,FALSE)</f>
        <v>1073</v>
      </c>
      <c r="N1615">
        <f>VLOOKUP(F1615,Sheet2!$B$1:$E$19,3,FALSE)</f>
        <v>1108952</v>
      </c>
      <c r="O1615">
        <f>IF(G1615="Not available","",VLOOKUP(F1615,Sheet2!$B$1:$E$19,4,FALSE)+(G1615-1))</f>
        <v>3779047</v>
      </c>
    </row>
    <row r="1616" spans="1:15" s="1" customFormat="1" ht="15" customHeight="1" x14ac:dyDescent="0.25">
      <c r="A1616" s="18" t="s">
        <v>198</v>
      </c>
      <c r="B1616" s="18" t="s">
        <v>233</v>
      </c>
      <c r="C1616" s="10" t="s">
        <v>2036</v>
      </c>
      <c r="D1616" s="3" t="s">
        <v>2309</v>
      </c>
      <c r="E1616" s="4" t="s">
        <v>2</v>
      </c>
      <c r="F1616" s="18">
        <v>2176</v>
      </c>
      <c r="G1616" s="18" t="s">
        <v>3271</v>
      </c>
      <c r="H1616" s="10" t="s">
        <v>1974</v>
      </c>
      <c r="I1616" s="3">
        <v>17</v>
      </c>
      <c r="J1616" s="3" t="s">
        <v>3271</v>
      </c>
      <c r="K1616" s="3"/>
      <c r="L1616" t="str">
        <f t="shared" si="25"/>
        <v/>
      </c>
      <c r="M1616">
        <f>VLOOKUP(F1616,Sheet2!$B$1:$E$19,2,FALSE)</f>
        <v>1073</v>
      </c>
      <c r="N1616">
        <f>VLOOKUP(F1616,Sheet2!$B$1:$E$19,3,FALSE)</f>
        <v>1108963</v>
      </c>
      <c r="O1616" t="str">
        <f>IF(G1616="Not available","",VLOOKUP(F1616,Sheet2!$B$1:$E$19,4,FALSE)+(G1616-1))</f>
        <v/>
      </c>
    </row>
    <row r="1617" spans="1:15" s="1" customFormat="1" ht="15" customHeight="1" x14ac:dyDescent="0.25">
      <c r="A1617" s="18" t="s">
        <v>198</v>
      </c>
      <c r="B1617" s="18" t="s">
        <v>233</v>
      </c>
      <c r="C1617" s="5" t="s">
        <v>1405</v>
      </c>
      <c r="D1617" s="1" t="s">
        <v>65</v>
      </c>
      <c r="E1617" s="1" t="s">
        <v>2</v>
      </c>
      <c r="F1617" s="18">
        <v>2165</v>
      </c>
      <c r="G1617" s="18">
        <v>29</v>
      </c>
      <c r="H1617" s="5">
        <v>26</v>
      </c>
      <c r="I1617" s="1">
        <v>83</v>
      </c>
      <c r="J1617" s="1" t="s">
        <v>3271</v>
      </c>
      <c r="L1617" t="str">
        <f t="shared" si="25"/>
        <v>http://www.badatelna.eu/reprodukce/?fondId=1073&amp;zaznamId=1108952&amp;reproId=3778890</v>
      </c>
      <c r="M1617">
        <f>VLOOKUP(F1617,Sheet2!$B$1:$E$19,2,FALSE)</f>
        <v>1073</v>
      </c>
      <c r="N1617">
        <f>VLOOKUP(F1617,Sheet2!$B$1:$E$19,3,FALSE)</f>
        <v>1108952</v>
      </c>
      <c r="O1617">
        <f>IF(G1617="Not available","",VLOOKUP(F1617,Sheet2!$B$1:$E$19,4,FALSE)+(G1617-1))</f>
        <v>3778890</v>
      </c>
    </row>
    <row r="1618" spans="1:15" s="1" customFormat="1" ht="15" customHeight="1" x14ac:dyDescent="0.25">
      <c r="A1618" s="18" t="s">
        <v>198</v>
      </c>
      <c r="B1618" s="18" t="s">
        <v>233</v>
      </c>
      <c r="C1618" s="5" t="s">
        <v>1413</v>
      </c>
      <c r="D1618" s="1" t="s">
        <v>632</v>
      </c>
      <c r="E1618" s="1" t="s">
        <v>2</v>
      </c>
      <c r="F1618" s="18">
        <v>2165</v>
      </c>
      <c r="G1618" s="18">
        <v>38</v>
      </c>
      <c r="H1618" s="5">
        <v>35</v>
      </c>
      <c r="I1618" s="1">
        <v>83</v>
      </c>
      <c r="J1618" s="1" t="s">
        <v>3271</v>
      </c>
      <c r="L1618" t="str">
        <f t="shared" si="25"/>
        <v>http://www.badatelna.eu/reprodukce/?fondId=1073&amp;zaznamId=1108952&amp;reproId=3778899</v>
      </c>
      <c r="M1618">
        <f>VLOOKUP(F1618,Sheet2!$B$1:$E$19,2,FALSE)</f>
        <v>1073</v>
      </c>
      <c r="N1618">
        <f>VLOOKUP(F1618,Sheet2!$B$1:$E$19,3,FALSE)</f>
        <v>1108952</v>
      </c>
      <c r="O1618">
        <f>IF(G1618="Not available","",VLOOKUP(F1618,Sheet2!$B$1:$E$19,4,FALSE)+(G1618-1))</f>
        <v>3778899</v>
      </c>
    </row>
    <row r="1619" spans="1:15" s="1" customFormat="1" ht="15" customHeight="1" x14ac:dyDescent="0.25">
      <c r="A1619" s="18" t="s">
        <v>198</v>
      </c>
      <c r="B1619" s="18" t="s">
        <v>684</v>
      </c>
      <c r="C1619" s="10" t="s">
        <v>2257</v>
      </c>
      <c r="D1619" s="3" t="s">
        <v>2339</v>
      </c>
      <c r="E1619" s="4" t="s">
        <v>2</v>
      </c>
      <c r="F1619" s="18">
        <v>2176</v>
      </c>
      <c r="G1619" s="18" t="s">
        <v>3271</v>
      </c>
      <c r="H1619" s="10" t="s">
        <v>2352</v>
      </c>
      <c r="I1619" s="3">
        <v>17</v>
      </c>
      <c r="J1619" s="3" t="s">
        <v>3271</v>
      </c>
      <c r="K1619" s="3"/>
      <c r="L1619" t="str">
        <f t="shared" si="25"/>
        <v/>
      </c>
      <c r="M1619">
        <f>VLOOKUP(F1619,Sheet2!$B$1:$E$19,2,FALSE)</f>
        <v>1073</v>
      </c>
      <c r="N1619">
        <f>VLOOKUP(F1619,Sheet2!$B$1:$E$19,3,FALSE)</f>
        <v>1108963</v>
      </c>
      <c r="O1619" t="str">
        <f>IF(G1619="Not available","",VLOOKUP(F1619,Sheet2!$B$1:$E$19,4,FALSE)+(G1619-1))</f>
        <v/>
      </c>
    </row>
    <row r="1620" spans="1:15" s="1" customFormat="1" ht="15" customHeight="1" x14ac:dyDescent="0.25">
      <c r="A1620" s="18" t="s">
        <v>198</v>
      </c>
      <c r="B1620" s="18" t="s">
        <v>625</v>
      </c>
      <c r="C1620" s="5">
        <v>1853</v>
      </c>
      <c r="D1620" s="1" t="s">
        <v>12</v>
      </c>
      <c r="E1620" s="1" t="s">
        <v>2</v>
      </c>
      <c r="F1620" s="18">
        <v>2164</v>
      </c>
      <c r="G1620" s="18">
        <v>91</v>
      </c>
      <c r="H1620" s="5">
        <v>89</v>
      </c>
      <c r="I1620" s="1">
        <v>128</v>
      </c>
      <c r="J1620" s="1" t="s">
        <v>3271</v>
      </c>
      <c r="L1620" t="str">
        <f t="shared" si="25"/>
        <v>http://www.badatelna.eu/reprodukce/?fondId=1073&amp;zaznamId=1108951&amp;reproId=3778805</v>
      </c>
      <c r="M1620">
        <f>VLOOKUP(F1620,Sheet2!$B$1:$E$19,2,FALSE)</f>
        <v>1073</v>
      </c>
      <c r="N1620">
        <f>VLOOKUP(F1620,Sheet2!$B$1:$E$19,3,FALSE)</f>
        <v>1108951</v>
      </c>
      <c r="O1620">
        <f>IF(G1620="Not available","",VLOOKUP(F1620,Sheet2!$B$1:$E$19,4,FALSE)+(G1620-1))</f>
        <v>3778805</v>
      </c>
    </row>
    <row r="1621" spans="1:15" s="1" customFormat="1" ht="15" customHeight="1" x14ac:dyDescent="0.25">
      <c r="A1621" s="18" t="s">
        <v>198</v>
      </c>
      <c r="B1621" s="18" t="s">
        <v>209</v>
      </c>
      <c r="C1621" s="5">
        <v>1810</v>
      </c>
      <c r="E1621" s="1" t="s">
        <v>2</v>
      </c>
      <c r="F1621" s="18">
        <v>2173</v>
      </c>
      <c r="G1621" s="18">
        <v>56</v>
      </c>
      <c r="H1621" s="5">
        <v>107</v>
      </c>
      <c r="I1621" s="1">
        <v>99</v>
      </c>
      <c r="J1621" s="1">
        <v>210</v>
      </c>
      <c r="L1621" t="str">
        <f t="shared" si="25"/>
        <v>http://www.badatelna.eu/reprodukce/?fondId=1073&amp;zaznamId=1108959&amp;reproId=3780049</v>
      </c>
      <c r="M1621">
        <f>VLOOKUP(F1621,Sheet2!$B$1:$E$19,2,FALSE)</f>
        <v>1073</v>
      </c>
      <c r="N1621">
        <f>VLOOKUP(F1621,Sheet2!$B$1:$E$19,3,FALSE)</f>
        <v>1108959</v>
      </c>
      <c r="O1621">
        <f>IF(G1621="Not available","",VLOOKUP(F1621,Sheet2!$B$1:$E$19,4,FALSE)+(G1621-1))</f>
        <v>3780049</v>
      </c>
    </row>
    <row r="1622" spans="1:15" s="1" customFormat="1" ht="15" customHeight="1" x14ac:dyDescent="0.25">
      <c r="A1622" s="18" t="s">
        <v>198</v>
      </c>
      <c r="B1622" s="18" t="s">
        <v>2066</v>
      </c>
      <c r="C1622" s="10" t="s">
        <v>2079</v>
      </c>
      <c r="D1622" s="3" t="s">
        <v>2050</v>
      </c>
      <c r="E1622" s="4" t="s">
        <v>2</v>
      </c>
      <c r="F1622" s="18">
        <v>2176</v>
      </c>
      <c r="G1622" s="18" t="s">
        <v>3271</v>
      </c>
      <c r="H1622" s="10" t="s">
        <v>1974</v>
      </c>
      <c r="I1622" s="3">
        <v>17</v>
      </c>
      <c r="J1622" s="3" t="s">
        <v>3271</v>
      </c>
      <c r="K1622" s="3"/>
      <c r="L1622" t="str">
        <f t="shared" si="25"/>
        <v/>
      </c>
      <c r="M1622">
        <f>VLOOKUP(F1622,Sheet2!$B$1:$E$19,2,FALSE)</f>
        <v>1073</v>
      </c>
      <c r="N1622">
        <f>VLOOKUP(F1622,Sheet2!$B$1:$E$19,3,FALSE)</f>
        <v>1108963</v>
      </c>
      <c r="O1622" t="str">
        <f>IF(G1622="Not available","",VLOOKUP(F1622,Sheet2!$B$1:$E$19,4,FALSE)+(G1622-1))</f>
        <v/>
      </c>
    </row>
    <row r="1623" spans="1:15" s="1" customFormat="1" ht="15" customHeight="1" x14ac:dyDescent="0.25">
      <c r="A1623" s="18" t="s">
        <v>198</v>
      </c>
      <c r="B1623" s="18" t="s">
        <v>2066</v>
      </c>
      <c r="C1623" s="10" t="s">
        <v>2095</v>
      </c>
      <c r="D1623" s="3" t="s">
        <v>2329</v>
      </c>
      <c r="E1623" s="4" t="s">
        <v>2</v>
      </c>
      <c r="F1623" s="18">
        <v>2176</v>
      </c>
      <c r="G1623" s="18" t="s">
        <v>3271</v>
      </c>
      <c r="H1623" s="10" t="s">
        <v>2094</v>
      </c>
      <c r="I1623" s="3">
        <v>17</v>
      </c>
      <c r="J1623" s="3" t="s">
        <v>3271</v>
      </c>
      <c r="K1623" s="3"/>
      <c r="L1623" t="str">
        <f t="shared" si="25"/>
        <v/>
      </c>
      <c r="M1623">
        <f>VLOOKUP(F1623,Sheet2!$B$1:$E$19,2,FALSE)</f>
        <v>1073</v>
      </c>
      <c r="N1623">
        <f>VLOOKUP(F1623,Sheet2!$B$1:$E$19,3,FALSE)</f>
        <v>1108963</v>
      </c>
      <c r="O1623" t="str">
        <f>IF(G1623="Not available","",VLOOKUP(F1623,Sheet2!$B$1:$E$19,4,FALSE)+(G1623-1))</f>
        <v/>
      </c>
    </row>
    <row r="1624" spans="1:15" s="1" customFormat="1" ht="15" customHeight="1" x14ac:dyDescent="0.25">
      <c r="A1624" s="18" t="s">
        <v>198</v>
      </c>
      <c r="B1624" s="18" t="s">
        <v>1214</v>
      </c>
      <c r="C1624" s="14" t="s">
        <v>2095</v>
      </c>
      <c r="D1624" s="1" t="s">
        <v>1193</v>
      </c>
      <c r="E1624" s="1" t="s">
        <v>2</v>
      </c>
      <c r="F1624" s="18">
        <v>2165</v>
      </c>
      <c r="G1624" s="18">
        <v>289</v>
      </c>
      <c r="H1624" s="5">
        <v>2</v>
      </c>
      <c r="I1624" s="1">
        <v>286</v>
      </c>
      <c r="J1624" s="1">
        <v>260</v>
      </c>
      <c r="L1624" t="str">
        <f t="shared" si="25"/>
        <v>http://www.badatelna.eu/reprodukce/?fondId=1073&amp;zaznamId=1108952&amp;reproId=3779150</v>
      </c>
      <c r="M1624">
        <f>VLOOKUP(F1624,Sheet2!$B$1:$E$19,2,FALSE)</f>
        <v>1073</v>
      </c>
      <c r="N1624">
        <f>VLOOKUP(F1624,Sheet2!$B$1:$E$19,3,FALSE)</f>
        <v>1108952</v>
      </c>
      <c r="O1624">
        <f>IF(G1624="Not available","",VLOOKUP(F1624,Sheet2!$B$1:$E$19,4,FALSE)+(G1624-1))</f>
        <v>3779150</v>
      </c>
    </row>
    <row r="1625" spans="1:15" s="1" customFormat="1" ht="15" customHeight="1" x14ac:dyDescent="0.25">
      <c r="A1625" s="18" t="s">
        <v>198</v>
      </c>
      <c r="B1625" s="18" t="s">
        <v>19</v>
      </c>
      <c r="C1625" s="5">
        <v>1810</v>
      </c>
      <c r="E1625" s="1" t="s">
        <v>2</v>
      </c>
      <c r="F1625" s="18">
        <v>2173</v>
      </c>
      <c r="G1625" s="18">
        <v>57</v>
      </c>
      <c r="H1625" s="5">
        <v>109</v>
      </c>
      <c r="I1625" s="1">
        <v>99</v>
      </c>
      <c r="J1625" s="1">
        <v>210</v>
      </c>
      <c r="L1625" t="str">
        <f t="shared" si="25"/>
        <v>http://www.badatelna.eu/reprodukce/?fondId=1073&amp;zaznamId=1108959&amp;reproId=3780050</v>
      </c>
      <c r="M1625">
        <f>VLOOKUP(F1625,Sheet2!$B$1:$E$19,2,FALSE)</f>
        <v>1073</v>
      </c>
      <c r="N1625">
        <f>VLOOKUP(F1625,Sheet2!$B$1:$E$19,3,FALSE)</f>
        <v>1108959</v>
      </c>
      <c r="O1625">
        <f>IF(G1625="Not available","",VLOOKUP(F1625,Sheet2!$B$1:$E$19,4,FALSE)+(G1625-1))</f>
        <v>3780050</v>
      </c>
    </row>
    <row r="1626" spans="1:15" s="1" customFormat="1" ht="15" customHeight="1" x14ac:dyDescent="0.25">
      <c r="A1626" s="18" t="s">
        <v>198</v>
      </c>
      <c r="B1626" s="18" t="s">
        <v>19</v>
      </c>
      <c r="C1626" s="5">
        <v>1817</v>
      </c>
      <c r="E1626" s="1" t="s">
        <v>2</v>
      </c>
      <c r="F1626" s="18">
        <v>2173</v>
      </c>
      <c r="G1626" s="18">
        <v>68</v>
      </c>
      <c r="H1626" s="5">
        <v>128</v>
      </c>
      <c r="I1626" s="1">
        <v>99</v>
      </c>
      <c r="J1626" s="1">
        <v>210</v>
      </c>
      <c r="L1626" t="str">
        <f t="shared" si="25"/>
        <v>http://www.badatelna.eu/reprodukce/?fondId=1073&amp;zaznamId=1108959&amp;reproId=3780061</v>
      </c>
      <c r="M1626">
        <f>VLOOKUP(F1626,Sheet2!$B$1:$E$19,2,FALSE)</f>
        <v>1073</v>
      </c>
      <c r="N1626">
        <f>VLOOKUP(F1626,Sheet2!$B$1:$E$19,3,FALSE)</f>
        <v>1108959</v>
      </c>
      <c r="O1626">
        <f>IF(G1626="Not available","",VLOOKUP(F1626,Sheet2!$B$1:$E$19,4,FALSE)+(G1626-1))</f>
        <v>3780061</v>
      </c>
    </row>
    <row r="1627" spans="1:15" s="1" customFormat="1" ht="15" customHeight="1" x14ac:dyDescent="0.25">
      <c r="A1627" s="18" t="s">
        <v>198</v>
      </c>
      <c r="B1627" s="18" t="s">
        <v>2077</v>
      </c>
      <c r="C1627" s="10" t="s">
        <v>2273</v>
      </c>
      <c r="D1627" s="3" t="s">
        <v>2368</v>
      </c>
      <c r="E1627" s="4" t="s">
        <v>2</v>
      </c>
      <c r="F1627" s="18">
        <v>2176</v>
      </c>
      <c r="G1627" s="18" t="s">
        <v>3271</v>
      </c>
      <c r="H1627" s="10" t="s">
        <v>1955</v>
      </c>
      <c r="I1627" s="3">
        <v>18</v>
      </c>
      <c r="J1627" s="3" t="s">
        <v>3271</v>
      </c>
      <c r="K1627" s="3"/>
      <c r="L1627" t="str">
        <f t="shared" si="25"/>
        <v/>
      </c>
      <c r="M1627">
        <f>VLOOKUP(F1627,Sheet2!$B$1:$E$19,2,FALSE)</f>
        <v>1073</v>
      </c>
      <c r="N1627">
        <f>VLOOKUP(F1627,Sheet2!$B$1:$E$19,3,FALSE)</f>
        <v>1108963</v>
      </c>
      <c r="O1627" t="str">
        <f>IF(G1627="Not available","",VLOOKUP(F1627,Sheet2!$B$1:$E$19,4,FALSE)+(G1627-1))</f>
        <v/>
      </c>
    </row>
    <row r="1628" spans="1:15" s="1" customFormat="1" ht="15" customHeight="1" x14ac:dyDescent="0.25">
      <c r="A1628" s="18" t="s">
        <v>198</v>
      </c>
      <c r="B1628" s="18" t="s">
        <v>432</v>
      </c>
      <c r="C1628" s="5">
        <v>1865</v>
      </c>
      <c r="E1628" s="1" t="s">
        <v>939</v>
      </c>
      <c r="F1628" s="18">
        <v>999</v>
      </c>
      <c r="G1628" s="18">
        <v>52</v>
      </c>
      <c r="H1628" s="5">
        <v>50</v>
      </c>
      <c r="I1628" s="1">
        <v>67</v>
      </c>
      <c r="J1628" s="1">
        <v>101</v>
      </c>
      <c r="L1628" t="str">
        <f t="shared" si="25"/>
        <v>http://www.badatelna.eu/reprodukce/?fondId=241&amp;zaznamId=1133739&amp;reproId=3885781</v>
      </c>
      <c r="M1628">
        <f>VLOOKUP(F1628,Sheet2!$B$1:$E$19,2,FALSE)</f>
        <v>241</v>
      </c>
      <c r="N1628">
        <f>VLOOKUP(F1628,Sheet2!$B$1:$E$19,3,FALSE)</f>
        <v>1133739</v>
      </c>
      <c r="O1628">
        <f>IF(G1628="Not available","",VLOOKUP(F1628,Sheet2!$B$1:$E$19,4,FALSE)+(G1628-1))</f>
        <v>3885781</v>
      </c>
    </row>
    <row r="1629" spans="1:15" s="1" customFormat="1" ht="15" customHeight="1" x14ac:dyDescent="0.25">
      <c r="A1629" s="18" t="s">
        <v>198</v>
      </c>
      <c r="B1629" s="18" t="s">
        <v>856</v>
      </c>
      <c r="C1629" s="5">
        <v>1851</v>
      </c>
      <c r="D1629" s="1" t="s">
        <v>12</v>
      </c>
      <c r="E1629" s="1" t="s">
        <v>2</v>
      </c>
      <c r="F1629" s="18">
        <v>2164</v>
      </c>
      <c r="G1629" s="18">
        <v>76</v>
      </c>
      <c r="H1629" s="5">
        <v>74</v>
      </c>
      <c r="I1629" s="1">
        <v>128</v>
      </c>
      <c r="J1629" s="1" t="s">
        <v>3271</v>
      </c>
      <c r="L1629" t="str">
        <f t="shared" si="25"/>
        <v>http://www.badatelna.eu/reprodukce/?fondId=1073&amp;zaznamId=1108951&amp;reproId=3778790</v>
      </c>
      <c r="M1629">
        <f>VLOOKUP(F1629,Sheet2!$B$1:$E$19,2,FALSE)</f>
        <v>1073</v>
      </c>
      <c r="N1629">
        <f>VLOOKUP(F1629,Sheet2!$B$1:$E$19,3,FALSE)</f>
        <v>1108951</v>
      </c>
      <c r="O1629">
        <f>IF(G1629="Not available","",VLOOKUP(F1629,Sheet2!$B$1:$E$19,4,FALSE)+(G1629-1))</f>
        <v>3778790</v>
      </c>
    </row>
    <row r="1630" spans="1:15" s="1" customFormat="1" ht="15" customHeight="1" x14ac:dyDescent="0.25">
      <c r="A1630" s="18" t="s">
        <v>198</v>
      </c>
      <c r="B1630" s="18" t="s">
        <v>214</v>
      </c>
      <c r="C1630" s="10" t="s">
        <v>2026</v>
      </c>
      <c r="D1630" s="3" t="s">
        <v>2305</v>
      </c>
      <c r="E1630" s="4" t="s">
        <v>2</v>
      </c>
      <c r="F1630" s="18">
        <v>2176</v>
      </c>
      <c r="G1630" s="18" t="s">
        <v>3271</v>
      </c>
      <c r="H1630" s="10" t="s">
        <v>2088</v>
      </c>
      <c r="I1630" s="3">
        <v>16</v>
      </c>
      <c r="J1630" s="3" t="s">
        <v>3271</v>
      </c>
      <c r="K1630" s="3"/>
      <c r="L1630" t="str">
        <f t="shared" si="25"/>
        <v/>
      </c>
      <c r="M1630">
        <f>VLOOKUP(F1630,Sheet2!$B$1:$E$19,2,FALSE)</f>
        <v>1073</v>
      </c>
      <c r="N1630">
        <f>VLOOKUP(F1630,Sheet2!$B$1:$E$19,3,FALSE)</f>
        <v>1108963</v>
      </c>
      <c r="O1630" t="str">
        <f>IF(G1630="Not available","",VLOOKUP(F1630,Sheet2!$B$1:$E$19,4,FALSE)+(G1630-1))</f>
        <v/>
      </c>
    </row>
    <row r="1631" spans="1:15" s="1" customFormat="1" ht="15" customHeight="1" x14ac:dyDescent="0.25">
      <c r="A1631" s="18" t="s">
        <v>198</v>
      </c>
      <c r="B1631" s="18" t="s">
        <v>1074</v>
      </c>
      <c r="C1631" s="5" t="s">
        <v>1723</v>
      </c>
      <c r="D1631" s="1" t="s">
        <v>1118</v>
      </c>
      <c r="E1631" s="1" t="s">
        <v>2</v>
      </c>
      <c r="F1631" s="18">
        <v>2165</v>
      </c>
      <c r="G1631" s="18">
        <v>165</v>
      </c>
      <c r="H1631" s="5">
        <v>1</v>
      </c>
      <c r="I1631" s="1">
        <v>170</v>
      </c>
      <c r="J1631" s="1">
        <v>148</v>
      </c>
      <c r="L1631" t="str">
        <f t="shared" si="25"/>
        <v>http://www.badatelna.eu/reprodukce/?fondId=1073&amp;zaznamId=1108952&amp;reproId=3779026</v>
      </c>
      <c r="M1631">
        <f>VLOOKUP(F1631,Sheet2!$B$1:$E$19,2,FALSE)</f>
        <v>1073</v>
      </c>
      <c r="N1631">
        <f>VLOOKUP(F1631,Sheet2!$B$1:$E$19,3,FALSE)</f>
        <v>1108952</v>
      </c>
      <c r="O1631">
        <f>IF(G1631="Not available","",VLOOKUP(F1631,Sheet2!$B$1:$E$19,4,FALSE)+(G1631-1))</f>
        <v>3779026</v>
      </c>
    </row>
    <row r="1632" spans="1:15" s="1" customFormat="1" ht="15" customHeight="1" x14ac:dyDescent="0.25">
      <c r="A1632" s="18" t="s">
        <v>198</v>
      </c>
      <c r="B1632" s="18" t="s">
        <v>857</v>
      </c>
      <c r="C1632" s="5">
        <v>1855</v>
      </c>
      <c r="D1632" s="1" t="s">
        <v>65</v>
      </c>
      <c r="E1632" s="1" t="s">
        <v>2</v>
      </c>
      <c r="F1632" s="18">
        <v>2164</v>
      </c>
      <c r="G1632" s="18">
        <v>107</v>
      </c>
      <c r="H1632" s="5">
        <v>105</v>
      </c>
      <c r="I1632" s="1">
        <v>128</v>
      </c>
      <c r="J1632" s="1" t="s">
        <v>3271</v>
      </c>
      <c r="L1632" t="str">
        <f t="shared" si="25"/>
        <v>http://www.badatelna.eu/reprodukce/?fondId=1073&amp;zaznamId=1108951&amp;reproId=3778821</v>
      </c>
      <c r="M1632">
        <f>VLOOKUP(F1632,Sheet2!$B$1:$E$19,2,FALSE)</f>
        <v>1073</v>
      </c>
      <c r="N1632">
        <f>VLOOKUP(F1632,Sheet2!$B$1:$E$19,3,FALSE)</f>
        <v>1108951</v>
      </c>
      <c r="O1632">
        <f>IF(G1632="Not available","",VLOOKUP(F1632,Sheet2!$B$1:$E$19,4,FALSE)+(G1632-1))</f>
        <v>3778821</v>
      </c>
    </row>
    <row r="1633" spans="1:15" s="1" customFormat="1" ht="15" customHeight="1" x14ac:dyDescent="0.25">
      <c r="A1633" s="18" t="s">
        <v>198</v>
      </c>
      <c r="B1633" s="18" t="s">
        <v>422</v>
      </c>
      <c r="C1633" s="5" t="s">
        <v>1428</v>
      </c>
      <c r="D1633" s="1" t="s">
        <v>998</v>
      </c>
      <c r="E1633" s="1" t="s">
        <v>2</v>
      </c>
      <c r="F1633" s="18">
        <v>2165</v>
      </c>
      <c r="G1633" s="18">
        <v>59</v>
      </c>
      <c r="H1633" s="5">
        <v>56</v>
      </c>
      <c r="I1633" s="1">
        <v>83</v>
      </c>
      <c r="J1633" s="1" t="s">
        <v>3271</v>
      </c>
      <c r="L1633" t="str">
        <f t="shared" si="25"/>
        <v>http://www.badatelna.eu/reprodukce/?fondId=1073&amp;zaznamId=1108952&amp;reproId=3778920</v>
      </c>
      <c r="M1633">
        <f>VLOOKUP(F1633,Sheet2!$B$1:$E$19,2,FALSE)</f>
        <v>1073</v>
      </c>
      <c r="N1633">
        <f>VLOOKUP(F1633,Sheet2!$B$1:$E$19,3,FALSE)</f>
        <v>1108952</v>
      </c>
      <c r="O1633">
        <f>IF(G1633="Not available","",VLOOKUP(F1633,Sheet2!$B$1:$E$19,4,FALSE)+(G1633-1))</f>
        <v>3778920</v>
      </c>
    </row>
    <row r="1634" spans="1:15" s="1" customFormat="1" ht="15" customHeight="1" x14ac:dyDescent="0.25">
      <c r="A1634" s="18" t="s">
        <v>198</v>
      </c>
      <c r="B1634" s="18" t="s">
        <v>13</v>
      </c>
      <c r="C1634" s="5">
        <v>1815</v>
      </c>
      <c r="E1634" s="1" t="s">
        <v>2</v>
      </c>
      <c r="F1634" s="18">
        <v>2173</v>
      </c>
      <c r="G1634" s="18">
        <v>64</v>
      </c>
      <c r="H1634" s="5">
        <v>123</v>
      </c>
      <c r="I1634" s="1">
        <v>99</v>
      </c>
      <c r="J1634" s="1">
        <v>210</v>
      </c>
      <c r="L1634" t="str">
        <f t="shared" si="25"/>
        <v>http://www.badatelna.eu/reprodukce/?fondId=1073&amp;zaznamId=1108959&amp;reproId=3780057</v>
      </c>
      <c r="M1634">
        <f>VLOOKUP(F1634,Sheet2!$B$1:$E$19,2,FALSE)</f>
        <v>1073</v>
      </c>
      <c r="N1634">
        <f>VLOOKUP(F1634,Sheet2!$B$1:$E$19,3,FALSE)</f>
        <v>1108959</v>
      </c>
      <c r="O1634">
        <f>IF(G1634="Not available","",VLOOKUP(F1634,Sheet2!$B$1:$E$19,4,FALSE)+(G1634-1))</f>
        <v>3780057</v>
      </c>
    </row>
    <row r="1635" spans="1:15" s="1" customFormat="1" ht="15" customHeight="1" x14ac:dyDescent="0.25">
      <c r="A1635" s="18" t="s">
        <v>198</v>
      </c>
      <c r="B1635" s="18" t="s">
        <v>100</v>
      </c>
      <c r="C1635" s="5">
        <v>1795</v>
      </c>
      <c r="E1635" s="1" t="s">
        <v>2</v>
      </c>
      <c r="F1635" s="18">
        <v>2173</v>
      </c>
      <c r="G1635" s="18">
        <v>32</v>
      </c>
      <c r="H1635" s="5">
        <v>59</v>
      </c>
      <c r="I1635" s="1">
        <v>98</v>
      </c>
      <c r="J1635" s="1">
        <v>209</v>
      </c>
      <c r="L1635" t="str">
        <f t="shared" si="25"/>
        <v>http://www.badatelna.eu/reprodukce/?fondId=1073&amp;zaznamId=1108959&amp;reproId=3780025</v>
      </c>
      <c r="M1635">
        <f>VLOOKUP(F1635,Sheet2!$B$1:$E$19,2,FALSE)</f>
        <v>1073</v>
      </c>
      <c r="N1635">
        <f>VLOOKUP(F1635,Sheet2!$B$1:$E$19,3,FALSE)</f>
        <v>1108959</v>
      </c>
      <c r="O1635">
        <f>IF(G1635="Not available","",VLOOKUP(F1635,Sheet2!$B$1:$E$19,4,FALSE)+(G1635-1))</f>
        <v>3780025</v>
      </c>
    </row>
    <row r="1636" spans="1:15" s="1" customFormat="1" ht="15" customHeight="1" x14ac:dyDescent="0.25">
      <c r="A1636" s="18" t="s">
        <v>198</v>
      </c>
      <c r="B1636" s="18" t="s">
        <v>834</v>
      </c>
      <c r="C1636" s="10" t="s">
        <v>2110</v>
      </c>
      <c r="D1636" s="3" t="s">
        <v>2350</v>
      </c>
      <c r="E1636" s="4" t="s">
        <v>2</v>
      </c>
      <c r="F1636" s="18">
        <v>2176</v>
      </c>
      <c r="G1636" s="18" t="s">
        <v>3271</v>
      </c>
      <c r="H1636" s="10" t="s">
        <v>2083</v>
      </c>
      <c r="I1636" s="3">
        <v>17</v>
      </c>
      <c r="J1636" s="3" t="s">
        <v>3271</v>
      </c>
      <c r="K1636" s="3"/>
      <c r="L1636" t="str">
        <f t="shared" si="25"/>
        <v/>
      </c>
      <c r="M1636">
        <f>VLOOKUP(F1636,Sheet2!$B$1:$E$19,2,FALSE)</f>
        <v>1073</v>
      </c>
      <c r="N1636">
        <f>VLOOKUP(F1636,Sheet2!$B$1:$E$19,3,FALSE)</f>
        <v>1108963</v>
      </c>
      <c r="O1636" t="str">
        <f>IF(G1636="Not available","",VLOOKUP(F1636,Sheet2!$B$1:$E$19,4,FALSE)+(G1636-1))</f>
        <v/>
      </c>
    </row>
    <row r="1637" spans="1:15" s="1" customFormat="1" ht="15" customHeight="1" x14ac:dyDescent="0.25">
      <c r="A1637" s="18" t="s">
        <v>198</v>
      </c>
      <c r="B1637" s="18" t="s">
        <v>1121</v>
      </c>
      <c r="C1637" s="10" t="s">
        <v>1952</v>
      </c>
      <c r="D1637" s="3" t="s">
        <v>2329</v>
      </c>
      <c r="E1637" s="4" t="s">
        <v>2</v>
      </c>
      <c r="F1637" s="18">
        <v>2176</v>
      </c>
      <c r="G1637" s="18" t="s">
        <v>3271</v>
      </c>
      <c r="H1637" s="10" t="s">
        <v>2031</v>
      </c>
      <c r="I1637" s="3">
        <v>17</v>
      </c>
      <c r="J1637" s="3" t="s">
        <v>3271</v>
      </c>
      <c r="K1637" s="3"/>
      <c r="L1637" t="str">
        <f t="shared" si="25"/>
        <v/>
      </c>
      <c r="M1637">
        <f>VLOOKUP(F1637,Sheet2!$B$1:$E$19,2,FALSE)</f>
        <v>1073</v>
      </c>
      <c r="N1637">
        <f>VLOOKUP(F1637,Sheet2!$B$1:$E$19,3,FALSE)</f>
        <v>1108963</v>
      </c>
      <c r="O1637" t="str">
        <f>IF(G1637="Not available","",VLOOKUP(F1637,Sheet2!$B$1:$E$19,4,FALSE)+(G1637-1))</f>
        <v/>
      </c>
    </row>
    <row r="1638" spans="1:15" s="1" customFormat="1" ht="15" customHeight="1" x14ac:dyDescent="0.25">
      <c r="A1638" s="18" t="s">
        <v>198</v>
      </c>
      <c r="B1638" s="18" t="s">
        <v>1121</v>
      </c>
      <c r="C1638" s="5" t="s">
        <v>1839</v>
      </c>
      <c r="D1638" s="1" t="s">
        <v>1193</v>
      </c>
      <c r="E1638" s="1" t="s">
        <v>2</v>
      </c>
      <c r="F1638" s="18">
        <v>2165</v>
      </c>
      <c r="G1638" s="18">
        <v>256</v>
      </c>
      <c r="H1638" s="5">
        <v>3</v>
      </c>
      <c r="I1638" s="1">
        <v>252</v>
      </c>
      <c r="J1638" s="1">
        <v>228</v>
      </c>
      <c r="L1638" t="str">
        <f t="shared" si="25"/>
        <v>http://www.badatelna.eu/reprodukce/?fondId=1073&amp;zaznamId=1108952&amp;reproId=3779117</v>
      </c>
      <c r="M1638">
        <f>VLOOKUP(F1638,Sheet2!$B$1:$E$19,2,FALSE)</f>
        <v>1073</v>
      </c>
      <c r="N1638">
        <f>VLOOKUP(F1638,Sheet2!$B$1:$E$19,3,FALSE)</f>
        <v>1108952</v>
      </c>
      <c r="O1638">
        <f>IF(G1638="Not available","",VLOOKUP(F1638,Sheet2!$B$1:$E$19,4,FALSE)+(G1638-1))</f>
        <v>3779117</v>
      </c>
    </row>
    <row r="1639" spans="1:15" s="1" customFormat="1" ht="15" customHeight="1" x14ac:dyDescent="0.25">
      <c r="A1639" s="18" t="s">
        <v>198</v>
      </c>
      <c r="B1639" s="18" t="s">
        <v>1078</v>
      </c>
      <c r="C1639" s="10" t="s">
        <v>2015</v>
      </c>
      <c r="D1639" s="3" t="s">
        <v>2293</v>
      </c>
      <c r="E1639" s="4" t="s">
        <v>2</v>
      </c>
      <c r="F1639" s="18">
        <v>2176</v>
      </c>
      <c r="G1639" s="18" t="s">
        <v>3271</v>
      </c>
      <c r="H1639" s="10" t="s">
        <v>2142</v>
      </c>
      <c r="I1639" s="3">
        <v>16</v>
      </c>
      <c r="J1639" s="3" t="s">
        <v>3271</v>
      </c>
      <c r="K1639" s="3"/>
      <c r="L1639" t="str">
        <f t="shared" si="25"/>
        <v/>
      </c>
      <c r="M1639">
        <f>VLOOKUP(F1639,Sheet2!$B$1:$E$19,2,FALSE)</f>
        <v>1073</v>
      </c>
      <c r="N1639">
        <f>VLOOKUP(F1639,Sheet2!$B$1:$E$19,3,FALSE)</f>
        <v>1108963</v>
      </c>
      <c r="O1639" t="str">
        <f>IF(G1639="Not available","",VLOOKUP(F1639,Sheet2!$B$1:$E$19,4,FALSE)+(G1639-1))</f>
        <v/>
      </c>
    </row>
    <row r="1640" spans="1:15" s="1" customFormat="1" ht="15" customHeight="1" x14ac:dyDescent="0.25">
      <c r="A1640" s="18" t="s">
        <v>198</v>
      </c>
      <c r="B1640" s="18" t="s">
        <v>1014</v>
      </c>
      <c r="C1640" s="5" t="s">
        <v>1433</v>
      </c>
      <c r="D1640" s="1" t="s">
        <v>998</v>
      </c>
      <c r="E1640" s="1" t="s">
        <v>2</v>
      </c>
      <c r="F1640" s="18">
        <v>2165</v>
      </c>
      <c r="G1640" s="18">
        <v>67</v>
      </c>
      <c r="H1640" s="5">
        <v>64</v>
      </c>
      <c r="I1640" s="1">
        <v>83</v>
      </c>
      <c r="J1640" s="1" t="s">
        <v>3271</v>
      </c>
      <c r="L1640" t="str">
        <f t="shared" si="25"/>
        <v>http://www.badatelna.eu/reprodukce/?fondId=1073&amp;zaznamId=1108952&amp;reproId=3778928</v>
      </c>
      <c r="M1640">
        <f>VLOOKUP(F1640,Sheet2!$B$1:$E$19,2,FALSE)</f>
        <v>1073</v>
      </c>
      <c r="N1640">
        <f>VLOOKUP(F1640,Sheet2!$B$1:$E$19,3,FALSE)</f>
        <v>1108952</v>
      </c>
      <c r="O1640">
        <f>IF(G1640="Not available","",VLOOKUP(F1640,Sheet2!$B$1:$E$19,4,FALSE)+(G1640-1))</f>
        <v>3778928</v>
      </c>
    </row>
    <row r="1641" spans="1:15" s="1" customFormat="1" ht="15" customHeight="1" x14ac:dyDescent="0.25">
      <c r="A1641" s="18" t="s">
        <v>198</v>
      </c>
      <c r="B1641" s="18" t="s">
        <v>398</v>
      </c>
      <c r="C1641" s="5">
        <v>1858</v>
      </c>
      <c r="E1641" s="1" t="s">
        <v>939</v>
      </c>
      <c r="F1641" s="18">
        <v>999</v>
      </c>
      <c r="G1641" s="18">
        <v>10</v>
      </c>
      <c r="H1641" s="5">
        <v>8</v>
      </c>
      <c r="I1641" s="1">
        <v>67</v>
      </c>
      <c r="J1641" s="1">
        <v>101</v>
      </c>
      <c r="L1641" t="str">
        <f t="shared" si="25"/>
        <v>http://www.badatelna.eu/reprodukce/?fondId=241&amp;zaznamId=1133739&amp;reproId=3885739</v>
      </c>
      <c r="M1641">
        <f>VLOOKUP(F1641,Sheet2!$B$1:$E$19,2,FALSE)</f>
        <v>241</v>
      </c>
      <c r="N1641">
        <f>VLOOKUP(F1641,Sheet2!$B$1:$E$19,3,FALSE)</f>
        <v>1133739</v>
      </c>
      <c r="O1641">
        <f>IF(G1641="Not available","",VLOOKUP(F1641,Sheet2!$B$1:$E$19,4,FALSE)+(G1641-1))</f>
        <v>3885739</v>
      </c>
    </row>
    <row r="1642" spans="1:15" s="1" customFormat="1" ht="15" customHeight="1" x14ac:dyDescent="0.25">
      <c r="A1642" s="18" t="s">
        <v>198</v>
      </c>
      <c r="B1642" s="18" t="s">
        <v>398</v>
      </c>
      <c r="C1642" s="5">
        <v>1866</v>
      </c>
      <c r="E1642" s="1" t="s">
        <v>939</v>
      </c>
      <c r="F1642" s="18">
        <v>999</v>
      </c>
      <c r="G1642" s="18">
        <v>60</v>
      </c>
      <c r="H1642" s="5">
        <v>58</v>
      </c>
      <c r="I1642" s="1">
        <v>67</v>
      </c>
      <c r="J1642" s="1">
        <v>101</v>
      </c>
      <c r="L1642" t="str">
        <f t="shared" si="25"/>
        <v>http://www.badatelna.eu/reprodukce/?fondId=241&amp;zaznamId=1133739&amp;reproId=3885789</v>
      </c>
      <c r="M1642">
        <f>VLOOKUP(F1642,Sheet2!$B$1:$E$19,2,FALSE)</f>
        <v>241</v>
      </c>
      <c r="N1642">
        <f>VLOOKUP(F1642,Sheet2!$B$1:$E$19,3,FALSE)</f>
        <v>1133739</v>
      </c>
      <c r="O1642">
        <f>IF(G1642="Not available","",VLOOKUP(F1642,Sheet2!$B$1:$E$19,4,FALSE)+(G1642-1))</f>
        <v>3885789</v>
      </c>
    </row>
    <row r="1643" spans="1:15" s="1" customFormat="1" ht="15" customHeight="1" x14ac:dyDescent="0.25">
      <c r="A1643" s="18" t="s">
        <v>198</v>
      </c>
      <c r="B1643" s="18" t="s">
        <v>398</v>
      </c>
      <c r="C1643" s="10" t="s">
        <v>2005</v>
      </c>
      <c r="D1643" s="3" t="s">
        <v>2289</v>
      </c>
      <c r="E1643" s="4" t="s">
        <v>2</v>
      </c>
      <c r="F1643" s="18">
        <v>2176</v>
      </c>
      <c r="G1643" s="18" t="s">
        <v>3271</v>
      </c>
      <c r="H1643" s="10" t="s">
        <v>2091</v>
      </c>
      <c r="I1643" s="3">
        <v>16</v>
      </c>
      <c r="J1643" s="3" t="s">
        <v>3271</v>
      </c>
      <c r="L1643" t="str">
        <f t="shared" si="25"/>
        <v/>
      </c>
      <c r="M1643">
        <f>VLOOKUP(F1643,Sheet2!$B$1:$E$19,2,FALSE)</f>
        <v>1073</v>
      </c>
      <c r="N1643">
        <f>VLOOKUP(F1643,Sheet2!$B$1:$E$19,3,FALSE)</f>
        <v>1108963</v>
      </c>
      <c r="O1643" t="str">
        <f>IF(G1643="Not available","",VLOOKUP(F1643,Sheet2!$B$1:$E$19,4,FALSE)+(G1643-1))</f>
        <v/>
      </c>
    </row>
    <row r="1644" spans="1:15" s="1" customFormat="1" ht="15" customHeight="1" x14ac:dyDescent="0.25">
      <c r="A1644" s="18" t="s">
        <v>198</v>
      </c>
      <c r="B1644" s="18" t="s">
        <v>398</v>
      </c>
      <c r="C1644" s="5" t="s">
        <v>1397</v>
      </c>
      <c r="D1644" s="1" t="s">
        <v>428</v>
      </c>
      <c r="E1644" s="1" t="s">
        <v>2</v>
      </c>
      <c r="F1644" s="18">
        <v>2165</v>
      </c>
      <c r="G1644" s="18">
        <v>15</v>
      </c>
      <c r="H1644" s="5">
        <v>12</v>
      </c>
      <c r="I1644" s="1">
        <v>82</v>
      </c>
      <c r="J1644" s="1" t="s">
        <v>3271</v>
      </c>
      <c r="L1644" t="str">
        <f t="shared" si="25"/>
        <v>http://www.badatelna.eu/reprodukce/?fondId=1073&amp;zaznamId=1108952&amp;reproId=3778876</v>
      </c>
      <c r="M1644">
        <f>VLOOKUP(F1644,Sheet2!$B$1:$E$19,2,FALSE)</f>
        <v>1073</v>
      </c>
      <c r="N1644">
        <f>VLOOKUP(F1644,Sheet2!$B$1:$E$19,3,FALSE)</f>
        <v>1108952</v>
      </c>
      <c r="O1644">
        <f>IF(G1644="Not available","",VLOOKUP(F1644,Sheet2!$B$1:$E$19,4,FALSE)+(G1644-1))</f>
        <v>3778876</v>
      </c>
    </row>
    <row r="1645" spans="1:15" s="1" customFormat="1" ht="15" customHeight="1" x14ac:dyDescent="0.25">
      <c r="A1645" s="18" t="s">
        <v>198</v>
      </c>
      <c r="B1645" s="18" t="s">
        <v>949</v>
      </c>
      <c r="C1645" s="5">
        <v>1859</v>
      </c>
      <c r="E1645" s="1" t="s">
        <v>939</v>
      </c>
      <c r="F1645" s="18">
        <v>999</v>
      </c>
      <c r="G1645" s="18">
        <v>12</v>
      </c>
      <c r="H1645" s="5">
        <v>10</v>
      </c>
      <c r="I1645" s="1">
        <v>67</v>
      </c>
      <c r="J1645" s="1">
        <v>101</v>
      </c>
      <c r="L1645" t="str">
        <f t="shared" si="25"/>
        <v>http://www.badatelna.eu/reprodukce/?fondId=241&amp;zaznamId=1133739&amp;reproId=3885741</v>
      </c>
      <c r="M1645">
        <f>VLOOKUP(F1645,Sheet2!$B$1:$E$19,2,FALSE)</f>
        <v>241</v>
      </c>
      <c r="N1645">
        <f>VLOOKUP(F1645,Sheet2!$B$1:$E$19,3,FALSE)</f>
        <v>1133739</v>
      </c>
      <c r="O1645">
        <f>IF(G1645="Not available","",VLOOKUP(F1645,Sheet2!$B$1:$E$19,4,FALSE)+(G1645-1))</f>
        <v>3885741</v>
      </c>
    </row>
    <row r="1646" spans="1:15" s="1" customFormat="1" ht="15" customHeight="1" x14ac:dyDescent="0.25">
      <c r="A1646" s="18" t="s">
        <v>198</v>
      </c>
      <c r="B1646" s="18" t="s">
        <v>1113</v>
      </c>
      <c r="C1646" s="10" t="s">
        <v>2072</v>
      </c>
      <c r="D1646" s="3" t="s">
        <v>2326</v>
      </c>
      <c r="E1646" s="4" t="s">
        <v>2</v>
      </c>
      <c r="F1646" s="18">
        <v>2176</v>
      </c>
      <c r="G1646" s="18" t="s">
        <v>3271</v>
      </c>
      <c r="H1646" s="10" t="s">
        <v>2142</v>
      </c>
      <c r="I1646" s="3">
        <v>17</v>
      </c>
      <c r="J1646" s="3" t="s">
        <v>3271</v>
      </c>
      <c r="K1646" s="3"/>
      <c r="L1646" t="str">
        <f t="shared" si="25"/>
        <v/>
      </c>
      <c r="M1646">
        <f>VLOOKUP(F1646,Sheet2!$B$1:$E$19,2,FALSE)</f>
        <v>1073</v>
      </c>
      <c r="N1646">
        <f>VLOOKUP(F1646,Sheet2!$B$1:$E$19,3,FALSE)</f>
        <v>1108963</v>
      </c>
      <c r="O1646" t="str">
        <f>IF(G1646="Not available","",VLOOKUP(F1646,Sheet2!$B$1:$E$19,4,FALSE)+(G1646-1))</f>
        <v/>
      </c>
    </row>
    <row r="1647" spans="1:15" s="1" customFormat="1" ht="15" customHeight="1" x14ac:dyDescent="0.25">
      <c r="A1647" s="18" t="s">
        <v>198</v>
      </c>
      <c r="B1647" s="18" t="s">
        <v>1113</v>
      </c>
      <c r="C1647" s="5" t="s">
        <v>1750</v>
      </c>
      <c r="D1647" s="1" t="s">
        <v>1199</v>
      </c>
      <c r="E1647" s="1" t="s">
        <v>2</v>
      </c>
      <c r="F1647" s="18">
        <v>2165</v>
      </c>
      <c r="G1647" s="18">
        <v>228</v>
      </c>
      <c r="H1647" s="5">
        <v>1</v>
      </c>
      <c r="I1647" s="1">
        <v>231</v>
      </c>
      <c r="J1647" s="1">
        <v>207</v>
      </c>
      <c r="L1647" t="str">
        <f t="shared" si="25"/>
        <v>http://www.badatelna.eu/reprodukce/?fondId=1073&amp;zaznamId=1108952&amp;reproId=3779089</v>
      </c>
      <c r="M1647">
        <f>VLOOKUP(F1647,Sheet2!$B$1:$E$19,2,FALSE)</f>
        <v>1073</v>
      </c>
      <c r="N1647">
        <f>VLOOKUP(F1647,Sheet2!$B$1:$E$19,3,FALSE)</f>
        <v>1108952</v>
      </c>
      <c r="O1647">
        <f>IF(G1647="Not available","",VLOOKUP(F1647,Sheet2!$B$1:$E$19,4,FALSE)+(G1647-1))</f>
        <v>3779089</v>
      </c>
    </row>
    <row r="1648" spans="1:15" s="1" customFormat="1" ht="15" customHeight="1" x14ac:dyDescent="0.25">
      <c r="A1648" s="18" t="s">
        <v>198</v>
      </c>
      <c r="B1648" s="18" t="s">
        <v>1007</v>
      </c>
      <c r="C1648" s="5">
        <v>1859</v>
      </c>
      <c r="E1648" s="1" t="s">
        <v>939</v>
      </c>
      <c r="F1648" s="18">
        <v>999</v>
      </c>
      <c r="G1648" s="18">
        <v>14</v>
      </c>
      <c r="H1648" s="5">
        <v>12</v>
      </c>
      <c r="I1648" s="1">
        <v>67</v>
      </c>
      <c r="J1648" s="1">
        <v>101</v>
      </c>
      <c r="L1648" t="str">
        <f t="shared" si="25"/>
        <v>http://www.badatelna.eu/reprodukce/?fondId=241&amp;zaznamId=1133739&amp;reproId=3885743</v>
      </c>
      <c r="M1648">
        <f>VLOOKUP(F1648,Sheet2!$B$1:$E$19,2,FALSE)</f>
        <v>241</v>
      </c>
      <c r="N1648">
        <f>VLOOKUP(F1648,Sheet2!$B$1:$E$19,3,FALSE)</f>
        <v>1133739</v>
      </c>
      <c r="O1648">
        <f>IF(G1648="Not available","",VLOOKUP(F1648,Sheet2!$B$1:$E$19,4,FALSE)+(G1648-1))</f>
        <v>3885743</v>
      </c>
    </row>
    <row r="1649" spans="1:15" s="1" customFormat="1" ht="15" customHeight="1" x14ac:dyDescent="0.25">
      <c r="A1649" s="18" t="s">
        <v>198</v>
      </c>
      <c r="B1649" s="18" t="s">
        <v>1007</v>
      </c>
      <c r="C1649" s="6" t="s">
        <v>2100</v>
      </c>
      <c r="D1649" s="4" t="s">
        <v>819</v>
      </c>
      <c r="E1649" s="1" t="s">
        <v>2</v>
      </c>
      <c r="F1649" s="18">
        <v>2165</v>
      </c>
      <c r="G1649" s="18">
        <v>309</v>
      </c>
      <c r="H1649" s="5">
        <v>2</v>
      </c>
      <c r="I1649" s="1">
        <v>311</v>
      </c>
      <c r="J1649" s="1">
        <v>284</v>
      </c>
      <c r="L1649" t="str">
        <f t="shared" si="25"/>
        <v>http://www.badatelna.eu/reprodukce/?fondId=1073&amp;zaznamId=1108952&amp;reproId=3779170</v>
      </c>
      <c r="M1649">
        <f>VLOOKUP(F1649,Sheet2!$B$1:$E$19,2,FALSE)</f>
        <v>1073</v>
      </c>
      <c r="N1649">
        <f>VLOOKUP(F1649,Sheet2!$B$1:$E$19,3,FALSE)</f>
        <v>1108952</v>
      </c>
      <c r="O1649">
        <f>IF(G1649="Not available","",VLOOKUP(F1649,Sheet2!$B$1:$E$19,4,FALSE)+(G1649-1))</f>
        <v>3779170</v>
      </c>
    </row>
    <row r="1650" spans="1:15" s="1" customFormat="1" ht="15" customHeight="1" x14ac:dyDescent="0.25">
      <c r="A1650" s="18" t="s">
        <v>198</v>
      </c>
      <c r="B1650" s="18" t="s">
        <v>1007</v>
      </c>
      <c r="C1650" s="10" t="s">
        <v>2100</v>
      </c>
      <c r="D1650" s="3" t="s">
        <v>2339</v>
      </c>
      <c r="E1650" s="4" t="s">
        <v>2</v>
      </c>
      <c r="F1650" s="18">
        <v>2176</v>
      </c>
      <c r="G1650" s="18" t="s">
        <v>3271</v>
      </c>
      <c r="H1650" s="10" t="s">
        <v>1974</v>
      </c>
      <c r="I1650" s="3">
        <v>17</v>
      </c>
      <c r="J1650" s="3" t="s">
        <v>3271</v>
      </c>
      <c r="K1650" s="3"/>
      <c r="L1650" t="str">
        <f t="shared" si="25"/>
        <v/>
      </c>
      <c r="M1650">
        <f>VLOOKUP(F1650,Sheet2!$B$1:$E$19,2,FALSE)</f>
        <v>1073</v>
      </c>
      <c r="N1650">
        <f>VLOOKUP(F1650,Sheet2!$B$1:$E$19,3,FALSE)</f>
        <v>1108963</v>
      </c>
      <c r="O1650" t="str">
        <f>IF(G1650="Not available","",VLOOKUP(F1650,Sheet2!$B$1:$E$19,4,FALSE)+(G1650-1))</f>
        <v/>
      </c>
    </row>
    <row r="1651" spans="1:15" s="1" customFormat="1" ht="15" customHeight="1" x14ac:dyDescent="0.25">
      <c r="A1651" s="18" t="s">
        <v>198</v>
      </c>
      <c r="B1651" s="18" t="s">
        <v>593</v>
      </c>
      <c r="C1651" s="5">
        <v>1852</v>
      </c>
      <c r="D1651" s="1" t="s">
        <v>24</v>
      </c>
      <c r="E1651" s="1" t="s">
        <v>2</v>
      </c>
      <c r="F1651" s="18">
        <v>2164</v>
      </c>
      <c r="G1651" s="18">
        <v>83</v>
      </c>
      <c r="H1651" s="5">
        <v>81</v>
      </c>
      <c r="I1651" s="1">
        <v>128</v>
      </c>
      <c r="J1651" s="1" t="s">
        <v>3271</v>
      </c>
      <c r="L1651" t="str">
        <f t="shared" si="25"/>
        <v>http://www.badatelna.eu/reprodukce/?fondId=1073&amp;zaznamId=1108951&amp;reproId=3778797</v>
      </c>
      <c r="M1651">
        <f>VLOOKUP(F1651,Sheet2!$B$1:$E$19,2,FALSE)</f>
        <v>1073</v>
      </c>
      <c r="N1651">
        <f>VLOOKUP(F1651,Sheet2!$B$1:$E$19,3,FALSE)</f>
        <v>1108951</v>
      </c>
      <c r="O1651">
        <f>IF(G1651="Not available","",VLOOKUP(F1651,Sheet2!$B$1:$E$19,4,FALSE)+(G1651-1))</f>
        <v>3778797</v>
      </c>
    </row>
    <row r="1652" spans="1:15" s="1" customFormat="1" ht="15" customHeight="1" x14ac:dyDescent="0.25">
      <c r="A1652" s="18" t="s">
        <v>198</v>
      </c>
      <c r="B1652" s="18" t="s">
        <v>593</v>
      </c>
      <c r="C1652" s="10" t="s">
        <v>1969</v>
      </c>
      <c r="D1652" s="3" t="s">
        <v>2279</v>
      </c>
      <c r="E1652" s="4" t="s">
        <v>2</v>
      </c>
      <c r="F1652" s="18">
        <v>2176</v>
      </c>
      <c r="G1652" s="18" t="s">
        <v>3271</v>
      </c>
      <c r="H1652" s="10" t="s">
        <v>2091</v>
      </c>
      <c r="I1652" s="3">
        <v>16</v>
      </c>
      <c r="J1652" s="3" t="s">
        <v>3271</v>
      </c>
      <c r="L1652" t="str">
        <f t="shared" si="25"/>
        <v/>
      </c>
      <c r="M1652">
        <f>VLOOKUP(F1652,Sheet2!$B$1:$E$19,2,FALSE)</f>
        <v>1073</v>
      </c>
      <c r="N1652">
        <f>VLOOKUP(F1652,Sheet2!$B$1:$E$19,3,FALSE)</f>
        <v>1108963</v>
      </c>
      <c r="O1652" t="str">
        <f>IF(G1652="Not available","",VLOOKUP(F1652,Sheet2!$B$1:$E$19,4,FALSE)+(G1652-1))</f>
        <v/>
      </c>
    </row>
    <row r="1653" spans="1:15" s="1" customFormat="1" ht="15" customHeight="1" x14ac:dyDescent="0.25">
      <c r="A1653" s="22" t="s">
        <v>198</v>
      </c>
      <c r="B1653" s="18" t="s">
        <v>900</v>
      </c>
      <c r="C1653" s="5" t="s">
        <v>1437</v>
      </c>
      <c r="D1653" s="1" t="s">
        <v>998</v>
      </c>
      <c r="E1653" s="1" t="s">
        <v>2</v>
      </c>
      <c r="F1653" s="18">
        <v>2165</v>
      </c>
      <c r="G1653" s="18">
        <v>75</v>
      </c>
      <c r="H1653" s="5">
        <v>72</v>
      </c>
      <c r="I1653" s="1">
        <v>83</v>
      </c>
      <c r="J1653" s="1" t="s">
        <v>3271</v>
      </c>
      <c r="L1653" t="str">
        <f t="shared" si="25"/>
        <v>http://www.badatelna.eu/reprodukce/?fondId=1073&amp;zaznamId=1108952&amp;reproId=3778936</v>
      </c>
      <c r="M1653">
        <f>VLOOKUP(F1653,Sheet2!$B$1:$E$19,2,FALSE)</f>
        <v>1073</v>
      </c>
      <c r="N1653">
        <f>VLOOKUP(F1653,Sheet2!$B$1:$E$19,3,FALSE)</f>
        <v>1108952</v>
      </c>
      <c r="O1653">
        <f>IF(G1653="Not available","",VLOOKUP(F1653,Sheet2!$B$1:$E$19,4,FALSE)+(G1653-1))</f>
        <v>3778936</v>
      </c>
    </row>
    <row r="1654" spans="1:15" s="1" customFormat="1" ht="15" customHeight="1" x14ac:dyDescent="0.25">
      <c r="A1654" s="18" t="s">
        <v>198</v>
      </c>
      <c r="B1654" s="18" t="s">
        <v>44</v>
      </c>
      <c r="C1654" s="5">
        <v>1856</v>
      </c>
      <c r="D1654" s="1" t="s">
        <v>858</v>
      </c>
      <c r="E1654" s="1" t="s">
        <v>2</v>
      </c>
      <c r="F1654" s="18">
        <v>2164</v>
      </c>
      <c r="G1654" s="18">
        <v>108</v>
      </c>
      <c r="H1654" s="5">
        <v>106</v>
      </c>
      <c r="I1654" s="1">
        <v>128</v>
      </c>
      <c r="J1654" s="1" t="s">
        <v>3271</v>
      </c>
      <c r="L1654" t="str">
        <f t="shared" si="25"/>
        <v>http://www.badatelna.eu/reprodukce/?fondId=1073&amp;zaznamId=1108951&amp;reproId=3778822</v>
      </c>
      <c r="M1654">
        <f>VLOOKUP(F1654,Sheet2!$B$1:$E$19,2,FALSE)</f>
        <v>1073</v>
      </c>
      <c r="N1654">
        <f>VLOOKUP(F1654,Sheet2!$B$1:$E$19,3,FALSE)</f>
        <v>1108951</v>
      </c>
      <c r="O1654">
        <f>IF(G1654="Not available","",VLOOKUP(F1654,Sheet2!$B$1:$E$19,4,FALSE)+(G1654-1))</f>
        <v>3778822</v>
      </c>
    </row>
    <row r="1655" spans="1:15" s="1" customFormat="1" ht="15" customHeight="1" x14ac:dyDescent="0.25">
      <c r="A1655" s="18" t="s">
        <v>198</v>
      </c>
      <c r="B1655" s="18" t="s">
        <v>215</v>
      </c>
      <c r="C1655" s="5">
        <v>1827</v>
      </c>
      <c r="E1655" s="1" t="s">
        <v>2</v>
      </c>
      <c r="F1655" s="18">
        <v>2173</v>
      </c>
      <c r="G1655" s="18">
        <v>80</v>
      </c>
      <c r="H1655" s="5">
        <v>153</v>
      </c>
      <c r="I1655" s="1">
        <v>99</v>
      </c>
      <c r="J1655" s="1">
        <v>210</v>
      </c>
      <c r="L1655" t="str">
        <f t="shared" si="25"/>
        <v>http://www.badatelna.eu/reprodukce/?fondId=1073&amp;zaznamId=1108959&amp;reproId=3780073</v>
      </c>
      <c r="M1655">
        <f>VLOOKUP(F1655,Sheet2!$B$1:$E$19,2,FALSE)</f>
        <v>1073</v>
      </c>
      <c r="N1655">
        <f>VLOOKUP(F1655,Sheet2!$B$1:$E$19,3,FALSE)</f>
        <v>1108959</v>
      </c>
      <c r="O1655">
        <f>IF(G1655="Not available","",VLOOKUP(F1655,Sheet2!$B$1:$E$19,4,FALSE)+(G1655-1))</f>
        <v>3780073</v>
      </c>
    </row>
    <row r="1656" spans="1:15" s="1" customFormat="1" ht="15" customHeight="1" x14ac:dyDescent="0.25">
      <c r="A1656" s="18" t="s">
        <v>198</v>
      </c>
      <c r="B1656" s="19" t="s">
        <v>83</v>
      </c>
      <c r="C1656" s="5">
        <v>1810</v>
      </c>
      <c r="E1656" s="1" t="s">
        <v>2</v>
      </c>
      <c r="F1656" s="18">
        <v>2173</v>
      </c>
      <c r="G1656" s="18">
        <v>56</v>
      </c>
      <c r="H1656" s="5">
        <v>106</v>
      </c>
      <c r="I1656" s="1">
        <v>99</v>
      </c>
      <c r="J1656" s="1">
        <v>210</v>
      </c>
      <c r="L1656" t="str">
        <f t="shared" si="25"/>
        <v>http://www.badatelna.eu/reprodukce/?fondId=1073&amp;zaznamId=1108959&amp;reproId=3780049</v>
      </c>
      <c r="M1656">
        <f>VLOOKUP(F1656,Sheet2!$B$1:$E$19,2,FALSE)</f>
        <v>1073</v>
      </c>
      <c r="N1656">
        <f>VLOOKUP(F1656,Sheet2!$B$1:$E$19,3,FALSE)</f>
        <v>1108959</v>
      </c>
      <c r="O1656">
        <f>IF(G1656="Not available","",VLOOKUP(F1656,Sheet2!$B$1:$E$19,4,FALSE)+(G1656-1))</f>
        <v>3780049</v>
      </c>
    </row>
    <row r="1657" spans="1:15" s="1" customFormat="1" ht="15" customHeight="1" x14ac:dyDescent="0.25">
      <c r="A1657" s="18" t="s">
        <v>198</v>
      </c>
      <c r="B1657" s="18" t="s">
        <v>1055</v>
      </c>
      <c r="C1657" s="5">
        <v>1887</v>
      </c>
      <c r="D1657" s="1" t="s">
        <v>34</v>
      </c>
      <c r="E1657" s="1" t="s">
        <v>2</v>
      </c>
      <c r="F1657" s="18">
        <v>2165</v>
      </c>
      <c r="G1657" s="18">
        <v>213</v>
      </c>
      <c r="H1657" s="5">
        <v>2</v>
      </c>
      <c r="I1657" s="1">
        <v>215</v>
      </c>
      <c r="J1657" s="1">
        <v>191</v>
      </c>
      <c r="L1657" t="str">
        <f t="shared" si="25"/>
        <v>http://www.badatelna.eu/reprodukce/?fondId=1073&amp;zaznamId=1108952&amp;reproId=3779074</v>
      </c>
      <c r="M1657">
        <f>VLOOKUP(F1657,Sheet2!$B$1:$E$19,2,FALSE)</f>
        <v>1073</v>
      </c>
      <c r="N1657">
        <f>VLOOKUP(F1657,Sheet2!$B$1:$E$19,3,FALSE)</f>
        <v>1108952</v>
      </c>
      <c r="O1657">
        <f>IF(G1657="Not available","",VLOOKUP(F1657,Sheet2!$B$1:$E$19,4,FALSE)+(G1657-1))</f>
        <v>3779074</v>
      </c>
    </row>
    <row r="1658" spans="1:15" s="1" customFormat="1" ht="15" customHeight="1" x14ac:dyDescent="0.25">
      <c r="A1658" s="18" t="s">
        <v>198</v>
      </c>
      <c r="B1658" s="18" t="s">
        <v>1055</v>
      </c>
      <c r="C1658" s="10" t="s">
        <v>2055</v>
      </c>
      <c r="D1658" s="3" t="s">
        <v>2322</v>
      </c>
      <c r="E1658" s="4" t="s">
        <v>2</v>
      </c>
      <c r="F1658" s="18">
        <v>2176</v>
      </c>
      <c r="G1658" s="18" t="s">
        <v>3271</v>
      </c>
      <c r="H1658" s="10" t="s">
        <v>2323</v>
      </c>
      <c r="I1658" s="3">
        <v>17</v>
      </c>
      <c r="J1658" s="3" t="s">
        <v>3271</v>
      </c>
      <c r="K1658" s="3"/>
      <c r="L1658" t="str">
        <f t="shared" si="25"/>
        <v/>
      </c>
      <c r="M1658">
        <f>VLOOKUP(F1658,Sheet2!$B$1:$E$19,2,FALSE)</f>
        <v>1073</v>
      </c>
      <c r="N1658">
        <f>VLOOKUP(F1658,Sheet2!$B$1:$E$19,3,FALSE)</f>
        <v>1108963</v>
      </c>
      <c r="O1658" t="str">
        <f>IF(G1658="Not available","",VLOOKUP(F1658,Sheet2!$B$1:$E$19,4,FALSE)+(G1658-1))</f>
        <v/>
      </c>
    </row>
    <row r="1659" spans="1:15" s="1" customFormat="1" ht="15" customHeight="1" x14ac:dyDescent="0.25">
      <c r="A1659" s="18" t="s">
        <v>198</v>
      </c>
      <c r="B1659" s="18" t="s">
        <v>304</v>
      </c>
      <c r="C1659" s="5">
        <v>1842</v>
      </c>
      <c r="D1659" s="1" t="s">
        <v>21</v>
      </c>
      <c r="E1659" s="1" t="s">
        <v>2</v>
      </c>
      <c r="F1659" s="18">
        <v>2174</v>
      </c>
      <c r="G1659" s="18">
        <v>124</v>
      </c>
      <c r="H1659" s="6" t="s">
        <v>3198</v>
      </c>
      <c r="I1659" s="1">
        <v>186</v>
      </c>
      <c r="J1659" s="1">
        <v>214</v>
      </c>
      <c r="L1659" t="str">
        <f t="shared" si="25"/>
        <v>http://www.badatelna.eu/reprodukce/?fondId=1073&amp;zaznamId=1108960&amp;reproId=3780348</v>
      </c>
      <c r="M1659">
        <f>VLOOKUP(F1659,Sheet2!$B$1:$E$19,2,FALSE)</f>
        <v>1073</v>
      </c>
      <c r="N1659">
        <f>VLOOKUP(F1659,Sheet2!$B$1:$E$19,3,FALSE)</f>
        <v>1108960</v>
      </c>
      <c r="O1659">
        <f>IF(G1659="Not available","",VLOOKUP(F1659,Sheet2!$B$1:$E$19,4,FALSE)+(G1659-1))</f>
        <v>3780348</v>
      </c>
    </row>
    <row r="1660" spans="1:15" s="1" customFormat="1" ht="15" customHeight="1" x14ac:dyDescent="0.25">
      <c r="A1660" s="18" t="s">
        <v>198</v>
      </c>
      <c r="B1660" s="18" t="s">
        <v>304</v>
      </c>
      <c r="C1660" s="5">
        <v>1848</v>
      </c>
      <c r="D1660" s="1" t="s">
        <v>20</v>
      </c>
      <c r="E1660" s="1" t="s">
        <v>2</v>
      </c>
      <c r="F1660" s="18">
        <v>2164</v>
      </c>
      <c r="G1660" s="18">
        <v>67</v>
      </c>
      <c r="H1660" s="5">
        <v>65</v>
      </c>
      <c r="I1660" s="1">
        <v>128</v>
      </c>
      <c r="J1660" s="1" t="s">
        <v>3271</v>
      </c>
      <c r="L1660" t="str">
        <f t="shared" si="25"/>
        <v>http://www.badatelna.eu/reprodukce/?fondId=1073&amp;zaznamId=1108951&amp;reproId=3778781</v>
      </c>
      <c r="M1660">
        <f>VLOOKUP(F1660,Sheet2!$B$1:$E$19,2,FALSE)</f>
        <v>1073</v>
      </c>
      <c r="N1660">
        <f>VLOOKUP(F1660,Sheet2!$B$1:$E$19,3,FALSE)</f>
        <v>1108951</v>
      </c>
      <c r="O1660">
        <f>IF(G1660="Not available","",VLOOKUP(F1660,Sheet2!$B$1:$E$19,4,FALSE)+(G1660-1))</f>
        <v>3778781</v>
      </c>
    </row>
    <row r="1661" spans="1:15" s="1" customFormat="1" ht="15" customHeight="1" x14ac:dyDescent="0.25">
      <c r="A1661" s="18" t="s">
        <v>198</v>
      </c>
      <c r="B1661" s="18" t="s">
        <v>304</v>
      </c>
      <c r="C1661" s="5">
        <v>1855</v>
      </c>
      <c r="D1661" s="1" t="s">
        <v>12</v>
      </c>
      <c r="E1661" s="1" t="s">
        <v>2</v>
      </c>
      <c r="F1661" s="18">
        <v>2164</v>
      </c>
      <c r="G1661" s="18">
        <v>105</v>
      </c>
      <c r="H1661" s="5">
        <v>103</v>
      </c>
      <c r="I1661" s="1">
        <v>128</v>
      </c>
      <c r="J1661" s="1" t="s">
        <v>3271</v>
      </c>
      <c r="L1661" t="str">
        <f t="shared" si="25"/>
        <v>http://www.badatelna.eu/reprodukce/?fondId=1073&amp;zaznamId=1108951&amp;reproId=3778819</v>
      </c>
      <c r="M1661">
        <f>VLOOKUP(F1661,Sheet2!$B$1:$E$19,2,FALSE)</f>
        <v>1073</v>
      </c>
      <c r="N1661">
        <f>VLOOKUP(F1661,Sheet2!$B$1:$E$19,3,FALSE)</f>
        <v>1108951</v>
      </c>
      <c r="O1661">
        <f>IF(G1661="Not available","",VLOOKUP(F1661,Sheet2!$B$1:$E$19,4,FALSE)+(G1661-1))</f>
        <v>3778819</v>
      </c>
    </row>
    <row r="1662" spans="1:15" s="1" customFormat="1" ht="15" customHeight="1" x14ac:dyDescent="0.25">
      <c r="A1662" s="18" t="s">
        <v>198</v>
      </c>
      <c r="B1662" s="18" t="s">
        <v>304</v>
      </c>
      <c r="C1662" s="5">
        <v>1857</v>
      </c>
      <c r="D1662" s="1" t="s">
        <v>65</v>
      </c>
      <c r="E1662" s="1" t="s">
        <v>2</v>
      </c>
      <c r="F1662" s="18">
        <v>2164</v>
      </c>
      <c r="G1662" s="18">
        <v>116</v>
      </c>
      <c r="H1662" s="5">
        <v>114</v>
      </c>
      <c r="I1662" s="1">
        <v>128</v>
      </c>
      <c r="J1662" s="1" t="s">
        <v>3271</v>
      </c>
      <c r="L1662" t="str">
        <f t="shared" si="25"/>
        <v>http://www.badatelna.eu/reprodukce/?fondId=1073&amp;zaznamId=1108951&amp;reproId=3778830</v>
      </c>
      <c r="M1662">
        <f>VLOOKUP(F1662,Sheet2!$B$1:$E$19,2,FALSE)</f>
        <v>1073</v>
      </c>
      <c r="N1662">
        <f>VLOOKUP(F1662,Sheet2!$B$1:$E$19,3,FALSE)</f>
        <v>1108951</v>
      </c>
      <c r="O1662">
        <f>IF(G1662="Not available","",VLOOKUP(F1662,Sheet2!$B$1:$E$19,4,FALSE)+(G1662-1))</f>
        <v>3778830</v>
      </c>
    </row>
    <row r="1663" spans="1:15" s="1" customFormat="1" ht="15" customHeight="1" x14ac:dyDescent="0.25">
      <c r="A1663" s="18" t="s">
        <v>198</v>
      </c>
      <c r="B1663" s="18" t="s">
        <v>304</v>
      </c>
      <c r="C1663" s="5">
        <v>1858</v>
      </c>
      <c r="E1663" s="1" t="s">
        <v>939</v>
      </c>
      <c r="F1663" s="18">
        <v>999</v>
      </c>
      <c r="G1663" s="18">
        <v>9</v>
      </c>
      <c r="H1663" s="5">
        <v>7</v>
      </c>
      <c r="I1663" s="1">
        <v>67</v>
      </c>
      <c r="J1663" s="1">
        <v>101</v>
      </c>
      <c r="L1663" t="str">
        <f t="shared" si="25"/>
        <v>http://www.badatelna.eu/reprodukce/?fondId=241&amp;zaznamId=1133739&amp;reproId=3885738</v>
      </c>
      <c r="M1663">
        <f>VLOOKUP(F1663,Sheet2!$B$1:$E$19,2,FALSE)</f>
        <v>241</v>
      </c>
      <c r="N1663">
        <f>VLOOKUP(F1663,Sheet2!$B$1:$E$19,3,FALSE)</f>
        <v>1133739</v>
      </c>
      <c r="O1663">
        <f>IF(G1663="Not available","",VLOOKUP(F1663,Sheet2!$B$1:$E$19,4,FALSE)+(G1663-1))</f>
        <v>3885738</v>
      </c>
    </row>
    <row r="1664" spans="1:15" s="1" customFormat="1" ht="15" customHeight="1" x14ac:dyDescent="0.25">
      <c r="A1664" s="18" t="s">
        <v>198</v>
      </c>
      <c r="B1664" s="18" t="s">
        <v>58</v>
      </c>
      <c r="C1664" s="5">
        <v>1852</v>
      </c>
      <c r="D1664" s="1" t="s">
        <v>19</v>
      </c>
      <c r="E1664" s="1" t="s">
        <v>2</v>
      </c>
      <c r="F1664" s="18">
        <v>2164</v>
      </c>
      <c r="G1664" s="18">
        <v>84</v>
      </c>
      <c r="H1664" s="5">
        <v>82</v>
      </c>
      <c r="I1664" s="1">
        <v>128</v>
      </c>
      <c r="J1664" s="1" t="s">
        <v>3271</v>
      </c>
      <c r="L1664" t="str">
        <f t="shared" si="25"/>
        <v>http://www.badatelna.eu/reprodukce/?fondId=1073&amp;zaznamId=1108951&amp;reproId=3778798</v>
      </c>
      <c r="M1664">
        <f>VLOOKUP(F1664,Sheet2!$B$1:$E$19,2,FALSE)</f>
        <v>1073</v>
      </c>
      <c r="N1664">
        <f>VLOOKUP(F1664,Sheet2!$B$1:$E$19,3,FALSE)</f>
        <v>1108951</v>
      </c>
      <c r="O1664">
        <f>IF(G1664="Not available","",VLOOKUP(F1664,Sheet2!$B$1:$E$19,4,FALSE)+(G1664-1))</f>
        <v>3778798</v>
      </c>
    </row>
    <row r="1665" spans="1:15" s="1" customFormat="1" ht="15" customHeight="1" x14ac:dyDescent="0.25">
      <c r="A1665" s="18" t="s">
        <v>198</v>
      </c>
      <c r="B1665" s="19" t="s">
        <v>76</v>
      </c>
      <c r="C1665" s="5">
        <v>1792</v>
      </c>
      <c r="E1665" s="1" t="s">
        <v>2</v>
      </c>
      <c r="F1665" s="18">
        <v>2173</v>
      </c>
      <c r="G1665" s="18">
        <v>26</v>
      </c>
      <c r="H1665" s="5">
        <v>47</v>
      </c>
      <c r="I1665" s="1">
        <v>98</v>
      </c>
      <c r="J1665" s="1">
        <v>209</v>
      </c>
      <c r="L1665" t="str">
        <f t="shared" si="25"/>
        <v>http://www.badatelna.eu/reprodukce/?fondId=1073&amp;zaznamId=1108959&amp;reproId=3780019</v>
      </c>
      <c r="M1665">
        <f>VLOOKUP(F1665,Sheet2!$B$1:$E$19,2,FALSE)</f>
        <v>1073</v>
      </c>
      <c r="N1665">
        <f>VLOOKUP(F1665,Sheet2!$B$1:$E$19,3,FALSE)</f>
        <v>1108959</v>
      </c>
      <c r="O1665">
        <f>IF(G1665="Not available","",VLOOKUP(F1665,Sheet2!$B$1:$E$19,4,FALSE)+(G1665-1))</f>
        <v>3780019</v>
      </c>
    </row>
    <row r="1666" spans="1:15" s="1" customFormat="1" ht="15" customHeight="1" x14ac:dyDescent="0.25">
      <c r="A1666" s="18" t="s">
        <v>198</v>
      </c>
      <c r="B1666" s="18" t="s">
        <v>210</v>
      </c>
      <c r="C1666" s="5">
        <v>1815</v>
      </c>
      <c r="E1666" s="1" t="s">
        <v>2</v>
      </c>
      <c r="F1666" s="18">
        <v>2173</v>
      </c>
      <c r="G1666" s="18">
        <v>64</v>
      </c>
      <c r="H1666" s="5">
        <v>122</v>
      </c>
      <c r="I1666" s="1">
        <v>99</v>
      </c>
      <c r="J1666" s="1">
        <v>210</v>
      </c>
      <c r="L1666" t="str">
        <f t="shared" si="25"/>
        <v>http://www.badatelna.eu/reprodukce/?fondId=1073&amp;zaznamId=1108959&amp;reproId=3780057</v>
      </c>
      <c r="M1666">
        <f>VLOOKUP(F1666,Sheet2!$B$1:$E$19,2,FALSE)</f>
        <v>1073</v>
      </c>
      <c r="N1666">
        <f>VLOOKUP(F1666,Sheet2!$B$1:$E$19,3,FALSE)</f>
        <v>1108959</v>
      </c>
      <c r="O1666">
        <f>IF(G1666="Not available","",VLOOKUP(F1666,Sheet2!$B$1:$E$19,4,FALSE)+(G1666-1))</f>
        <v>3780057</v>
      </c>
    </row>
    <row r="1667" spans="1:15" s="1" customFormat="1" ht="15" customHeight="1" x14ac:dyDescent="0.25">
      <c r="A1667" s="18" t="s">
        <v>198</v>
      </c>
      <c r="B1667" s="18" t="s">
        <v>2196</v>
      </c>
      <c r="C1667" s="10" t="s">
        <v>2015</v>
      </c>
      <c r="D1667" s="3" t="s">
        <v>2294</v>
      </c>
      <c r="E1667" s="4" t="s">
        <v>2</v>
      </c>
      <c r="F1667" s="18">
        <v>2176</v>
      </c>
      <c r="G1667" s="18" t="s">
        <v>3271</v>
      </c>
      <c r="H1667" s="10" t="s">
        <v>2038</v>
      </c>
      <c r="I1667" s="3">
        <v>16</v>
      </c>
      <c r="J1667" s="3" t="s">
        <v>3271</v>
      </c>
      <c r="K1667" s="3"/>
      <c r="L1667" t="str">
        <f t="shared" ref="L1667:L1730" si="26">IF(G1667="Not available","","http://www.badatelna.eu/reprodukce/?fondId="&amp;M1667&amp;"&amp;zaznamId="&amp;N1667&amp;"&amp;reproId="&amp;O1667)</f>
        <v/>
      </c>
      <c r="M1667">
        <f>VLOOKUP(F1667,Sheet2!$B$1:$E$19,2,FALSE)</f>
        <v>1073</v>
      </c>
      <c r="N1667">
        <f>VLOOKUP(F1667,Sheet2!$B$1:$E$19,3,FALSE)</f>
        <v>1108963</v>
      </c>
      <c r="O1667" t="str">
        <f>IF(G1667="Not available","",VLOOKUP(F1667,Sheet2!$B$1:$E$19,4,FALSE)+(G1667-1))</f>
        <v/>
      </c>
    </row>
    <row r="1668" spans="1:15" s="1" customFormat="1" ht="15" customHeight="1" x14ac:dyDescent="0.25">
      <c r="A1668" s="18" t="s">
        <v>198</v>
      </c>
      <c r="B1668" s="18" t="s">
        <v>1264</v>
      </c>
      <c r="C1668" s="14" t="s">
        <v>2244</v>
      </c>
      <c r="D1668" s="4" t="s">
        <v>1072</v>
      </c>
      <c r="E1668" s="1" t="s">
        <v>2</v>
      </c>
      <c r="F1668" s="18">
        <v>2165</v>
      </c>
      <c r="G1668" s="18">
        <v>299</v>
      </c>
      <c r="H1668" s="5">
        <v>3</v>
      </c>
      <c r="I1668" s="1">
        <v>300</v>
      </c>
      <c r="J1668" s="1">
        <v>273</v>
      </c>
      <c r="L1668" t="str">
        <f t="shared" si="26"/>
        <v>http://www.badatelna.eu/reprodukce/?fondId=1073&amp;zaznamId=1108952&amp;reproId=3779160</v>
      </c>
      <c r="M1668">
        <f>VLOOKUP(F1668,Sheet2!$B$1:$E$19,2,FALSE)</f>
        <v>1073</v>
      </c>
      <c r="N1668">
        <f>VLOOKUP(F1668,Sheet2!$B$1:$E$19,3,FALSE)</f>
        <v>1108952</v>
      </c>
      <c r="O1668">
        <f>IF(G1668="Not available","",VLOOKUP(F1668,Sheet2!$B$1:$E$19,4,FALSE)+(G1668-1))</f>
        <v>3779160</v>
      </c>
    </row>
    <row r="1669" spans="1:15" s="1" customFormat="1" ht="15" customHeight="1" x14ac:dyDescent="0.25">
      <c r="A1669" s="18" t="s">
        <v>198</v>
      </c>
      <c r="B1669" s="18" t="s">
        <v>2338</v>
      </c>
      <c r="C1669" s="10" t="s">
        <v>2244</v>
      </c>
      <c r="D1669" s="3" t="s">
        <v>2333</v>
      </c>
      <c r="E1669" s="4" t="s">
        <v>2</v>
      </c>
      <c r="F1669" s="18">
        <v>2176</v>
      </c>
      <c r="G1669" s="18" t="s">
        <v>3271</v>
      </c>
      <c r="H1669" s="10" t="s">
        <v>2136</v>
      </c>
      <c r="I1669" s="3">
        <v>17</v>
      </c>
      <c r="J1669" s="3" t="s">
        <v>3271</v>
      </c>
      <c r="K1669" s="3"/>
      <c r="L1669" t="str">
        <f t="shared" si="26"/>
        <v/>
      </c>
      <c r="M1669">
        <f>VLOOKUP(F1669,Sheet2!$B$1:$E$19,2,FALSE)</f>
        <v>1073</v>
      </c>
      <c r="N1669">
        <f>VLOOKUP(F1669,Sheet2!$B$1:$E$19,3,FALSE)</f>
        <v>1108963</v>
      </c>
      <c r="O1669" t="str">
        <f>IF(G1669="Not available","",VLOOKUP(F1669,Sheet2!$B$1:$E$19,4,FALSE)+(G1669-1))</f>
        <v/>
      </c>
    </row>
    <row r="1670" spans="1:15" s="1" customFormat="1" ht="15" customHeight="1" x14ac:dyDescent="0.25">
      <c r="A1670" s="18" t="s">
        <v>1213</v>
      </c>
      <c r="B1670" s="18" t="s">
        <v>1214</v>
      </c>
      <c r="C1670" s="5" t="s">
        <v>1798</v>
      </c>
      <c r="D1670" s="1" t="s">
        <v>998</v>
      </c>
      <c r="E1670" s="1" t="s">
        <v>2</v>
      </c>
      <c r="F1670" s="18">
        <v>2165</v>
      </c>
      <c r="G1670" s="18">
        <v>242</v>
      </c>
      <c r="H1670" s="5">
        <v>2</v>
      </c>
      <c r="I1670" s="1">
        <v>244</v>
      </c>
      <c r="J1670" s="1">
        <v>220</v>
      </c>
      <c r="L1670" t="str">
        <f t="shared" si="26"/>
        <v>http://www.badatelna.eu/reprodukce/?fondId=1073&amp;zaznamId=1108952&amp;reproId=3779103</v>
      </c>
      <c r="M1670">
        <f>VLOOKUP(F1670,Sheet2!$B$1:$E$19,2,FALSE)</f>
        <v>1073</v>
      </c>
      <c r="N1670">
        <f>VLOOKUP(F1670,Sheet2!$B$1:$E$19,3,FALSE)</f>
        <v>1108952</v>
      </c>
      <c r="O1670">
        <f>IF(G1670="Not available","",VLOOKUP(F1670,Sheet2!$B$1:$E$19,4,FALSE)+(G1670-1))</f>
        <v>3779103</v>
      </c>
    </row>
    <row r="1671" spans="1:15" s="1" customFormat="1" ht="15" customHeight="1" x14ac:dyDescent="0.25">
      <c r="A1671" s="18" t="s">
        <v>2823</v>
      </c>
      <c r="B1671" s="18" t="s">
        <v>1130</v>
      </c>
      <c r="C1671" s="5">
        <v>1882</v>
      </c>
      <c r="D1671" s="1" t="s">
        <v>304</v>
      </c>
      <c r="E1671" s="1" t="s">
        <v>2</v>
      </c>
      <c r="F1671" s="18">
        <v>2165</v>
      </c>
      <c r="G1671" s="18">
        <v>180</v>
      </c>
      <c r="H1671" s="5">
        <v>4</v>
      </c>
      <c r="I1671" s="1">
        <v>182</v>
      </c>
      <c r="J1671" s="1">
        <v>159</v>
      </c>
      <c r="L1671" t="str">
        <f t="shared" si="26"/>
        <v>http://www.badatelna.eu/reprodukce/?fondId=1073&amp;zaznamId=1108952&amp;reproId=3779041</v>
      </c>
      <c r="M1671">
        <f>VLOOKUP(F1671,Sheet2!$B$1:$E$19,2,FALSE)</f>
        <v>1073</v>
      </c>
      <c r="N1671">
        <f>VLOOKUP(F1671,Sheet2!$B$1:$E$19,3,FALSE)</f>
        <v>1108952</v>
      </c>
      <c r="O1671">
        <f>IF(G1671="Not available","",VLOOKUP(F1671,Sheet2!$B$1:$E$19,4,FALSE)+(G1671-1))</f>
        <v>3779041</v>
      </c>
    </row>
    <row r="1672" spans="1:15" s="1" customFormat="1" ht="15" customHeight="1" x14ac:dyDescent="0.25">
      <c r="A1672" s="18" t="s">
        <v>2847</v>
      </c>
      <c r="B1672" s="18" t="s">
        <v>432</v>
      </c>
      <c r="C1672" s="5">
        <v>1885</v>
      </c>
      <c r="D1672" s="1" t="s">
        <v>304</v>
      </c>
      <c r="E1672" s="1" t="s">
        <v>2</v>
      </c>
      <c r="F1672" s="18">
        <v>2165</v>
      </c>
      <c r="G1672" s="18">
        <v>200</v>
      </c>
      <c r="H1672" s="5">
        <v>2</v>
      </c>
      <c r="I1672" s="1">
        <v>204</v>
      </c>
      <c r="J1672" s="1">
        <v>187</v>
      </c>
      <c r="L1672" t="str">
        <f t="shared" si="26"/>
        <v>http://www.badatelna.eu/reprodukce/?fondId=1073&amp;zaznamId=1108952&amp;reproId=3779061</v>
      </c>
      <c r="M1672">
        <f>VLOOKUP(F1672,Sheet2!$B$1:$E$19,2,FALSE)</f>
        <v>1073</v>
      </c>
      <c r="N1672">
        <f>VLOOKUP(F1672,Sheet2!$B$1:$E$19,3,FALSE)</f>
        <v>1108952</v>
      </c>
      <c r="O1672">
        <f>IF(G1672="Not available","",VLOOKUP(F1672,Sheet2!$B$1:$E$19,4,FALSE)+(G1672-1))</f>
        <v>3779061</v>
      </c>
    </row>
    <row r="1673" spans="1:15" s="1" customFormat="1" ht="15" customHeight="1" x14ac:dyDescent="0.25">
      <c r="A1673" s="27" t="s">
        <v>3354</v>
      </c>
      <c r="B1673" s="18" t="s">
        <v>432</v>
      </c>
      <c r="C1673" s="10" t="s">
        <v>2043</v>
      </c>
      <c r="D1673" s="3" t="s">
        <v>2050</v>
      </c>
      <c r="E1673" s="4" t="s">
        <v>2</v>
      </c>
      <c r="F1673" s="18">
        <v>2176</v>
      </c>
      <c r="G1673" s="18" t="s">
        <v>3271</v>
      </c>
      <c r="H1673" s="10" t="s">
        <v>1979</v>
      </c>
      <c r="I1673" s="3">
        <v>17</v>
      </c>
      <c r="J1673" s="3" t="s">
        <v>3271</v>
      </c>
      <c r="K1673" s="3"/>
      <c r="L1673" t="str">
        <f t="shared" si="26"/>
        <v/>
      </c>
      <c r="M1673">
        <f>VLOOKUP(F1673,Sheet2!$B$1:$E$19,2,FALSE)</f>
        <v>1073</v>
      </c>
      <c r="N1673">
        <f>VLOOKUP(F1673,Sheet2!$B$1:$E$19,3,FALSE)</f>
        <v>1108963</v>
      </c>
      <c r="O1673" t="str">
        <f>IF(G1673="Not available","",VLOOKUP(F1673,Sheet2!$B$1:$E$19,4,FALSE)+(G1673-1))</f>
        <v/>
      </c>
    </row>
    <row r="1674" spans="1:15" s="1" customFormat="1" ht="15" customHeight="1" x14ac:dyDescent="0.25">
      <c r="A1674" s="27" t="s">
        <v>3355</v>
      </c>
      <c r="B1674" s="18" t="s">
        <v>432</v>
      </c>
      <c r="C1674" s="6" t="s">
        <v>2043</v>
      </c>
      <c r="D1674" s="4" t="s">
        <v>2050</v>
      </c>
      <c r="E1674" s="4" t="s">
        <v>2</v>
      </c>
      <c r="F1674" s="18">
        <v>2176</v>
      </c>
      <c r="G1674" s="18" t="s">
        <v>3271</v>
      </c>
      <c r="H1674" s="6" t="s">
        <v>2051</v>
      </c>
      <c r="I1674" s="1">
        <v>5</v>
      </c>
      <c r="J1674" s="1" t="s">
        <v>3271</v>
      </c>
      <c r="K1674" s="3"/>
      <c r="L1674" t="str">
        <f t="shared" si="26"/>
        <v/>
      </c>
      <c r="M1674">
        <f>VLOOKUP(F1674,Sheet2!$B$1:$E$19,2,FALSE)</f>
        <v>1073</v>
      </c>
      <c r="N1674">
        <f>VLOOKUP(F1674,Sheet2!$B$1:$E$19,3,FALSE)</f>
        <v>1108963</v>
      </c>
      <c r="O1674" t="str">
        <f>IF(G1674="Not available","",VLOOKUP(F1674,Sheet2!$B$1:$E$19,4,FALSE)+(G1674-1))</f>
        <v/>
      </c>
    </row>
    <row r="1675" spans="1:15" s="1" customFormat="1" ht="15" customHeight="1" x14ac:dyDescent="0.25">
      <c r="A1675" s="18" t="s">
        <v>1200</v>
      </c>
      <c r="B1675" s="18" t="s">
        <v>1008</v>
      </c>
      <c r="C1675" s="5" t="s">
        <v>1751</v>
      </c>
      <c r="D1675" s="1" t="s">
        <v>304</v>
      </c>
      <c r="E1675" s="1" t="s">
        <v>2</v>
      </c>
      <c r="F1675" s="18">
        <v>2165</v>
      </c>
      <c r="G1675" s="18">
        <v>201</v>
      </c>
      <c r="H1675" s="5">
        <v>3</v>
      </c>
      <c r="I1675" s="1">
        <v>231</v>
      </c>
      <c r="J1675" s="1">
        <v>207</v>
      </c>
      <c r="L1675" t="str">
        <f t="shared" si="26"/>
        <v>http://www.badatelna.eu/reprodukce/?fondId=1073&amp;zaznamId=1108952&amp;reproId=3779062</v>
      </c>
      <c r="M1675">
        <f>VLOOKUP(F1675,Sheet2!$B$1:$E$19,2,FALSE)</f>
        <v>1073</v>
      </c>
      <c r="N1675">
        <f>VLOOKUP(F1675,Sheet2!$B$1:$E$19,3,FALSE)</f>
        <v>1108952</v>
      </c>
      <c r="O1675">
        <f>IF(G1675="Not available","",VLOOKUP(F1675,Sheet2!$B$1:$E$19,4,FALSE)+(G1675-1))</f>
        <v>3779062</v>
      </c>
    </row>
    <row r="1676" spans="1:15" s="1" customFormat="1" ht="15" customHeight="1" x14ac:dyDescent="0.25">
      <c r="A1676" s="18" t="s">
        <v>2859</v>
      </c>
      <c r="B1676" s="18" t="s">
        <v>1126</v>
      </c>
      <c r="C1676" s="10" t="s">
        <v>2041</v>
      </c>
      <c r="D1676" s="3" t="s">
        <v>2313</v>
      </c>
      <c r="E1676" s="4" t="s">
        <v>2</v>
      </c>
      <c r="F1676" s="18">
        <v>2176</v>
      </c>
      <c r="G1676" s="18" t="s">
        <v>3271</v>
      </c>
      <c r="H1676" s="10" t="s">
        <v>2031</v>
      </c>
      <c r="I1676" s="3">
        <v>17</v>
      </c>
      <c r="J1676" s="3" t="s">
        <v>3271</v>
      </c>
      <c r="K1676" s="3"/>
      <c r="L1676" t="str">
        <f t="shared" si="26"/>
        <v/>
      </c>
      <c r="M1676">
        <f>VLOOKUP(F1676,Sheet2!$B$1:$E$19,2,FALSE)</f>
        <v>1073</v>
      </c>
      <c r="N1676">
        <f>VLOOKUP(F1676,Sheet2!$B$1:$E$19,3,FALSE)</f>
        <v>1108963</v>
      </c>
      <c r="O1676" t="str">
        <f>IF(G1676="Not available","",VLOOKUP(F1676,Sheet2!$B$1:$E$19,4,FALSE)+(G1676-1))</f>
        <v/>
      </c>
    </row>
    <row r="1677" spans="1:15" s="1" customFormat="1" ht="15" customHeight="1" x14ac:dyDescent="0.25">
      <c r="A1677" s="18" t="s">
        <v>1159</v>
      </c>
      <c r="B1677" s="18" t="s">
        <v>1126</v>
      </c>
      <c r="C1677" s="5">
        <v>1884</v>
      </c>
      <c r="D1677" s="1" t="s">
        <v>12</v>
      </c>
      <c r="E1677" s="1" t="s">
        <v>2</v>
      </c>
      <c r="F1677" s="18">
        <v>2165</v>
      </c>
      <c r="G1677" s="18">
        <v>195</v>
      </c>
      <c r="H1677" s="5">
        <v>3</v>
      </c>
      <c r="I1677" s="1">
        <v>196</v>
      </c>
      <c r="J1677" s="1">
        <v>173</v>
      </c>
      <c r="L1677" t="str">
        <f t="shared" si="26"/>
        <v>http://www.badatelna.eu/reprodukce/?fondId=1073&amp;zaznamId=1108952&amp;reproId=3779056</v>
      </c>
      <c r="M1677">
        <f>VLOOKUP(F1677,Sheet2!$B$1:$E$19,2,FALSE)</f>
        <v>1073</v>
      </c>
      <c r="N1677">
        <f>VLOOKUP(F1677,Sheet2!$B$1:$E$19,3,FALSE)</f>
        <v>1108952</v>
      </c>
      <c r="O1677">
        <f>IF(G1677="Not available","",VLOOKUP(F1677,Sheet2!$B$1:$E$19,4,FALSE)+(G1677-1))</f>
        <v>3779056</v>
      </c>
    </row>
    <row r="1678" spans="1:15" s="1" customFormat="1" ht="15" customHeight="1" x14ac:dyDescent="0.25">
      <c r="A1678" s="18" t="s">
        <v>241</v>
      </c>
      <c r="B1678" s="18" t="s">
        <v>13</v>
      </c>
      <c r="C1678" s="5">
        <v>1822</v>
      </c>
      <c r="E1678" s="1" t="s">
        <v>2</v>
      </c>
      <c r="F1678" s="18">
        <v>2173</v>
      </c>
      <c r="G1678" s="18">
        <v>73</v>
      </c>
      <c r="H1678" s="5">
        <v>138</v>
      </c>
      <c r="I1678" s="1">
        <v>101</v>
      </c>
      <c r="J1678" s="1">
        <v>214</v>
      </c>
      <c r="L1678" t="str">
        <f t="shared" si="26"/>
        <v>http://www.badatelna.eu/reprodukce/?fondId=1073&amp;zaznamId=1108959&amp;reproId=3780066</v>
      </c>
      <c r="M1678">
        <f>VLOOKUP(F1678,Sheet2!$B$1:$E$19,2,FALSE)</f>
        <v>1073</v>
      </c>
      <c r="N1678">
        <f>VLOOKUP(F1678,Sheet2!$B$1:$E$19,3,FALSE)</f>
        <v>1108959</v>
      </c>
      <c r="O1678">
        <f>IF(G1678="Not available","",VLOOKUP(F1678,Sheet2!$B$1:$E$19,4,FALSE)+(G1678-1))</f>
        <v>3780066</v>
      </c>
    </row>
    <row r="1679" spans="1:15" s="1" customFormat="1" ht="15" customHeight="1" x14ac:dyDescent="0.25">
      <c r="A1679" s="18" t="s">
        <v>236</v>
      </c>
      <c r="B1679" s="18" t="s">
        <v>237</v>
      </c>
      <c r="C1679" s="5">
        <v>1812</v>
      </c>
      <c r="E1679" s="1" t="s">
        <v>2</v>
      </c>
      <c r="F1679" s="18">
        <v>2173</v>
      </c>
      <c r="G1679" s="18">
        <v>60</v>
      </c>
      <c r="H1679" s="5">
        <v>114</v>
      </c>
      <c r="I1679" s="1">
        <v>101</v>
      </c>
      <c r="J1679" s="1">
        <v>214</v>
      </c>
      <c r="L1679" t="str">
        <f t="shared" si="26"/>
        <v>http://www.badatelna.eu/reprodukce/?fondId=1073&amp;zaznamId=1108959&amp;reproId=3780053</v>
      </c>
      <c r="M1679">
        <f>VLOOKUP(F1679,Sheet2!$B$1:$E$19,2,FALSE)</f>
        <v>1073</v>
      </c>
      <c r="N1679">
        <f>VLOOKUP(F1679,Sheet2!$B$1:$E$19,3,FALSE)</f>
        <v>1108959</v>
      </c>
      <c r="O1679">
        <f>IF(G1679="Not available","",VLOOKUP(F1679,Sheet2!$B$1:$E$19,4,FALSE)+(G1679-1))</f>
        <v>3780053</v>
      </c>
    </row>
    <row r="1680" spans="1:15" s="1" customFormat="1" ht="15" customHeight="1" x14ac:dyDescent="0.25">
      <c r="A1680" s="18" t="s">
        <v>230</v>
      </c>
      <c r="B1680" s="18" t="s">
        <v>92</v>
      </c>
      <c r="C1680" s="5">
        <v>1809</v>
      </c>
      <c r="E1680" s="1" t="s">
        <v>2</v>
      </c>
      <c r="F1680" s="18">
        <v>2173</v>
      </c>
      <c r="G1680" s="18">
        <v>55</v>
      </c>
      <c r="H1680" s="5">
        <v>105</v>
      </c>
      <c r="I1680" s="1">
        <v>101</v>
      </c>
      <c r="J1680" s="1">
        <v>214</v>
      </c>
      <c r="L1680" t="str">
        <f t="shared" si="26"/>
        <v>http://www.badatelna.eu/reprodukce/?fondId=1073&amp;zaznamId=1108959&amp;reproId=3780048</v>
      </c>
      <c r="M1680">
        <f>VLOOKUP(F1680,Sheet2!$B$1:$E$19,2,FALSE)</f>
        <v>1073</v>
      </c>
      <c r="N1680">
        <f>VLOOKUP(F1680,Sheet2!$B$1:$E$19,3,FALSE)</f>
        <v>1108959</v>
      </c>
      <c r="O1680">
        <f>IF(G1680="Not available","",VLOOKUP(F1680,Sheet2!$B$1:$E$19,4,FALSE)+(G1680-1))</f>
        <v>3780048</v>
      </c>
    </row>
    <row r="1681" spans="1:15" s="1" customFormat="1" ht="15" customHeight="1" x14ac:dyDescent="0.25">
      <c r="A1681" s="18" t="s">
        <v>230</v>
      </c>
      <c r="B1681" s="18" t="s">
        <v>74</v>
      </c>
      <c r="C1681" s="5">
        <v>1798</v>
      </c>
      <c r="D1681" s="12" t="s">
        <v>34</v>
      </c>
      <c r="E1681" s="1" t="s">
        <v>2</v>
      </c>
      <c r="F1681" s="18">
        <v>2173</v>
      </c>
      <c r="G1681" s="18">
        <v>38</v>
      </c>
      <c r="H1681" s="5">
        <v>70</v>
      </c>
      <c r="I1681" s="1">
        <v>100</v>
      </c>
      <c r="J1681" s="1">
        <v>213</v>
      </c>
      <c r="L1681" t="str">
        <f t="shared" si="26"/>
        <v>http://www.badatelna.eu/reprodukce/?fondId=1073&amp;zaznamId=1108959&amp;reproId=3780031</v>
      </c>
      <c r="M1681">
        <f>VLOOKUP(F1681,Sheet2!$B$1:$E$19,2,FALSE)</f>
        <v>1073</v>
      </c>
      <c r="N1681">
        <f>VLOOKUP(F1681,Sheet2!$B$1:$E$19,3,FALSE)</f>
        <v>1108959</v>
      </c>
      <c r="O1681">
        <f>IF(G1681="Not available","",VLOOKUP(F1681,Sheet2!$B$1:$E$19,4,FALSE)+(G1681-1))</f>
        <v>3780031</v>
      </c>
    </row>
    <row r="1682" spans="1:15" s="1" customFormat="1" ht="15" customHeight="1" x14ac:dyDescent="0.25">
      <c r="A1682" s="18" t="s">
        <v>230</v>
      </c>
      <c r="B1682" s="18" t="s">
        <v>87</v>
      </c>
      <c r="C1682" s="5">
        <v>1808</v>
      </c>
      <c r="E1682" s="1" t="s">
        <v>2</v>
      </c>
      <c r="F1682" s="18">
        <v>2173</v>
      </c>
      <c r="G1682" s="18">
        <v>53</v>
      </c>
      <c r="H1682" s="5">
        <v>101</v>
      </c>
      <c r="I1682" s="1">
        <v>101</v>
      </c>
      <c r="J1682" s="1">
        <v>214</v>
      </c>
      <c r="L1682" t="str">
        <f t="shared" si="26"/>
        <v>http://www.badatelna.eu/reprodukce/?fondId=1073&amp;zaznamId=1108959&amp;reproId=3780046</v>
      </c>
      <c r="M1682">
        <f>VLOOKUP(F1682,Sheet2!$B$1:$E$19,2,FALSE)</f>
        <v>1073</v>
      </c>
      <c r="N1682">
        <f>VLOOKUP(F1682,Sheet2!$B$1:$E$19,3,FALSE)</f>
        <v>1108959</v>
      </c>
      <c r="O1682">
        <f>IF(G1682="Not available","",VLOOKUP(F1682,Sheet2!$B$1:$E$19,4,FALSE)+(G1682-1))</f>
        <v>3780046</v>
      </c>
    </row>
    <row r="1683" spans="1:15" s="1" customFormat="1" ht="15" customHeight="1" x14ac:dyDescent="0.25">
      <c r="A1683" s="18" t="s">
        <v>230</v>
      </c>
      <c r="B1683" s="18" t="s">
        <v>64</v>
      </c>
      <c r="C1683" s="5">
        <v>1818</v>
      </c>
      <c r="E1683" s="1" t="s">
        <v>2</v>
      </c>
      <c r="F1683" s="18">
        <v>2173</v>
      </c>
      <c r="G1683" s="18">
        <v>87</v>
      </c>
      <c r="H1683" s="6" t="s">
        <v>2999</v>
      </c>
      <c r="I1683" s="1">
        <v>101</v>
      </c>
      <c r="J1683" s="1">
        <v>214</v>
      </c>
      <c r="L1683" t="str">
        <f t="shared" si="26"/>
        <v>http://www.badatelna.eu/reprodukce/?fondId=1073&amp;zaznamId=1108959&amp;reproId=3780080</v>
      </c>
      <c r="M1683">
        <f>VLOOKUP(F1683,Sheet2!$B$1:$E$19,2,FALSE)</f>
        <v>1073</v>
      </c>
      <c r="N1683">
        <f>VLOOKUP(F1683,Sheet2!$B$1:$E$19,3,FALSE)</f>
        <v>1108959</v>
      </c>
      <c r="O1683">
        <f>IF(G1683="Not available","",VLOOKUP(F1683,Sheet2!$B$1:$E$19,4,FALSE)+(G1683-1))</f>
        <v>3780080</v>
      </c>
    </row>
    <row r="1684" spans="1:15" s="1" customFormat="1" ht="15" customHeight="1" x14ac:dyDescent="0.25">
      <c r="A1684" s="18" t="s">
        <v>230</v>
      </c>
      <c r="B1684" s="18" t="s">
        <v>180</v>
      </c>
      <c r="C1684" s="5">
        <v>1823</v>
      </c>
      <c r="E1684" s="1" t="s">
        <v>2</v>
      </c>
      <c r="F1684" s="18">
        <v>2173</v>
      </c>
      <c r="G1684" s="18">
        <v>75</v>
      </c>
      <c r="H1684" s="5">
        <v>142</v>
      </c>
      <c r="I1684" s="1">
        <v>101</v>
      </c>
      <c r="J1684" s="1">
        <v>214</v>
      </c>
      <c r="L1684" t="str">
        <f t="shared" si="26"/>
        <v>http://www.badatelna.eu/reprodukce/?fondId=1073&amp;zaznamId=1108959&amp;reproId=3780068</v>
      </c>
      <c r="M1684">
        <f>VLOOKUP(F1684,Sheet2!$B$1:$E$19,2,FALSE)</f>
        <v>1073</v>
      </c>
      <c r="N1684">
        <f>VLOOKUP(F1684,Sheet2!$B$1:$E$19,3,FALSE)</f>
        <v>1108959</v>
      </c>
      <c r="O1684">
        <f>IF(G1684="Not available","",VLOOKUP(F1684,Sheet2!$B$1:$E$19,4,FALSE)+(G1684-1))</f>
        <v>3780068</v>
      </c>
    </row>
    <row r="1685" spans="1:15" s="1" customFormat="1" ht="15" customHeight="1" x14ac:dyDescent="0.25">
      <c r="A1685" s="18" t="s">
        <v>230</v>
      </c>
      <c r="B1685" s="18" t="s">
        <v>12</v>
      </c>
      <c r="C1685" s="5">
        <v>1800</v>
      </c>
      <c r="D1685" s="1" t="s">
        <v>50</v>
      </c>
      <c r="E1685" s="1" t="s">
        <v>2</v>
      </c>
      <c r="F1685" s="18">
        <v>2173</v>
      </c>
      <c r="G1685" s="18">
        <v>40</v>
      </c>
      <c r="H1685" s="5">
        <v>74</v>
      </c>
      <c r="I1685" s="1">
        <v>100</v>
      </c>
      <c r="J1685" s="1">
        <v>213</v>
      </c>
      <c r="L1685" t="str">
        <f t="shared" si="26"/>
        <v>http://www.badatelna.eu/reprodukce/?fondId=1073&amp;zaznamId=1108959&amp;reproId=3780033</v>
      </c>
      <c r="M1685">
        <f>VLOOKUP(F1685,Sheet2!$B$1:$E$19,2,FALSE)</f>
        <v>1073</v>
      </c>
      <c r="N1685">
        <f>VLOOKUP(F1685,Sheet2!$B$1:$E$19,3,FALSE)</f>
        <v>1108959</v>
      </c>
      <c r="O1685">
        <f>IF(G1685="Not available","",VLOOKUP(F1685,Sheet2!$B$1:$E$19,4,FALSE)+(G1685-1))</f>
        <v>3780033</v>
      </c>
    </row>
    <row r="1686" spans="1:15" s="1" customFormat="1" ht="15" customHeight="1" x14ac:dyDescent="0.25">
      <c r="A1686" s="18" t="s">
        <v>230</v>
      </c>
      <c r="B1686" s="18" t="s">
        <v>40</v>
      </c>
      <c r="C1686" s="5">
        <v>1804</v>
      </c>
      <c r="D1686" s="4" t="s">
        <v>3291</v>
      </c>
      <c r="E1686" s="1" t="s">
        <v>2</v>
      </c>
      <c r="F1686" s="18">
        <v>2173</v>
      </c>
      <c r="G1686" s="18">
        <v>48</v>
      </c>
      <c r="H1686" s="5">
        <v>90</v>
      </c>
      <c r="I1686" s="1">
        <v>100</v>
      </c>
      <c r="J1686" s="1">
        <v>213</v>
      </c>
      <c r="K1686" s="4" t="s">
        <v>363</v>
      </c>
      <c r="L1686" t="str">
        <f t="shared" si="26"/>
        <v>http://www.badatelna.eu/reprodukce/?fondId=1073&amp;zaznamId=1108959&amp;reproId=3780041</v>
      </c>
      <c r="M1686">
        <f>VLOOKUP(F1686,Sheet2!$B$1:$E$19,2,FALSE)</f>
        <v>1073</v>
      </c>
      <c r="N1686">
        <f>VLOOKUP(F1686,Sheet2!$B$1:$E$19,3,FALSE)</f>
        <v>1108959</v>
      </c>
      <c r="O1686">
        <f>IF(G1686="Not available","",VLOOKUP(F1686,Sheet2!$B$1:$E$19,4,FALSE)+(G1686-1))</f>
        <v>3780041</v>
      </c>
    </row>
    <row r="1687" spans="1:15" s="1" customFormat="1" ht="15" customHeight="1" x14ac:dyDescent="0.25">
      <c r="A1687" s="18" t="s">
        <v>230</v>
      </c>
      <c r="B1687" s="18" t="s">
        <v>40</v>
      </c>
      <c r="C1687" s="5">
        <v>1808</v>
      </c>
      <c r="E1687" s="1" t="s">
        <v>2</v>
      </c>
      <c r="F1687" s="18">
        <v>2173</v>
      </c>
      <c r="G1687" s="18">
        <v>53</v>
      </c>
      <c r="H1687" s="5">
        <v>101</v>
      </c>
      <c r="I1687" s="1">
        <v>101</v>
      </c>
      <c r="J1687" s="1">
        <v>214</v>
      </c>
      <c r="L1687" t="str">
        <f t="shared" si="26"/>
        <v>http://www.badatelna.eu/reprodukce/?fondId=1073&amp;zaznamId=1108959&amp;reproId=3780046</v>
      </c>
      <c r="M1687">
        <f>VLOOKUP(F1687,Sheet2!$B$1:$E$19,2,FALSE)</f>
        <v>1073</v>
      </c>
      <c r="N1687">
        <f>VLOOKUP(F1687,Sheet2!$B$1:$E$19,3,FALSE)</f>
        <v>1108959</v>
      </c>
      <c r="O1687">
        <f>IF(G1687="Not available","",VLOOKUP(F1687,Sheet2!$B$1:$E$19,4,FALSE)+(G1687-1))</f>
        <v>3780046</v>
      </c>
    </row>
    <row r="1688" spans="1:15" s="1" customFormat="1" ht="15" customHeight="1" x14ac:dyDescent="0.25">
      <c r="A1688" s="18" t="s">
        <v>230</v>
      </c>
      <c r="B1688" s="18" t="s">
        <v>238</v>
      </c>
      <c r="C1688" s="5">
        <v>1812</v>
      </c>
      <c r="E1688" s="1" t="s">
        <v>2</v>
      </c>
      <c r="F1688" s="18">
        <v>2173</v>
      </c>
      <c r="G1688" s="18">
        <v>60</v>
      </c>
      <c r="H1688" s="5">
        <v>115</v>
      </c>
      <c r="I1688" s="1">
        <v>101</v>
      </c>
      <c r="J1688" s="1">
        <v>214</v>
      </c>
      <c r="L1688" t="str">
        <f t="shared" si="26"/>
        <v>http://www.badatelna.eu/reprodukce/?fondId=1073&amp;zaznamId=1108959&amp;reproId=3780053</v>
      </c>
      <c r="M1688">
        <f>VLOOKUP(F1688,Sheet2!$B$1:$E$19,2,FALSE)</f>
        <v>1073</v>
      </c>
      <c r="N1688">
        <f>VLOOKUP(F1688,Sheet2!$B$1:$E$19,3,FALSE)</f>
        <v>1108959</v>
      </c>
      <c r="O1688">
        <f>IF(G1688="Not available","",VLOOKUP(F1688,Sheet2!$B$1:$E$19,4,FALSE)+(G1688-1))</f>
        <v>3780053</v>
      </c>
    </row>
    <row r="1689" spans="1:15" s="1" customFormat="1" ht="15" customHeight="1" x14ac:dyDescent="0.25">
      <c r="A1689" s="18" t="s">
        <v>230</v>
      </c>
      <c r="B1689" s="19" t="s">
        <v>120</v>
      </c>
      <c r="C1689" s="5">
        <v>1805</v>
      </c>
      <c r="E1689" s="1" t="s">
        <v>2</v>
      </c>
      <c r="F1689" s="18">
        <v>2173</v>
      </c>
      <c r="G1689" s="18">
        <v>49</v>
      </c>
      <c r="H1689" s="5">
        <v>93</v>
      </c>
      <c r="I1689" s="1">
        <v>100</v>
      </c>
      <c r="J1689" s="1">
        <v>213</v>
      </c>
      <c r="L1689" t="str">
        <f t="shared" si="26"/>
        <v>http://www.badatelna.eu/reprodukce/?fondId=1073&amp;zaznamId=1108959&amp;reproId=3780042</v>
      </c>
      <c r="M1689">
        <f>VLOOKUP(F1689,Sheet2!$B$1:$E$19,2,FALSE)</f>
        <v>1073</v>
      </c>
      <c r="N1689">
        <f>VLOOKUP(F1689,Sheet2!$B$1:$E$19,3,FALSE)</f>
        <v>1108959</v>
      </c>
      <c r="O1689">
        <f>IF(G1689="Not available","",VLOOKUP(F1689,Sheet2!$B$1:$E$19,4,FALSE)+(G1689-1))</f>
        <v>3780042</v>
      </c>
    </row>
    <row r="1690" spans="1:15" s="1" customFormat="1" ht="15" customHeight="1" x14ac:dyDescent="0.25">
      <c r="A1690" s="18" t="s">
        <v>230</v>
      </c>
      <c r="B1690" s="18" t="s">
        <v>120</v>
      </c>
      <c r="C1690" s="5">
        <v>1809</v>
      </c>
      <c r="E1690" s="1" t="s">
        <v>2</v>
      </c>
      <c r="F1690" s="18">
        <v>2173</v>
      </c>
      <c r="G1690" s="18">
        <v>55</v>
      </c>
      <c r="H1690" s="5">
        <v>104</v>
      </c>
      <c r="I1690" s="1">
        <v>101</v>
      </c>
      <c r="J1690" s="1">
        <v>214</v>
      </c>
      <c r="L1690" t="str">
        <f t="shared" si="26"/>
        <v>http://www.badatelna.eu/reprodukce/?fondId=1073&amp;zaznamId=1108959&amp;reproId=3780048</v>
      </c>
      <c r="M1690">
        <f>VLOOKUP(F1690,Sheet2!$B$1:$E$19,2,FALSE)</f>
        <v>1073</v>
      </c>
      <c r="N1690">
        <f>VLOOKUP(F1690,Sheet2!$B$1:$E$19,3,FALSE)</f>
        <v>1108959</v>
      </c>
      <c r="O1690">
        <f>IF(G1690="Not available","",VLOOKUP(F1690,Sheet2!$B$1:$E$19,4,FALSE)+(G1690-1))</f>
        <v>3780048</v>
      </c>
    </row>
    <row r="1691" spans="1:15" s="1" customFormat="1" ht="15" customHeight="1" x14ac:dyDescent="0.25">
      <c r="A1691" s="18" t="s">
        <v>230</v>
      </c>
      <c r="B1691" s="18" t="s">
        <v>239</v>
      </c>
      <c r="C1691" s="5">
        <v>1814</v>
      </c>
      <c r="E1691" s="1" t="s">
        <v>2</v>
      </c>
      <c r="F1691" s="18">
        <v>2173</v>
      </c>
      <c r="G1691" s="18">
        <v>63</v>
      </c>
      <c r="H1691" s="5">
        <v>121</v>
      </c>
      <c r="I1691" s="1">
        <v>101</v>
      </c>
      <c r="J1691" s="1">
        <v>214</v>
      </c>
      <c r="L1691" t="str">
        <f t="shared" si="26"/>
        <v>http://www.badatelna.eu/reprodukce/?fondId=1073&amp;zaznamId=1108959&amp;reproId=3780056</v>
      </c>
      <c r="M1691">
        <f>VLOOKUP(F1691,Sheet2!$B$1:$E$19,2,FALSE)</f>
        <v>1073</v>
      </c>
      <c r="N1691">
        <f>VLOOKUP(F1691,Sheet2!$B$1:$E$19,3,FALSE)</f>
        <v>1108959</v>
      </c>
      <c r="O1691">
        <f>IF(G1691="Not available","",VLOOKUP(F1691,Sheet2!$B$1:$E$19,4,FALSE)+(G1691-1))</f>
        <v>3780056</v>
      </c>
    </row>
    <row r="1692" spans="1:15" s="1" customFormat="1" ht="15" customHeight="1" x14ac:dyDescent="0.25">
      <c r="A1692" s="18" t="s">
        <v>230</v>
      </c>
      <c r="B1692" s="18" t="s">
        <v>240</v>
      </c>
      <c r="C1692" s="6" t="s">
        <v>2960</v>
      </c>
      <c r="E1692" s="1" t="s">
        <v>2</v>
      </c>
      <c r="F1692" s="18">
        <v>2173</v>
      </c>
      <c r="G1692" s="18">
        <v>67</v>
      </c>
      <c r="H1692" s="6" t="s">
        <v>2999</v>
      </c>
      <c r="I1692" s="1">
        <v>101</v>
      </c>
      <c r="J1692" s="1">
        <v>214</v>
      </c>
      <c r="L1692" t="str">
        <f t="shared" si="26"/>
        <v>http://www.badatelna.eu/reprodukce/?fondId=1073&amp;zaznamId=1108959&amp;reproId=3780060</v>
      </c>
      <c r="M1692">
        <f>VLOOKUP(F1692,Sheet2!$B$1:$E$19,2,FALSE)</f>
        <v>1073</v>
      </c>
      <c r="N1692">
        <f>VLOOKUP(F1692,Sheet2!$B$1:$E$19,3,FALSE)</f>
        <v>1108959</v>
      </c>
      <c r="O1692">
        <f>IF(G1692="Not available","",VLOOKUP(F1692,Sheet2!$B$1:$E$19,4,FALSE)+(G1692-1))</f>
        <v>3780060</v>
      </c>
    </row>
    <row r="1693" spans="1:15" s="1" customFormat="1" ht="15" customHeight="1" x14ac:dyDescent="0.25">
      <c r="A1693" s="18" t="s">
        <v>230</v>
      </c>
      <c r="B1693" s="18" t="s">
        <v>56</v>
      </c>
      <c r="C1693" s="5">
        <v>1801</v>
      </c>
      <c r="E1693" s="1" t="s">
        <v>2</v>
      </c>
      <c r="F1693" s="18">
        <v>2173</v>
      </c>
      <c r="G1693" s="18">
        <v>46</v>
      </c>
      <c r="H1693" s="5">
        <v>86</v>
      </c>
      <c r="I1693" s="1">
        <v>100</v>
      </c>
      <c r="J1693" s="1">
        <v>213</v>
      </c>
      <c r="L1693" t="str">
        <f t="shared" si="26"/>
        <v>http://www.badatelna.eu/reprodukce/?fondId=1073&amp;zaznamId=1108959&amp;reproId=3780039</v>
      </c>
      <c r="M1693">
        <f>VLOOKUP(F1693,Sheet2!$B$1:$E$19,2,FALSE)</f>
        <v>1073</v>
      </c>
      <c r="N1693">
        <f>VLOOKUP(F1693,Sheet2!$B$1:$E$19,3,FALSE)</f>
        <v>1108959</v>
      </c>
      <c r="O1693">
        <f>IF(G1693="Not available","",VLOOKUP(F1693,Sheet2!$B$1:$E$19,4,FALSE)+(G1693-1))</f>
        <v>3780039</v>
      </c>
    </row>
    <row r="1694" spans="1:15" s="1" customFormat="1" ht="15" customHeight="1" x14ac:dyDescent="0.25">
      <c r="A1694" s="18" t="s">
        <v>230</v>
      </c>
      <c r="B1694" s="18" t="s">
        <v>22</v>
      </c>
      <c r="C1694" s="5">
        <v>1811</v>
      </c>
      <c r="E1694" s="1" t="s">
        <v>2</v>
      </c>
      <c r="F1694" s="18">
        <v>2173</v>
      </c>
      <c r="G1694" s="18">
        <v>58</v>
      </c>
      <c r="H1694" s="5">
        <v>111</v>
      </c>
      <c r="I1694" s="1">
        <v>101</v>
      </c>
      <c r="J1694" s="1">
        <v>214</v>
      </c>
      <c r="L1694" t="str">
        <f t="shared" si="26"/>
        <v>http://www.badatelna.eu/reprodukce/?fondId=1073&amp;zaznamId=1108959&amp;reproId=3780051</v>
      </c>
      <c r="M1694">
        <f>VLOOKUP(F1694,Sheet2!$B$1:$E$19,2,FALSE)</f>
        <v>1073</v>
      </c>
      <c r="N1694">
        <f>VLOOKUP(F1694,Sheet2!$B$1:$E$19,3,FALSE)</f>
        <v>1108959</v>
      </c>
      <c r="O1694">
        <f>IF(G1694="Not available","",VLOOKUP(F1694,Sheet2!$B$1:$E$19,4,FALSE)+(G1694-1))</f>
        <v>3780051</v>
      </c>
    </row>
    <row r="1695" spans="1:15" s="1" customFormat="1" ht="15" customHeight="1" x14ac:dyDescent="0.25">
      <c r="A1695" s="18" t="s">
        <v>230</v>
      </c>
      <c r="B1695" s="18" t="s">
        <v>233</v>
      </c>
      <c r="C1695" s="5">
        <v>1804</v>
      </c>
      <c r="E1695" s="1" t="s">
        <v>2</v>
      </c>
      <c r="F1695" s="18">
        <v>2173</v>
      </c>
      <c r="G1695" s="18">
        <v>47</v>
      </c>
      <c r="H1695" s="5">
        <v>89</v>
      </c>
      <c r="I1695" s="1">
        <v>100</v>
      </c>
      <c r="J1695" s="1">
        <v>213</v>
      </c>
      <c r="L1695" t="str">
        <f t="shared" si="26"/>
        <v>http://www.badatelna.eu/reprodukce/?fondId=1073&amp;zaznamId=1108959&amp;reproId=3780040</v>
      </c>
      <c r="M1695">
        <f>VLOOKUP(F1695,Sheet2!$B$1:$E$19,2,FALSE)</f>
        <v>1073</v>
      </c>
      <c r="N1695">
        <f>VLOOKUP(F1695,Sheet2!$B$1:$E$19,3,FALSE)</f>
        <v>1108959</v>
      </c>
      <c r="O1695">
        <f>IF(G1695="Not available","",VLOOKUP(F1695,Sheet2!$B$1:$E$19,4,FALSE)+(G1695-1))</f>
        <v>3780040</v>
      </c>
    </row>
    <row r="1696" spans="1:15" s="1" customFormat="1" ht="15" customHeight="1" x14ac:dyDescent="0.25">
      <c r="A1696" s="18" t="s">
        <v>230</v>
      </c>
      <c r="B1696" s="18" t="s">
        <v>100</v>
      </c>
      <c r="C1696" s="5">
        <v>1804</v>
      </c>
      <c r="D1696" s="4" t="s">
        <v>3291</v>
      </c>
      <c r="E1696" s="1" t="s">
        <v>2</v>
      </c>
      <c r="F1696" s="18">
        <v>2173</v>
      </c>
      <c r="G1696" s="18">
        <v>48</v>
      </c>
      <c r="H1696" s="5">
        <v>90</v>
      </c>
      <c r="I1696" s="1">
        <v>100</v>
      </c>
      <c r="J1696" s="1">
        <v>213</v>
      </c>
      <c r="K1696" s="4" t="s">
        <v>3290</v>
      </c>
      <c r="L1696" t="str">
        <f t="shared" si="26"/>
        <v>http://www.badatelna.eu/reprodukce/?fondId=1073&amp;zaznamId=1108959&amp;reproId=3780041</v>
      </c>
      <c r="M1696">
        <f>VLOOKUP(F1696,Sheet2!$B$1:$E$19,2,FALSE)</f>
        <v>1073</v>
      </c>
      <c r="N1696">
        <f>VLOOKUP(F1696,Sheet2!$B$1:$E$19,3,FALSE)</f>
        <v>1108959</v>
      </c>
      <c r="O1696">
        <f>IF(G1696="Not available","",VLOOKUP(F1696,Sheet2!$B$1:$E$19,4,FALSE)+(G1696-1))</f>
        <v>3780041</v>
      </c>
    </row>
    <row r="1697" spans="1:15" s="1" customFormat="1" ht="15" customHeight="1" x14ac:dyDescent="0.25">
      <c r="A1697" s="18" t="s">
        <v>230</v>
      </c>
      <c r="B1697" s="18" t="s">
        <v>100</v>
      </c>
      <c r="C1697" s="5">
        <v>1804</v>
      </c>
      <c r="D1697" s="4" t="s">
        <v>3289</v>
      </c>
      <c r="E1697" s="1" t="s">
        <v>2</v>
      </c>
      <c r="F1697" s="18">
        <v>2173</v>
      </c>
      <c r="G1697" s="18">
        <v>48</v>
      </c>
      <c r="H1697" s="5">
        <v>91</v>
      </c>
      <c r="I1697" s="1">
        <v>100</v>
      </c>
      <c r="J1697" s="1">
        <v>213</v>
      </c>
      <c r="L1697" t="str">
        <f t="shared" si="26"/>
        <v>http://www.badatelna.eu/reprodukce/?fondId=1073&amp;zaznamId=1108959&amp;reproId=3780041</v>
      </c>
      <c r="M1697">
        <f>VLOOKUP(F1697,Sheet2!$B$1:$E$19,2,FALSE)</f>
        <v>1073</v>
      </c>
      <c r="N1697">
        <f>VLOOKUP(F1697,Sheet2!$B$1:$E$19,3,FALSE)</f>
        <v>1108959</v>
      </c>
      <c r="O1697">
        <f>IF(G1697="Not available","",VLOOKUP(F1697,Sheet2!$B$1:$E$19,4,FALSE)+(G1697-1))</f>
        <v>3780041</v>
      </c>
    </row>
    <row r="1698" spans="1:15" s="1" customFormat="1" ht="15" customHeight="1" x14ac:dyDescent="0.25">
      <c r="A1698" s="18" t="s">
        <v>230</v>
      </c>
      <c r="B1698" s="18" t="s">
        <v>146</v>
      </c>
      <c r="C1698" s="5">
        <v>1811</v>
      </c>
      <c r="E1698" s="1" t="s">
        <v>2</v>
      </c>
      <c r="F1698" s="18">
        <v>2173</v>
      </c>
      <c r="G1698" s="18">
        <v>57</v>
      </c>
      <c r="H1698" s="5">
        <v>109</v>
      </c>
      <c r="I1698" s="1">
        <v>101</v>
      </c>
      <c r="J1698" s="1">
        <v>214</v>
      </c>
      <c r="L1698" t="str">
        <f t="shared" si="26"/>
        <v>http://www.badatelna.eu/reprodukce/?fondId=1073&amp;zaznamId=1108959&amp;reproId=3780050</v>
      </c>
      <c r="M1698">
        <f>VLOOKUP(F1698,Sheet2!$B$1:$E$19,2,FALSE)</f>
        <v>1073</v>
      </c>
      <c r="N1698">
        <f>VLOOKUP(F1698,Sheet2!$B$1:$E$19,3,FALSE)</f>
        <v>1108959</v>
      </c>
      <c r="O1698">
        <f>IF(G1698="Not available","",VLOOKUP(F1698,Sheet2!$B$1:$E$19,4,FALSE)+(G1698-1))</f>
        <v>3780050</v>
      </c>
    </row>
    <row r="1699" spans="1:15" s="1" customFormat="1" ht="15" customHeight="1" x14ac:dyDescent="0.25">
      <c r="A1699" s="18" t="s">
        <v>230</v>
      </c>
      <c r="B1699" s="18" t="s">
        <v>11</v>
      </c>
      <c r="C1699" s="5">
        <v>1807</v>
      </c>
      <c r="E1699" s="1" t="s">
        <v>2</v>
      </c>
      <c r="F1699" s="18">
        <v>2173</v>
      </c>
      <c r="G1699" s="18">
        <v>52</v>
      </c>
      <c r="H1699" s="5">
        <v>99</v>
      </c>
      <c r="I1699" s="1">
        <v>100</v>
      </c>
      <c r="J1699" s="1">
        <v>213</v>
      </c>
      <c r="L1699" t="str">
        <f t="shared" si="26"/>
        <v>http://www.badatelna.eu/reprodukce/?fondId=1073&amp;zaznamId=1108959&amp;reproId=3780045</v>
      </c>
      <c r="M1699">
        <f>VLOOKUP(F1699,Sheet2!$B$1:$E$19,2,FALSE)</f>
        <v>1073</v>
      </c>
      <c r="N1699">
        <f>VLOOKUP(F1699,Sheet2!$B$1:$E$19,3,FALSE)</f>
        <v>1108959</v>
      </c>
      <c r="O1699">
        <f>IF(G1699="Not available","",VLOOKUP(F1699,Sheet2!$B$1:$E$19,4,FALSE)+(G1699-1))</f>
        <v>3780045</v>
      </c>
    </row>
    <row r="1700" spans="1:15" s="1" customFormat="1" ht="15" customHeight="1" x14ac:dyDescent="0.25">
      <c r="A1700" s="18" t="s">
        <v>230</v>
      </c>
      <c r="B1700" s="18" t="s">
        <v>23</v>
      </c>
      <c r="C1700" s="5">
        <v>1811</v>
      </c>
      <c r="E1700" s="1" t="s">
        <v>2</v>
      </c>
      <c r="F1700" s="18">
        <v>2173</v>
      </c>
      <c r="G1700" s="18">
        <v>58</v>
      </c>
      <c r="H1700" s="5">
        <v>110</v>
      </c>
      <c r="I1700" s="1">
        <v>101</v>
      </c>
      <c r="J1700" s="1">
        <v>214</v>
      </c>
      <c r="L1700" t="str">
        <f t="shared" si="26"/>
        <v>http://www.badatelna.eu/reprodukce/?fondId=1073&amp;zaznamId=1108959&amp;reproId=3780051</v>
      </c>
      <c r="M1700">
        <f>VLOOKUP(F1700,Sheet2!$B$1:$E$19,2,FALSE)</f>
        <v>1073</v>
      </c>
      <c r="N1700">
        <f>VLOOKUP(F1700,Sheet2!$B$1:$E$19,3,FALSE)</f>
        <v>1108959</v>
      </c>
      <c r="O1700">
        <f>IF(G1700="Not available","",VLOOKUP(F1700,Sheet2!$B$1:$E$19,4,FALSE)+(G1700-1))</f>
        <v>3780051</v>
      </c>
    </row>
    <row r="1701" spans="1:15" s="1" customFormat="1" ht="15" customHeight="1" x14ac:dyDescent="0.25">
      <c r="A1701" s="18" t="s">
        <v>230</v>
      </c>
      <c r="B1701" s="18" t="s">
        <v>229</v>
      </c>
      <c r="C1701" s="5">
        <v>1797</v>
      </c>
      <c r="D1701" s="1" t="s">
        <v>50</v>
      </c>
      <c r="E1701" s="1" t="s">
        <v>2</v>
      </c>
      <c r="F1701" s="18">
        <v>2173</v>
      </c>
      <c r="G1701" s="18">
        <v>35</v>
      </c>
      <c r="H1701" s="5">
        <v>65</v>
      </c>
      <c r="I1701" s="1">
        <v>100</v>
      </c>
      <c r="J1701" s="1">
        <v>213</v>
      </c>
      <c r="L1701" t="str">
        <f t="shared" si="26"/>
        <v>http://www.badatelna.eu/reprodukce/?fondId=1073&amp;zaznamId=1108959&amp;reproId=3780028</v>
      </c>
      <c r="M1701">
        <f>VLOOKUP(F1701,Sheet2!$B$1:$E$19,2,FALSE)</f>
        <v>1073</v>
      </c>
      <c r="N1701">
        <f>VLOOKUP(F1701,Sheet2!$B$1:$E$19,3,FALSE)</f>
        <v>1108959</v>
      </c>
      <c r="O1701">
        <f>IF(G1701="Not available","",VLOOKUP(F1701,Sheet2!$B$1:$E$19,4,FALSE)+(G1701-1))</f>
        <v>3780028</v>
      </c>
    </row>
    <row r="1702" spans="1:15" s="1" customFormat="1" ht="15" customHeight="1" x14ac:dyDescent="0.25">
      <c r="A1702" s="18" t="s">
        <v>230</v>
      </c>
      <c r="B1702" s="19" t="s">
        <v>76</v>
      </c>
      <c r="C1702" s="5">
        <v>1805</v>
      </c>
      <c r="E1702" s="1" t="s">
        <v>2</v>
      </c>
      <c r="F1702" s="18">
        <v>2173</v>
      </c>
      <c r="G1702" s="18">
        <v>51</v>
      </c>
      <c r="H1702" s="5">
        <v>97</v>
      </c>
      <c r="I1702" s="1">
        <v>100</v>
      </c>
      <c r="J1702" s="1">
        <v>213</v>
      </c>
      <c r="L1702" t="str">
        <f t="shared" si="26"/>
        <v>http://www.badatelna.eu/reprodukce/?fondId=1073&amp;zaznamId=1108959&amp;reproId=3780044</v>
      </c>
      <c r="M1702">
        <f>VLOOKUP(F1702,Sheet2!$B$1:$E$19,2,FALSE)</f>
        <v>1073</v>
      </c>
      <c r="N1702">
        <f>VLOOKUP(F1702,Sheet2!$B$1:$E$19,3,FALSE)</f>
        <v>1108959</v>
      </c>
      <c r="O1702">
        <f>IF(G1702="Not available","",VLOOKUP(F1702,Sheet2!$B$1:$E$19,4,FALSE)+(G1702-1))</f>
        <v>3780044</v>
      </c>
    </row>
    <row r="1703" spans="1:15" s="1" customFormat="1" ht="15" customHeight="1" x14ac:dyDescent="0.25">
      <c r="A1703" s="18" t="s">
        <v>2386</v>
      </c>
      <c r="B1703" s="18" t="s">
        <v>2173</v>
      </c>
      <c r="C1703" s="10" t="s">
        <v>2036</v>
      </c>
      <c r="D1703" s="3" t="s">
        <v>2387</v>
      </c>
      <c r="E1703" s="4" t="s">
        <v>2</v>
      </c>
      <c r="F1703" s="18">
        <v>2176</v>
      </c>
      <c r="G1703" s="18" t="s">
        <v>3271</v>
      </c>
      <c r="H1703" s="10" t="s">
        <v>2332</v>
      </c>
      <c r="I1703" s="3">
        <v>19</v>
      </c>
      <c r="J1703" s="3" t="s">
        <v>3271</v>
      </c>
      <c r="K1703" s="3"/>
      <c r="L1703" t="str">
        <f t="shared" si="26"/>
        <v/>
      </c>
      <c r="M1703">
        <f>VLOOKUP(F1703,Sheet2!$B$1:$E$19,2,FALSE)</f>
        <v>1073</v>
      </c>
      <c r="N1703">
        <f>VLOOKUP(F1703,Sheet2!$B$1:$E$19,3,FALSE)</f>
        <v>1108963</v>
      </c>
      <c r="O1703" t="str">
        <f>IF(G1703="Not available","",VLOOKUP(F1703,Sheet2!$B$1:$E$19,4,FALSE)+(G1703-1))</f>
        <v/>
      </c>
    </row>
    <row r="1704" spans="1:15" s="1" customFormat="1" ht="15" customHeight="1" x14ac:dyDescent="0.25">
      <c r="A1704" s="18" t="s">
        <v>2386</v>
      </c>
      <c r="B1704" s="18" t="s">
        <v>432</v>
      </c>
      <c r="C1704" s="10" t="s">
        <v>2024</v>
      </c>
      <c r="D1704" s="3" t="s">
        <v>2387</v>
      </c>
      <c r="E1704" s="4" t="s">
        <v>2</v>
      </c>
      <c r="F1704" s="18">
        <v>2176</v>
      </c>
      <c r="G1704" s="18" t="s">
        <v>3271</v>
      </c>
      <c r="H1704" s="10" t="s">
        <v>2388</v>
      </c>
      <c r="I1704" s="3">
        <v>19</v>
      </c>
      <c r="J1704" s="3" t="s">
        <v>3271</v>
      </c>
      <c r="K1704" s="3"/>
      <c r="L1704" t="str">
        <f t="shared" si="26"/>
        <v/>
      </c>
      <c r="M1704">
        <f>VLOOKUP(F1704,Sheet2!$B$1:$E$19,2,FALSE)</f>
        <v>1073</v>
      </c>
      <c r="N1704">
        <f>VLOOKUP(F1704,Sheet2!$B$1:$E$19,3,FALSE)</f>
        <v>1108963</v>
      </c>
      <c r="O1704" t="str">
        <f>IF(G1704="Not available","",VLOOKUP(F1704,Sheet2!$B$1:$E$19,4,FALSE)+(G1704-1))</f>
        <v/>
      </c>
    </row>
    <row r="1705" spans="1:15" s="1" customFormat="1" ht="15" customHeight="1" x14ac:dyDescent="0.25">
      <c r="A1705" s="18" t="s">
        <v>1148</v>
      </c>
      <c r="B1705" s="18" t="s">
        <v>436</v>
      </c>
      <c r="C1705" s="5">
        <v>1883</v>
      </c>
      <c r="D1705" s="1" t="s">
        <v>233</v>
      </c>
      <c r="E1705" s="1" t="s">
        <v>2</v>
      </c>
      <c r="F1705" s="18">
        <v>2165</v>
      </c>
      <c r="G1705" s="18">
        <v>188</v>
      </c>
      <c r="H1705" s="5">
        <v>4</v>
      </c>
      <c r="I1705" s="1">
        <v>190</v>
      </c>
      <c r="J1705" s="1">
        <v>167</v>
      </c>
      <c r="L1705" t="str">
        <f t="shared" si="26"/>
        <v>http://www.badatelna.eu/reprodukce/?fondId=1073&amp;zaznamId=1108952&amp;reproId=3779049</v>
      </c>
      <c r="M1705">
        <f>VLOOKUP(F1705,Sheet2!$B$1:$E$19,2,FALSE)</f>
        <v>1073</v>
      </c>
      <c r="N1705">
        <f>VLOOKUP(F1705,Sheet2!$B$1:$E$19,3,FALSE)</f>
        <v>1108952</v>
      </c>
      <c r="O1705">
        <f>IF(G1705="Not available","",VLOOKUP(F1705,Sheet2!$B$1:$E$19,4,FALSE)+(G1705-1))</f>
        <v>3779049</v>
      </c>
    </row>
    <row r="1706" spans="1:15" s="1" customFormat="1" ht="15" customHeight="1" x14ac:dyDescent="0.25">
      <c r="A1706" s="18" t="s">
        <v>667</v>
      </c>
      <c r="B1706" s="18" t="s">
        <v>1031</v>
      </c>
      <c r="C1706" s="5" t="s">
        <v>1449</v>
      </c>
      <c r="D1706" s="1" t="s">
        <v>93</v>
      </c>
      <c r="E1706" s="1" t="s">
        <v>2</v>
      </c>
      <c r="F1706" s="18">
        <v>2165</v>
      </c>
      <c r="G1706" s="18">
        <v>48</v>
      </c>
      <c r="H1706" s="5">
        <v>45</v>
      </c>
      <c r="I1706" s="1">
        <v>83</v>
      </c>
      <c r="J1706" s="1" t="s">
        <v>3271</v>
      </c>
      <c r="L1706" t="str">
        <f t="shared" si="26"/>
        <v>http://www.badatelna.eu/reprodukce/?fondId=1073&amp;zaznamId=1108952&amp;reproId=3778909</v>
      </c>
      <c r="M1706">
        <f>VLOOKUP(F1706,Sheet2!$B$1:$E$19,2,FALSE)</f>
        <v>1073</v>
      </c>
      <c r="N1706">
        <f>VLOOKUP(F1706,Sheet2!$B$1:$E$19,3,FALSE)</f>
        <v>1108952</v>
      </c>
      <c r="O1706">
        <f>IF(G1706="Not available","",VLOOKUP(F1706,Sheet2!$B$1:$E$19,4,FALSE)+(G1706-1))</f>
        <v>3778909</v>
      </c>
    </row>
    <row r="1707" spans="1:15" s="1" customFormat="1" ht="15" customHeight="1" x14ac:dyDescent="0.25">
      <c r="A1707" s="18" t="s">
        <v>667</v>
      </c>
      <c r="B1707" s="18" t="s">
        <v>738</v>
      </c>
      <c r="C1707" s="5" t="s">
        <v>1445</v>
      </c>
      <c r="D1707" s="1" t="s">
        <v>93</v>
      </c>
      <c r="E1707" s="1" t="s">
        <v>2</v>
      </c>
      <c r="F1707" s="18">
        <v>2165</v>
      </c>
      <c r="G1707" s="18">
        <v>27</v>
      </c>
      <c r="H1707" s="5">
        <v>24</v>
      </c>
      <c r="I1707" s="1">
        <v>83</v>
      </c>
      <c r="J1707" s="1" t="s">
        <v>3271</v>
      </c>
      <c r="L1707" t="str">
        <f t="shared" si="26"/>
        <v>http://www.badatelna.eu/reprodukce/?fondId=1073&amp;zaznamId=1108952&amp;reproId=3778888</v>
      </c>
      <c r="M1707">
        <f>VLOOKUP(F1707,Sheet2!$B$1:$E$19,2,FALSE)</f>
        <v>1073</v>
      </c>
      <c r="N1707">
        <f>VLOOKUP(F1707,Sheet2!$B$1:$E$19,3,FALSE)</f>
        <v>1108952</v>
      </c>
      <c r="O1707">
        <f>IF(G1707="Not available","",VLOOKUP(F1707,Sheet2!$B$1:$E$19,4,FALSE)+(G1707-1))</f>
        <v>3778888</v>
      </c>
    </row>
    <row r="1708" spans="1:15" s="1" customFormat="1" ht="15" customHeight="1" x14ac:dyDescent="0.25">
      <c r="A1708" s="18" t="s">
        <v>667</v>
      </c>
      <c r="B1708" s="18" t="s">
        <v>738</v>
      </c>
      <c r="C1708" s="5" t="s">
        <v>1454</v>
      </c>
      <c r="D1708" s="1" t="s">
        <v>64</v>
      </c>
      <c r="E1708" s="1" t="s">
        <v>2</v>
      </c>
      <c r="F1708" s="18">
        <v>2165</v>
      </c>
      <c r="G1708" s="18">
        <v>66</v>
      </c>
      <c r="H1708" s="5">
        <v>63</v>
      </c>
      <c r="I1708" s="1">
        <v>84</v>
      </c>
      <c r="J1708" s="1" t="s">
        <v>3271</v>
      </c>
      <c r="L1708" t="str">
        <f t="shared" si="26"/>
        <v>http://www.badatelna.eu/reprodukce/?fondId=1073&amp;zaznamId=1108952&amp;reproId=3778927</v>
      </c>
      <c r="M1708">
        <f>VLOOKUP(F1708,Sheet2!$B$1:$E$19,2,FALSE)</f>
        <v>1073</v>
      </c>
      <c r="N1708">
        <f>VLOOKUP(F1708,Sheet2!$B$1:$E$19,3,FALSE)</f>
        <v>1108952</v>
      </c>
      <c r="O1708">
        <f>IF(G1708="Not available","",VLOOKUP(F1708,Sheet2!$B$1:$E$19,4,FALSE)+(G1708-1))</f>
        <v>3778927</v>
      </c>
    </row>
    <row r="1709" spans="1:15" s="1" customFormat="1" ht="15" customHeight="1" x14ac:dyDescent="0.25">
      <c r="A1709" s="18" t="s">
        <v>667</v>
      </c>
      <c r="B1709" s="18" t="s">
        <v>477</v>
      </c>
      <c r="C1709" s="10" t="s">
        <v>1987</v>
      </c>
      <c r="D1709" s="3" t="s">
        <v>2379</v>
      </c>
      <c r="E1709" s="4" t="s">
        <v>2</v>
      </c>
      <c r="F1709" s="18">
        <v>2176</v>
      </c>
      <c r="G1709" s="18" t="s">
        <v>3271</v>
      </c>
      <c r="H1709" s="14" t="s">
        <v>3125</v>
      </c>
      <c r="I1709" s="3">
        <v>19</v>
      </c>
      <c r="J1709" s="3" t="s">
        <v>3271</v>
      </c>
      <c r="L1709" t="str">
        <f t="shared" si="26"/>
        <v/>
      </c>
      <c r="M1709">
        <f>VLOOKUP(F1709,Sheet2!$B$1:$E$19,2,FALSE)</f>
        <v>1073</v>
      </c>
      <c r="N1709">
        <f>VLOOKUP(F1709,Sheet2!$B$1:$E$19,3,FALSE)</f>
        <v>1108963</v>
      </c>
      <c r="O1709" t="str">
        <f>IF(G1709="Not available","",VLOOKUP(F1709,Sheet2!$B$1:$E$19,4,FALSE)+(G1709-1))</f>
        <v/>
      </c>
    </row>
    <row r="1710" spans="1:15" s="1" customFormat="1" ht="15" customHeight="1" x14ac:dyDescent="0.25">
      <c r="A1710" s="18" t="s">
        <v>667</v>
      </c>
      <c r="B1710" s="18" t="s">
        <v>92</v>
      </c>
      <c r="C1710" s="10" t="s">
        <v>2079</v>
      </c>
      <c r="D1710" s="3" t="s">
        <v>2395</v>
      </c>
      <c r="E1710" s="4" t="s">
        <v>2</v>
      </c>
      <c r="F1710" s="18">
        <v>2176</v>
      </c>
      <c r="G1710" s="18" t="s">
        <v>3271</v>
      </c>
      <c r="H1710" s="10" t="s">
        <v>1955</v>
      </c>
      <c r="I1710" s="3">
        <v>20</v>
      </c>
      <c r="J1710" s="3" t="s">
        <v>3271</v>
      </c>
      <c r="K1710" s="3"/>
      <c r="L1710" t="str">
        <f t="shared" si="26"/>
        <v/>
      </c>
      <c r="M1710">
        <f>VLOOKUP(F1710,Sheet2!$B$1:$E$19,2,FALSE)</f>
        <v>1073</v>
      </c>
      <c r="N1710">
        <f>VLOOKUP(F1710,Sheet2!$B$1:$E$19,3,FALSE)</f>
        <v>1108963</v>
      </c>
      <c r="O1710" t="str">
        <f>IF(G1710="Not available","",VLOOKUP(F1710,Sheet2!$B$1:$E$19,4,FALSE)+(G1710-1))</f>
        <v/>
      </c>
    </row>
    <row r="1711" spans="1:15" s="1" customFormat="1" ht="15" customHeight="1" x14ac:dyDescent="0.25">
      <c r="A1711" s="18" t="s">
        <v>667</v>
      </c>
      <c r="B1711" s="18" t="s">
        <v>92</v>
      </c>
      <c r="C1711" s="5" t="s">
        <v>1815</v>
      </c>
      <c r="D1711" s="1" t="s">
        <v>219</v>
      </c>
      <c r="E1711" s="1" t="s">
        <v>2</v>
      </c>
      <c r="F1711" s="18">
        <v>2165</v>
      </c>
      <c r="G1711" s="18">
        <v>247</v>
      </c>
      <c r="H1711" s="5">
        <v>1</v>
      </c>
      <c r="I1711" s="1">
        <v>250</v>
      </c>
      <c r="J1711" s="1">
        <v>226</v>
      </c>
      <c r="L1711" t="str">
        <f t="shared" si="26"/>
        <v>http://www.badatelna.eu/reprodukce/?fondId=1073&amp;zaznamId=1108952&amp;reproId=3779108</v>
      </c>
      <c r="M1711">
        <f>VLOOKUP(F1711,Sheet2!$B$1:$E$19,2,FALSE)</f>
        <v>1073</v>
      </c>
      <c r="N1711">
        <f>VLOOKUP(F1711,Sheet2!$B$1:$E$19,3,FALSE)</f>
        <v>1108952</v>
      </c>
      <c r="O1711">
        <f>IF(G1711="Not available","",VLOOKUP(F1711,Sheet2!$B$1:$E$19,4,FALSE)+(G1711-1))</f>
        <v>3779108</v>
      </c>
    </row>
    <row r="1712" spans="1:15" s="1" customFormat="1" ht="15" customHeight="1" x14ac:dyDescent="0.25">
      <c r="A1712" s="18" t="s">
        <v>667</v>
      </c>
      <c r="B1712" s="18" t="s">
        <v>1968</v>
      </c>
      <c r="C1712" s="10" t="s">
        <v>2102</v>
      </c>
      <c r="D1712" s="3" t="s">
        <v>2395</v>
      </c>
      <c r="E1712" s="4" t="s">
        <v>2</v>
      </c>
      <c r="F1712" s="18">
        <v>2176</v>
      </c>
      <c r="G1712" s="18" t="s">
        <v>3271</v>
      </c>
      <c r="H1712" s="10" t="s">
        <v>2016</v>
      </c>
      <c r="I1712" s="3">
        <v>20</v>
      </c>
      <c r="J1712" s="3" t="s">
        <v>3271</v>
      </c>
      <c r="K1712" s="3"/>
      <c r="L1712" t="str">
        <f t="shared" si="26"/>
        <v/>
      </c>
      <c r="M1712">
        <f>VLOOKUP(F1712,Sheet2!$B$1:$E$19,2,FALSE)</f>
        <v>1073</v>
      </c>
      <c r="N1712">
        <f>VLOOKUP(F1712,Sheet2!$B$1:$E$19,3,FALSE)</f>
        <v>1108963</v>
      </c>
      <c r="O1712" t="str">
        <f>IF(G1712="Not available","",VLOOKUP(F1712,Sheet2!$B$1:$E$19,4,FALSE)+(G1712-1))</f>
        <v/>
      </c>
    </row>
    <row r="1713" spans="1:15" s="1" customFormat="1" ht="15" customHeight="1" x14ac:dyDescent="0.25">
      <c r="A1713" s="18" t="s">
        <v>667</v>
      </c>
      <c r="B1713" s="18" t="s">
        <v>2401</v>
      </c>
      <c r="C1713" s="10" t="s">
        <v>2093</v>
      </c>
      <c r="D1713" s="3" t="s">
        <v>2395</v>
      </c>
      <c r="E1713" s="4" t="s">
        <v>2</v>
      </c>
      <c r="F1713" s="18">
        <v>2176</v>
      </c>
      <c r="G1713" s="18" t="s">
        <v>3271</v>
      </c>
      <c r="H1713" s="10" t="s">
        <v>2006</v>
      </c>
      <c r="I1713" s="3">
        <v>20</v>
      </c>
      <c r="J1713" s="3" t="s">
        <v>3271</v>
      </c>
      <c r="K1713" s="3"/>
      <c r="L1713" t="str">
        <f t="shared" si="26"/>
        <v/>
      </c>
      <c r="M1713">
        <f>VLOOKUP(F1713,Sheet2!$B$1:$E$19,2,FALSE)</f>
        <v>1073</v>
      </c>
      <c r="N1713">
        <f>VLOOKUP(F1713,Sheet2!$B$1:$E$19,3,FALSE)</f>
        <v>1108963</v>
      </c>
      <c r="O1713" t="str">
        <f>IF(G1713="Not available","",VLOOKUP(F1713,Sheet2!$B$1:$E$19,4,FALSE)+(G1713-1))</f>
        <v/>
      </c>
    </row>
    <row r="1714" spans="1:15" s="1" customFormat="1" ht="15" customHeight="1" x14ac:dyDescent="0.25">
      <c r="A1714" s="18" t="s">
        <v>667</v>
      </c>
      <c r="B1714" s="18" t="s">
        <v>2096</v>
      </c>
      <c r="C1714" s="10" t="s">
        <v>2092</v>
      </c>
      <c r="D1714" s="3" t="s">
        <v>2400</v>
      </c>
      <c r="E1714" s="4" t="s">
        <v>2</v>
      </c>
      <c r="F1714" s="18">
        <v>2176</v>
      </c>
      <c r="G1714" s="18" t="s">
        <v>3271</v>
      </c>
      <c r="H1714" s="10" t="s">
        <v>2075</v>
      </c>
      <c r="I1714" s="3">
        <v>20</v>
      </c>
      <c r="J1714" s="3" t="s">
        <v>3271</v>
      </c>
      <c r="K1714" s="3"/>
      <c r="L1714" t="str">
        <f t="shared" si="26"/>
        <v/>
      </c>
      <c r="M1714">
        <f>VLOOKUP(F1714,Sheet2!$B$1:$E$19,2,FALSE)</f>
        <v>1073</v>
      </c>
      <c r="N1714">
        <f>VLOOKUP(F1714,Sheet2!$B$1:$E$19,3,FALSE)</f>
        <v>1108963</v>
      </c>
      <c r="O1714" t="str">
        <f>IF(G1714="Not available","",VLOOKUP(F1714,Sheet2!$B$1:$E$19,4,FALSE)+(G1714-1))</f>
        <v/>
      </c>
    </row>
    <row r="1715" spans="1:15" s="1" customFormat="1" ht="15" customHeight="1" x14ac:dyDescent="0.25">
      <c r="A1715" s="18" t="s">
        <v>667</v>
      </c>
      <c r="B1715" s="18" t="s">
        <v>2096</v>
      </c>
      <c r="C1715" s="10" t="s">
        <v>2158</v>
      </c>
      <c r="D1715" s="3" t="s">
        <v>2402</v>
      </c>
      <c r="E1715" s="4" t="s">
        <v>2</v>
      </c>
      <c r="F1715" s="18">
        <v>2176</v>
      </c>
      <c r="G1715" s="18" t="s">
        <v>3271</v>
      </c>
      <c r="H1715" s="10" t="s">
        <v>2145</v>
      </c>
      <c r="I1715" s="3">
        <v>20</v>
      </c>
      <c r="J1715" s="3" t="s">
        <v>3271</v>
      </c>
      <c r="K1715" s="3"/>
      <c r="L1715" t="str">
        <f t="shared" si="26"/>
        <v/>
      </c>
      <c r="M1715">
        <f>VLOOKUP(F1715,Sheet2!$B$1:$E$19,2,FALSE)</f>
        <v>1073</v>
      </c>
      <c r="N1715">
        <f>VLOOKUP(F1715,Sheet2!$B$1:$E$19,3,FALSE)</f>
        <v>1108963</v>
      </c>
      <c r="O1715" t="str">
        <f>IF(G1715="Not available","",VLOOKUP(F1715,Sheet2!$B$1:$E$19,4,FALSE)+(G1715-1))</f>
        <v/>
      </c>
    </row>
    <row r="1716" spans="1:15" s="1" customFormat="1" ht="15" customHeight="1" x14ac:dyDescent="0.25">
      <c r="A1716" s="19" t="s">
        <v>667</v>
      </c>
      <c r="B1716" s="18" t="s">
        <v>162</v>
      </c>
      <c r="C1716" s="6" t="s">
        <v>3036</v>
      </c>
      <c r="E1716" s="1" t="s">
        <v>2</v>
      </c>
      <c r="F1716" s="18">
        <v>2173</v>
      </c>
      <c r="G1716" s="18">
        <v>49</v>
      </c>
      <c r="H1716" s="5">
        <v>93</v>
      </c>
      <c r="I1716" s="1">
        <v>100</v>
      </c>
      <c r="J1716" s="1">
        <v>213</v>
      </c>
      <c r="L1716" t="str">
        <f t="shared" si="26"/>
        <v>http://www.badatelna.eu/reprodukce/?fondId=1073&amp;zaznamId=1108959&amp;reproId=3780042</v>
      </c>
      <c r="M1716">
        <f>VLOOKUP(F1716,Sheet2!$B$1:$E$19,2,FALSE)</f>
        <v>1073</v>
      </c>
      <c r="N1716">
        <f>VLOOKUP(F1716,Sheet2!$B$1:$E$19,3,FALSE)</f>
        <v>1108959</v>
      </c>
      <c r="O1716">
        <f>IF(G1716="Not available","",VLOOKUP(F1716,Sheet2!$B$1:$E$19,4,FALSE)+(G1716-1))</f>
        <v>3780042</v>
      </c>
    </row>
    <row r="1717" spans="1:15" s="1" customFormat="1" ht="15" customHeight="1" x14ac:dyDescent="0.25">
      <c r="A1717" s="18" t="s">
        <v>667</v>
      </c>
      <c r="B1717" s="18" t="s">
        <v>897</v>
      </c>
      <c r="C1717" s="5">
        <v>1885</v>
      </c>
      <c r="D1717" s="1" t="s">
        <v>64</v>
      </c>
      <c r="E1717" s="1" t="s">
        <v>2</v>
      </c>
      <c r="F1717" s="18">
        <v>2165</v>
      </c>
      <c r="G1717" s="18">
        <v>201</v>
      </c>
      <c r="H1717" s="5">
        <v>3</v>
      </c>
      <c r="I1717" s="1">
        <v>204</v>
      </c>
      <c r="J1717" s="1">
        <v>187</v>
      </c>
      <c r="L1717" t="str">
        <f t="shared" si="26"/>
        <v>http://www.badatelna.eu/reprodukce/?fondId=1073&amp;zaznamId=1108952&amp;reproId=3779062</v>
      </c>
      <c r="M1717">
        <f>VLOOKUP(F1717,Sheet2!$B$1:$E$19,2,FALSE)</f>
        <v>1073</v>
      </c>
      <c r="N1717">
        <f>VLOOKUP(F1717,Sheet2!$B$1:$E$19,3,FALSE)</f>
        <v>1108952</v>
      </c>
      <c r="O1717">
        <f>IF(G1717="Not available","",VLOOKUP(F1717,Sheet2!$B$1:$E$19,4,FALSE)+(G1717-1))</f>
        <v>3779062</v>
      </c>
    </row>
    <row r="1718" spans="1:15" s="1" customFormat="1" ht="15" customHeight="1" x14ac:dyDescent="0.25">
      <c r="A1718" s="18" t="s">
        <v>667</v>
      </c>
      <c r="B1718" s="18" t="s">
        <v>2189</v>
      </c>
      <c r="C1718" s="10" t="s">
        <v>2043</v>
      </c>
      <c r="D1718" s="3" t="s">
        <v>2377</v>
      </c>
      <c r="E1718" s="4" t="s">
        <v>2</v>
      </c>
      <c r="F1718" s="18">
        <v>2176</v>
      </c>
      <c r="G1718" s="18" t="s">
        <v>3271</v>
      </c>
      <c r="H1718" s="10" t="s">
        <v>2080</v>
      </c>
      <c r="I1718" s="3">
        <v>19</v>
      </c>
      <c r="J1718" s="3" t="s">
        <v>3271</v>
      </c>
      <c r="K1718" s="3"/>
      <c r="L1718" t="str">
        <f t="shared" si="26"/>
        <v/>
      </c>
      <c r="M1718">
        <f>VLOOKUP(F1718,Sheet2!$B$1:$E$19,2,FALSE)</f>
        <v>1073</v>
      </c>
      <c r="N1718">
        <f>VLOOKUP(F1718,Sheet2!$B$1:$E$19,3,FALSE)</f>
        <v>1108963</v>
      </c>
      <c r="O1718" t="str">
        <f>IF(G1718="Not available","",VLOOKUP(F1718,Sheet2!$B$1:$E$19,4,FALSE)+(G1718-1))</f>
        <v/>
      </c>
    </row>
    <row r="1719" spans="1:15" s="1" customFormat="1" ht="15" customHeight="1" x14ac:dyDescent="0.25">
      <c r="A1719" s="18" t="s">
        <v>667</v>
      </c>
      <c r="B1719" s="18" t="s">
        <v>769</v>
      </c>
      <c r="C1719" s="5">
        <v>1859</v>
      </c>
      <c r="E1719" s="1" t="s">
        <v>939</v>
      </c>
      <c r="F1719" s="18">
        <v>999</v>
      </c>
      <c r="G1719" s="18">
        <v>13</v>
      </c>
      <c r="H1719" s="5">
        <v>11</v>
      </c>
      <c r="I1719" s="1">
        <v>68</v>
      </c>
      <c r="J1719" s="1">
        <v>102</v>
      </c>
      <c r="L1719" t="str">
        <f t="shared" si="26"/>
        <v>http://www.badatelna.eu/reprodukce/?fondId=241&amp;zaznamId=1133739&amp;reproId=3885742</v>
      </c>
      <c r="M1719">
        <f>VLOOKUP(F1719,Sheet2!$B$1:$E$19,2,FALSE)</f>
        <v>241</v>
      </c>
      <c r="N1719">
        <f>VLOOKUP(F1719,Sheet2!$B$1:$E$19,3,FALSE)</f>
        <v>1133739</v>
      </c>
      <c r="O1719">
        <f>IF(G1719="Not available","",VLOOKUP(F1719,Sheet2!$B$1:$E$19,4,FALSE)+(G1719-1))</f>
        <v>3885742</v>
      </c>
    </row>
    <row r="1720" spans="1:15" s="1" customFormat="1" ht="15" customHeight="1" x14ac:dyDescent="0.25">
      <c r="A1720" s="18" t="s">
        <v>667</v>
      </c>
      <c r="B1720" s="18" t="s">
        <v>769</v>
      </c>
      <c r="C1720" s="10" t="s">
        <v>1952</v>
      </c>
      <c r="D1720" s="3" t="s">
        <v>2399</v>
      </c>
      <c r="E1720" s="4" t="s">
        <v>2</v>
      </c>
      <c r="F1720" s="18">
        <v>2176</v>
      </c>
      <c r="G1720" s="18" t="s">
        <v>3271</v>
      </c>
      <c r="H1720" s="10" t="s">
        <v>2332</v>
      </c>
      <c r="I1720" s="3">
        <v>20</v>
      </c>
      <c r="J1720" s="3" t="s">
        <v>3271</v>
      </c>
      <c r="K1720" s="3"/>
      <c r="L1720" t="str">
        <f t="shared" si="26"/>
        <v/>
      </c>
      <c r="M1720">
        <f>VLOOKUP(F1720,Sheet2!$B$1:$E$19,2,FALSE)</f>
        <v>1073</v>
      </c>
      <c r="N1720">
        <f>VLOOKUP(F1720,Sheet2!$B$1:$E$19,3,FALSE)</f>
        <v>1108963</v>
      </c>
      <c r="O1720" t="str">
        <f>IF(G1720="Not available","",VLOOKUP(F1720,Sheet2!$B$1:$E$19,4,FALSE)+(G1720-1))</f>
        <v/>
      </c>
    </row>
    <row r="1721" spans="1:15" s="1" customFormat="1" ht="15" customHeight="1" x14ac:dyDescent="0.25">
      <c r="A1721" s="18" t="s">
        <v>667</v>
      </c>
      <c r="B1721" s="18" t="s">
        <v>769</v>
      </c>
      <c r="C1721" s="5" t="s">
        <v>1841</v>
      </c>
      <c r="D1721" s="1" t="s">
        <v>219</v>
      </c>
      <c r="E1721" s="1" t="s">
        <v>2</v>
      </c>
      <c r="F1721" s="18">
        <v>2165</v>
      </c>
      <c r="G1721" s="18">
        <v>257</v>
      </c>
      <c r="H1721" s="5">
        <v>4</v>
      </c>
      <c r="I1721" s="1">
        <v>252</v>
      </c>
      <c r="J1721" s="1">
        <v>228</v>
      </c>
      <c r="L1721" t="str">
        <f t="shared" si="26"/>
        <v>http://www.badatelna.eu/reprodukce/?fondId=1073&amp;zaznamId=1108952&amp;reproId=3779118</v>
      </c>
      <c r="M1721">
        <f>VLOOKUP(F1721,Sheet2!$B$1:$E$19,2,FALSE)</f>
        <v>1073</v>
      </c>
      <c r="N1721">
        <f>VLOOKUP(F1721,Sheet2!$B$1:$E$19,3,FALSE)</f>
        <v>1108952</v>
      </c>
      <c r="O1721">
        <f>IF(G1721="Not available","",VLOOKUP(F1721,Sheet2!$B$1:$E$19,4,FALSE)+(G1721-1))</f>
        <v>3779118</v>
      </c>
    </row>
    <row r="1722" spans="1:15" s="1" customFormat="1" ht="15" customHeight="1" x14ac:dyDescent="0.25">
      <c r="A1722" s="18" t="s">
        <v>667</v>
      </c>
      <c r="B1722" s="18" t="s">
        <v>490</v>
      </c>
      <c r="C1722" s="10" t="s">
        <v>1987</v>
      </c>
      <c r="D1722" s="3" t="s">
        <v>2377</v>
      </c>
      <c r="E1722" s="4" t="s">
        <v>2</v>
      </c>
      <c r="F1722" s="18">
        <v>2176</v>
      </c>
      <c r="G1722" s="18" t="s">
        <v>3271</v>
      </c>
      <c r="H1722" s="10" t="s">
        <v>2311</v>
      </c>
      <c r="I1722" s="3">
        <v>19</v>
      </c>
      <c r="J1722" s="3" t="s">
        <v>3271</v>
      </c>
      <c r="L1722" t="str">
        <f t="shared" si="26"/>
        <v/>
      </c>
      <c r="M1722">
        <f>VLOOKUP(F1722,Sheet2!$B$1:$E$19,2,FALSE)</f>
        <v>1073</v>
      </c>
      <c r="N1722">
        <f>VLOOKUP(F1722,Sheet2!$B$1:$E$19,3,FALSE)</f>
        <v>1108963</v>
      </c>
      <c r="O1722" t="str">
        <f>IF(G1722="Not available","",VLOOKUP(F1722,Sheet2!$B$1:$E$19,4,FALSE)+(G1722-1))</f>
        <v/>
      </c>
    </row>
    <row r="1723" spans="1:15" s="1" customFormat="1" ht="15" customHeight="1" x14ac:dyDescent="0.25">
      <c r="A1723" s="18" t="s">
        <v>667</v>
      </c>
      <c r="B1723" s="18" t="s">
        <v>735</v>
      </c>
      <c r="C1723" s="5">
        <v>1866</v>
      </c>
      <c r="E1723" s="1" t="s">
        <v>939</v>
      </c>
      <c r="F1723" s="18">
        <v>999</v>
      </c>
      <c r="G1723" s="18">
        <v>61</v>
      </c>
      <c r="H1723" s="5">
        <v>59</v>
      </c>
      <c r="I1723" s="1">
        <v>68</v>
      </c>
      <c r="J1723" s="1">
        <v>102</v>
      </c>
      <c r="L1723" t="str">
        <f t="shared" si="26"/>
        <v>http://www.badatelna.eu/reprodukce/?fondId=241&amp;zaznamId=1133739&amp;reproId=3885790</v>
      </c>
      <c r="M1723">
        <f>VLOOKUP(F1723,Sheet2!$B$1:$E$19,2,FALSE)</f>
        <v>241</v>
      </c>
      <c r="N1723">
        <f>VLOOKUP(F1723,Sheet2!$B$1:$E$19,3,FALSE)</f>
        <v>1133739</v>
      </c>
      <c r="O1723">
        <f>IF(G1723="Not available","",VLOOKUP(F1723,Sheet2!$B$1:$E$19,4,FALSE)+(G1723-1))</f>
        <v>3885790</v>
      </c>
    </row>
    <row r="1724" spans="1:15" s="1" customFormat="1" ht="15" customHeight="1" x14ac:dyDescent="0.25">
      <c r="A1724" s="18" t="s">
        <v>667</v>
      </c>
      <c r="B1724" s="18" t="s">
        <v>135</v>
      </c>
      <c r="C1724" s="5" t="s">
        <v>1442</v>
      </c>
      <c r="D1724" s="1" t="s">
        <v>422</v>
      </c>
      <c r="E1724" s="1" t="s">
        <v>2</v>
      </c>
      <c r="F1724" s="18">
        <v>2165</v>
      </c>
      <c r="G1724" s="18">
        <v>16</v>
      </c>
      <c r="H1724" s="5">
        <v>13</v>
      </c>
      <c r="I1724" s="1">
        <v>83</v>
      </c>
      <c r="J1724" s="1" t="s">
        <v>3271</v>
      </c>
      <c r="L1724" t="str">
        <f t="shared" si="26"/>
        <v>http://www.badatelna.eu/reprodukce/?fondId=1073&amp;zaznamId=1108952&amp;reproId=3778877</v>
      </c>
      <c r="M1724">
        <f>VLOOKUP(F1724,Sheet2!$B$1:$E$19,2,FALSE)</f>
        <v>1073</v>
      </c>
      <c r="N1724">
        <f>VLOOKUP(F1724,Sheet2!$B$1:$E$19,3,FALSE)</f>
        <v>1108952</v>
      </c>
      <c r="O1724">
        <f>IF(G1724="Not available","",VLOOKUP(F1724,Sheet2!$B$1:$E$19,4,FALSE)+(G1724-1))</f>
        <v>3778877</v>
      </c>
    </row>
    <row r="1725" spans="1:15" s="1" customFormat="1" ht="15" customHeight="1" x14ac:dyDescent="0.25">
      <c r="A1725" s="18" t="s">
        <v>667</v>
      </c>
      <c r="B1725" s="18" t="s">
        <v>2866</v>
      </c>
      <c r="C1725" s="6" t="s">
        <v>2860</v>
      </c>
      <c r="E1725" s="1" t="s">
        <v>939</v>
      </c>
      <c r="F1725" s="18">
        <v>999</v>
      </c>
      <c r="G1725" s="18">
        <v>25</v>
      </c>
      <c r="H1725" s="5">
        <v>23</v>
      </c>
      <c r="I1725" s="1">
        <v>68</v>
      </c>
      <c r="J1725" s="1">
        <v>102</v>
      </c>
      <c r="K1725" s="4" t="s">
        <v>363</v>
      </c>
      <c r="L1725" t="str">
        <f t="shared" si="26"/>
        <v>http://www.badatelna.eu/reprodukce/?fondId=241&amp;zaznamId=1133739&amp;reproId=3885754</v>
      </c>
      <c r="M1725">
        <f>VLOOKUP(F1725,Sheet2!$B$1:$E$19,2,FALSE)</f>
        <v>241</v>
      </c>
      <c r="N1725">
        <f>VLOOKUP(F1725,Sheet2!$B$1:$E$19,3,FALSE)</f>
        <v>1133739</v>
      </c>
      <c r="O1725">
        <f>IF(G1725="Not available","",VLOOKUP(F1725,Sheet2!$B$1:$E$19,4,FALSE)+(G1725-1))</f>
        <v>3885754</v>
      </c>
    </row>
    <row r="1726" spans="1:15" s="1" customFormat="1" ht="15" customHeight="1" x14ac:dyDescent="0.25">
      <c r="A1726" s="18" t="s">
        <v>667</v>
      </c>
      <c r="B1726" s="18" t="s">
        <v>1243</v>
      </c>
      <c r="C1726" s="5" t="s">
        <v>1910</v>
      </c>
      <c r="D1726" s="1" t="s">
        <v>219</v>
      </c>
      <c r="E1726" s="1" t="s">
        <v>2</v>
      </c>
      <c r="F1726" s="18">
        <v>2165</v>
      </c>
      <c r="G1726" s="18">
        <v>276</v>
      </c>
      <c r="H1726" s="5">
        <v>2</v>
      </c>
      <c r="I1726" s="1">
        <v>278</v>
      </c>
      <c r="J1726" s="1">
        <v>252</v>
      </c>
      <c r="L1726" t="str">
        <f t="shared" si="26"/>
        <v>http://www.badatelna.eu/reprodukce/?fondId=1073&amp;zaznamId=1108952&amp;reproId=3779137</v>
      </c>
      <c r="M1726">
        <f>VLOOKUP(F1726,Sheet2!$B$1:$E$19,2,FALSE)</f>
        <v>1073</v>
      </c>
      <c r="N1726">
        <f>VLOOKUP(F1726,Sheet2!$B$1:$E$19,3,FALSE)</f>
        <v>1108952</v>
      </c>
      <c r="O1726">
        <f>IF(G1726="Not available","",VLOOKUP(F1726,Sheet2!$B$1:$E$19,4,FALSE)+(G1726-1))</f>
        <v>3779137</v>
      </c>
    </row>
    <row r="1727" spans="1:15" s="1" customFormat="1" ht="15" customHeight="1" x14ac:dyDescent="0.25">
      <c r="A1727" s="18" t="s">
        <v>667</v>
      </c>
      <c r="B1727" s="18" t="s">
        <v>1069</v>
      </c>
      <c r="C1727" s="6" t="s">
        <v>2158</v>
      </c>
      <c r="D1727" s="4" t="s">
        <v>197</v>
      </c>
      <c r="E1727" s="1" t="s">
        <v>2</v>
      </c>
      <c r="F1727" s="18">
        <v>2165</v>
      </c>
      <c r="G1727" s="18">
        <v>313</v>
      </c>
      <c r="H1727" s="5">
        <v>1</v>
      </c>
      <c r="I1727" s="1">
        <v>314</v>
      </c>
      <c r="J1727" s="1">
        <v>287</v>
      </c>
      <c r="L1727" t="str">
        <f t="shared" si="26"/>
        <v>http://www.badatelna.eu/reprodukce/?fondId=1073&amp;zaznamId=1108952&amp;reproId=3779174</v>
      </c>
      <c r="M1727">
        <f>VLOOKUP(F1727,Sheet2!$B$1:$E$19,2,FALSE)</f>
        <v>1073</v>
      </c>
      <c r="N1727">
        <f>VLOOKUP(F1727,Sheet2!$B$1:$E$19,3,FALSE)</f>
        <v>1108952</v>
      </c>
      <c r="O1727">
        <f>IF(G1727="Not available","",VLOOKUP(F1727,Sheet2!$B$1:$E$19,4,FALSE)+(G1727-1))</f>
        <v>3779174</v>
      </c>
    </row>
    <row r="1728" spans="1:15" s="1" customFormat="1" ht="15" customHeight="1" x14ac:dyDescent="0.25">
      <c r="A1728" s="18" t="s">
        <v>667</v>
      </c>
      <c r="B1728" s="18" t="s">
        <v>1069</v>
      </c>
      <c r="C1728" s="5" t="s">
        <v>1891</v>
      </c>
      <c r="D1728" s="1" t="s">
        <v>201</v>
      </c>
      <c r="E1728" s="1" t="s">
        <v>2</v>
      </c>
      <c r="F1728" s="18">
        <v>2165</v>
      </c>
      <c r="G1728" s="18">
        <v>269</v>
      </c>
      <c r="H1728" s="5">
        <v>1</v>
      </c>
      <c r="I1728" s="1">
        <v>272</v>
      </c>
      <c r="J1728" s="1">
        <v>246</v>
      </c>
      <c r="L1728" t="str">
        <f t="shared" si="26"/>
        <v>http://www.badatelna.eu/reprodukce/?fondId=1073&amp;zaznamId=1108952&amp;reproId=3779130</v>
      </c>
      <c r="M1728">
        <f>VLOOKUP(F1728,Sheet2!$B$1:$E$19,2,FALSE)</f>
        <v>1073</v>
      </c>
      <c r="N1728">
        <f>VLOOKUP(F1728,Sheet2!$B$1:$E$19,3,FALSE)</f>
        <v>1108952</v>
      </c>
      <c r="O1728">
        <f>IF(G1728="Not available","",VLOOKUP(F1728,Sheet2!$B$1:$E$19,4,FALSE)+(G1728-1))</f>
        <v>3779130</v>
      </c>
    </row>
    <row r="1729" spans="1:15" s="1" customFormat="1" ht="15" customHeight="1" x14ac:dyDescent="0.25">
      <c r="A1729" s="18" t="s">
        <v>667</v>
      </c>
      <c r="B1729" s="18" t="s">
        <v>64</v>
      </c>
      <c r="C1729" s="5">
        <v>1841</v>
      </c>
      <c r="D1729" s="1" t="s">
        <v>93</v>
      </c>
      <c r="E1729" s="1" t="s">
        <v>2</v>
      </c>
      <c r="F1729" s="18">
        <v>2174</v>
      </c>
      <c r="G1729" s="18">
        <v>131</v>
      </c>
      <c r="H1729" s="6" t="s">
        <v>3193</v>
      </c>
      <c r="I1729" s="1">
        <v>187</v>
      </c>
      <c r="J1729" s="1">
        <v>216</v>
      </c>
      <c r="L1729" t="str">
        <f t="shared" si="26"/>
        <v>http://www.badatelna.eu/reprodukce/?fondId=1073&amp;zaznamId=1108960&amp;reproId=3780355</v>
      </c>
      <c r="M1729">
        <f>VLOOKUP(F1729,Sheet2!$B$1:$E$19,2,FALSE)</f>
        <v>1073</v>
      </c>
      <c r="N1729">
        <f>VLOOKUP(F1729,Sheet2!$B$1:$E$19,3,FALSE)</f>
        <v>1108960</v>
      </c>
      <c r="O1729">
        <f>IF(G1729="Not available","",VLOOKUP(F1729,Sheet2!$B$1:$E$19,4,FALSE)+(G1729-1))</f>
        <v>3780355</v>
      </c>
    </row>
    <row r="1730" spans="1:15" s="1" customFormat="1" ht="15" customHeight="1" x14ac:dyDescent="0.25">
      <c r="A1730" s="18" t="s">
        <v>667</v>
      </c>
      <c r="B1730" s="18" t="s">
        <v>917</v>
      </c>
      <c r="C1730" s="5">
        <v>1864</v>
      </c>
      <c r="E1730" s="1" t="s">
        <v>939</v>
      </c>
      <c r="F1730" s="18">
        <v>999</v>
      </c>
      <c r="G1730" s="18">
        <v>51</v>
      </c>
      <c r="H1730" s="5">
        <v>49</v>
      </c>
      <c r="I1730" s="1">
        <v>68</v>
      </c>
      <c r="J1730" s="1">
        <v>102</v>
      </c>
      <c r="L1730" t="str">
        <f t="shared" si="26"/>
        <v>http://www.badatelna.eu/reprodukce/?fondId=241&amp;zaznamId=1133739&amp;reproId=3885780</v>
      </c>
      <c r="M1730">
        <f>VLOOKUP(F1730,Sheet2!$B$1:$E$19,2,FALSE)</f>
        <v>241</v>
      </c>
      <c r="N1730">
        <f>VLOOKUP(F1730,Sheet2!$B$1:$E$19,3,FALSE)</f>
        <v>1133739</v>
      </c>
      <c r="O1730">
        <f>IF(G1730="Not available","",VLOOKUP(F1730,Sheet2!$B$1:$E$19,4,FALSE)+(G1730-1))</f>
        <v>3885780</v>
      </c>
    </row>
    <row r="1731" spans="1:15" s="1" customFormat="1" ht="15" customHeight="1" x14ac:dyDescent="0.25">
      <c r="A1731" s="18" t="s">
        <v>667</v>
      </c>
      <c r="B1731" s="18" t="s">
        <v>481</v>
      </c>
      <c r="C1731" s="5">
        <v>1853</v>
      </c>
      <c r="D1731" s="1" t="s">
        <v>422</v>
      </c>
      <c r="E1731" s="1" t="s">
        <v>2</v>
      </c>
      <c r="F1731" s="18">
        <v>2164</v>
      </c>
      <c r="G1731" s="18">
        <v>87</v>
      </c>
      <c r="H1731" s="5">
        <v>85</v>
      </c>
      <c r="I1731" s="1">
        <v>129</v>
      </c>
      <c r="J1731" s="1" t="s">
        <v>3271</v>
      </c>
      <c r="L1731" t="str">
        <f t="shared" ref="L1731:L1794" si="27">IF(G1731="Not available","","http://www.badatelna.eu/reprodukce/?fondId="&amp;M1731&amp;"&amp;zaznamId="&amp;N1731&amp;"&amp;reproId="&amp;O1731)</f>
        <v>http://www.badatelna.eu/reprodukce/?fondId=1073&amp;zaznamId=1108951&amp;reproId=3778801</v>
      </c>
      <c r="M1731">
        <f>VLOOKUP(F1731,Sheet2!$B$1:$E$19,2,FALSE)</f>
        <v>1073</v>
      </c>
      <c r="N1731">
        <f>VLOOKUP(F1731,Sheet2!$B$1:$E$19,3,FALSE)</f>
        <v>1108951</v>
      </c>
      <c r="O1731">
        <f>IF(G1731="Not available","",VLOOKUP(F1731,Sheet2!$B$1:$E$19,4,FALSE)+(G1731-1))</f>
        <v>3778801</v>
      </c>
    </row>
    <row r="1732" spans="1:15" s="1" customFormat="1" ht="15" customHeight="1" x14ac:dyDescent="0.25">
      <c r="A1732" s="18" t="s">
        <v>667</v>
      </c>
      <c r="B1732" s="18" t="s">
        <v>495</v>
      </c>
      <c r="C1732" s="5">
        <v>1849</v>
      </c>
      <c r="D1732" s="1" t="s">
        <v>93</v>
      </c>
      <c r="E1732" s="1" t="s">
        <v>2</v>
      </c>
      <c r="F1732" s="18">
        <v>2164</v>
      </c>
      <c r="G1732" s="18">
        <v>49</v>
      </c>
      <c r="H1732" s="5">
        <v>47</v>
      </c>
      <c r="I1732" s="1">
        <v>129</v>
      </c>
      <c r="J1732" s="1" t="s">
        <v>3271</v>
      </c>
      <c r="L1732" t="str">
        <f t="shared" si="27"/>
        <v>http://www.badatelna.eu/reprodukce/?fondId=1073&amp;zaznamId=1108951&amp;reproId=3778763</v>
      </c>
      <c r="M1732">
        <f>VLOOKUP(F1732,Sheet2!$B$1:$E$19,2,FALSE)</f>
        <v>1073</v>
      </c>
      <c r="N1732">
        <f>VLOOKUP(F1732,Sheet2!$B$1:$E$19,3,FALSE)</f>
        <v>1108951</v>
      </c>
      <c r="O1732">
        <f>IF(G1732="Not available","",VLOOKUP(F1732,Sheet2!$B$1:$E$19,4,FALSE)+(G1732-1))</f>
        <v>3778763</v>
      </c>
    </row>
    <row r="1733" spans="1:15" s="1" customFormat="1" ht="15" customHeight="1" x14ac:dyDescent="0.25">
      <c r="A1733" s="18" t="s">
        <v>667</v>
      </c>
      <c r="B1733" s="18" t="s">
        <v>495</v>
      </c>
      <c r="C1733" s="5">
        <v>1862</v>
      </c>
      <c r="E1733" s="1" t="s">
        <v>939</v>
      </c>
      <c r="F1733" s="18">
        <v>999</v>
      </c>
      <c r="G1733" s="18">
        <v>37</v>
      </c>
      <c r="H1733" s="5">
        <v>35</v>
      </c>
      <c r="I1733" s="1">
        <v>68</v>
      </c>
      <c r="J1733" s="1">
        <v>102</v>
      </c>
      <c r="L1733" t="str">
        <f t="shared" si="27"/>
        <v>http://www.badatelna.eu/reprodukce/?fondId=241&amp;zaznamId=1133739&amp;reproId=3885766</v>
      </c>
      <c r="M1733">
        <f>VLOOKUP(F1733,Sheet2!$B$1:$E$19,2,FALSE)</f>
        <v>241</v>
      </c>
      <c r="N1733">
        <f>VLOOKUP(F1733,Sheet2!$B$1:$E$19,3,FALSE)</f>
        <v>1133739</v>
      </c>
      <c r="O1733">
        <f>IF(G1733="Not available","",VLOOKUP(F1733,Sheet2!$B$1:$E$19,4,FALSE)+(G1733-1))</f>
        <v>3885766</v>
      </c>
    </row>
    <row r="1734" spans="1:15" s="1" customFormat="1" ht="15" customHeight="1" x14ac:dyDescent="0.25">
      <c r="A1734" s="18" t="s">
        <v>667</v>
      </c>
      <c r="B1734" s="18" t="s">
        <v>495</v>
      </c>
      <c r="C1734" s="5" t="s">
        <v>867</v>
      </c>
      <c r="D1734" s="1" t="s">
        <v>58</v>
      </c>
      <c r="E1734" s="1" t="s">
        <v>2</v>
      </c>
      <c r="F1734" s="18">
        <v>2164</v>
      </c>
      <c r="G1734" s="18">
        <v>66</v>
      </c>
      <c r="H1734" s="5">
        <v>64</v>
      </c>
      <c r="I1734" s="1">
        <v>129</v>
      </c>
      <c r="J1734" s="1" t="s">
        <v>3271</v>
      </c>
      <c r="L1734" t="str">
        <f t="shared" si="27"/>
        <v>http://www.badatelna.eu/reprodukce/?fondId=1073&amp;zaznamId=1108951&amp;reproId=3778780</v>
      </c>
      <c r="M1734">
        <f>VLOOKUP(F1734,Sheet2!$B$1:$E$19,2,FALSE)</f>
        <v>1073</v>
      </c>
      <c r="N1734">
        <f>VLOOKUP(F1734,Sheet2!$B$1:$E$19,3,FALSE)</f>
        <v>1108951</v>
      </c>
      <c r="O1734">
        <f>IF(G1734="Not available","",VLOOKUP(F1734,Sheet2!$B$1:$E$19,4,FALSE)+(G1734-1))</f>
        <v>3778780</v>
      </c>
    </row>
    <row r="1735" spans="1:15" s="1" customFormat="1" ht="15" customHeight="1" x14ac:dyDescent="0.25">
      <c r="A1735" s="18" t="s">
        <v>667</v>
      </c>
      <c r="B1735" s="18" t="s">
        <v>34</v>
      </c>
      <c r="C1735" s="5">
        <v>1865</v>
      </c>
      <c r="E1735" s="1" t="s">
        <v>939</v>
      </c>
      <c r="F1735" s="18">
        <v>999</v>
      </c>
      <c r="G1735" s="18">
        <v>54</v>
      </c>
      <c r="H1735" s="5">
        <v>52</v>
      </c>
      <c r="I1735" s="1">
        <v>68</v>
      </c>
      <c r="J1735" s="1">
        <v>102</v>
      </c>
      <c r="L1735" t="str">
        <f t="shared" si="27"/>
        <v>http://www.badatelna.eu/reprodukce/?fondId=241&amp;zaznamId=1133739&amp;reproId=3885783</v>
      </c>
      <c r="M1735">
        <f>VLOOKUP(F1735,Sheet2!$B$1:$E$19,2,FALSE)</f>
        <v>241</v>
      </c>
      <c r="N1735">
        <f>VLOOKUP(F1735,Sheet2!$B$1:$E$19,3,FALSE)</f>
        <v>1133739</v>
      </c>
      <c r="O1735">
        <f>IF(G1735="Not available","",VLOOKUP(F1735,Sheet2!$B$1:$E$19,4,FALSE)+(G1735-1))</f>
        <v>3885783</v>
      </c>
    </row>
    <row r="1736" spans="1:15" s="1" customFormat="1" ht="15" customHeight="1" x14ac:dyDescent="0.25">
      <c r="A1736" s="18" t="s">
        <v>667</v>
      </c>
      <c r="B1736" s="18" t="s">
        <v>34</v>
      </c>
      <c r="C1736" s="5" t="s">
        <v>1440</v>
      </c>
      <c r="D1736" s="1" t="s">
        <v>1028</v>
      </c>
      <c r="E1736" s="1" t="s">
        <v>2</v>
      </c>
      <c r="F1736" s="18">
        <v>2165</v>
      </c>
      <c r="G1736" s="18">
        <v>6</v>
      </c>
      <c r="H1736" s="5">
        <v>3</v>
      </c>
      <c r="I1736" s="1">
        <v>83</v>
      </c>
      <c r="J1736" s="1" t="s">
        <v>3271</v>
      </c>
      <c r="L1736" t="str">
        <f t="shared" si="27"/>
        <v>http://www.badatelna.eu/reprodukce/?fondId=1073&amp;zaznamId=1108952&amp;reproId=3778867</v>
      </c>
      <c r="M1736">
        <f>VLOOKUP(F1736,Sheet2!$B$1:$E$19,2,FALSE)</f>
        <v>1073</v>
      </c>
      <c r="N1736">
        <f>VLOOKUP(F1736,Sheet2!$B$1:$E$19,3,FALSE)</f>
        <v>1108952</v>
      </c>
      <c r="O1736">
        <f>IF(G1736="Not available","",VLOOKUP(F1736,Sheet2!$B$1:$E$19,4,FALSE)+(G1736-1))</f>
        <v>3778867</v>
      </c>
    </row>
    <row r="1737" spans="1:15" s="1" customFormat="1" ht="15" customHeight="1" x14ac:dyDescent="0.25">
      <c r="A1737" s="18" t="s">
        <v>667</v>
      </c>
      <c r="B1737" s="18" t="s">
        <v>428</v>
      </c>
      <c r="C1737" s="14" t="s">
        <v>2095</v>
      </c>
      <c r="D1737" s="1" t="s">
        <v>219</v>
      </c>
      <c r="E1737" s="1" t="s">
        <v>2</v>
      </c>
      <c r="F1737" s="18">
        <v>2165</v>
      </c>
      <c r="G1737" s="18">
        <v>288</v>
      </c>
      <c r="H1737" s="5">
        <v>1</v>
      </c>
      <c r="I1737" s="1">
        <v>286</v>
      </c>
      <c r="J1737" s="1">
        <v>260</v>
      </c>
      <c r="L1737" t="str">
        <f t="shared" si="27"/>
        <v>http://www.badatelna.eu/reprodukce/?fondId=1073&amp;zaznamId=1108952&amp;reproId=3779149</v>
      </c>
      <c r="M1737">
        <f>VLOOKUP(F1737,Sheet2!$B$1:$E$19,2,FALSE)</f>
        <v>1073</v>
      </c>
      <c r="N1737">
        <f>VLOOKUP(F1737,Sheet2!$B$1:$E$19,3,FALSE)</f>
        <v>1108952</v>
      </c>
      <c r="O1737">
        <f>IF(G1737="Not available","",VLOOKUP(F1737,Sheet2!$B$1:$E$19,4,FALSE)+(G1737-1))</f>
        <v>3779149</v>
      </c>
    </row>
    <row r="1738" spans="1:15" s="1" customFormat="1" ht="15" customHeight="1" x14ac:dyDescent="0.25">
      <c r="A1738" s="18" t="s">
        <v>667</v>
      </c>
      <c r="B1738" s="18" t="s">
        <v>2000</v>
      </c>
      <c r="C1738" s="10" t="s">
        <v>2095</v>
      </c>
      <c r="D1738" s="3" t="s">
        <v>2395</v>
      </c>
      <c r="E1738" s="4" t="s">
        <v>2</v>
      </c>
      <c r="F1738" s="18">
        <v>2176</v>
      </c>
      <c r="G1738" s="18" t="s">
        <v>3271</v>
      </c>
      <c r="H1738" s="10" t="s">
        <v>2142</v>
      </c>
      <c r="I1738" s="3">
        <v>20</v>
      </c>
      <c r="J1738" s="3" t="s">
        <v>3271</v>
      </c>
      <c r="K1738" s="3"/>
      <c r="L1738" t="str">
        <f t="shared" si="27"/>
        <v/>
      </c>
      <c r="M1738">
        <f>VLOOKUP(F1738,Sheet2!$B$1:$E$19,2,FALSE)</f>
        <v>1073</v>
      </c>
      <c r="N1738">
        <f>VLOOKUP(F1738,Sheet2!$B$1:$E$19,3,FALSE)</f>
        <v>1108963</v>
      </c>
      <c r="O1738" t="str">
        <f>IF(G1738="Not available","",VLOOKUP(F1738,Sheet2!$B$1:$E$19,4,FALSE)+(G1738-1))</f>
        <v/>
      </c>
    </row>
    <row r="1739" spans="1:15" s="1" customFormat="1" ht="15" customHeight="1" x14ac:dyDescent="0.25">
      <c r="A1739" s="18" t="s">
        <v>667</v>
      </c>
      <c r="B1739" s="18" t="s">
        <v>197</v>
      </c>
      <c r="C1739" s="10" t="s">
        <v>1987</v>
      </c>
      <c r="D1739" s="3" t="s">
        <v>2378</v>
      </c>
      <c r="E1739" s="4" t="s">
        <v>2</v>
      </c>
      <c r="F1739" s="18">
        <v>2176</v>
      </c>
      <c r="G1739" s="18" t="s">
        <v>3271</v>
      </c>
      <c r="H1739" s="10" t="s">
        <v>2297</v>
      </c>
      <c r="I1739" s="3">
        <v>19</v>
      </c>
      <c r="J1739" s="3" t="s">
        <v>3271</v>
      </c>
      <c r="L1739" t="str">
        <f t="shared" si="27"/>
        <v/>
      </c>
      <c r="M1739">
        <f>VLOOKUP(F1739,Sheet2!$B$1:$E$19,2,FALSE)</f>
        <v>1073</v>
      </c>
      <c r="N1739">
        <f>VLOOKUP(F1739,Sheet2!$B$1:$E$19,3,FALSE)</f>
        <v>1108963</v>
      </c>
      <c r="O1739" t="str">
        <f>IF(G1739="Not available","",VLOOKUP(F1739,Sheet2!$B$1:$E$19,4,FALSE)+(G1739-1))</f>
        <v/>
      </c>
    </row>
    <row r="1740" spans="1:15" s="1" customFormat="1" ht="15" customHeight="1" x14ac:dyDescent="0.25">
      <c r="A1740" s="18" t="s">
        <v>667</v>
      </c>
      <c r="B1740" s="18" t="s">
        <v>842</v>
      </c>
      <c r="C1740" s="5">
        <v>1850</v>
      </c>
      <c r="D1740" s="1" t="s">
        <v>422</v>
      </c>
      <c r="E1740" s="1" t="s">
        <v>2</v>
      </c>
      <c r="F1740" s="18">
        <v>2164</v>
      </c>
      <c r="G1740" s="18">
        <v>69</v>
      </c>
      <c r="H1740" s="5">
        <v>67</v>
      </c>
      <c r="I1740" s="1">
        <v>129</v>
      </c>
      <c r="J1740" s="1" t="s">
        <v>3271</v>
      </c>
      <c r="L1740" t="str">
        <f t="shared" si="27"/>
        <v>http://www.badatelna.eu/reprodukce/?fondId=1073&amp;zaznamId=1108951&amp;reproId=3778783</v>
      </c>
      <c r="M1740">
        <f>VLOOKUP(F1740,Sheet2!$B$1:$E$19,2,FALSE)</f>
        <v>1073</v>
      </c>
      <c r="N1740">
        <f>VLOOKUP(F1740,Sheet2!$B$1:$E$19,3,FALSE)</f>
        <v>1108951</v>
      </c>
      <c r="O1740">
        <f>IF(G1740="Not available","",VLOOKUP(F1740,Sheet2!$B$1:$E$19,4,FALSE)+(G1740-1))</f>
        <v>3778783</v>
      </c>
    </row>
    <row r="1741" spans="1:15" s="1" customFormat="1" ht="15" customHeight="1" x14ac:dyDescent="0.25">
      <c r="A1741" s="18" t="s">
        <v>667</v>
      </c>
      <c r="B1741" s="18" t="s">
        <v>212</v>
      </c>
      <c r="C1741" s="5">
        <v>1847</v>
      </c>
      <c r="D1741" s="1" t="s">
        <v>93</v>
      </c>
      <c r="E1741" s="1" t="s">
        <v>2</v>
      </c>
      <c r="F1741" s="18">
        <v>2174</v>
      </c>
      <c r="G1741" s="18">
        <v>173</v>
      </c>
      <c r="H1741" s="6" t="s">
        <v>3237</v>
      </c>
      <c r="I1741" s="1">
        <v>187</v>
      </c>
      <c r="J1741" s="1">
        <v>216</v>
      </c>
      <c r="L1741" t="str">
        <f t="shared" si="27"/>
        <v>http://www.badatelna.eu/reprodukce/?fondId=1073&amp;zaznamId=1108960&amp;reproId=3780397</v>
      </c>
      <c r="M1741">
        <f>VLOOKUP(F1741,Sheet2!$B$1:$E$19,2,FALSE)</f>
        <v>1073</v>
      </c>
      <c r="N1741">
        <f>VLOOKUP(F1741,Sheet2!$B$1:$E$19,3,FALSE)</f>
        <v>1108960</v>
      </c>
      <c r="O1741">
        <f>IF(G1741="Not available","",VLOOKUP(F1741,Sheet2!$B$1:$E$19,4,FALSE)+(G1741-1))</f>
        <v>3780397</v>
      </c>
    </row>
    <row r="1742" spans="1:15" s="1" customFormat="1" ht="15" customHeight="1" x14ac:dyDescent="0.25">
      <c r="A1742" s="18" t="s">
        <v>667</v>
      </c>
      <c r="B1742" s="18" t="s">
        <v>233</v>
      </c>
      <c r="C1742" s="5">
        <v>1857</v>
      </c>
      <c r="D1742" s="1" t="s">
        <v>422</v>
      </c>
      <c r="E1742" s="1" t="s">
        <v>2</v>
      </c>
      <c r="F1742" s="18">
        <v>2164</v>
      </c>
      <c r="G1742" s="18">
        <v>115</v>
      </c>
      <c r="H1742" s="5">
        <v>113</v>
      </c>
      <c r="I1742" s="1">
        <v>129</v>
      </c>
      <c r="J1742" s="1" t="s">
        <v>3271</v>
      </c>
      <c r="L1742" t="str">
        <f t="shared" si="27"/>
        <v>http://www.badatelna.eu/reprodukce/?fondId=1073&amp;zaznamId=1108951&amp;reproId=3778829</v>
      </c>
      <c r="M1742">
        <f>VLOOKUP(F1742,Sheet2!$B$1:$E$19,2,FALSE)</f>
        <v>1073</v>
      </c>
      <c r="N1742">
        <f>VLOOKUP(F1742,Sheet2!$B$1:$E$19,3,FALSE)</f>
        <v>1108951</v>
      </c>
      <c r="O1742">
        <f>IF(G1742="Not available","",VLOOKUP(F1742,Sheet2!$B$1:$E$19,4,FALSE)+(G1742-1))</f>
        <v>3778829</v>
      </c>
    </row>
    <row r="1743" spans="1:15" s="1" customFormat="1" ht="15" customHeight="1" x14ac:dyDescent="0.25">
      <c r="A1743" s="18" t="s">
        <v>667</v>
      </c>
      <c r="B1743" s="18" t="s">
        <v>233</v>
      </c>
      <c r="C1743" s="5" t="s">
        <v>1447</v>
      </c>
      <c r="D1743" s="1" t="s">
        <v>1028</v>
      </c>
      <c r="E1743" s="1" t="s">
        <v>2</v>
      </c>
      <c r="F1743" s="18">
        <v>2165</v>
      </c>
      <c r="G1743" s="18">
        <v>38</v>
      </c>
      <c r="H1743" s="5">
        <v>35</v>
      </c>
      <c r="I1743" s="1">
        <v>83</v>
      </c>
      <c r="J1743" s="1" t="s">
        <v>3271</v>
      </c>
      <c r="L1743" t="str">
        <f t="shared" si="27"/>
        <v>http://www.badatelna.eu/reprodukce/?fondId=1073&amp;zaznamId=1108952&amp;reproId=3778899</v>
      </c>
      <c r="M1743">
        <f>VLOOKUP(F1743,Sheet2!$B$1:$E$19,2,FALSE)</f>
        <v>1073</v>
      </c>
      <c r="N1743">
        <f>VLOOKUP(F1743,Sheet2!$B$1:$E$19,3,FALSE)</f>
        <v>1108952</v>
      </c>
      <c r="O1743">
        <f>IF(G1743="Not available","",VLOOKUP(F1743,Sheet2!$B$1:$E$19,4,FALSE)+(G1743-1))</f>
        <v>3778899</v>
      </c>
    </row>
    <row r="1744" spans="1:15" s="1" customFormat="1" ht="15" customHeight="1" x14ac:dyDescent="0.25">
      <c r="A1744" s="18" t="s">
        <v>667</v>
      </c>
      <c r="B1744" s="18" t="s">
        <v>2141</v>
      </c>
      <c r="C1744" s="10" t="s">
        <v>2098</v>
      </c>
      <c r="D1744" s="3" t="s">
        <v>2402</v>
      </c>
      <c r="E1744" s="4" t="s">
        <v>2</v>
      </c>
      <c r="F1744" s="18">
        <v>2176</v>
      </c>
      <c r="G1744" s="18" t="s">
        <v>3271</v>
      </c>
      <c r="H1744" s="10" t="s">
        <v>2094</v>
      </c>
      <c r="I1744" s="3">
        <v>20</v>
      </c>
      <c r="J1744" s="3" t="s">
        <v>3271</v>
      </c>
      <c r="K1744" s="3"/>
      <c r="L1744" t="str">
        <f t="shared" si="27"/>
        <v/>
      </c>
      <c r="M1744">
        <f>VLOOKUP(F1744,Sheet2!$B$1:$E$19,2,FALSE)</f>
        <v>1073</v>
      </c>
      <c r="N1744">
        <f>VLOOKUP(F1744,Sheet2!$B$1:$E$19,3,FALSE)</f>
        <v>1108963</v>
      </c>
      <c r="O1744" t="str">
        <f>IF(G1744="Not available","",VLOOKUP(F1744,Sheet2!$B$1:$E$19,4,FALSE)+(G1744-1))</f>
        <v/>
      </c>
    </row>
    <row r="1745" spans="1:15" s="1" customFormat="1" ht="15" customHeight="1" x14ac:dyDescent="0.25">
      <c r="A1745" s="18" t="s">
        <v>667</v>
      </c>
      <c r="B1745" s="18" t="s">
        <v>549</v>
      </c>
      <c r="C1745" s="14" t="s">
        <v>2098</v>
      </c>
      <c r="D1745" s="4" t="s">
        <v>197</v>
      </c>
      <c r="E1745" s="1" t="s">
        <v>2</v>
      </c>
      <c r="F1745" s="18">
        <v>2165</v>
      </c>
      <c r="G1745" s="18">
        <v>303</v>
      </c>
      <c r="H1745" s="5">
        <v>2</v>
      </c>
      <c r="I1745" s="1">
        <v>305</v>
      </c>
      <c r="J1745" s="1">
        <v>278</v>
      </c>
      <c r="L1745" t="str">
        <f t="shared" si="27"/>
        <v>http://www.badatelna.eu/reprodukce/?fondId=1073&amp;zaznamId=1108952&amp;reproId=3779164</v>
      </c>
      <c r="M1745">
        <f>VLOOKUP(F1745,Sheet2!$B$1:$E$19,2,FALSE)</f>
        <v>1073</v>
      </c>
      <c r="N1745">
        <f>VLOOKUP(F1745,Sheet2!$B$1:$E$19,3,FALSE)</f>
        <v>1108952</v>
      </c>
      <c r="O1745">
        <f>IF(G1745="Not available","",VLOOKUP(F1745,Sheet2!$B$1:$E$19,4,FALSE)+(G1745-1))</f>
        <v>3779164</v>
      </c>
    </row>
    <row r="1746" spans="1:15" s="1" customFormat="1" ht="15" customHeight="1" x14ac:dyDescent="0.25">
      <c r="A1746" s="18" t="s">
        <v>667</v>
      </c>
      <c r="B1746" s="18" t="s">
        <v>1032</v>
      </c>
      <c r="C1746" s="5" t="s">
        <v>1451</v>
      </c>
      <c r="D1746" s="1" t="s">
        <v>1028</v>
      </c>
      <c r="E1746" s="1" t="s">
        <v>2</v>
      </c>
      <c r="F1746" s="18">
        <v>2165</v>
      </c>
      <c r="G1746" s="18">
        <v>53</v>
      </c>
      <c r="H1746" s="5">
        <v>50</v>
      </c>
      <c r="I1746" s="1">
        <v>84</v>
      </c>
      <c r="J1746" s="1" t="s">
        <v>3271</v>
      </c>
      <c r="L1746" t="str">
        <f t="shared" si="27"/>
        <v>http://www.badatelna.eu/reprodukce/?fondId=1073&amp;zaznamId=1108952&amp;reproId=3778914</v>
      </c>
      <c r="M1746">
        <f>VLOOKUP(F1746,Sheet2!$B$1:$E$19,2,FALSE)</f>
        <v>1073</v>
      </c>
      <c r="N1746">
        <f>VLOOKUP(F1746,Sheet2!$B$1:$E$19,3,FALSE)</f>
        <v>1108952</v>
      </c>
      <c r="O1746">
        <f>IF(G1746="Not available","",VLOOKUP(F1746,Sheet2!$B$1:$E$19,4,FALSE)+(G1746-1))</f>
        <v>3778914</v>
      </c>
    </row>
    <row r="1747" spans="1:15" s="1" customFormat="1" ht="15" customHeight="1" x14ac:dyDescent="0.25">
      <c r="A1747" s="18" t="s">
        <v>667</v>
      </c>
      <c r="B1747" s="18" t="s">
        <v>668</v>
      </c>
      <c r="C1747" s="5">
        <v>1841</v>
      </c>
      <c r="D1747" s="1" t="s">
        <v>478</v>
      </c>
      <c r="E1747" s="1" t="s">
        <v>2</v>
      </c>
      <c r="F1747" s="18">
        <v>2174</v>
      </c>
      <c r="G1747" s="18">
        <v>116</v>
      </c>
      <c r="H1747" s="6" t="s">
        <v>3186</v>
      </c>
      <c r="I1747" s="1">
        <v>187</v>
      </c>
      <c r="J1747" s="1">
        <v>216</v>
      </c>
      <c r="L1747" t="str">
        <f t="shared" si="27"/>
        <v>http://www.badatelna.eu/reprodukce/?fondId=1073&amp;zaznamId=1108960&amp;reproId=3780340</v>
      </c>
      <c r="M1747">
        <f>VLOOKUP(F1747,Sheet2!$B$1:$E$19,2,FALSE)</f>
        <v>1073</v>
      </c>
      <c r="N1747">
        <f>VLOOKUP(F1747,Sheet2!$B$1:$E$19,3,FALSE)</f>
        <v>1108960</v>
      </c>
      <c r="O1747">
        <f>IF(G1747="Not available","",VLOOKUP(F1747,Sheet2!$B$1:$E$19,4,FALSE)+(G1747-1))</f>
        <v>3780340</v>
      </c>
    </row>
    <row r="1748" spans="1:15" s="1" customFormat="1" ht="15" customHeight="1" x14ac:dyDescent="0.25">
      <c r="A1748" s="18" t="s">
        <v>667</v>
      </c>
      <c r="B1748" s="18" t="s">
        <v>937</v>
      </c>
      <c r="C1748" s="5" t="s">
        <v>1453</v>
      </c>
      <c r="D1748" s="1" t="s">
        <v>1028</v>
      </c>
      <c r="E1748" s="1" t="s">
        <v>2</v>
      </c>
      <c r="F1748" s="18">
        <v>2165</v>
      </c>
      <c r="G1748" s="18">
        <v>64</v>
      </c>
      <c r="H1748" s="5">
        <v>61</v>
      </c>
      <c r="I1748" s="1">
        <v>84</v>
      </c>
      <c r="J1748" s="1" t="s">
        <v>3271</v>
      </c>
      <c r="L1748" t="str">
        <f t="shared" si="27"/>
        <v>http://www.badatelna.eu/reprodukce/?fondId=1073&amp;zaznamId=1108952&amp;reproId=3778925</v>
      </c>
      <c r="M1748">
        <f>VLOOKUP(F1748,Sheet2!$B$1:$E$19,2,FALSE)</f>
        <v>1073</v>
      </c>
      <c r="N1748">
        <f>VLOOKUP(F1748,Sheet2!$B$1:$E$19,3,FALSE)</f>
        <v>1108952</v>
      </c>
      <c r="O1748">
        <f>IF(G1748="Not available","",VLOOKUP(F1748,Sheet2!$B$1:$E$19,4,FALSE)+(G1748-1))</f>
        <v>3778925</v>
      </c>
    </row>
    <row r="1749" spans="1:15" s="1" customFormat="1" ht="15" customHeight="1" x14ac:dyDescent="0.25">
      <c r="A1749" s="18" t="s">
        <v>667</v>
      </c>
      <c r="B1749" s="18" t="s">
        <v>489</v>
      </c>
      <c r="C1749" s="5" t="s">
        <v>1443</v>
      </c>
      <c r="D1749" s="1" t="s">
        <v>1028</v>
      </c>
      <c r="E1749" s="1" t="s">
        <v>2</v>
      </c>
      <c r="F1749" s="18">
        <v>2165</v>
      </c>
      <c r="G1749" s="18">
        <v>19</v>
      </c>
      <c r="H1749" s="5">
        <v>16</v>
      </c>
      <c r="I1749" s="1">
        <v>83</v>
      </c>
      <c r="J1749" s="1" t="s">
        <v>3271</v>
      </c>
      <c r="L1749" t="str">
        <f t="shared" si="27"/>
        <v>http://www.badatelna.eu/reprodukce/?fondId=1073&amp;zaznamId=1108952&amp;reproId=3778880</v>
      </c>
      <c r="M1749">
        <f>VLOOKUP(F1749,Sheet2!$B$1:$E$19,2,FALSE)</f>
        <v>1073</v>
      </c>
      <c r="N1749">
        <f>VLOOKUP(F1749,Sheet2!$B$1:$E$19,3,FALSE)</f>
        <v>1108952</v>
      </c>
      <c r="O1749">
        <f>IF(G1749="Not available","",VLOOKUP(F1749,Sheet2!$B$1:$E$19,4,FALSE)+(G1749-1))</f>
        <v>3778880</v>
      </c>
    </row>
    <row r="1750" spans="1:15" s="1" customFormat="1" ht="15" customHeight="1" x14ac:dyDescent="0.25">
      <c r="A1750" s="18" t="s">
        <v>667</v>
      </c>
      <c r="B1750" s="18" t="s">
        <v>422</v>
      </c>
      <c r="C1750" s="5">
        <v>1855</v>
      </c>
      <c r="D1750" s="1" t="s">
        <v>8</v>
      </c>
      <c r="E1750" s="1" t="s">
        <v>2</v>
      </c>
      <c r="F1750" s="18">
        <v>2164</v>
      </c>
      <c r="G1750" s="18">
        <v>101</v>
      </c>
      <c r="H1750" s="5">
        <v>99</v>
      </c>
      <c r="I1750" s="1">
        <v>129</v>
      </c>
      <c r="J1750" s="1" t="s">
        <v>3271</v>
      </c>
      <c r="L1750" t="str">
        <f t="shared" si="27"/>
        <v>http://www.badatelna.eu/reprodukce/?fondId=1073&amp;zaznamId=1108951&amp;reproId=3778815</v>
      </c>
      <c r="M1750">
        <f>VLOOKUP(F1750,Sheet2!$B$1:$E$19,2,FALSE)</f>
        <v>1073</v>
      </c>
      <c r="N1750">
        <f>VLOOKUP(F1750,Sheet2!$B$1:$E$19,3,FALSE)</f>
        <v>1108951</v>
      </c>
      <c r="O1750">
        <f>IF(G1750="Not available","",VLOOKUP(F1750,Sheet2!$B$1:$E$19,4,FALSE)+(G1750-1))</f>
        <v>3778815</v>
      </c>
    </row>
    <row r="1751" spans="1:15" s="1" customFormat="1" ht="15" customHeight="1" x14ac:dyDescent="0.25">
      <c r="A1751" s="19" t="s">
        <v>667</v>
      </c>
      <c r="B1751" s="18" t="s">
        <v>13</v>
      </c>
      <c r="C1751" s="5">
        <v>1810</v>
      </c>
      <c r="D1751" s="4" t="s">
        <v>75</v>
      </c>
      <c r="E1751" s="1" t="s">
        <v>2</v>
      </c>
      <c r="F1751" s="18">
        <v>2173</v>
      </c>
      <c r="G1751" s="18">
        <v>56</v>
      </c>
      <c r="H1751" s="5">
        <v>106</v>
      </c>
      <c r="I1751" s="1">
        <v>101</v>
      </c>
      <c r="J1751" s="1">
        <v>214</v>
      </c>
      <c r="L1751" t="str">
        <f t="shared" si="27"/>
        <v>http://www.badatelna.eu/reprodukce/?fondId=1073&amp;zaznamId=1108959&amp;reproId=3780049</v>
      </c>
      <c r="M1751">
        <f>VLOOKUP(F1751,Sheet2!$B$1:$E$19,2,FALSE)</f>
        <v>1073</v>
      </c>
      <c r="N1751">
        <f>VLOOKUP(F1751,Sheet2!$B$1:$E$19,3,FALSE)</f>
        <v>1108959</v>
      </c>
      <c r="O1751">
        <f>IF(G1751="Not available","",VLOOKUP(F1751,Sheet2!$B$1:$E$19,4,FALSE)+(G1751-1))</f>
        <v>3780049</v>
      </c>
    </row>
    <row r="1752" spans="1:15" s="1" customFormat="1" ht="15" customHeight="1" x14ac:dyDescent="0.25">
      <c r="A1752" s="18" t="s">
        <v>667</v>
      </c>
      <c r="B1752" s="18" t="s">
        <v>834</v>
      </c>
      <c r="C1752" s="6" t="s">
        <v>2860</v>
      </c>
      <c r="D1752" s="4" t="s">
        <v>3292</v>
      </c>
      <c r="E1752" s="1" t="s">
        <v>939</v>
      </c>
      <c r="F1752" s="18">
        <v>999</v>
      </c>
      <c r="G1752" s="18">
        <v>25</v>
      </c>
      <c r="H1752" s="5">
        <v>23</v>
      </c>
      <c r="I1752" s="1">
        <v>68</v>
      </c>
      <c r="J1752" s="1">
        <v>102</v>
      </c>
      <c r="K1752" s="4" t="s">
        <v>363</v>
      </c>
      <c r="L1752" t="str">
        <f t="shared" si="27"/>
        <v>http://www.badatelna.eu/reprodukce/?fondId=241&amp;zaznamId=1133739&amp;reproId=3885754</v>
      </c>
      <c r="M1752">
        <f>VLOOKUP(F1752,Sheet2!$B$1:$E$19,2,FALSE)</f>
        <v>241</v>
      </c>
      <c r="N1752">
        <f>VLOOKUP(F1752,Sheet2!$B$1:$E$19,3,FALSE)</f>
        <v>1133739</v>
      </c>
      <c r="O1752">
        <f>IF(G1752="Not available","",VLOOKUP(F1752,Sheet2!$B$1:$E$19,4,FALSE)+(G1752-1))</f>
        <v>3885754</v>
      </c>
    </row>
    <row r="1753" spans="1:15" s="1" customFormat="1" ht="15" customHeight="1" x14ac:dyDescent="0.25">
      <c r="A1753" s="18" t="s">
        <v>667</v>
      </c>
      <c r="B1753" s="18" t="s">
        <v>834</v>
      </c>
      <c r="C1753" s="5">
        <v>1861</v>
      </c>
      <c r="D1753" s="4" t="s">
        <v>3293</v>
      </c>
      <c r="E1753" s="1" t="s">
        <v>939</v>
      </c>
      <c r="F1753" s="18">
        <v>999</v>
      </c>
      <c r="G1753" s="18">
        <v>28</v>
      </c>
      <c r="H1753" s="5">
        <v>26</v>
      </c>
      <c r="I1753" s="1">
        <v>68</v>
      </c>
      <c r="J1753" s="1">
        <v>102</v>
      </c>
      <c r="L1753" t="str">
        <f t="shared" si="27"/>
        <v>http://www.badatelna.eu/reprodukce/?fondId=241&amp;zaznamId=1133739&amp;reproId=3885757</v>
      </c>
      <c r="M1753">
        <f>VLOOKUP(F1753,Sheet2!$B$1:$E$19,2,FALSE)</f>
        <v>241</v>
      </c>
      <c r="N1753">
        <f>VLOOKUP(F1753,Sheet2!$B$1:$E$19,3,FALSE)</f>
        <v>1133739</v>
      </c>
      <c r="O1753">
        <f>IF(G1753="Not available","",VLOOKUP(F1753,Sheet2!$B$1:$E$19,4,FALSE)+(G1753-1))</f>
        <v>3885757</v>
      </c>
    </row>
    <row r="1754" spans="1:15" s="1" customFormat="1" ht="15" customHeight="1" x14ac:dyDescent="0.25">
      <c r="A1754" s="18" t="s">
        <v>667</v>
      </c>
      <c r="B1754" s="18" t="s">
        <v>2384</v>
      </c>
      <c r="C1754" s="10" t="s">
        <v>2005</v>
      </c>
      <c r="D1754" s="3" t="s">
        <v>2378</v>
      </c>
      <c r="E1754" s="4" t="s">
        <v>2</v>
      </c>
      <c r="F1754" s="18">
        <v>2176</v>
      </c>
      <c r="G1754" s="18" t="s">
        <v>3271</v>
      </c>
      <c r="H1754" s="10" t="s">
        <v>2385</v>
      </c>
      <c r="I1754" s="3">
        <v>19</v>
      </c>
      <c r="J1754" s="3" t="s">
        <v>3271</v>
      </c>
      <c r="L1754" t="str">
        <f t="shared" si="27"/>
        <v/>
      </c>
      <c r="M1754">
        <f>VLOOKUP(F1754,Sheet2!$B$1:$E$19,2,FALSE)</f>
        <v>1073</v>
      </c>
      <c r="N1754">
        <f>VLOOKUP(F1754,Sheet2!$B$1:$E$19,3,FALSE)</f>
        <v>1108963</v>
      </c>
      <c r="O1754" t="str">
        <f>IF(G1754="Not available","",VLOOKUP(F1754,Sheet2!$B$1:$E$19,4,FALSE)+(G1754-1))</f>
        <v/>
      </c>
    </row>
    <row r="1755" spans="1:15" s="1" customFormat="1" ht="15" customHeight="1" x14ac:dyDescent="0.25">
      <c r="A1755" s="18" t="s">
        <v>667</v>
      </c>
      <c r="B1755" s="18" t="s">
        <v>663</v>
      </c>
      <c r="C1755" s="5">
        <v>1843</v>
      </c>
      <c r="D1755" s="1" t="s">
        <v>614</v>
      </c>
      <c r="E1755" s="1" t="s">
        <v>2</v>
      </c>
      <c r="F1755" s="18">
        <v>2174</v>
      </c>
      <c r="G1755" s="18">
        <v>136</v>
      </c>
      <c r="H1755" s="6" t="s">
        <v>3202</v>
      </c>
      <c r="I1755" s="1">
        <v>187</v>
      </c>
      <c r="J1755" s="1">
        <v>216</v>
      </c>
      <c r="L1755" t="str">
        <f t="shared" si="27"/>
        <v>http://www.badatelna.eu/reprodukce/?fondId=1073&amp;zaznamId=1108960&amp;reproId=3780360</v>
      </c>
      <c r="M1755">
        <f>VLOOKUP(F1755,Sheet2!$B$1:$E$19,2,FALSE)</f>
        <v>1073</v>
      </c>
      <c r="N1755">
        <f>VLOOKUP(F1755,Sheet2!$B$1:$E$19,3,FALSE)</f>
        <v>1108960</v>
      </c>
      <c r="O1755">
        <f>IF(G1755="Not available","",VLOOKUP(F1755,Sheet2!$B$1:$E$19,4,FALSE)+(G1755-1))</f>
        <v>3780360</v>
      </c>
    </row>
    <row r="1756" spans="1:15" s="1" customFormat="1" ht="15" customHeight="1" x14ac:dyDescent="0.25">
      <c r="A1756" s="18" t="s">
        <v>667</v>
      </c>
      <c r="B1756" s="18" t="s">
        <v>663</v>
      </c>
      <c r="C1756" s="5">
        <v>1845</v>
      </c>
      <c r="D1756" s="1" t="s">
        <v>93</v>
      </c>
      <c r="E1756" s="1" t="s">
        <v>2</v>
      </c>
      <c r="F1756" s="18">
        <v>2174</v>
      </c>
      <c r="G1756" s="18">
        <v>154</v>
      </c>
      <c r="H1756" s="14" t="s">
        <v>3220</v>
      </c>
      <c r="I1756" s="1">
        <v>187</v>
      </c>
      <c r="J1756" s="1">
        <v>216</v>
      </c>
      <c r="L1756" t="str">
        <f t="shared" si="27"/>
        <v>http://www.badatelna.eu/reprodukce/?fondId=1073&amp;zaznamId=1108960&amp;reproId=3780378</v>
      </c>
      <c r="M1756">
        <f>VLOOKUP(F1756,Sheet2!$B$1:$E$19,2,FALSE)</f>
        <v>1073</v>
      </c>
      <c r="N1756">
        <f>VLOOKUP(F1756,Sheet2!$B$1:$E$19,3,FALSE)</f>
        <v>1108960</v>
      </c>
      <c r="O1756">
        <f>IF(G1756="Not available","",VLOOKUP(F1756,Sheet2!$B$1:$E$19,4,FALSE)+(G1756-1))</f>
        <v>3780378</v>
      </c>
    </row>
    <row r="1757" spans="1:15" s="1" customFormat="1" ht="15" customHeight="1" x14ac:dyDescent="0.25">
      <c r="A1757" s="18" t="s">
        <v>667</v>
      </c>
      <c r="B1757" s="18" t="s">
        <v>475</v>
      </c>
      <c r="C1757" s="5">
        <v>1848</v>
      </c>
      <c r="D1757" s="1" t="s">
        <v>58</v>
      </c>
      <c r="E1757" s="1" t="s">
        <v>2</v>
      </c>
      <c r="F1757" s="18">
        <v>2164</v>
      </c>
      <c r="G1757" s="18">
        <v>22</v>
      </c>
      <c r="H1757" s="5">
        <v>20</v>
      </c>
      <c r="I1757" s="1">
        <v>129</v>
      </c>
      <c r="J1757" s="1" t="s">
        <v>3271</v>
      </c>
      <c r="L1757" t="str">
        <f t="shared" si="27"/>
        <v>http://www.badatelna.eu/reprodukce/?fondId=1073&amp;zaznamId=1108951&amp;reproId=3778736</v>
      </c>
      <c r="M1757">
        <f>VLOOKUP(F1757,Sheet2!$B$1:$E$19,2,FALSE)</f>
        <v>1073</v>
      </c>
      <c r="N1757">
        <f>VLOOKUP(F1757,Sheet2!$B$1:$E$19,3,FALSE)</f>
        <v>1108951</v>
      </c>
      <c r="O1757">
        <f>IF(G1757="Not available","",VLOOKUP(F1757,Sheet2!$B$1:$E$19,4,FALSE)+(G1757-1))</f>
        <v>3778736</v>
      </c>
    </row>
    <row r="1758" spans="1:15" s="1" customFormat="1" ht="15" customHeight="1" x14ac:dyDescent="0.25">
      <c r="A1758" s="18" t="s">
        <v>667</v>
      </c>
      <c r="B1758" s="18" t="s">
        <v>44</v>
      </c>
      <c r="C1758" s="5">
        <v>1851</v>
      </c>
      <c r="D1758" s="1" t="s">
        <v>93</v>
      </c>
      <c r="E1758" s="1" t="s">
        <v>2</v>
      </c>
      <c r="F1758" s="18">
        <v>2164</v>
      </c>
      <c r="G1758" s="18">
        <v>75</v>
      </c>
      <c r="H1758" s="5">
        <v>73</v>
      </c>
      <c r="I1758" s="1">
        <v>129</v>
      </c>
      <c r="J1758" s="1" t="s">
        <v>3271</v>
      </c>
      <c r="L1758" t="str">
        <f t="shared" si="27"/>
        <v>http://www.badatelna.eu/reprodukce/?fondId=1073&amp;zaznamId=1108951&amp;reproId=3778789</v>
      </c>
      <c r="M1758">
        <f>VLOOKUP(F1758,Sheet2!$B$1:$E$19,2,FALSE)</f>
        <v>1073</v>
      </c>
      <c r="N1758">
        <f>VLOOKUP(F1758,Sheet2!$B$1:$E$19,3,FALSE)</f>
        <v>1108951</v>
      </c>
      <c r="O1758">
        <f>IF(G1758="Not available","",VLOOKUP(F1758,Sheet2!$B$1:$E$19,4,FALSE)+(G1758-1))</f>
        <v>3778789</v>
      </c>
    </row>
    <row r="1759" spans="1:15" s="1" customFormat="1" ht="15" customHeight="1" x14ac:dyDescent="0.25">
      <c r="A1759" s="18" t="s">
        <v>667</v>
      </c>
      <c r="B1759" s="18" t="s">
        <v>998</v>
      </c>
      <c r="C1759" s="5" t="s">
        <v>1752</v>
      </c>
      <c r="D1759" s="1" t="s">
        <v>219</v>
      </c>
      <c r="E1759" s="1" t="s">
        <v>2</v>
      </c>
      <c r="F1759" s="18">
        <v>2165</v>
      </c>
      <c r="G1759" s="18">
        <v>228</v>
      </c>
      <c r="H1759" s="5">
        <v>1</v>
      </c>
      <c r="I1759" s="1">
        <v>231</v>
      </c>
      <c r="J1759" s="1">
        <v>207</v>
      </c>
      <c r="L1759" t="str">
        <f t="shared" si="27"/>
        <v>http://www.badatelna.eu/reprodukce/?fondId=1073&amp;zaznamId=1108952&amp;reproId=3779089</v>
      </c>
      <c r="M1759">
        <f>VLOOKUP(F1759,Sheet2!$B$1:$E$19,2,FALSE)</f>
        <v>1073</v>
      </c>
      <c r="N1759">
        <f>VLOOKUP(F1759,Sheet2!$B$1:$E$19,3,FALSE)</f>
        <v>1108952</v>
      </c>
      <c r="O1759">
        <f>IF(G1759="Not available","",VLOOKUP(F1759,Sheet2!$B$1:$E$19,4,FALSE)+(G1759-1))</f>
        <v>3779089</v>
      </c>
    </row>
    <row r="1760" spans="1:15" s="1" customFormat="1" ht="15" customHeight="1" x14ac:dyDescent="0.25">
      <c r="A1760" s="18" t="s">
        <v>667</v>
      </c>
      <c r="B1760" s="18" t="s">
        <v>58</v>
      </c>
      <c r="C1760" s="5">
        <v>1812</v>
      </c>
      <c r="D1760" s="4" t="s">
        <v>75</v>
      </c>
      <c r="E1760" s="1" t="s">
        <v>2</v>
      </c>
      <c r="F1760" s="18">
        <v>2173</v>
      </c>
      <c r="G1760" s="18">
        <v>59</v>
      </c>
      <c r="H1760" s="5">
        <v>112</v>
      </c>
      <c r="I1760" s="1">
        <v>101</v>
      </c>
      <c r="J1760" s="1">
        <v>214</v>
      </c>
      <c r="L1760" t="str">
        <f t="shared" si="27"/>
        <v>http://www.badatelna.eu/reprodukce/?fondId=1073&amp;zaznamId=1108959&amp;reproId=3780052</v>
      </c>
      <c r="M1760">
        <f>VLOOKUP(F1760,Sheet2!$B$1:$E$19,2,FALSE)</f>
        <v>1073</v>
      </c>
      <c r="N1760">
        <f>VLOOKUP(F1760,Sheet2!$B$1:$E$19,3,FALSE)</f>
        <v>1108959</v>
      </c>
      <c r="O1760">
        <f>IF(G1760="Not available","",VLOOKUP(F1760,Sheet2!$B$1:$E$19,4,FALSE)+(G1760-1))</f>
        <v>3780052</v>
      </c>
    </row>
    <row r="1761" spans="1:15" s="1" customFormat="1" ht="15" customHeight="1" x14ac:dyDescent="0.25">
      <c r="A1761" s="18" t="s">
        <v>667</v>
      </c>
      <c r="B1761" s="18" t="s">
        <v>58</v>
      </c>
      <c r="C1761" s="5">
        <v>1853</v>
      </c>
      <c r="D1761" s="1" t="s">
        <v>93</v>
      </c>
      <c r="E1761" s="1" t="s">
        <v>2</v>
      </c>
      <c r="F1761" s="18">
        <v>2164</v>
      </c>
      <c r="G1761" s="18">
        <v>91</v>
      </c>
      <c r="H1761" s="5">
        <v>89</v>
      </c>
      <c r="I1761" s="1">
        <v>129</v>
      </c>
      <c r="J1761" s="1" t="s">
        <v>3271</v>
      </c>
      <c r="L1761" t="str">
        <f t="shared" si="27"/>
        <v>http://www.badatelna.eu/reprodukce/?fondId=1073&amp;zaznamId=1108951&amp;reproId=3778805</v>
      </c>
      <c r="M1761">
        <f>VLOOKUP(F1761,Sheet2!$B$1:$E$19,2,FALSE)</f>
        <v>1073</v>
      </c>
      <c r="N1761">
        <f>VLOOKUP(F1761,Sheet2!$B$1:$E$19,3,FALSE)</f>
        <v>1108951</v>
      </c>
      <c r="O1761">
        <f>IF(G1761="Not available","",VLOOKUP(F1761,Sheet2!$B$1:$E$19,4,FALSE)+(G1761-1))</f>
        <v>3778805</v>
      </c>
    </row>
    <row r="1762" spans="1:15" s="1" customFormat="1" ht="15" customHeight="1" x14ac:dyDescent="0.25">
      <c r="A1762" s="18" t="s">
        <v>667</v>
      </c>
      <c r="B1762" s="18" t="s">
        <v>996</v>
      </c>
      <c r="C1762" s="5" t="s">
        <v>1455</v>
      </c>
      <c r="D1762" s="1" t="s">
        <v>64</v>
      </c>
      <c r="E1762" s="1" t="s">
        <v>2</v>
      </c>
      <c r="F1762" s="18">
        <v>2165</v>
      </c>
      <c r="G1762" s="18">
        <v>73</v>
      </c>
      <c r="H1762" s="5">
        <v>70</v>
      </c>
      <c r="I1762" s="1">
        <v>84</v>
      </c>
      <c r="J1762" s="1" t="s">
        <v>3271</v>
      </c>
      <c r="L1762" t="str">
        <f t="shared" si="27"/>
        <v>http://www.badatelna.eu/reprodukce/?fondId=1073&amp;zaznamId=1108952&amp;reproId=3778934</v>
      </c>
      <c r="M1762">
        <f>VLOOKUP(F1762,Sheet2!$B$1:$E$19,2,FALSE)</f>
        <v>1073</v>
      </c>
      <c r="N1762">
        <f>VLOOKUP(F1762,Sheet2!$B$1:$E$19,3,FALSE)</f>
        <v>1108952</v>
      </c>
      <c r="O1762">
        <f>IF(G1762="Not available","",VLOOKUP(F1762,Sheet2!$B$1:$E$19,4,FALSE)+(G1762-1))</f>
        <v>3778934</v>
      </c>
    </row>
    <row r="1763" spans="1:15" s="1" customFormat="1" ht="15" customHeight="1" x14ac:dyDescent="0.25">
      <c r="A1763" s="19" t="s">
        <v>667</v>
      </c>
      <c r="B1763" s="18" t="s">
        <v>210</v>
      </c>
      <c r="C1763" s="5">
        <v>1807</v>
      </c>
      <c r="E1763" s="1" t="s">
        <v>2</v>
      </c>
      <c r="F1763" s="18">
        <v>2173</v>
      </c>
      <c r="G1763" s="18">
        <v>52</v>
      </c>
      <c r="H1763" s="5">
        <v>99</v>
      </c>
      <c r="I1763" s="1">
        <v>100</v>
      </c>
      <c r="J1763" s="1">
        <v>213</v>
      </c>
      <c r="L1763" t="str">
        <f t="shared" si="27"/>
        <v>http://www.badatelna.eu/reprodukce/?fondId=1073&amp;zaznamId=1108959&amp;reproId=3780045</v>
      </c>
      <c r="M1763">
        <f>VLOOKUP(F1763,Sheet2!$B$1:$E$19,2,FALSE)</f>
        <v>1073</v>
      </c>
      <c r="N1763">
        <f>VLOOKUP(F1763,Sheet2!$B$1:$E$19,3,FALSE)</f>
        <v>1108959</v>
      </c>
      <c r="O1763">
        <f>IF(G1763="Not available","",VLOOKUP(F1763,Sheet2!$B$1:$E$19,4,FALSE)+(G1763-1))</f>
        <v>3780045</v>
      </c>
    </row>
    <row r="1764" spans="1:15" s="1" customFormat="1" ht="15" customHeight="1" x14ac:dyDescent="0.25">
      <c r="A1764" s="18" t="s">
        <v>667</v>
      </c>
      <c r="B1764" s="18" t="s">
        <v>1972</v>
      </c>
      <c r="C1764" s="10" t="s">
        <v>2072</v>
      </c>
      <c r="D1764" s="3" t="s">
        <v>2395</v>
      </c>
      <c r="E1764" s="4" t="s">
        <v>2</v>
      </c>
      <c r="F1764" s="18">
        <v>2176</v>
      </c>
      <c r="G1764" s="18" t="s">
        <v>3271</v>
      </c>
      <c r="H1764" s="10" t="s">
        <v>2083</v>
      </c>
      <c r="I1764" s="3">
        <v>19</v>
      </c>
      <c r="J1764" s="3" t="s">
        <v>3271</v>
      </c>
      <c r="K1764" s="3"/>
      <c r="L1764" t="str">
        <f t="shared" si="27"/>
        <v/>
      </c>
      <c r="M1764">
        <f>VLOOKUP(F1764,Sheet2!$B$1:$E$19,2,FALSE)</f>
        <v>1073</v>
      </c>
      <c r="N1764">
        <f>VLOOKUP(F1764,Sheet2!$B$1:$E$19,3,FALSE)</f>
        <v>1108963</v>
      </c>
      <c r="O1764" t="str">
        <f>IF(G1764="Not available","",VLOOKUP(F1764,Sheet2!$B$1:$E$19,4,FALSE)+(G1764-1))</f>
        <v/>
      </c>
    </row>
    <row r="1765" spans="1:15" s="1" customFormat="1" ht="15" customHeight="1" x14ac:dyDescent="0.25">
      <c r="A1765" s="18" t="s">
        <v>235</v>
      </c>
      <c r="B1765" s="18" t="s">
        <v>123</v>
      </c>
      <c r="C1765" s="5">
        <v>1822</v>
      </c>
      <c r="E1765" s="1" t="s">
        <v>2</v>
      </c>
      <c r="F1765" s="18">
        <v>2173</v>
      </c>
      <c r="G1765" s="18">
        <v>73</v>
      </c>
      <c r="H1765" s="5">
        <v>138</v>
      </c>
      <c r="I1765" s="1">
        <v>101</v>
      </c>
      <c r="J1765" s="1">
        <v>214</v>
      </c>
      <c r="L1765" t="str">
        <f t="shared" si="27"/>
        <v>http://www.badatelna.eu/reprodukce/?fondId=1073&amp;zaznamId=1108959&amp;reproId=3780066</v>
      </c>
      <c r="M1765">
        <f>VLOOKUP(F1765,Sheet2!$B$1:$E$19,2,FALSE)</f>
        <v>1073</v>
      </c>
      <c r="N1765">
        <f>VLOOKUP(F1765,Sheet2!$B$1:$E$19,3,FALSE)</f>
        <v>1108959</v>
      </c>
      <c r="O1765">
        <f>IF(G1765="Not available","",VLOOKUP(F1765,Sheet2!$B$1:$E$19,4,FALSE)+(G1765-1))</f>
        <v>3780066</v>
      </c>
    </row>
    <row r="1766" spans="1:15" s="1" customFormat="1" ht="15" customHeight="1" x14ac:dyDescent="0.25">
      <c r="A1766" s="18" t="s">
        <v>235</v>
      </c>
      <c r="B1766" s="18" t="s">
        <v>8</v>
      </c>
      <c r="C1766" s="5">
        <v>1825</v>
      </c>
      <c r="E1766" s="1" t="s">
        <v>2</v>
      </c>
      <c r="F1766" s="18">
        <v>2173</v>
      </c>
      <c r="G1766" s="18">
        <v>76</v>
      </c>
      <c r="H1766" s="5">
        <v>145</v>
      </c>
      <c r="I1766" s="1">
        <v>101</v>
      </c>
      <c r="J1766" s="1">
        <v>214</v>
      </c>
      <c r="L1766" t="str">
        <f t="shared" si="27"/>
        <v>http://www.badatelna.eu/reprodukce/?fondId=1073&amp;zaznamId=1108959&amp;reproId=3780069</v>
      </c>
      <c r="M1766">
        <f>VLOOKUP(F1766,Sheet2!$B$1:$E$19,2,FALSE)</f>
        <v>1073</v>
      </c>
      <c r="N1766">
        <f>VLOOKUP(F1766,Sheet2!$B$1:$E$19,3,FALSE)</f>
        <v>1108959</v>
      </c>
      <c r="O1766">
        <f>IF(G1766="Not available","",VLOOKUP(F1766,Sheet2!$B$1:$E$19,4,FALSE)+(G1766-1))</f>
        <v>3780069</v>
      </c>
    </row>
    <row r="1767" spans="1:15" s="1" customFormat="1" ht="15" customHeight="1" x14ac:dyDescent="0.25">
      <c r="A1767" s="18" t="s">
        <v>235</v>
      </c>
      <c r="B1767" s="18" t="s">
        <v>13</v>
      </c>
      <c r="C1767" s="5">
        <v>1819</v>
      </c>
      <c r="E1767" s="1" t="s">
        <v>2</v>
      </c>
      <c r="F1767" s="18">
        <v>2173</v>
      </c>
      <c r="G1767" s="18">
        <v>69</v>
      </c>
      <c r="H1767" s="5">
        <v>131</v>
      </c>
      <c r="I1767" s="1">
        <v>101</v>
      </c>
      <c r="J1767" s="1">
        <v>214</v>
      </c>
      <c r="L1767" t="str">
        <f t="shared" si="27"/>
        <v>http://www.badatelna.eu/reprodukce/?fondId=1073&amp;zaznamId=1108959&amp;reproId=3780062</v>
      </c>
      <c r="M1767">
        <f>VLOOKUP(F1767,Sheet2!$B$1:$E$19,2,FALSE)</f>
        <v>1073</v>
      </c>
      <c r="N1767">
        <f>VLOOKUP(F1767,Sheet2!$B$1:$E$19,3,FALSE)</f>
        <v>1108959</v>
      </c>
      <c r="O1767">
        <f>IF(G1767="Not available","",VLOOKUP(F1767,Sheet2!$B$1:$E$19,4,FALSE)+(G1767-1))</f>
        <v>3780062</v>
      </c>
    </row>
    <row r="1768" spans="1:15" s="1" customFormat="1" ht="15" customHeight="1" x14ac:dyDescent="0.25">
      <c r="A1768" s="18" t="s">
        <v>235</v>
      </c>
      <c r="B1768" s="18" t="s">
        <v>18</v>
      </c>
      <c r="C1768" s="5">
        <v>1816</v>
      </c>
      <c r="E1768" s="1" t="s">
        <v>2</v>
      </c>
      <c r="F1768" s="18">
        <v>2173</v>
      </c>
      <c r="G1768" s="18">
        <v>56</v>
      </c>
      <c r="H1768" s="5">
        <v>126</v>
      </c>
      <c r="I1768" s="1">
        <v>101</v>
      </c>
      <c r="J1768" s="1">
        <v>214</v>
      </c>
      <c r="L1768" t="str">
        <f t="shared" si="27"/>
        <v>http://www.badatelna.eu/reprodukce/?fondId=1073&amp;zaznamId=1108959&amp;reproId=3780049</v>
      </c>
      <c r="M1768">
        <f>VLOOKUP(F1768,Sheet2!$B$1:$E$19,2,FALSE)</f>
        <v>1073</v>
      </c>
      <c r="N1768">
        <f>VLOOKUP(F1768,Sheet2!$B$1:$E$19,3,FALSE)</f>
        <v>1108959</v>
      </c>
      <c r="O1768">
        <f>IF(G1768="Not available","",VLOOKUP(F1768,Sheet2!$B$1:$E$19,4,FALSE)+(G1768-1))</f>
        <v>3780049</v>
      </c>
    </row>
    <row r="1769" spans="1:15" s="1" customFormat="1" ht="15" customHeight="1" x14ac:dyDescent="0.25">
      <c r="A1769" s="18" t="s">
        <v>235</v>
      </c>
      <c r="B1769" s="18" t="s">
        <v>145</v>
      </c>
      <c r="C1769" s="5">
        <v>1827</v>
      </c>
      <c r="E1769" s="1" t="s">
        <v>2</v>
      </c>
      <c r="F1769" s="18">
        <v>2173</v>
      </c>
      <c r="G1769" s="18">
        <v>80</v>
      </c>
      <c r="H1769" s="5">
        <v>152</v>
      </c>
      <c r="I1769" s="1">
        <v>101</v>
      </c>
      <c r="J1769" s="1">
        <v>214</v>
      </c>
      <c r="L1769" t="str">
        <f t="shared" si="27"/>
        <v>http://www.badatelna.eu/reprodukce/?fondId=1073&amp;zaznamId=1108959&amp;reproId=3780073</v>
      </c>
      <c r="M1769">
        <f>VLOOKUP(F1769,Sheet2!$B$1:$E$19,2,FALSE)</f>
        <v>1073</v>
      </c>
      <c r="N1769">
        <f>VLOOKUP(F1769,Sheet2!$B$1:$E$19,3,FALSE)</f>
        <v>1108959</v>
      </c>
      <c r="O1769">
        <f>IF(G1769="Not available","",VLOOKUP(F1769,Sheet2!$B$1:$E$19,4,FALSE)+(G1769-1))</f>
        <v>3780073</v>
      </c>
    </row>
    <row r="1770" spans="1:15" s="1" customFormat="1" ht="15" customHeight="1" x14ac:dyDescent="0.25">
      <c r="A1770" s="18" t="s">
        <v>1170</v>
      </c>
      <c r="B1770" s="18" t="s">
        <v>490</v>
      </c>
      <c r="C1770" s="10" t="s">
        <v>2043</v>
      </c>
      <c r="D1770" s="3" t="s">
        <v>2390</v>
      </c>
      <c r="E1770" s="4" t="s">
        <v>2</v>
      </c>
      <c r="F1770" s="18">
        <v>2176</v>
      </c>
      <c r="G1770" s="18" t="s">
        <v>3271</v>
      </c>
      <c r="H1770" s="10" t="s">
        <v>2094</v>
      </c>
      <c r="I1770" s="3">
        <v>19</v>
      </c>
      <c r="J1770" s="3" t="s">
        <v>3271</v>
      </c>
      <c r="K1770" s="3"/>
      <c r="L1770" t="str">
        <f t="shared" si="27"/>
        <v/>
      </c>
      <c r="M1770">
        <f>VLOOKUP(F1770,Sheet2!$B$1:$E$19,2,FALSE)</f>
        <v>1073</v>
      </c>
      <c r="N1770">
        <f>VLOOKUP(F1770,Sheet2!$B$1:$E$19,3,FALSE)</f>
        <v>1108963</v>
      </c>
      <c r="O1770" t="str">
        <f>IF(G1770="Not available","",VLOOKUP(F1770,Sheet2!$B$1:$E$19,4,FALSE)+(G1770-1))</f>
        <v/>
      </c>
    </row>
    <row r="1771" spans="1:15" s="1" customFormat="1" ht="15" customHeight="1" x14ac:dyDescent="0.25">
      <c r="A1771" s="18" t="s">
        <v>1170</v>
      </c>
      <c r="B1771" s="18" t="s">
        <v>490</v>
      </c>
      <c r="C1771" s="5">
        <v>1885</v>
      </c>
      <c r="D1771" s="1" t="s">
        <v>434</v>
      </c>
      <c r="E1771" s="1" t="s">
        <v>2</v>
      </c>
      <c r="F1771" s="18">
        <v>2165</v>
      </c>
      <c r="G1771" s="18">
        <v>200</v>
      </c>
      <c r="H1771" s="5">
        <v>2</v>
      </c>
      <c r="I1771" s="1">
        <v>204</v>
      </c>
      <c r="J1771" s="1">
        <v>187</v>
      </c>
      <c r="L1771" t="str">
        <f t="shared" si="27"/>
        <v>http://www.badatelna.eu/reprodukce/?fondId=1073&amp;zaznamId=1108952&amp;reproId=3779061</v>
      </c>
      <c r="M1771">
        <f>VLOOKUP(F1771,Sheet2!$B$1:$E$19,2,FALSE)</f>
        <v>1073</v>
      </c>
      <c r="N1771">
        <f>VLOOKUP(F1771,Sheet2!$B$1:$E$19,3,FALSE)</f>
        <v>1108952</v>
      </c>
      <c r="O1771">
        <f>IF(G1771="Not available","",VLOOKUP(F1771,Sheet2!$B$1:$E$19,4,FALSE)+(G1771-1))</f>
        <v>3779061</v>
      </c>
    </row>
    <row r="1772" spans="1:15" s="1" customFormat="1" ht="15" customHeight="1" x14ac:dyDescent="0.25">
      <c r="A1772" s="18" t="s">
        <v>220</v>
      </c>
      <c r="B1772" s="18" t="s">
        <v>486</v>
      </c>
      <c r="C1772" s="5">
        <v>1831</v>
      </c>
      <c r="D1772" s="1" t="s">
        <v>4</v>
      </c>
      <c r="E1772" s="1" t="s">
        <v>2</v>
      </c>
      <c r="F1772" s="18">
        <v>2174</v>
      </c>
      <c r="G1772" s="18">
        <v>63</v>
      </c>
      <c r="H1772" s="6" t="s">
        <v>3107</v>
      </c>
      <c r="I1772" s="1">
        <v>187</v>
      </c>
      <c r="J1772" s="1">
        <v>216</v>
      </c>
      <c r="L1772" t="str">
        <f t="shared" si="27"/>
        <v>http://www.badatelna.eu/reprodukce/?fondId=1073&amp;zaznamId=1108960&amp;reproId=3780287</v>
      </c>
      <c r="M1772">
        <f>VLOOKUP(F1772,Sheet2!$B$1:$E$19,2,FALSE)</f>
        <v>1073</v>
      </c>
      <c r="N1772">
        <f>VLOOKUP(F1772,Sheet2!$B$1:$E$19,3,FALSE)</f>
        <v>1108960</v>
      </c>
      <c r="O1772">
        <f>IF(G1772="Not available","",VLOOKUP(F1772,Sheet2!$B$1:$E$19,4,FALSE)+(G1772-1))</f>
        <v>3780287</v>
      </c>
    </row>
    <row r="1773" spans="1:15" s="1" customFormat="1" ht="15" customHeight="1" x14ac:dyDescent="0.25">
      <c r="A1773" s="18" t="s">
        <v>220</v>
      </c>
      <c r="B1773" s="18" t="s">
        <v>196</v>
      </c>
      <c r="C1773" s="5">
        <v>1838</v>
      </c>
      <c r="D1773" s="1" t="s">
        <v>96</v>
      </c>
      <c r="E1773" s="1" t="s">
        <v>2</v>
      </c>
      <c r="F1773" s="18">
        <v>2174</v>
      </c>
      <c r="G1773" s="18">
        <v>114</v>
      </c>
      <c r="H1773" s="14" t="s">
        <v>3180</v>
      </c>
      <c r="I1773" s="1">
        <v>187</v>
      </c>
      <c r="J1773" s="1">
        <v>216</v>
      </c>
      <c r="L1773" t="str">
        <f t="shared" si="27"/>
        <v>http://www.badatelna.eu/reprodukce/?fondId=1073&amp;zaznamId=1108960&amp;reproId=3780338</v>
      </c>
      <c r="M1773">
        <f>VLOOKUP(F1773,Sheet2!$B$1:$E$19,2,FALSE)</f>
        <v>1073</v>
      </c>
      <c r="N1773">
        <f>VLOOKUP(F1773,Sheet2!$B$1:$E$19,3,FALSE)</f>
        <v>1108960</v>
      </c>
      <c r="O1773">
        <f>IF(G1773="Not available","",VLOOKUP(F1773,Sheet2!$B$1:$E$19,4,FALSE)+(G1773-1))</f>
        <v>3780338</v>
      </c>
    </row>
    <row r="1774" spans="1:15" s="1" customFormat="1" ht="15" customHeight="1" x14ac:dyDescent="0.25">
      <c r="A1774" s="18" t="s">
        <v>220</v>
      </c>
      <c r="B1774" s="19" t="s">
        <v>92</v>
      </c>
      <c r="C1774" s="5">
        <v>1827</v>
      </c>
      <c r="E1774" s="1" t="s">
        <v>2</v>
      </c>
      <c r="F1774" s="18">
        <v>2173</v>
      </c>
      <c r="G1774" s="18">
        <v>87</v>
      </c>
      <c r="H1774" s="5">
        <v>160</v>
      </c>
      <c r="I1774" s="1">
        <v>101</v>
      </c>
      <c r="J1774" s="1">
        <v>214</v>
      </c>
      <c r="L1774" t="str">
        <f t="shared" si="27"/>
        <v>http://www.badatelna.eu/reprodukce/?fondId=1073&amp;zaznamId=1108959&amp;reproId=3780080</v>
      </c>
      <c r="M1774">
        <f>VLOOKUP(F1774,Sheet2!$B$1:$E$19,2,FALSE)</f>
        <v>1073</v>
      </c>
      <c r="N1774">
        <f>VLOOKUP(F1774,Sheet2!$B$1:$E$19,3,FALSE)</f>
        <v>1108959</v>
      </c>
      <c r="O1774">
        <f>IF(G1774="Not available","",VLOOKUP(F1774,Sheet2!$B$1:$E$19,4,FALSE)+(G1774-1))</f>
        <v>3780080</v>
      </c>
    </row>
    <row r="1775" spans="1:15" s="1" customFormat="1" ht="15" customHeight="1" x14ac:dyDescent="0.25">
      <c r="A1775" s="18" t="s">
        <v>220</v>
      </c>
      <c r="B1775" s="18" t="s">
        <v>92</v>
      </c>
      <c r="C1775" s="10" t="s">
        <v>2005</v>
      </c>
      <c r="D1775" s="3" t="s">
        <v>2380</v>
      </c>
      <c r="E1775" s="4" t="s">
        <v>2</v>
      </c>
      <c r="F1775" s="18">
        <v>2176</v>
      </c>
      <c r="G1775" s="18" t="s">
        <v>3271</v>
      </c>
      <c r="H1775" s="10" t="s">
        <v>2381</v>
      </c>
      <c r="I1775" s="3">
        <v>19</v>
      </c>
      <c r="J1775" s="3" t="s">
        <v>3271</v>
      </c>
      <c r="K1775" s="3"/>
      <c r="L1775" t="str">
        <f t="shared" si="27"/>
        <v/>
      </c>
      <c r="M1775">
        <f>VLOOKUP(F1775,Sheet2!$B$1:$E$19,2,FALSE)</f>
        <v>1073</v>
      </c>
      <c r="N1775">
        <f>VLOOKUP(F1775,Sheet2!$B$1:$E$19,3,FALSE)</f>
        <v>1108963</v>
      </c>
      <c r="O1775" t="str">
        <f>IF(G1775="Not available","",VLOOKUP(F1775,Sheet2!$B$1:$E$19,4,FALSE)+(G1775-1))</f>
        <v/>
      </c>
    </row>
    <row r="1776" spans="1:15" s="1" customFormat="1" ht="15" customHeight="1" x14ac:dyDescent="0.25">
      <c r="A1776" s="18" t="s">
        <v>220</v>
      </c>
      <c r="B1776" s="18" t="s">
        <v>14</v>
      </c>
      <c r="C1776" s="5">
        <v>1795</v>
      </c>
      <c r="D1776" s="1" t="s">
        <v>26</v>
      </c>
      <c r="E1776" s="1" t="s">
        <v>2</v>
      </c>
      <c r="F1776" s="18">
        <v>2173</v>
      </c>
      <c r="G1776" s="18">
        <v>33</v>
      </c>
      <c r="H1776" s="5">
        <v>60</v>
      </c>
      <c r="I1776" s="1">
        <v>100</v>
      </c>
      <c r="J1776" s="1">
        <v>213</v>
      </c>
      <c r="L1776" t="str">
        <f t="shared" si="27"/>
        <v>http://www.badatelna.eu/reprodukce/?fondId=1073&amp;zaznamId=1108959&amp;reproId=3780026</v>
      </c>
      <c r="M1776">
        <f>VLOOKUP(F1776,Sheet2!$B$1:$E$19,2,FALSE)</f>
        <v>1073</v>
      </c>
      <c r="N1776">
        <f>VLOOKUP(F1776,Sheet2!$B$1:$E$19,3,FALSE)</f>
        <v>1108959</v>
      </c>
      <c r="O1776">
        <f>IF(G1776="Not available","",VLOOKUP(F1776,Sheet2!$B$1:$E$19,4,FALSE)+(G1776-1))</f>
        <v>3780026</v>
      </c>
    </row>
    <row r="1777" spans="1:15" s="1" customFormat="1" ht="15" customHeight="1" x14ac:dyDescent="0.25">
      <c r="A1777" s="18" t="s">
        <v>220</v>
      </c>
      <c r="B1777" s="18" t="s">
        <v>16</v>
      </c>
      <c r="C1777" s="5">
        <v>1834</v>
      </c>
      <c r="D1777" s="1" t="s">
        <v>536</v>
      </c>
      <c r="E1777" s="1" t="s">
        <v>2</v>
      </c>
      <c r="F1777" s="18">
        <v>2174</v>
      </c>
      <c r="G1777" s="18">
        <v>78</v>
      </c>
      <c r="H1777" s="6" t="s">
        <v>3144</v>
      </c>
      <c r="I1777" s="1">
        <v>187</v>
      </c>
      <c r="J1777" s="1">
        <v>216</v>
      </c>
      <c r="L1777" t="str">
        <f t="shared" si="27"/>
        <v>http://www.badatelna.eu/reprodukce/?fondId=1073&amp;zaznamId=1108960&amp;reproId=3780302</v>
      </c>
      <c r="M1777">
        <f>VLOOKUP(F1777,Sheet2!$B$1:$E$19,2,FALSE)</f>
        <v>1073</v>
      </c>
      <c r="N1777">
        <f>VLOOKUP(F1777,Sheet2!$B$1:$E$19,3,FALSE)</f>
        <v>1108960</v>
      </c>
      <c r="O1777">
        <f>IF(G1777="Not available","",VLOOKUP(F1777,Sheet2!$B$1:$E$19,4,FALSE)+(G1777-1))</f>
        <v>3780302</v>
      </c>
    </row>
    <row r="1778" spans="1:15" s="1" customFormat="1" ht="15" customHeight="1" x14ac:dyDescent="0.25">
      <c r="A1778" s="18" t="s">
        <v>220</v>
      </c>
      <c r="B1778" s="18" t="s">
        <v>478</v>
      </c>
      <c r="C1778" s="5">
        <v>1841</v>
      </c>
      <c r="D1778" s="1" t="s">
        <v>622</v>
      </c>
      <c r="E1778" s="1" t="s">
        <v>2</v>
      </c>
      <c r="F1778" s="18">
        <v>2174</v>
      </c>
      <c r="G1778" s="18">
        <v>128</v>
      </c>
      <c r="H1778" s="6" t="s">
        <v>3194</v>
      </c>
      <c r="I1778" s="1">
        <v>187</v>
      </c>
      <c r="J1778" s="1">
        <v>216</v>
      </c>
      <c r="L1778" t="str">
        <f t="shared" si="27"/>
        <v>http://www.badatelna.eu/reprodukce/?fondId=1073&amp;zaznamId=1108960&amp;reproId=3780352</v>
      </c>
      <c r="M1778">
        <f>VLOOKUP(F1778,Sheet2!$B$1:$E$19,2,FALSE)</f>
        <v>1073</v>
      </c>
      <c r="N1778">
        <f>VLOOKUP(F1778,Sheet2!$B$1:$E$19,3,FALSE)</f>
        <v>1108960</v>
      </c>
      <c r="O1778">
        <f>IF(G1778="Not available","",VLOOKUP(F1778,Sheet2!$B$1:$E$19,4,FALSE)+(G1778-1))</f>
        <v>3780352</v>
      </c>
    </row>
    <row r="1779" spans="1:15" s="1" customFormat="1" ht="15" customHeight="1" x14ac:dyDescent="0.25">
      <c r="A1779" s="18" t="s">
        <v>220</v>
      </c>
      <c r="B1779" s="18" t="s">
        <v>482</v>
      </c>
      <c r="C1779" s="5">
        <v>1840</v>
      </c>
      <c r="D1779" s="1" t="s">
        <v>234</v>
      </c>
      <c r="E1779" s="1" t="s">
        <v>2</v>
      </c>
      <c r="F1779" s="18">
        <v>2174</v>
      </c>
      <c r="G1779" s="18">
        <v>110</v>
      </c>
      <c r="H1779" s="6" t="s">
        <v>3178</v>
      </c>
      <c r="I1779" s="1">
        <v>187</v>
      </c>
      <c r="J1779" s="1">
        <v>216</v>
      </c>
      <c r="L1779" t="str">
        <f t="shared" si="27"/>
        <v>http://www.badatelna.eu/reprodukce/?fondId=1073&amp;zaznamId=1108960&amp;reproId=3780334</v>
      </c>
      <c r="M1779">
        <f>VLOOKUP(F1779,Sheet2!$B$1:$E$19,2,FALSE)</f>
        <v>1073</v>
      </c>
      <c r="N1779">
        <f>VLOOKUP(F1779,Sheet2!$B$1:$E$19,3,FALSE)</f>
        <v>1108960</v>
      </c>
      <c r="O1779">
        <f>IF(G1779="Not available","",VLOOKUP(F1779,Sheet2!$B$1:$E$19,4,FALSE)+(G1779-1))</f>
        <v>3780334</v>
      </c>
    </row>
    <row r="1780" spans="1:15" s="1" customFormat="1" ht="15" customHeight="1" x14ac:dyDescent="0.25">
      <c r="A1780" s="18" t="s">
        <v>220</v>
      </c>
      <c r="B1780" s="18" t="s">
        <v>482</v>
      </c>
      <c r="C1780" s="5">
        <v>1855</v>
      </c>
      <c r="D1780" s="4" t="s">
        <v>506</v>
      </c>
      <c r="E1780" s="1" t="s">
        <v>2</v>
      </c>
      <c r="F1780" s="18">
        <v>2164</v>
      </c>
      <c r="G1780" s="18">
        <v>105</v>
      </c>
      <c r="H1780" s="5">
        <v>103</v>
      </c>
      <c r="I1780" s="1">
        <v>129</v>
      </c>
      <c r="J1780" s="1" t="s">
        <v>3271</v>
      </c>
      <c r="L1780" t="str">
        <f t="shared" si="27"/>
        <v>http://www.badatelna.eu/reprodukce/?fondId=1073&amp;zaznamId=1108951&amp;reproId=3778819</v>
      </c>
      <c r="M1780">
        <f>VLOOKUP(F1780,Sheet2!$B$1:$E$19,2,FALSE)</f>
        <v>1073</v>
      </c>
      <c r="N1780">
        <f>VLOOKUP(F1780,Sheet2!$B$1:$E$19,3,FALSE)</f>
        <v>1108951</v>
      </c>
      <c r="O1780">
        <f>IF(G1780="Not available","",VLOOKUP(F1780,Sheet2!$B$1:$E$19,4,FALSE)+(G1780-1))</f>
        <v>3778819</v>
      </c>
    </row>
    <row r="1781" spans="1:15" s="1" customFormat="1" ht="15" customHeight="1" x14ac:dyDescent="0.25">
      <c r="A1781" s="18" t="s">
        <v>220</v>
      </c>
      <c r="B1781" s="18" t="s">
        <v>439</v>
      </c>
      <c r="C1781" s="5">
        <v>1848</v>
      </c>
      <c r="D1781" s="1" t="s">
        <v>622</v>
      </c>
      <c r="E1781" s="1" t="s">
        <v>2</v>
      </c>
      <c r="F1781" s="18">
        <v>2164</v>
      </c>
      <c r="G1781" s="18">
        <v>31</v>
      </c>
      <c r="H1781" s="5">
        <v>29</v>
      </c>
      <c r="I1781" s="1">
        <v>129</v>
      </c>
      <c r="J1781" s="1" t="s">
        <v>3271</v>
      </c>
      <c r="L1781" t="str">
        <f t="shared" si="27"/>
        <v>http://www.badatelna.eu/reprodukce/?fondId=1073&amp;zaznamId=1108951&amp;reproId=3778745</v>
      </c>
      <c r="M1781">
        <f>VLOOKUP(F1781,Sheet2!$B$1:$E$19,2,FALSE)</f>
        <v>1073</v>
      </c>
      <c r="N1781">
        <f>VLOOKUP(F1781,Sheet2!$B$1:$E$19,3,FALSE)</f>
        <v>1108951</v>
      </c>
      <c r="O1781">
        <f>IF(G1781="Not available","",VLOOKUP(F1781,Sheet2!$B$1:$E$19,4,FALSE)+(G1781-1))</f>
        <v>3778745</v>
      </c>
    </row>
    <row r="1782" spans="1:15" s="1" customFormat="1" ht="15" customHeight="1" x14ac:dyDescent="0.25">
      <c r="A1782" s="18" t="s">
        <v>220</v>
      </c>
      <c r="B1782" s="19" t="s">
        <v>86</v>
      </c>
      <c r="C1782" s="5">
        <v>1811</v>
      </c>
      <c r="E1782" s="1" t="s">
        <v>2</v>
      </c>
      <c r="F1782" s="18">
        <v>2173</v>
      </c>
      <c r="G1782" s="18">
        <v>57</v>
      </c>
      <c r="H1782" s="6" t="s">
        <v>2947</v>
      </c>
      <c r="I1782" s="1">
        <v>101</v>
      </c>
      <c r="J1782" s="1">
        <v>214</v>
      </c>
      <c r="L1782" t="str">
        <f t="shared" si="27"/>
        <v>http://www.badatelna.eu/reprodukce/?fondId=1073&amp;zaznamId=1108959&amp;reproId=3780050</v>
      </c>
      <c r="M1782">
        <f>VLOOKUP(F1782,Sheet2!$B$1:$E$19,2,FALSE)</f>
        <v>1073</v>
      </c>
      <c r="N1782">
        <f>VLOOKUP(F1782,Sheet2!$B$1:$E$19,3,FALSE)</f>
        <v>1108959</v>
      </c>
      <c r="O1782">
        <f>IF(G1782="Not available","",VLOOKUP(F1782,Sheet2!$B$1:$E$19,4,FALSE)+(G1782-1))</f>
        <v>3780050</v>
      </c>
    </row>
    <row r="1783" spans="1:15" s="1" customFormat="1" ht="15" customHeight="1" x14ac:dyDescent="0.25">
      <c r="A1783" s="18" t="s">
        <v>220</v>
      </c>
      <c r="B1783" s="19" t="s">
        <v>3294</v>
      </c>
      <c r="C1783" s="5">
        <v>1864</v>
      </c>
      <c r="D1783" s="4" t="s">
        <v>16</v>
      </c>
      <c r="E1783" s="1" t="s">
        <v>939</v>
      </c>
      <c r="F1783" s="18">
        <v>999</v>
      </c>
      <c r="G1783" s="18">
        <v>47</v>
      </c>
      <c r="H1783" s="5">
        <v>45</v>
      </c>
      <c r="I1783" s="1">
        <v>68</v>
      </c>
      <c r="J1783" s="1">
        <v>102</v>
      </c>
      <c r="L1783" t="str">
        <f t="shared" si="27"/>
        <v>http://www.badatelna.eu/reprodukce/?fondId=241&amp;zaznamId=1133739&amp;reproId=3885776</v>
      </c>
      <c r="M1783">
        <f>VLOOKUP(F1783,Sheet2!$B$1:$E$19,2,FALSE)</f>
        <v>241</v>
      </c>
      <c r="N1783">
        <f>VLOOKUP(F1783,Sheet2!$B$1:$E$19,3,FALSE)</f>
        <v>1133739</v>
      </c>
      <c r="O1783">
        <f>IF(G1783="Not available","",VLOOKUP(F1783,Sheet2!$B$1:$E$19,4,FALSE)+(G1783-1))</f>
        <v>3885776</v>
      </c>
    </row>
    <row r="1784" spans="1:15" s="1" customFormat="1" ht="15" customHeight="1" x14ac:dyDescent="0.25">
      <c r="A1784" s="18" t="s">
        <v>220</v>
      </c>
      <c r="B1784" s="19" t="s">
        <v>104</v>
      </c>
      <c r="C1784" s="5">
        <v>1801</v>
      </c>
      <c r="E1784" s="1" t="s">
        <v>2</v>
      </c>
      <c r="F1784" s="18">
        <v>2173</v>
      </c>
      <c r="G1784" s="18">
        <v>45</v>
      </c>
      <c r="H1784" s="5">
        <v>85</v>
      </c>
      <c r="I1784" s="1">
        <v>100</v>
      </c>
      <c r="J1784" s="1">
        <v>213</v>
      </c>
      <c r="L1784" t="str">
        <f t="shared" si="27"/>
        <v>http://www.badatelna.eu/reprodukce/?fondId=1073&amp;zaznamId=1108959&amp;reproId=3780038</v>
      </c>
      <c r="M1784">
        <f>VLOOKUP(F1784,Sheet2!$B$1:$E$19,2,FALSE)</f>
        <v>1073</v>
      </c>
      <c r="N1784">
        <f>VLOOKUP(F1784,Sheet2!$B$1:$E$19,3,FALSE)</f>
        <v>1108959</v>
      </c>
      <c r="O1784">
        <f>IF(G1784="Not available","",VLOOKUP(F1784,Sheet2!$B$1:$E$19,4,FALSE)+(G1784-1))</f>
        <v>3780038</v>
      </c>
    </row>
    <row r="1785" spans="1:15" s="1" customFormat="1" ht="15" customHeight="1" x14ac:dyDescent="0.25">
      <c r="A1785" s="18" t="s">
        <v>220</v>
      </c>
      <c r="B1785" s="18" t="s">
        <v>231</v>
      </c>
      <c r="C1785" s="5">
        <v>1797</v>
      </c>
      <c r="D1785" s="1" t="s">
        <v>13</v>
      </c>
      <c r="E1785" s="1" t="s">
        <v>2</v>
      </c>
      <c r="F1785" s="18">
        <v>2173</v>
      </c>
      <c r="G1785" s="18">
        <v>36</v>
      </c>
      <c r="H1785" s="5">
        <v>66</v>
      </c>
      <c r="I1785" s="1">
        <v>100</v>
      </c>
      <c r="J1785" s="1">
        <v>213</v>
      </c>
      <c r="L1785" t="str">
        <f t="shared" si="27"/>
        <v>http://www.badatelna.eu/reprodukce/?fondId=1073&amp;zaznamId=1108959&amp;reproId=3780029</v>
      </c>
      <c r="M1785">
        <f>VLOOKUP(F1785,Sheet2!$B$1:$E$19,2,FALSE)</f>
        <v>1073</v>
      </c>
      <c r="N1785">
        <f>VLOOKUP(F1785,Sheet2!$B$1:$E$19,3,FALSE)</f>
        <v>1108959</v>
      </c>
      <c r="O1785">
        <f>IF(G1785="Not available","",VLOOKUP(F1785,Sheet2!$B$1:$E$19,4,FALSE)+(G1785-1))</f>
        <v>3780029</v>
      </c>
    </row>
    <row r="1786" spans="1:15" s="1" customFormat="1" ht="15" customHeight="1" x14ac:dyDescent="0.25">
      <c r="A1786" s="18" t="s">
        <v>220</v>
      </c>
      <c r="B1786" s="18" t="s">
        <v>64</v>
      </c>
      <c r="C1786" s="5">
        <v>1795</v>
      </c>
      <c r="D1786" s="12" t="s">
        <v>2940</v>
      </c>
      <c r="E1786" s="1" t="s">
        <v>2</v>
      </c>
      <c r="F1786" s="18">
        <v>2173</v>
      </c>
      <c r="G1786" s="18">
        <v>32</v>
      </c>
      <c r="H1786" s="5">
        <v>59</v>
      </c>
      <c r="I1786" s="1">
        <v>100</v>
      </c>
      <c r="J1786" s="1">
        <v>213</v>
      </c>
      <c r="L1786" t="str">
        <f t="shared" si="27"/>
        <v>http://www.badatelna.eu/reprodukce/?fondId=1073&amp;zaznamId=1108959&amp;reproId=3780025</v>
      </c>
      <c r="M1786">
        <f>VLOOKUP(F1786,Sheet2!$B$1:$E$19,2,FALSE)</f>
        <v>1073</v>
      </c>
      <c r="N1786">
        <f>VLOOKUP(F1786,Sheet2!$B$1:$E$19,3,FALSE)</f>
        <v>1108959</v>
      </c>
      <c r="O1786">
        <f>IF(G1786="Not available","",VLOOKUP(F1786,Sheet2!$B$1:$E$19,4,FALSE)+(G1786-1))</f>
        <v>3780025</v>
      </c>
    </row>
    <row r="1787" spans="1:15" s="1" customFormat="1" ht="15" customHeight="1" x14ac:dyDescent="0.25">
      <c r="A1787" s="18" t="s">
        <v>220</v>
      </c>
      <c r="B1787" s="18" t="s">
        <v>221</v>
      </c>
      <c r="C1787" s="5">
        <v>1787</v>
      </c>
      <c r="D1787" s="1" t="s">
        <v>26</v>
      </c>
      <c r="E1787" s="1" t="s">
        <v>2</v>
      </c>
      <c r="F1787" s="18">
        <v>2173</v>
      </c>
      <c r="G1787" s="18">
        <v>16</v>
      </c>
      <c r="H1787" s="5">
        <v>26</v>
      </c>
      <c r="I1787" s="1">
        <v>100</v>
      </c>
      <c r="J1787" s="1">
        <v>213</v>
      </c>
      <c r="L1787" t="str">
        <f t="shared" si="27"/>
        <v>http://www.badatelna.eu/reprodukce/?fondId=1073&amp;zaznamId=1108959&amp;reproId=3780009</v>
      </c>
      <c r="M1787">
        <f>VLOOKUP(F1787,Sheet2!$B$1:$E$19,2,FALSE)</f>
        <v>1073</v>
      </c>
      <c r="N1787">
        <f>VLOOKUP(F1787,Sheet2!$B$1:$E$19,3,FALSE)</f>
        <v>1108959</v>
      </c>
      <c r="O1787">
        <f>IF(G1787="Not available","",VLOOKUP(F1787,Sheet2!$B$1:$E$19,4,FALSE)+(G1787-1))</f>
        <v>3780009</v>
      </c>
    </row>
    <row r="1788" spans="1:15" s="1" customFormat="1" ht="15" customHeight="1" x14ac:dyDescent="0.25">
      <c r="A1788" s="19" t="s">
        <v>220</v>
      </c>
      <c r="B1788" s="18" t="s">
        <v>234</v>
      </c>
      <c r="C1788" s="5">
        <v>1804</v>
      </c>
      <c r="E1788" s="1" t="s">
        <v>2</v>
      </c>
      <c r="F1788" s="18">
        <v>2173</v>
      </c>
      <c r="G1788" s="18">
        <v>48</v>
      </c>
      <c r="H1788" s="5">
        <v>91</v>
      </c>
      <c r="I1788" s="1">
        <v>100</v>
      </c>
      <c r="J1788" s="1">
        <v>213</v>
      </c>
      <c r="L1788" t="str">
        <f t="shared" si="27"/>
        <v>http://www.badatelna.eu/reprodukce/?fondId=1073&amp;zaznamId=1108959&amp;reproId=3780041</v>
      </c>
      <c r="M1788">
        <f>VLOOKUP(F1788,Sheet2!$B$1:$E$19,2,FALSE)</f>
        <v>1073</v>
      </c>
      <c r="N1788">
        <f>VLOOKUP(F1788,Sheet2!$B$1:$E$19,3,FALSE)</f>
        <v>1108959</v>
      </c>
      <c r="O1788">
        <f>IF(G1788="Not available","",VLOOKUP(F1788,Sheet2!$B$1:$E$19,4,FALSE)+(G1788-1))</f>
        <v>3780041</v>
      </c>
    </row>
    <row r="1789" spans="1:15" s="1" customFormat="1" ht="15" customHeight="1" x14ac:dyDescent="0.25">
      <c r="A1789" s="18" t="s">
        <v>220</v>
      </c>
      <c r="B1789" s="18" t="s">
        <v>99</v>
      </c>
      <c r="C1789" s="5">
        <v>1854</v>
      </c>
      <c r="D1789" s="1" t="s">
        <v>536</v>
      </c>
      <c r="E1789" s="1" t="s">
        <v>2</v>
      </c>
      <c r="F1789" s="18">
        <v>2164</v>
      </c>
      <c r="G1789" s="18">
        <v>94</v>
      </c>
      <c r="H1789" s="5">
        <v>92</v>
      </c>
      <c r="I1789" s="1">
        <v>129</v>
      </c>
      <c r="J1789" s="1" t="s">
        <v>3271</v>
      </c>
      <c r="L1789" t="str">
        <f t="shared" si="27"/>
        <v>http://www.badatelna.eu/reprodukce/?fondId=1073&amp;zaznamId=1108951&amp;reproId=3778808</v>
      </c>
      <c r="M1789">
        <f>VLOOKUP(F1789,Sheet2!$B$1:$E$19,2,FALSE)</f>
        <v>1073</v>
      </c>
      <c r="N1789">
        <f>VLOOKUP(F1789,Sheet2!$B$1:$E$19,3,FALSE)</f>
        <v>1108951</v>
      </c>
      <c r="O1789">
        <f>IF(G1789="Not available","",VLOOKUP(F1789,Sheet2!$B$1:$E$19,4,FALSE)+(G1789-1))</f>
        <v>3778808</v>
      </c>
    </row>
    <row r="1790" spans="1:15" s="1" customFormat="1" ht="15" customHeight="1" x14ac:dyDescent="0.25">
      <c r="A1790" s="18" t="s">
        <v>220</v>
      </c>
      <c r="B1790" s="18" t="s">
        <v>494</v>
      </c>
      <c r="C1790" s="5">
        <v>1838</v>
      </c>
      <c r="D1790" s="1" t="s">
        <v>234</v>
      </c>
      <c r="E1790" s="1" t="s">
        <v>2</v>
      </c>
      <c r="F1790" s="18">
        <v>2174</v>
      </c>
      <c r="G1790" s="18">
        <v>97</v>
      </c>
      <c r="H1790" s="6" t="s">
        <v>3167</v>
      </c>
      <c r="I1790" s="1">
        <v>187</v>
      </c>
      <c r="J1790" s="1">
        <v>216</v>
      </c>
      <c r="L1790" t="str">
        <f t="shared" si="27"/>
        <v>http://www.badatelna.eu/reprodukce/?fondId=1073&amp;zaznamId=1108960&amp;reproId=3780321</v>
      </c>
      <c r="M1790">
        <f>VLOOKUP(F1790,Sheet2!$B$1:$E$19,2,FALSE)</f>
        <v>1073</v>
      </c>
      <c r="N1790">
        <f>VLOOKUP(F1790,Sheet2!$B$1:$E$19,3,FALSE)</f>
        <v>1108960</v>
      </c>
      <c r="O1790">
        <f>IF(G1790="Not available","",VLOOKUP(F1790,Sheet2!$B$1:$E$19,4,FALSE)+(G1790-1))</f>
        <v>3780321</v>
      </c>
    </row>
    <row r="1791" spans="1:15" s="1" customFormat="1" ht="15" customHeight="1" x14ac:dyDescent="0.25">
      <c r="A1791" s="18" t="s">
        <v>220</v>
      </c>
      <c r="B1791" s="18" t="s">
        <v>2383</v>
      </c>
      <c r="C1791" s="10" t="s">
        <v>2382</v>
      </c>
      <c r="D1791" s="3" t="s">
        <v>2380</v>
      </c>
      <c r="E1791" s="4" t="s">
        <v>2</v>
      </c>
      <c r="F1791" s="18">
        <v>2176</v>
      </c>
      <c r="G1791" s="18" t="s">
        <v>3271</v>
      </c>
      <c r="H1791" s="10" t="s">
        <v>2381</v>
      </c>
      <c r="I1791" s="3">
        <v>19</v>
      </c>
      <c r="J1791" s="3" t="s">
        <v>3271</v>
      </c>
      <c r="L1791" t="str">
        <f t="shared" si="27"/>
        <v/>
      </c>
      <c r="M1791">
        <f>VLOOKUP(F1791,Sheet2!$B$1:$E$19,2,FALSE)</f>
        <v>1073</v>
      </c>
      <c r="N1791">
        <f>VLOOKUP(F1791,Sheet2!$B$1:$E$19,3,FALSE)</f>
        <v>1108963</v>
      </c>
      <c r="O1791" t="str">
        <f>IF(G1791="Not available","",VLOOKUP(F1791,Sheet2!$B$1:$E$19,4,FALSE)+(G1791-1))</f>
        <v/>
      </c>
    </row>
    <row r="1792" spans="1:15" s="1" customFormat="1" ht="15" customHeight="1" x14ac:dyDescent="0.25">
      <c r="A1792" s="18" t="s">
        <v>220</v>
      </c>
      <c r="B1792" s="18" t="s">
        <v>495</v>
      </c>
      <c r="C1792" s="5">
        <v>1845</v>
      </c>
      <c r="D1792" s="1" t="s">
        <v>670</v>
      </c>
      <c r="E1792" s="1" t="s">
        <v>2</v>
      </c>
      <c r="F1792" s="18">
        <v>2174</v>
      </c>
      <c r="G1792" s="18">
        <v>154</v>
      </c>
      <c r="H1792" s="14" t="s">
        <v>3220</v>
      </c>
      <c r="I1792" s="1">
        <v>187</v>
      </c>
      <c r="J1792" s="1">
        <v>216</v>
      </c>
      <c r="L1792" t="str">
        <f t="shared" si="27"/>
        <v>http://www.badatelna.eu/reprodukce/?fondId=1073&amp;zaznamId=1108960&amp;reproId=3780378</v>
      </c>
      <c r="M1792">
        <f>VLOOKUP(F1792,Sheet2!$B$1:$E$19,2,FALSE)</f>
        <v>1073</v>
      </c>
      <c r="N1792">
        <f>VLOOKUP(F1792,Sheet2!$B$1:$E$19,3,FALSE)</f>
        <v>1108960</v>
      </c>
      <c r="O1792">
        <f>IF(G1792="Not available","",VLOOKUP(F1792,Sheet2!$B$1:$E$19,4,FALSE)+(G1792-1))</f>
        <v>3780378</v>
      </c>
    </row>
    <row r="1793" spans="1:15" s="1" customFormat="1" ht="15" customHeight="1" x14ac:dyDescent="0.25">
      <c r="A1793" s="18" t="s">
        <v>220</v>
      </c>
      <c r="B1793" s="18" t="s">
        <v>1029</v>
      </c>
      <c r="C1793" s="5" t="s">
        <v>1444</v>
      </c>
      <c r="D1793" s="1" t="s">
        <v>16</v>
      </c>
      <c r="E1793" s="1" t="s">
        <v>2</v>
      </c>
      <c r="F1793" s="18">
        <v>2165</v>
      </c>
      <c r="G1793" s="18">
        <v>23</v>
      </c>
      <c r="H1793" s="5">
        <v>20</v>
      </c>
      <c r="I1793" s="1">
        <v>83</v>
      </c>
      <c r="J1793" s="1" t="s">
        <v>3271</v>
      </c>
      <c r="L1793" t="str">
        <f t="shared" si="27"/>
        <v>http://www.badatelna.eu/reprodukce/?fondId=1073&amp;zaznamId=1108952&amp;reproId=3778884</v>
      </c>
      <c r="M1793">
        <f>VLOOKUP(F1793,Sheet2!$B$1:$E$19,2,FALSE)</f>
        <v>1073</v>
      </c>
      <c r="N1793">
        <f>VLOOKUP(F1793,Sheet2!$B$1:$E$19,3,FALSE)</f>
        <v>1108952</v>
      </c>
      <c r="O1793">
        <f>IF(G1793="Not available","",VLOOKUP(F1793,Sheet2!$B$1:$E$19,4,FALSE)+(G1793-1))</f>
        <v>3778884</v>
      </c>
    </row>
    <row r="1794" spans="1:15" s="1" customFormat="1" ht="15" customHeight="1" x14ac:dyDescent="0.25">
      <c r="A1794" s="18" t="s">
        <v>220</v>
      </c>
      <c r="B1794" s="18" t="s">
        <v>952</v>
      </c>
      <c r="C1794" s="5">
        <v>1865</v>
      </c>
      <c r="E1794" s="1" t="s">
        <v>939</v>
      </c>
      <c r="F1794" s="18">
        <v>999</v>
      </c>
      <c r="G1794" s="18">
        <v>57</v>
      </c>
      <c r="H1794" s="5">
        <v>55</v>
      </c>
      <c r="I1794" s="1">
        <v>68</v>
      </c>
      <c r="J1794" s="1">
        <v>102</v>
      </c>
      <c r="L1794" t="str">
        <f t="shared" si="27"/>
        <v>http://www.badatelna.eu/reprodukce/?fondId=241&amp;zaznamId=1133739&amp;reproId=3885786</v>
      </c>
      <c r="M1794">
        <f>VLOOKUP(F1794,Sheet2!$B$1:$E$19,2,FALSE)</f>
        <v>241</v>
      </c>
      <c r="N1794">
        <f>VLOOKUP(F1794,Sheet2!$B$1:$E$19,3,FALSE)</f>
        <v>1133739</v>
      </c>
      <c r="O1794">
        <f>IF(G1794="Not available","",VLOOKUP(F1794,Sheet2!$B$1:$E$19,4,FALSE)+(G1794-1))</f>
        <v>3885786</v>
      </c>
    </row>
    <row r="1795" spans="1:15" s="1" customFormat="1" ht="15" customHeight="1" x14ac:dyDescent="0.25">
      <c r="A1795" s="18" t="s">
        <v>220</v>
      </c>
      <c r="B1795" s="18" t="s">
        <v>952</v>
      </c>
      <c r="C1795" s="5" t="s">
        <v>1441</v>
      </c>
      <c r="D1795" s="1" t="s">
        <v>16</v>
      </c>
      <c r="E1795" s="1" t="s">
        <v>2</v>
      </c>
      <c r="F1795" s="18">
        <v>2165</v>
      </c>
      <c r="G1795" s="18">
        <v>11</v>
      </c>
      <c r="H1795" s="5">
        <v>8</v>
      </c>
      <c r="I1795" s="1">
        <v>83</v>
      </c>
      <c r="J1795" s="1" t="s">
        <v>3271</v>
      </c>
      <c r="L1795" t="str">
        <f t="shared" ref="L1795:L1858" si="28">IF(G1795="Not available","","http://www.badatelna.eu/reprodukce/?fondId="&amp;M1795&amp;"&amp;zaznamId="&amp;N1795&amp;"&amp;reproId="&amp;O1795)</f>
        <v>http://www.badatelna.eu/reprodukce/?fondId=1073&amp;zaznamId=1108952&amp;reproId=3778872</v>
      </c>
      <c r="M1795">
        <f>VLOOKUP(F1795,Sheet2!$B$1:$E$19,2,FALSE)</f>
        <v>1073</v>
      </c>
      <c r="N1795">
        <f>VLOOKUP(F1795,Sheet2!$B$1:$E$19,3,FALSE)</f>
        <v>1108952</v>
      </c>
      <c r="O1795">
        <f>IF(G1795="Not available","",VLOOKUP(F1795,Sheet2!$B$1:$E$19,4,FALSE)+(G1795-1))</f>
        <v>3778872</v>
      </c>
    </row>
    <row r="1796" spans="1:15" s="1" customFormat="1" ht="15" customHeight="1" x14ac:dyDescent="0.25">
      <c r="A1796" s="18" t="s">
        <v>220</v>
      </c>
      <c r="B1796" s="18" t="s">
        <v>26</v>
      </c>
      <c r="C1796" s="5">
        <v>1844</v>
      </c>
      <c r="D1796" s="1" t="s">
        <v>622</v>
      </c>
      <c r="E1796" s="1" t="s">
        <v>2</v>
      </c>
      <c r="F1796" s="18">
        <v>2174</v>
      </c>
      <c r="G1796" s="18">
        <v>148</v>
      </c>
      <c r="H1796" s="6" t="s">
        <v>3214</v>
      </c>
      <c r="I1796" s="1">
        <v>187</v>
      </c>
      <c r="J1796" s="1">
        <v>216</v>
      </c>
      <c r="L1796" t="str">
        <f t="shared" si="28"/>
        <v>http://www.badatelna.eu/reprodukce/?fondId=1073&amp;zaznamId=1108960&amp;reproId=3780372</v>
      </c>
      <c r="M1796">
        <f>VLOOKUP(F1796,Sheet2!$B$1:$E$19,2,FALSE)</f>
        <v>1073</v>
      </c>
      <c r="N1796">
        <f>VLOOKUP(F1796,Sheet2!$B$1:$E$19,3,FALSE)</f>
        <v>1108960</v>
      </c>
      <c r="O1796">
        <f>IF(G1796="Not available","",VLOOKUP(F1796,Sheet2!$B$1:$E$19,4,FALSE)+(G1796-1))</f>
        <v>3780372</v>
      </c>
    </row>
    <row r="1797" spans="1:15" s="1" customFormat="1" ht="15" customHeight="1" x14ac:dyDescent="0.25">
      <c r="A1797" s="18" t="s">
        <v>220</v>
      </c>
      <c r="B1797" s="18" t="s">
        <v>26</v>
      </c>
      <c r="C1797" s="5">
        <v>1844</v>
      </c>
      <c r="D1797" s="1" t="s">
        <v>234</v>
      </c>
      <c r="E1797" s="1" t="s">
        <v>2</v>
      </c>
      <c r="F1797" s="18">
        <v>2174</v>
      </c>
      <c r="G1797" s="18">
        <v>150</v>
      </c>
      <c r="H1797" s="6" t="s">
        <v>3217</v>
      </c>
      <c r="I1797" s="1">
        <v>187</v>
      </c>
      <c r="J1797" s="1">
        <v>216</v>
      </c>
      <c r="L1797" t="str">
        <f t="shared" si="28"/>
        <v>http://www.badatelna.eu/reprodukce/?fondId=1073&amp;zaznamId=1108960&amp;reproId=3780374</v>
      </c>
      <c r="M1797">
        <f>VLOOKUP(F1797,Sheet2!$B$1:$E$19,2,FALSE)</f>
        <v>1073</v>
      </c>
      <c r="N1797">
        <f>VLOOKUP(F1797,Sheet2!$B$1:$E$19,3,FALSE)</f>
        <v>1108960</v>
      </c>
      <c r="O1797">
        <f>IF(G1797="Not available","",VLOOKUP(F1797,Sheet2!$B$1:$E$19,4,FALSE)+(G1797-1))</f>
        <v>3780374</v>
      </c>
    </row>
    <row r="1798" spans="1:15" s="1" customFormat="1" ht="15" customHeight="1" x14ac:dyDescent="0.25">
      <c r="A1798" s="18" t="s">
        <v>220</v>
      </c>
      <c r="B1798" s="18" t="s">
        <v>4</v>
      </c>
      <c r="C1798" s="5">
        <v>1792</v>
      </c>
      <c r="D1798" s="1" t="s">
        <v>26</v>
      </c>
      <c r="E1798" s="1" t="s">
        <v>2</v>
      </c>
      <c r="F1798" s="18">
        <v>2173</v>
      </c>
      <c r="G1798" s="18">
        <v>28</v>
      </c>
      <c r="H1798" s="5">
        <v>50</v>
      </c>
      <c r="I1798" s="1">
        <v>100</v>
      </c>
      <c r="J1798" s="1">
        <v>213</v>
      </c>
      <c r="L1798" t="str">
        <f t="shared" si="28"/>
        <v>http://www.badatelna.eu/reprodukce/?fondId=1073&amp;zaznamId=1108959&amp;reproId=3780021</v>
      </c>
      <c r="M1798">
        <f>VLOOKUP(F1798,Sheet2!$B$1:$E$19,2,FALSE)</f>
        <v>1073</v>
      </c>
      <c r="N1798">
        <f>VLOOKUP(F1798,Sheet2!$B$1:$E$19,3,FALSE)</f>
        <v>1108959</v>
      </c>
      <c r="O1798">
        <f>IF(G1798="Not available","",VLOOKUP(F1798,Sheet2!$B$1:$E$19,4,FALSE)+(G1798-1))</f>
        <v>3780021</v>
      </c>
    </row>
    <row r="1799" spans="1:15" s="1" customFormat="1" ht="15" customHeight="1" x14ac:dyDescent="0.25">
      <c r="A1799" s="19" t="s">
        <v>220</v>
      </c>
      <c r="B1799" s="18" t="s">
        <v>4</v>
      </c>
      <c r="C1799" s="5">
        <v>1793</v>
      </c>
      <c r="D1799" s="12" t="s">
        <v>2940</v>
      </c>
      <c r="E1799" s="1" t="s">
        <v>2</v>
      </c>
      <c r="F1799" s="18">
        <v>2173</v>
      </c>
      <c r="G1799" s="18">
        <v>29</v>
      </c>
      <c r="H1799" s="5">
        <v>52</v>
      </c>
      <c r="I1799" s="1">
        <v>100</v>
      </c>
      <c r="J1799" s="1">
        <v>213</v>
      </c>
      <c r="L1799" t="str">
        <f t="shared" si="28"/>
        <v>http://www.badatelna.eu/reprodukce/?fondId=1073&amp;zaznamId=1108959&amp;reproId=3780022</v>
      </c>
      <c r="M1799">
        <f>VLOOKUP(F1799,Sheet2!$B$1:$E$19,2,FALSE)</f>
        <v>1073</v>
      </c>
      <c r="N1799">
        <f>VLOOKUP(F1799,Sheet2!$B$1:$E$19,3,FALSE)</f>
        <v>1108959</v>
      </c>
      <c r="O1799">
        <f>IF(G1799="Not available","",VLOOKUP(F1799,Sheet2!$B$1:$E$19,4,FALSE)+(G1799-1))</f>
        <v>3780022</v>
      </c>
    </row>
    <row r="1800" spans="1:15" s="1" customFormat="1" ht="15" customHeight="1" x14ac:dyDescent="0.25">
      <c r="A1800" s="18" t="s">
        <v>220</v>
      </c>
      <c r="B1800" s="18" t="s">
        <v>4</v>
      </c>
      <c r="C1800" s="5">
        <v>1827</v>
      </c>
      <c r="E1800" s="1" t="s">
        <v>2</v>
      </c>
      <c r="F1800" s="18">
        <v>2173</v>
      </c>
      <c r="G1800" s="18">
        <v>80</v>
      </c>
      <c r="H1800" s="5">
        <v>152</v>
      </c>
      <c r="I1800" s="1">
        <v>101</v>
      </c>
      <c r="J1800" s="1">
        <v>214</v>
      </c>
      <c r="L1800" t="str">
        <f t="shared" si="28"/>
        <v>http://www.badatelna.eu/reprodukce/?fondId=1073&amp;zaznamId=1108959&amp;reproId=3780073</v>
      </c>
      <c r="M1800">
        <f>VLOOKUP(F1800,Sheet2!$B$1:$E$19,2,FALSE)</f>
        <v>1073</v>
      </c>
      <c r="N1800">
        <f>VLOOKUP(F1800,Sheet2!$B$1:$E$19,3,FALSE)</f>
        <v>1108959</v>
      </c>
      <c r="O1800">
        <f>IF(G1800="Not available","",VLOOKUP(F1800,Sheet2!$B$1:$E$19,4,FALSE)+(G1800-1))</f>
        <v>3780073</v>
      </c>
    </row>
    <row r="1801" spans="1:15" s="1" customFormat="1" ht="15" customHeight="1" x14ac:dyDescent="0.25">
      <c r="A1801" s="18" t="s">
        <v>220</v>
      </c>
      <c r="B1801" s="18" t="s">
        <v>137</v>
      </c>
      <c r="C1801" s="5">
        <v>1799</v>
      </c>
      <c r="E1801" s="1" t="s">
        <v>2</v>
      </c>
      <c r="F1801" s="18">
        <v>2173</v>
      </c>
      <c r="G1801" s="18">
        <v>41</v>
      </c>
      <c r="H1801" s="5">
        <v>77</v>
      </c>
      <c r="I1801" s="1">
        <v>100</v>
      </c>
      <c r="J1801" s="1">
        <v>213</v>
      </c>
      <c r="L1801" t="str">
        <f t="shared" si="28"/>
        <v>http://www.badatelna.eu/reprodukce/?fondId=1073&amp;zaznamId=1108959&amp;reproId=3780034</v>
      </c>
      <c r="M1801">
        <f>VLOOKUP(F1801,Sheet2!$B$1:$E$19,2,FALSE)</f>
        <v>1073</v>
      </c>
      <c r="N1801">
        <f>VLOOKUP(F1801,Sheet2!$B$1:$E$19,3,FALSE)</f>
        <v>1108959</v>
      </c>
      <c r="O1801">
        <f>IF(G1801="Not available","",VLOOKUP(F1801,Sheet2!$B$1:$E$19,4,FALSE)+(G1801-1))</f>
        <v>3780034</v>
      </c>
    </row>
    <row r="1802" spans="1:15" s="1" customFormat="1" ht="15" customHeight="1" x14ac:dyDescent="0.25">
      <c r="A1802" s="18" t="s">
        <v>220</v>
      </c>
      <c r="B1802" s="18" t="s">
        <v>863</v>
      </c>
      <c r="C1802" s="5">
        <v>1853</v>
      </c>
      <c r="D1802" s="1" t="s">
        <v>479</v>
      </c>
      <c r="E1802" s="1" t="s">
        <v>2</v>
      </c>
      <c r="F1802" s="18">
        <v>2164</v>
      </c>
      <c r="G1802" s="18">
        <v>88</v>
      </c>
      <c r="H1802" s="5">
        <v>86</v>
      </c>
      <c r="I1802" s="1">
        <v>129</v>
      </c>
      <c r="J1802" s="1" t="s">
        <v>3271</v>
      </c>
      <c r="L1802" t="str">
        <f t="shared" si="28"/>
        <v>http://www.badatelna.eu/reprodukce/?fondId=1073&amp;zaznamId=1108951&amp;reproId=3778802</v>
      </c>
      <c r="M1802">
        <f>VLOOKUP(F1802,Sheet2!$B$1:$E$19,2,FALSE)</f>
        <v>1073</v>
      </c>
      <c r="N1802">
        <f>VLOOKUP(F1802,Sheet2!$B$1:$E$19,3,FALSE)</f>
        <v>1108951</v>
      </c>
      <c r="O1802">
        <f>IF(G1802="Not available","",VLOOKUP(F1802,Sheet2!$B$1:$E$19,4,FALSE)+(G1802-1))</f>
        <v>3778802</v>
      </c>
    </row>
    <row r="1803" spans="1:15" s="1" customFormat="1" ht="15" customHeight="1" x14ac:dyDescent="0.25">
      <c r="A1803" s="18" t="s">
        <v>220</v>
      </c>
      <c r="B1803" s="18" t="s">
        <v>863</v>
      </c>
      <c r="C1803" s="5" t="s">
        <v>1446</v>
      </c>
      <c r="D1803" s="1" t="s">
        <v>478</v>
      </c>
      <c r="E1803" s="1" t="s">
        <v>2</v>
      </c>
      <c r="F1803" s="18">
        <v>2165</v>
      </c>
      <c r="G1803" s="18">
        <v>32</v>
      </c>
      <c r="H1803" s="5">
        <v>29</v>
      </c>
      <c r="I1803" s="1">
        <v>83</v>
      </c>
      <c r="J1803" s="1" t="s">
        <v>3271</v>
      </c>
      <c r="L1803" t="str">
        <f t="shared" si="28"/>
        <v>http://www.badatelna.eu/reprodukce/?fondId=1073&amp;zaznamId=1108952&amp;reproId=3778893</v>
      </c>
      <c r="M1803">
        <f>VLOOKUP(F1803,Sheet2!$B$1:$E$19,2,FALSE)</f>
        <v>1073</v>
      </c>
      <c r="N1803">
        <f>VLOOKUP(F1803,Sheet2!$B$1:$E$19,3,FALSE)</f>
        <v>1108952</v>
      </c>
      <c r="O1803">
        <f>IF(G1803="Not available","",VLOOKUP(F1803,Sheet2!$B$1:$E$19,4,FALSE)+(G1803-1))</f>
        <v>3778893</v>
      </c>
    </row>
    <row r="1804" spans="1:15" s="1" customFormat="1" ht="15" customHeight="1" x14ac:dyDescent="0.25">
      <c r="A1804" s="18" t="s">
        <v>220</v>
      </c>
      <c r="B1804" s="18" t="s">
        <v>212</v>
      </c>
      <c r="C1804" s="5">
        <v>1849</v>
      </c>
      <c r="D1804" s="1" t="s">
        <v>234</v>
      </c>
      <c r="E1804" s="1" t="s">
        <v>2</v>
      </c>
      <c r="F1804" s="18">
        <v>2164</v>
      </c>
      <c r="G1804" s="18">
        <v>47</v>
      </c>
      <c r="H1804" s="5">
        <v>45</v>
      </c>
      <c r="I1804" s="1">
        <v>129</v>
      </c>
      <c r="J1804" s="1" t="s">
        <v>3271</v>
      </c>
      <c r="L1804" t="str">
        <f t="shared" si="28"/>
        <v>http://www.badatelna.eu/reprodukce/?fondId=1073&amp;zaznamId=1108951&amp;reproId=3778761</v>
      </c>
      <c r="M1804">
        <f>VLOOKUP(F1804,Sheet2!$B$1:$E$19,2,FALSE)</f>
        <v>1073</v>
      </c>
      <c r="N1804">
        <f>VLOOKUP(F1804,Sheet2!$B$1:$E$19,3,FALSE)</f>
        <v>1108951</v>
      </c>
      <c r="O1804">
        <f>IF(G1804="Not available","",VLOOKUP(F1804,Sheet2!$B$1:$E$19,4,FALSE)+(G1804-1))</f>
        <v>3778761</v>
      </c>
    </row>
    <row r="1805" spans="1:15" s="1" customFormat="1" ht="15" customHeight="1" x14ac:dyDescent="0.25">
      <c r="A1805" s="18" t="s">
        <v>220</v>
      </c>
      <c r="B1805" s="18" t="s">
        <v>55</v>
      </c>
      <c r="C1805" s="5">
        <v>1831</v>
      </c>
      <c r="D1805" s="12" t="s">
        <v>58</v>
      </c>
      <c r="E1805" s="1" t="s">
        <v>2</v>
      </c>
      <c r="F1805" s="18">
        <v>2174</v>
      </c>
      <c r="G1805" s="18">
        <v>63</v>
      </c>
      <c r="H1805" s="6" t="s">
        <v>3107</v>
      </c>
      <c r="I1805" s="1">
        <v>187</v>
      </c>
      <c r="J1805" s="1">
        <v>216</v>
      </c>
      <c r="L1805" t="str">
        <f t="shared" si="28"/>
        <v>http://www.badatelna.eu/reprodukce/?fondId=1073&amp;zaznamId=1108960&amp;reproId=3780287</v>
      </c>
      <c r="M1805">
        <f>VLOOKUP(F1805,Sheet2!$B$1:$E$19,2,FALSE)</f>
        <v>1073</v>
      </c>
      <c r="N1805">
        <f>VLOOKUP(F1805,Sheet2!$B$1:$E$19,3,FALSE)</f>
        <v>1108960</v>
      </c>
      <c r="O1805">
        <f>IF(G1805="Not available","",VLOOKUP(F1805,Sheet2!$B$1:$E$19,4,FALSE)+(G1805-1))</f>
        <v>3780287</v>
      </c>
    </row>
    <row r="1806" spans="1:15" s="1" customFormat="1" ht="15" customHeight="1" x14ac:dyDescent="0.25">
      <c r="A1806" s="18" t="s">
        <v>220</v>
      </c>
      <c r="B1806" s="18" t="s">
        <v>624</v>
      </c>
      <c r="C1806" s="5">
        <v>1838</v>
      </c>
      <c r="D1806" s="1" t="s">
        <v>536</v>
      </c>
      <c r="E1806" s="1" t="s">
        <v>2</v>
      </c>
      <c r="F1806" s="18">
        <v>2174</v>
      </c>
      <c r="G1806" s="18">
        <v>99</v>
      </c>
      <c r="H1806" s="6" t="s">
        <v>3169</v>
      </c>
      <c r="I1806" s="1">
        <v>187</v>
      </c>
      <c r="J1806" s="1">
        <v>216</v>
      </c>
      <c r="L1806" t="str">
        <f t="shared" si="28"/>
        <v>http://www.badatelna.eu/reprodukce/?fondId=1073&amp;zaznamId=1108960&amp;reproId=3780323</v>
      </c>
      <c r="M1806">
        <f>VLOOKUP(F1806,Sheet2!$B$1:$E$19,2,FALSE)</f>
        <v>1073</v>
      </c>
      <c r="N1806">
        <f>VLOOKUP(F1806,Sheet2!$B$1:$E$19,3,FALSE)</f>
        <v>1108960</v>
      </c>
      <c r="O1806">
        <f>IF(G1806="Not available","",VLOOKUP(F1806,Sheet2!$B$1:$E$19,4,FALSE)+(G1806-1))</f>
        <v>3780323</v>
      </c>
    </row>
    <row r="1807" spans="1:15" s="1" customFormat="1" ht="15" customHeight="1" x14ac:dyDescent="0.25">
      <c r="A1807" s="18" t="s">
        <v>220</v>
      </c>
      <c r="B1807" s="18" t="s">
        <v>862</v>
      </c>
      <c r="C1807" s="5">
        <v>1848</v>
      </c>
      <c r="D1807" s="1" t="s">
        <v>536</v>
      </c>
      <c r="E1807" s="1" t="s">
        <v>2</v>
      </c>
      <c r="F1807" s="18">
        <v>2164</v>
      </c>
      <c r="G1807" s="18">
        <v>30</v>
      </c>
      <c r="H1807" s="5">
        <v>28</v>
      </c>
      <c r="I1807" s="1">
        <v>129</v>
      </c>
      <c r="J1807" s="1" t="s">
        <v>3271</v>
      </c>
      <c r="L1807" t="str">
        <f t="shared" si="28"/>
        <v>http://www.badatelna.eu/reprodukce/?fondId=1073&amp;zaznamId=1108951&amp;reproId=3778744</v>
      </c>
      <c r="M1807">
        <f>VLOOKUP(F1807,Sheet2!$B$1:$E$19,2,FALSE)</f>
        <v>1073</v>
      </c>
      <c r="N1807">
        <f>VLOOKUP(F1807,Sheet2!$B$1:$E$19,3,FALSE)</f>
        <v>1108951</v>
      </c>
      <c r="O1807">
        <f>IF(G1807="Not available","",VLOOKUP(F1807,Sheet2!$B$1:$E$19,4,FALSE)+(G1807-1))</f>
        <v>3778744</v>
      </c>
    </row>
    <row r="1808" spans="1:15" s="1" customFormat="1" ht="15" customHeight="1" x14ac:dyDescent="0.25">
      <c r="A1808" s="18" t="s">
        <v>220</v>
      </c>
      <c r="B1808" s="18" t="s">
        <v>25</v>
      </c>
      <c r="C1808" s="5" t="s">
        <v>1450</v>
      </c>
      <c r="D1808" s="1" t="s">
        <v>478</v>
      </c>
      <c r="E1808" s="1" t="s">
        <v>2</v>
      </c>
      <c r="F1808" s="18">
        <v>2165</v>
      </c>
      <c r="G1808" s="18">
        <v>52</v>
      </c>
      <c r="H1808" s="5">
        <v>49</v>
      </c>
      <c r="I1808" s="1">
        <v>83</v>
      </c>
      <c r="J1808" s="1" t="s">
        <v>3271</v>
      </c>
      <c r="L1808" t="str">
        <f t="shared" si="28"/>
        <v>http://www.badatelna.eu/reprodukce/?fondId=1073&amp;zaznamId=1108952&amp;reproId=3778913</v>
      </c>
      <c r="M1808">
        <f>VLOOKUP(F1808,Sheet2!$B$1:$E$19,2,FALSE)</f>
        <v>1073</v>
      </c>
      <c r="N1808">
        <f>VLOOKUP(F1808,Sheet2!$B$1:$E$19,3,FALSE)</f>
        <v>1108952</v>
      </c>
      <c r="O1808">
        <f>IF(G1808="Not available","",VLOOKUP(F1808,Sheet2!$B$1:$E$19,4,FALSE)+(G1808-1))</f>
        <v>3778913</v>
      </c>
    </row>
    <row r="1809" spans="1:15" s="1" customFormat="1" ht="15" customHeight="1" x14ac:dyDescent="0.25">
      <c r="A1809" s="18" t="s">
        <v>220</v>
      </c>
      <c r="B1809" s="18" t="s">
        <v>1033</v>
      </c>
      <c r="C1809" s="5" t="s">
        <v>1452</v>
      </c>
      <c r="D1809" s="1" t="s">
        <v>595</v>
      </c>
      <c r="E1809" s="1" t="s">
        <v>2</v>
      </c>
      <c r="F1809" s="18">
        <v>2165</v>
      </c>
      <c r="G1809" s="18">
        <v>67</v>
      </c>
      <c r="H1809" s="5">
        <v>64</v>
      </c>
      <c r="I1809" s="1">
        <v>84</v>
      </c>
      <c r="J1809" s="1" t="s">
        <v>3271</v>
      </c>
      <c r="L1809" t="str">
        <f t="shared" si="28"/>
        <v>http://www.badatelna.eu/reprodukce/?fondId=1073&amp;zaznamId=1108952&amp;reproId=3778928</v>
      </c>
      <c r="M1809">
        <f>VLOOKUP(F1809,Sheet2!$B$1:$E$19,2,FALSE)</f>
        <v>1073</v>
      </c>
      <c r="N1809">
        <f>VLOOKUP(F1809,Sheet2!$B$1:$E$19,3,FALSE)</f>
        <v>1108952</v>
      </c>
      <c r="O1809">
        <f>IF(G1809="Not available","",VLOOKUP(F1809,Sheet2!$B$1:$E$19,4,FALSE)+(G1809-1))</f>
        <v>3778928</v>
      </c>
    </row>
    <row r="1810" spans="1:15" s="1" customFormat="1" ht="15" customHeight="1" x14ac:dyDescent="0.25">
      <c r="A1810" s="18" t="s">
        <v>220</v>
      </c>
      <c r="B1810" s="19" t="s">
        <v>96</v>
      </c>
      <c r="C1810" s="5">
        <v>1799</v>
      </c>
      <c r="D1810" s="1" t="s">
        <v>26</v>
      </c>
      <c r="E1810" s="1" t="s">
        <v>2</v>
      </c>
      <c r="F1810" s="18">
        <v>2173</v>
      </c>
      <c r="G1810" s="18">
        <v>39</v>
      </c>
      <c r="H1810" s="5">
        <v>73</v>
      </c>
      <c r="I1810" s="1">
        <v>100</v>
      </c>
      <c r="J1810" s="1">
        <v>213</v>
      </c>
      <c r="L1810" t="str">
        <f t="shared" si="28"/>
        <v>http://www.badatelna.eu/reprodukce/?fondId=1073&amp;zaznamId=1108959&amp;reproId=3780032</v>
      </c>
      <c r="M1810">
        <f>VLOOKUP(F1810,Sheet2!$B$1:$E$19,2,FALSE)</f>
        <v>1073</v>
      </c>
      <c r="N1810">
        <f>VLOOKUP(F1810,Sheet2!$B$1:$E$19,3,FALSE)</f>
        <v>1108959</v>
      </c>
      <c r="O1810">
        <f>IF(G1810="Not available","",VLOOKUP(F1810,Sheet2!$B$1:$E$19,4,FALSE)+(G1810-1))</f>
        <v>3780032</v>
      </c>
    </row>
    <row r="1811" spans="1:15" s="1" customFormat="1" ht="15" customHeight="1" x14ac:dyDescent="0.25">
      <c r="A1811" s="18" t="s">
        <v>220</v>
      </c>
      <c r="B1811" s="19" t="s">
        <v>224</v>
      </c>
      <c r="C1811" s="5">
        <v>1789</v>
      </c>
      <c r="D1811" s="1" t="s">
        <v>26</v>
      </c>
      <c r="E1811" s="1" t="s">
        <v>2</v>
      </c>
      <c r="F1811" s="18">
        <v>2173</v>
      </c>
      <c r="G1811" s="18">
        <v>21</v>
      </c>
      <c r="H1811" s="5">
        <v>37</v>
      </c>
      <c r="I1811" s="1">
        <v>100</v>
      </c>
      <c r="J1811" s="1">
        <v>213</v>
      </c>
      <c r="L1811" t="str">
        <f t="shared" si="28"/>
        <v>http://www.badatelna.eu/reprodukce/?fondId=1073&amp;zaznamId=1108959&amp;reproId=3780014</v>
      </c>
      <c r="M1811">
        <f>VLOOKUP(F1811,Sheet2!$B$1:$E$19,2,FALSE)</f>
        <v>1073</v>
      </c>
      <c r="N1811">
        <f>VLOOKUP(F1811,Sheet2!$B$1:$E$19,3,FALSE)</f>
        <v>1108959</v>
      </c>
      <c r="O1811">
        <f>IF(G1811="Not available","",VLOOKUP(F1811,Sheet2!$B$1:$E$19,4,FALSE)+(G1811-1))</f>
        <v>3780014</v>
      </c>
    </row>
    <row r="1812" spans="1:15" s="1" customFormat="1" ht="15" customHeight="1" x14ac:dyDescent="0.25">
      <c r="A1812" s="18" t="s">
        <v>220</v>
      </c>
      <c r="B1812" s="18" t="s">
        <v>663</v>
      </c>
      <c r="C1812" s="5">
        <v>1848</v>
      </c>
      <c r="D1812" s="1" t="s">
        <v>479</v>
      </c>
      <c r="E1812" s="1" t="s">
        <v>2</v>
      </c>
      <c r="F1812" s="18">
        <v>2164</v>
      </c>
      <c r="G1812" s="18">
        <v>28</v>
      </c>
      <c r="H1812" s="5">
        <v>26</v>
      </c>
      <c r="I1812" s="1">
        <v>129</v>
      </c>
      <c r="J1812" s="1" t="s">
        <v>3271</v>
      </c>
      <c r="L1812" t="str">
        <f t="shared" si="28"/>
        <v>http://www.badatelna.eu/reprodukce/?fondId=1073&amp;zaznamId=1108951&amp;reproId=3778742</v>
      </c>
      <c r="M1812">
        <f>VLOOKUP(F1812,Sheet2!$B$1:$E$19,2,FALSE)</f>
        <v>1073</v>
      </c>
      <c r="N1812">
        <f>VLOOKUP(F1812,Sheet2!$B$1:$E$19,3,FALSE)</f>
        <v>1108951</v>
      </c>
      <c r="O1812">
        <f>IF(G1812="Not available","",VLOOKUP(F1812,Sheet2!$B$1:$E$19,4,FALSE)+(G1812-1))</f>
        <v>3778742</v>
      </c>
    </row>
    <row r="1813" spans="1:15" s="1" customFormat="1" ht="15" customHeight="1" x14ac:dyDescent="0.25">
      <c r="A1813" s="18" t="s">
        <v>220</v>
      </c>
      <c r="B1813" s="18" t="s">
        <v>861</v>
      </c>
      <c r="C1813" s="5">
        <v>1847</v>
      </c>
      <c r="D1813" s="1" t="s">
        <v>234</v>
      </c>
      <c r="E1813" s="1" t="s">
        <v>2</v>
      </c>
      <c r="F1813" s="18">
        <v>2164</v>
      </c>
      <c r="G1813" s="18">
        <v>4</v>
      </c>
      <c r="H1813" s="5">
        <v>2</v>
      </c>
      <c r="I1813" s="1">
        <v>129</v>
      </c>
      <c r="J1813" s="1" t="s">
        <v>3271</v>
      </c>
      <c r="L1813" t="str">
        <f t="shared" si="28"/>
        <v>http://www.badatelna.eu/reprodukce/?fondId=1073&amp;zaznamId=1108951&amp;reproId=3778718</v>
      </c>
      <c r="M1813">
        <f>VLOOKUP(F1813,Sheet2!$B$1:$E$19,2,FALSE)</f>
        <v>1073</v>
      </c>
      <c r="N1813">
        <f>VLOOKUP(F1813,Sheet2!$B$1:$E$19,3,FALSE)</f>
        <v>1108951</v>
      </c>
      <c r="O1813">
        <f>IF(G1813="Not available","",VLOOKUP(F1813,Sheet2!$B$1:$E$19,4,FALSE)+(G1813-1))</f>
        <v>3778718</v>
      </c>
    </row>
    <row r="1814" spans="1:15" s="1" customFormat="1" ht="15" customHeight="1" x14ac:dyDescent="0.25">
      <c r="A1814" s="18" t="s">
        <v>220</v>
      </c>
      <c r="B1814" s="18" t="s">
        <v>229</v>
      </c>
      <c r="C1814" s="5">
        <v>1801</v>
      </c>
      <c r="E1814" s="1" t="s">
        <v>2</v>
      </c>
      <c r="F1814" s="18">
        <v>2173</v>
      </c>
      <c r="G1814" s="18">
        <v>44</v>
      </c>
      <c r="H1814" s="5">
        <v>83</v>
      </c>
      <c r="I1814" s="1">
        <v>100</v>
      </c>
      <c r="J1814" s="1">
        <v>213</v>
      </c>
      <c r="L1814" t="str">
        <f t="shared" si="28"/>
        <v>http://www.badatelna.eu/reprodukce/?fondId=1073&amp;zaznamId=1108959&amp;reproId=3780037</v>
      </c>
      <c r="M1814">
        <f>VLOOKUP(F1814,Sheet2!$B$1:$E$19,2,FALSE)</f>
        <v>1073</v>
      </c>
      <c r="N1814">
        <f>VLOOKUP(F1814,Sheet2!$B$1:$E$19,3,FALSE)</f>
        <v>1108959</v>
      </c>
      <c r="O1814">
        <f>IF(G1814="Not available","",VLOOKUP(F1814,Sheet2!$B$1:$E$19,4,FALSE)+(G1814-1))</f>
        <v>3780037</v>
      </c>
    </row>
    <row r="1815" spans="1:15" s="1" customFormat="1" ht="15" customHeight="1" x14ac:dyDescent="0.25">
      <c r="A1815" s="18" t="s">
        <v>220</v>
      </c>
      <c r="B1815" s="18" t="s">
        <v>304</v>
      </c>
      <c r="C1815" s="5">
        <v>1846</v>
      </c>
      <c r="D1815" s="1" t="s">
        <v>622</v>
      </c>
      <c r="E1815" s="1" t="s">
        <v>2</v>
      </c>
      <c r="F1815" s="18">
        <v>2174</v>
      </c>
      <c r="G1815" s="18">
        <v>162</v>
      </c>
      <c r="H1815" s="6" t="s">
        <v>3232</v>
      </c>
      <c r="I1815" s="1">
        <v>187</v>
      </c>
      <c r="J1815" s="1">
        <v>216</v>
      </c>
      <c r="L1815" t="str">
        <f t="shared" si="28"/>
        <v>http://www.badatelna.eu/reprodukce/?fondId=1073&amp;zaznamId=1108960&amp;reproId=3780386</v>
      </c>
      <c r="M1815">
        <f>VLOOKUP(F1815,Sheet2!$B$1:$E$19,2,FALSE)</f>
        <v>1073</v>
      </c>
      <c r="N1815">
        <f>VLOOKUP(F1815,Sheet2!$B$1:$E$19,3,FALSE)</f>
        <v>1108960</v>
      </c>
      <c r="O1815">
        <f>IF(G1815="Not available","",VLOOKUP(F1815,Sheet2!$B$1:$E$19,4,FALSE)+(G1815-1))</f>
        <v>3780386</v>
      </c>
    </row>
    <row r="1816" spans="1:15" s="1" customFormat="1" ht="15" customHeight="1" x14ac:dyDescent="0.25">
      <c r="A1816" s="18" t="s">
        <v>220</v>
      </c>
      <c r="B1816" s="18" t="s">
        <v>1030</v>
      </c>
      <c r="C1816" s="5" t="s">
        <v>1448</v>
      </c>
      <c r="D1816" s="1" t="s">
        <v>478</v>
      </c>
      <c r="E1816" s="1" t="s">
        <v>2</v>
      </c>
      <c r="F1816" s="18">
        <v>2165</v>
      </c>
      <c r="G1816" s="18">
        <v>44</v>
      </c>
      <c r="H1816" s="5">
        <v>41</v>
      </c>
      <c r="I1816" s="1">
        <v>83</v>
      </c>
      <c r="J1816" s="1" t="s">
        <v>3271</v>
      </c>
      <c r="L1816" t="str">
        <f t="shared" si="28"/>
        <v>http://www.badatelna.eu/reprodukce/?fondId=1073&amp;zaznamId=1108952&amp;reproId=3778905</v>
      </c>
      <c r="M1816">
        <f>VLOOKUP(F1816,Sheet2!$B$1:$E$19,2,FALSE)</f>
        <v>1073</v>
      </c>
      <c r="N1816">
        <f>VLOOKUP(F1816,Sheet2!$B$1:$E$19,3,FALSE)</f>
        <v>1108952</v>
      </c>
      <c r="O1816">
        <f>IF(G1816="Not available","",VLOOKUP(F1816,Sheet2!$B$1:$E$19,4,FALSE)+(G1816-1))</f>
        <v>3778905</v>
      </c>
    </row>
    <row r="1817" spans="1:15" s="1" customFormat="1" ht="15" customHeight="1" x14ac:dyDescent="0.25">
      <c r="A1817" s="18" t="s">
        <v>220</v>
      </c>
      <c r="B1817" s="18" t="s">
        <v>664</v>
      </c>
      <c r="C1817" s="5">
        <v>1831</v>
      </c>
      <c r="D1817" s="1" t="s">
        <v>4</v>
      </c>
      <c r="E1817" s="1" t="s">
        <v>2</v>
      </c>
      <c r="F1817" s="18">
        <v>2174</v>
      </c>
      <c r="G1817" s="18">
        <v>63</v>
      </c>
      <c r="H1817" s="6" t="s">
        <v>3107</v>
      </c>
      <c r="I1817" s="1">
        <v>187</v>
      </c>
      <c r="J1817" s="1">
        <v>216</v>
      </c>
      <c r="L1817" t="str">
        <f t="shared" si="28"/>
        <v>http://www.badatelna.eu/reprodukce/?fondId=1073&amp;zaznamId=1108960&amp;reproId=3780287</v>
      </c>
      <c r="M1817">
        <f>VLOOKUP(F1817,Sheet2!$B$1:$E$19,2,FALSE)</f>
        <v>1073</v>
      </c>
      <c r="N1817">
        <f>VLOOKUP(F1817,Sheet2!$B$1:$E$19,3,FALSE)</f>
        <v>1108960</v>
      </c>
      <c r="O1817">
        <f>IF(G1817="Not available","",VLOOKUP(F1817,Sheet2!$B$1:$E$19,4,FALSE)+(G1817-1))</f>
        <v>3780287</v>
      </c>
    </row>
    <row r="1818" spans="1:15" s="1" customFormat="1" ht="15" customHeight="1" x14ac:dyDescent="0.25">
      <c r="A1818" s="18" t="s">
        <v>220</v>
      </c>
      <c r="B1818" s="25"/>
      <c r="C1818" s="5">
        <v>1827</v>
      </c>
      <c r="D1818" s="4" t="s">
        <v>96</v>
      </c>
      <c r="E1818" s="1" t="s">
        <v>2</v>
      </c>
      <c r="F1818" s="18">
        <v>2173</v>
      </c>
      <c r="G1818" s="18">
        <v>82</v>
      </c>
      <c r="H1818" s="5">
        <v>156</v>
      </c>
      <c r="I1818" s="1">
        <v>101</v>
      </c>
      <c r="J1818" s="1">
        <v>214</v>
      </c>
      <c r="L1818" t="str">
        <f t="shared" si="28"/>
        <v>http://www.badatelna.eu/reprodukce/?fondId=1073&amp;zaznamId=1108959&amp;reproId=3780075</v>
      </c>
      <c r="M1818">
        <f>VLOOKUP(F1818,Sheet2!$B$1:$E$19,2,FALSE)</f>
        <v>1073</v>
      </c>
      <c r="N1818">
        <f>VLOOKUP(F1818,Sheet2!$B$1:$E$19,3,FALSE)</f>
        <v>1108959</v>
      </c>
      <c r="O1818">
        <f>IF(G1818="Not available","",VLOOKUP(F1818,Sheet2!$B$1:$E$19,4,FALSE)+(G1818-1))</f>
        <v>3780075</v>
      </c>
    </row>
    <row r="1819" spans="1:15" s="1" customFormat="1" ht="15" customHeight="1" x14ac:dyDescent="0.25">
      <c r="A1819" s="18" t="s">
        <v>666</v>
      </c>
      <c r="B1819" s="18" t="s">
        <v>87</v>
      </c>
      <c r="C1819" s="5">
        <v>1835</v>
      </c>
      <c r="D1819" s="1" t="s">
        <v>536</v>
      </c>
      <c r="E1819" s="1" t="s">
        <v>2</v>
      </c>
      <c r="F1819" s="18">
        <v>2174</v>
      </c>
      <c r="G1819" s="18">
        <v>84</v>
      </c>
      <c r="H1819" s="6" t="s">
        <v>3150</v>
      </c>
      <c r="I1819" s="1">
        <v>187</v>
      </c>
      <c r="J1819" s="1">
        <v>216</v>
      </c>
      <c r="L1819" t="str">
        <f t="shared" si="28"/>
        <v>http://www.badatelna.eu/reprodukce/?fondId=1073&amp;zaznamId=1108960&amp;reproId=3780308</v>
      </c>
      <c r="M1819">
        <f>VLOOKUP(F1819,Sheet2!$B$1:$E$19,2,FALSE)</f>
        <v>1073</v>
      </c>
      <c r="N1819">
        <f>VLOOKUP(F1819,Sheet2!$B$1:$E$19,3,FALSE)</f>
        <v>1108960</v>
      </c>
      <c r="O1819">
        <f>IF(G1819="Not available","",VLOOKUP(F1819,Sheet2!$B$1:$E$19,4,FALSE)+(G1819-1))</f>
        <v>3780308</v>
      </c>
    </row>
    <row r="1820" spans="1:15" s="1" customFormat="1" ht="15" customHeight="1" x14ac:dyDescent="0.25">
      <c r="A1820" s="19" t="s">
        <v>217</v>
      </c>
      <c r="B1820" s="19" t="s">
        <v>2936</v>
      </c>
      <c r="C1820" s="5">
        <v>1786</v>
      </c>
      <c r="D1820" s="1" t="s">
        <v>50</v>
      </c>
      <c r="E1820" s="1" t="s">
        <v>2</v>
      </c>
      <c r="F1820" s="18">
        <v>2173</v>
      </c>
      <c r="G1820" s="18">
        <v>13</v>
      </c>
      <c r="H1820" s="5">
        <v>20</v>
      </c>
      <c r="I1820" s="1">
        <v>100</v>
      </c>
      <c r="J1820" s="1">
        <v>213</v>
      </c>
      <c r="L1820" t="str">
        <f t="shared" si="28"/>
        <v>http://www.badatelna.eu/reprodukce/?fondId=1073&amp;zaznamId=1108959&amp;reproId=3780006</v>
      </c>
      <c r="M1820">
        <f>VLOOKUP(F1820,Sheet2!$B$1:$E$19,2,FALSE)</f>
        <v>1073</v>
      </c>
      <c r="N1820">
        <f>VLOOKUP(F1820,Sheet2!$B$1:$E$19,3,FALSE)</f>
        <v>1108959</v>
      </c>
      <c r="O1820">
        <f>IF(G1820="Not available","",VLOOKUP(F1820,Sheet2!$B$1:$E$19,4,FALSE)+(G1820-1))</f>
        <v>3780006</v>
      </c>
    </row>
    <row r="1821" spans="1:15" s="1" customFormat="1" ht="15" customHeight="1" x14ac:dyDescent="0.25">
      <c r="A1821" s="19" t="s">
        <v>194</v>
      </c>
      <c r="B1821" s="19" t="s">
        <v>92</v>
      </c>
      <c r="C1821" s="5">
        <v>1798</v>
      </c>
      <c r="E1821" s="1" t="s">
        <v>2</v>
      </c>
      <c r="F1821" s="18">
        <v>2173</v>
      </c>
      <c r="G1821" s="18">
        <v>37</v>
      </c>
      <c r="H1821" s="5">
        <v>69</v>
      </c>
      <c r="I1821" s="1">
        <v>100</v>
      </c>
      <c r="J1821" s="1">
        <v>213</v>
      </c>
      <c r="L1821" t="str">
        <f t="shared" si="28"/>
        <v>http://www.badatelna.eu/reprodukce/?fondId=1073&amp;zaznamId=1108959&amp;reproId=3780030</v>
      </c>
      <c r="M1821">
        <f>VLOOKUP(F1821,Sheet2!$B$1:$E$19,2,FALSE)</f>
        <v>1073</v>
      </c>
      <c r="N1821">
        <f>VLOOKUP(F1821,Sheet2!$B$1:$E$19,3,FALSE)</f>
        <v>1108959</v>
      </c>
      <c r="O1821">
        <f>IF(G1821="Not available","",VLOOKUP(F1821,Sheet2!$B$1:$E$19,4,FALSE)+(G1821-1))</f>
        <v>3780030</v>
      </c>
    </row>
    <row r="1822" spans="1:15" s="1" customFormat="1" ht="15" customHeight="1" x14ac:dyDescent="0.25">
      <c r="A1822" s="18" t="s">
        <v>194</v>
      </c>
      <c r="B1822" s="18" t="s">
        <v>87</v>
      </c>
      <c r="C1822" s="5">
        <v>1816</v>
      </c>
      <c r="E1822" s="1" t="s">
        <v>2</v>
      </c>
      <c r="F1822" s="18">
        <v>2173</v>
      </c>
      <c r="G1822" s="18">
        <v>67</v>
      </c>
      <c r="H1822" s="6" t="s">
        <v>338</v>
      </c>
      <c r="I1822" s="1">
        <v>101</v>
      </c>
      <c r="J1822" s="1">
        <v>214</v>
      </c>
      <c r="L1822" t="str">
        <f t="shared" si="28"/>
        <v>http://www.badatelna.eu/reprodukce/?fondId=1073&amp;zaznamId=1108959&amp;reproId=3780060</v>
      </c>
      <c r="M1822">
        <f>VLOOKUP(F1822,Sheet2!$B$1:$E$19,2,FALSE)</f>
        <v>1073</v>
      </c>
      <c r="N1822">
        <f>VLOOKUP(F1822,Sheet2!$B$1:$E$19,3,FALSE)</f>
        <v>1108959</v>
      </c>
      <c r="O1822">
        <f>IF(G1822="Not available","",VLOOKUP(F1822,Sheet2!$B$1:$E$19,4,FALSE)+(G1822-1))</f>
        <v>3780060</v>
      </c>
    </row>
    <row r="1823" spans="1:15" s="1" customFormat="1" ht="15" customHeight="1" x14ac:dyDescent="0.25">
      <c r="A1823" s="19" t="s">
        <v>194</v>
      </c>
      <c r="B1823" s="19" t="s">
        <v>65</v>
      </c>
      <c r="C1823" s="5">
        <v>1793</v>
      </c>
      <c r="D1823" s="12" t="s">
        <v>8</v>
      </c>
      <c r="E1823" s="1" t="s">
        <v>2</v>
      </c>
      <c r="F1823" s="18">
        <v>2173</v>
      </c>
      <c r="G1823" s="18">
        <v>29</v>
      </c>
      <c r="H1823" s="5">
        <v>53</v>
      </c>
      <c r="I1823" s="1">
        <v>100</v>
      </c>
      <c r="J1823" s="1">
        <v>213</v>
      </c>
      <c r="L1823" t="str">
        <f t="shared" si="28"/>
        <v>http://www.badatelna.eu/reprodukce/?fondId=1073&amp;zaznamId=1108959&amp;reproId=3780022</v>
      </c>
      <c r="M1823">
        <f>VLOOKUP(F1823,Sheet2!$B$1:$E$19,2,FALSE)</f>
        <v>1073</v>
      </c>
      <c r="N1823">
        <f>VLOOKUP(F1823,Sheet2!$B$1:$E$19,3,FALSE)</f>
        <v>1108959</v>
      </c>
      <c r="O1823">
        <f>IF(G1823="Not available","",VLOOKUP(F1823,Sheet2!$B$1:$E$19,4,FALSE)+(G1823-1))</f>
        <v>3780022</v>
      </c>
    </row>
    <row r="1824" spans="1:15" s="1" customFormat="1" ht="15" customHeight="1" x14ac:dyDescent="0.25">
      <c r="A1824" s="18" t="s">
        <v>194</v>
      </c>
      <c r="B1824" s="19" t="s">
        <v>137</v>
      </c>
      <c r="C1824" s="5">
        <v>1805</v>
      </c>
      <c r="E1824" s="1" t="s">
        <v>2</v>
      </c>
      <c r="F1824" s="18">
        <v>2173</v>
      </c>
      <c r="G1824" s="18">
        <v>50</v>
      </c>
      <c r="H1824" s="5">
        <v>95</v>
      </c>
      <c r="I1824" s="1">
        <v>100</v>
      </c>
      <c r="J1824" s="1">
        <v>213</v>
      </c>
      <c r="L1824" t="str">
        <f t="shared" si="28"/>
        <v>http://www.badatelna.eu/reprodukce/?fondId=1073&amp;zaznamId=1108959&amp;reproId=3780043</v>
      </c>
      <c r="M1824">
        <f>VLOOKUP(F1824,Sheet2!$B$1:$E$19,2,FALSE)</f>
        <v>1073</v>
      </c>
      <c r="N1824">
        <f>VLOOKUP(F1824,Sheet2!$B$1:$E$19,3,FALSE)</f>
        <v>1108959</v>
      </c>
      <c r="O1824">
        <f>IF(G1824="Not available","",VLOOKUP(F1824,Sheet2!$B$1:$E$19,4,FALSE)+(G1824-1))</f>
        <v>3780043</v>
      </c>
    </row>
    <row r="1825" spans="1:15" s="1" customFormat="1" ht="15" customHeight="1" x14ac:dyDescent="0.25">
      <c r="A1825" s="18" t="s">
        <v>194</v>
      </c>
      <c r="B1825" s="18" t="s">
        <v>143</v>
      </c>
      <c r="C1825" s="5">
        <v>1800</v>
      </c>
      <c r="E1825" s="1" t="s">
        <v>2</v>
      </c>
      <c r="F1825" s="18">
        <v>2173</v>
      </c>
      <c r="G1825" s="18">
        <v>42</v>
      </c>
      <c r="H1825" s="5">
        <v>79</v>
      </c>
      <c r="I1825" s="1">
        <v>100</v>
      </c>
      <c r="J1825" s="1">
        <v>213</v>
      </c>
      <c r="L1825" t="str">
        <f t="shared" si="28"/>
        <v>http://www.badatelna.eu/reprodukce/?fondId=1073&amp;zaznamId=1108959&amp;reproId=3780035</v>
      </c>
      <c r="M1825">
        <f>VLOOKUP(F1825,Sheet2!$B$1:$E$19,2,FALSE)</f>
        <v>1073</v>
      </c>
      <c r="N1825">
        <f>VLOOKUP(F1825,Sheet2!$B$1:$E$19,3,FALSE)</f>
        <v>1108959</v>
      </c>
      <c r="O1825">
        <f>IF(G1825="Not available","",VLOOKUP(F1825,Sheet2!$B$1:$E$19,4,FALSE)+(G1825-1))</f>
        <v>3780035</v>
      </c>
    </row>
    <row r="1826" spans="1:15" s="1" customFormat="1" ht="15" customHeight="1" x14ac:dyDescent="0.25">
      <c r="A1826" s="18" t="s">
        <v>194</v>
      </c>
      <c r="B1826" s="18" t="s">
        <v>11</v>
      </c>
      <c r="C1826" s="5">
        <v>1822</v>
      </c>
      <c r="E1826" s="1" t="s">
        <v>2</v>
      </c>
      <c r="F1826" s="18">
        <v>2173</v>
      </c>
      <c r="G1826" s="18">
        <v>73</v>
      </c>
      <c r="H1826" s="5">
        <v>138</v>
      </c>
      <c r="I1826" s="1">
        <v>101</v>
      </c>
      <c r="J1826" s="1">
        <v>214</v>
      </c>
      <c r="L1826" t="str">
        <f t="shared" si="28"/>
        <v>http://www.badatelna.eu/reprodukce/?fondId=1073&amp;zaznamId=1108959&amp;reproId=3780066</v>
      </c>
      <c r="M1826">
        <f>VLOOKUP(F1826,Sheet2!$B$1:$E$19,2,FALSE)</f>
        <v>1073</v>
      </c>
      <c r="N1826">
        <f>VLOOKUP(F1826,Sheet2!$B$1:$E$19,3,FALSE)</f>
        <v>1108959</v>
      </c>
      <c r="O1826">
        <f>IF(G1826="Not available","",VLOOKUP(F1826,Sheet2!$B$1:$E$19,4,FALSE)+(G1826-1))</f>
        <v>3780066</v>
      </c>
    </row>
    <row r="1827" spans="1:15" s="1" customFormat="1" ht="15" customHeight="1" x14ac:dyDescent="0.25">
      <c r="A1827" s="18" t="s">
        <v>194</v>
      </c>
      <c r="B1827" s="18" t="s">
        <v>44</v>
      </c>
      <c r="C1827" s="5">
        <v>1814</v>
      </c>
      <c r="E1827" s="1" t="s">
        <v>2</v>
      </c>
      <c r="F1827" s="18">
        <v>2173</v>
      </c>
      <c r="G1827" s="18">
        <v>63</v>
      </c>
      <c r="H1827" s="5">
        <v>121</v>
      </c>
      <c r="I1827" s="1">
        <v>101</v>
      </c>
      <c r="J1827" s="1">
        <v>214</v>
      </c>
      <c r="L1827" t="str">
        <f t="shared" si="28"/>
        <v>http://www.badatelna.eu/reprodukce/?fondId=1073&amp;zaznamId=1108959&amp;reproId=3780056</v>
      </c>
      <c r="M1827">
        <f>VLOOKUP(F1827,Sheet2!$B$1:$E$19,2,FALSE)</f>
        <v>1073</v>
      </c>
      <c r="N1827">
        <f>VLOOKUP(F1827,Sheet2!$B$1:$E$19,3,FALSE)</f>
        <v>1108959</v>
      </c>
      <c r="O1827">
        <f>IF(G1827="Not available","",VLOOKUP(F1827,Sheet2!$B$1:$E$19,4,FALSE)+(G1827-1))</f>
        <v>3780056</v>
      </c>
    </row>
    <row r="1828" spans="1:15" s="1" customFormat="1" ht="15" customHeight="1" x14ac:dyDescent="0.25">
      <c r="A1828" s="18" t="s">
        <v>194</v>
      </c>
      <c r="B1828" s="18" t="s">
        <v>23</v>
      </c>
      <c r="C1828" s="5">
        <v>1805</v>
      </c>
      <c r="E1828" s="1" t="s">
        <v>2</v>
      </c>
      <c r="F1828" s="18">
        <v>2173</v>
      </c>
      <c r="G1828" s="18">
        <v>51</v>
      </c>
      <c r="H1828" s="5">
        <v>97</v>
      </c>
      <c r="I1828" s="1">
        <v>100</v>
      </c>
      <c r="J1828" s="1">
        <v>213</v>
      </c>
      <c r="L1828" t="str">
        <f t="shared" si="28"/>
        <v>http://www.badatelna.eu/reprodukce/?fondId=1073&amp;zaznamId=1108959&amp;reproId=3780044</v>
      </c>
      <c r="M1828">
        <f>VLOOKUP(F1828,Sheet2!$B$1:$E$19,2,FALSE)</f>
        <v>1073</v>
      </c>
      <c r="N1828">
        <f>VLOOKUP(F1828,Sheet2!$B$1:$E$19,3,FALSE)</f>
        <v>1108959</v>
      </c>
      <c r="O1828">
        <f>IF(G1828="Not available","",VLOOKUP(F1828,Sheet2!$B$1:$E$19,4,FALSE)+(G1828-1))</f>
        <v>3780044</v>
      </c>
    </row>
    <row r="1829" spans="1:15" s="1" customFormat="1" ht="15" customHeight="1" x14ac:dyDescent="0.25">
      <c r="A1829" s="19" t="s">
        <v>194</v>
      </c>
      <c r="B1829" s="19" t="s">
        <v>3069</v>
      </c>
      <c r="C1829" s="5">
        <v>1786</v>
      </c>
      <c r="D1829" s="1" t="s">
        <v>26</v>
      </c>
      <c r="E1829" s="1" t="s">
        <v>2</v>
      </c>
      <c r="F1829" s="18">
        <v>2173</v>
      </c>
      <c r="G1829" s="18">
        <v>11</v>
      </c>
      <c r="H1829" s="5">
        <v>17</v>
      </c>
      <c r="I1829" s="1">
        <v>100</v>
      </c>
      <c r="J1829" s="1">
        <v>213</v>
      </c>
      <c r="L1829" t="str">
        <f t="shared" si="28"/>
        <v>http://www.badatelna.eu/reprodukce/?fondId=1073&amp;zaznamId=1108959&amp;reproId=3780004</v>
      </c>
      <c r="M1829">
        <f>VLOOKUP(F1829,Sheet2!$B$1:$E$19,2,FALSE)</f>
        <v>1073</v>
      </c>
      <c r="N1829">
        <f>VLOOKUP(F1829,Sheet2!$B$1:$E$19,3,FALSE)</f>
        <v>1108959</v>
      </c>
      <c r="O1829">
        <f>IF(G1829="Not available","",VLOOKUP(F1829,Sheet2!$B$1:$E$19,4,FALSE)+(G1829-1))</f>
        <v>3780004</v>
      </c>
    </row>
    <row r="1830" spans="1:15" s="1" customFormat="1" ht="15" customHeight="1" x14ac:dyDescent="0.25">
      <c r="A1830" s="19" t="s">
        <v>219</v>
      </c>
      <c r="B1830" s="19" t="s">
        <v>14</v>
      </c>
      <c r="C1830" s="5">
        <v>1803</v>
      </c>
      <c r="E1830" s="1" t="s">
        <v>2</v>
      </c>
      <c r="F1830" s="18">
        <v>2173</v>
      </c>
      <c r="G1830" s="18">
        <v>47</v>
      </c>
      <c r="H1830" s="5">
        <v>89</v>
      </c>
      <c r="I1830" s="1">
        <v>100</v>
      </c>
      <c r="J1830" s="1">
        <v>213</v>
      </c>
      <c r="L1830" t="str">
        <f t="shared" si="28"/>
        <v>http://www.badatelna.eu/reprodukce/?fondId=1073&amp;zaznamId=1108959&amp;reproId=3780040</v>
      </c>
      <c r="M1830">
        <f>VLOOKUP(F1830,Sheet2!$B$1:$E$19,2,FALSE)</f>
        <v>1073</v>
      </c>
      <c r="N1830">
        <f>VLOOKUP(F1830,Sheet2!$B$1:$E$19,3,FALSE)</f>
        <v>1108959</v>
      </c>
      <c r="O1830">
        <f>IF(G1830="Not available","",VLOOKUP(F1830,Sheet2!$B$1:$E$19,4,FALSE)+(G1830-1))</f>
        <v>3780040</v>
      </c>
    </row>
    <row r="1831" spans="1:15" s="1" customFormat="1" ht="15" customHeight="1" x14ac:dyDescent="0.25">
      <c r="A1831" s="18" t="s">
        <v>219</v>
      </c>
      <c r="B1831" s="18" t="s">
        <v>568</v>
      </c>
      <c r="C1831" s="5">
        <v>1832</v>
      </c>
      <c r="D1831" s="1" t="s">
        <v>65</v>
      </c>
      <c r="E1831" s="1" t="s">
        <v>2</v>
      </c>
      <c r="F1831" s="18">
        <v>2174</v>
      </c>
      <c r="G1831" s="18">
        <v>67</v>
      </c>
      <c r="H1831" s="6" t="s">
        <v>3134</v>
      </c>
      <c r="I1831" s="1">
        <v>187</v>
      </c>
      <c r="J1831" s="1">
        <v>216</v>
      </c>
      <c r="K1831" s="2"/>
      <c r="L1831" t="str">
        <f t="shared" si="28"/>
        <v>http://www.badatelna.eu/reprodukce/?fondId=1073&amp;zaznamId=1108960&amp;reproId=3780291</v>
      </c>
      <c r="M1831">
        <f>VLOOKUP(F1831,Sheet2!$B$1:$E$19,2,FALSE)</f>
        <v>1073</v>
      </c>
      <c r="N1831">
        <f>VLOOKUP(F1831,Sheet2!$B$1:$E$19,3,FALSE)</f>
        <v>1108960</v>
      </c>
      <c r="O1831">
        <f>IF(G1831="Not available","",VLOOKUP(F1831,Sheet2!$B$1:$E$19,4,FALSE)+(G1831-1))</f>
        <v>3780291</v>
      </c>
    </row>
    <row r="1832" spans="1:15" s="1" customFormat="1" ht="15" customHeight="1" x14ac:dyDescent="0.25">
      <c r="A1832" s="18" t="s">
        <v>219</v>
      </c>
      <c r="B1832" s="18" t="s">
        <v>6</v>
      </c>
      <c r="C1832" s="5">
        <v>1826</v>
      </c>
      <c r="E1832" s="1" t="s">
        <v>2</v>
      </c>
      <c r="F1832" s="18">
        <v>2173</v>
      </c>
      <c r="G1832" s="18">
        <v>78</v>
      </c>
      <c r="H1832" s="5">
        <v>148</v>
      </c>
      <c r="I1832" s="1">
        <v>101</v>
      </c>
      <c r="J1832" s="1">
        <v>214</v>
      </c>
      <c r="L1832" t="str">
        <f t="shared" si="28"/>
        <v>http://www.badatelna.eu/reprodukce/?fondId=1073&amp;zaznamId=1108959&amp;reproId=3780071</v>
      </c>
      <c r="M1832">
        <f>VLOOKUP(F1832,Sheet2!$B$1:$E$19,2,FALSE)</f>
        <v>1073</v>
      </c>
      <c r="N1832">
        <f>VLOOKUP(F1832,Sheet2!$B$1:$E$19,3,FALSE)</f>
        <v>1108959</v>
      </c>
      <c r="O1832">
        <f>IF(G1832="Not available","",VLOOKUP(F1832,Sheet2!$B$1:$E$19,4,FALSE)+(G1832-1))</f>
        <v>3780071</v>
      </c>
    </row>
    <row r="1833" spans="1:15" s="1" customFormat="1" ht="15" customHeight="1" x14ac:dyDescent="0.25">
      <c r="A1833" s="18" t="s">
        <v>219</v>
      </c>
      <c r="B1833" s="18" t="s">
        <v>114</v>
      </c>
      <c r="C1833" s="5">
        <v>1827</v>
      </c>
      <c r="E1833" s="1" t="s">
        <v>2</v>
      </c>
      <c r="F1833" s="18">
        <v>2173</v>
      </c>
      <c r="G1833" s="18">
        <v>80</v>
      </c>
      <c r="H1833" s="5">
        <v>153</v>
      </c>
      <c r="I1833" s="1">
        <v>101</v>
      </c>
      <c r="J1833" s="1">
        <v>214</v>
      </c>
      <c r="L1833" t="str">
        <f t="shared" si="28"/>
        <v>http://www.badatelna.eu/reprodukce/?fondId=1073&amp;zaznamId=1108959&amp;reproId=3780073</v>
      </c>
      <c r="M1833">
        <f>VLOOKUP(F1833,Sheet2!$B$1:$E$19,2,FALSE)</f>
        <v>1073</v>
      </c>
      <c r="N1833">
        <f>VLOOKUP(F1833,Sheet2!$B$1:$E$19,3,FALSE)</f>
        <v>1108959</v>
      </c>
      <c r="O1833">
        <f>IF(G1833="Not available","",VLOOKUP(F1833,Sheet2!$B$1:$E$19,4,FALSE)+(G1833-1))</f>
        <v>3780073</v>
      </c>
    </row>
    <row r="1834" spans="1:15" s="1" customFormat="1" ht="15" customHeight="1" x14ac:dyDescent="0.25">
      <c r="A1834" s="18" t="s">
        <v>219</v>
      </c>
      <c r="B1834" s="18" t="s">
        <v>23</v>
      </c>
      <c r="C1834" s="5">
        <v>1792</v>
      </c>
      <c r="D1834" s="1" t="s">
        <v>26</v>
      </c>
      <c r="E1834" s="1" t="s">
        <v>2</v>
      </c>
      <c r="F1834" s="18">
        <v>2173</v>
      </c>
      <c r="G1834" s="18">
        <v>27</v>
      </c>
      <c r="H1834" s="5">
        <v>49</v>
      </c>
      <c r="I1834" s="1">
        <v>100</v>
      </c>
      <c r="J1834" s="1">
        <v>213</v>
      </c>
      <c r="L1834" t="str">
        <f t="shared" si="28"/>
        <v>http://www.badatelna.eu/reprodukce/?fondId=1073&amp;zaznamId=1108959&amp;reproId=3780020</v>
      </c>
      <c r="M1834">
        <f>VLOOKUP(F1834,Sheet2!$B$1:$E$19,2,FALSE)</f>
        <v>1073</v>
      </c>
      <c r="N1834">
        <f>VLOOKUP(F1834,Sheet2!$B$1:$E$19,3,FALSE)</f>
        <v>1108959</v>
      </c>
      <c r="O1834">
        <f>IF(G1834="Not available","",VLOOKUP(F1834,Sheet2!$B$1:$E$19,4,FALSE)+(G1834-1))</f>
        <v>3780020</v>
      </c>
    </row>
    <row r="1835" spans="1:15" s="1" customFormat="1" ht="15" customHeight="1" x14ac:dyDescent="0.25">
      <c r="A1835" s="18" t="s">
        <v>495</v>
      </c>
      <c r="B1835" s="18" t="s">
        <v>546</v>
      </c>
      <c r="C1835" s="10" t="s">
        <v>1987</v>
      </c>
      <c r="D1835" s="3" t="s">
        <v>2398</v>
      </c>
      <c r="E1835" s="4" t="s">
        <v>2</v>
      </c>
      <c r="F1835" s="18">
        <v>2176</v>
      </c>
      <c r="G1835" s="18" t="s">
        <v>3271</v>
      </c>
      <c r="H1835" s="10" t="s">
        <v>1974</v>
      </c>
      <c r="I1835" s="3">
        <v>20</v>
      </c>
      <c r="J1835" s="3" t="s">
        <v>3271</v>
      </c>
      <c r="L1835" t="str">
        <f t="shared" si="28"/>
        <v/>
      </c>
      <c r="M1835">
        <f>VLOOKUP(F1835,Sheet2!$B$1:$E$19,2,FALSE)</f>
        <v>1073</v>
      </c>
      <c r="N1835">
        <f>VLOOKUP(F1835,Sheet2!$B$1:$E$19,3,FALSE)</f>
        <v>1108963</v>
      </c>
      <c r="O1835" t="str">
        <f>IF(G1835="Not available","",VLOOKUP(F1835,Sheet2!$B$1:$E$19,4,FALSE)+(G1835-1))</f>
        <v/>
      </c>
    </row>
    <row r="1836" spans="1:15" s="1" customFormat="1" ht="15" customHeight="1" x14ac:dyDescent="0.25">
      <c r="A1836" s="18" t="s">
        <v>495</v>
      </c>
      <c r="B1836" s="18" t="s">
        <v>546</v>
      </c>
      <c r="C1836" s="5" t="s">
        <v>1816</v>
      </c>
      <c r="D1836" s="1" t="s">
        <v>233</v>
      </c>
      <c r="E1836" s="1" t="s">
        <v>2</v>
      </c>
      <c r="F1836" s="18">
        <v>2165</v>
      </c>
      <c r="G1836" s="19">
        <v>248</v>
      </c>
      <c r="H1836" s="5">
        <v>2</v>
      </c>
      <c r="I1836" s="1">
        <v>250</v>
      </c>
      <c r="J1836" s="1">
        <v>226</v>
      </c>
      <c r="L1836" t="str">
        <f t="shared" si="28"/>
        <v>http://www.badatelna.eu/reprodukce/?fondId=1073&amp;zaznamId=1108952&amp;reproId=3779109</v>
      </c>
      <c r="M1836">
        <f>VLOOKUP(F1836,Sheet2!$B$1:$E$19,2,FALSE)</f>
        <v>1073</v>
      </c>
      <c r="N1836">
        <f>VLOOKUP(F1836,Sheet2!$B$1:$E$19,3,FALSE)</f>
        <v>1108952</v>
      </c>
      <c r="O1836">
        <f>IF(G1836="Not available","",VLOOKUP(F1836,Sheet2!$B$1:$E$19,4,FALSE)+(G1836-1))</f>
        <v>3779109</v>
      </c>
    </row>
    <row r="1837" spans="1:15" s="1" customFormat="1" ht="15" customHeight="1" x14ac:dyDescent="0.25">
      <c r="A1837" s="18" t="s">
        <v>495</v>
      </c>
      <c r="B1837" s="18" t="s">
        <v>2027</v>
      </c>
      <c r="C1837" s="10" t="s">
        <v>2025</v>
      </c>
      <c r="D1837" s="3" t="s">
        <v>2398</v>
      </c>
      <c r="E1837" s="4" t="s">
        <v>2</v>
      </c>
      <c r="F1837" s="18">
        <v>2176</v>
      </c>
      <c r="G1837" s="18" t="s">
        <v>3271</v>
      </c>
      <c r="H1837" s="10" t="s">
        <v>2006</v>
      </c>
      <c r="I1837" s="3">
        <v>20</v>
      </c>
      <c r="J1837" s="3" t="s">
        <v>3271</v>
      </c>
      <c r="K1837" s="3"/>
      <c r="L1837" t="str">
        <f t="shared" si="28"/>
        <v/>
      </c>
      <c r="M1837">
        <f>VLOOKUP(F1837,Sheet2!$B$1:$E$19,2,FALSE)</f>
        <v>1073</v>
      </c>
      <c r="N1837">
        <f>VLOOKUP(F1837,Sheet2!$B$1:$E$19,3,FALSE)</f>
        <v>1108963</v>
      </c>
      <c r="O1837" t="str">
        <f>IF(G1837="Not available","",VLOOKUP(F1837,Sheet2!$B$1:$E$19,4,FALSE)+(G1837-1))</f>
        <v/>
      </c>
    </row>
    <row r="1838" spans="1:15" s="1" customFormat="1" ht="15" customHeight="1" x14ac:dyDescent="0.25">
      <c r="A1838" s="18" t="s">
        <v>495</v>
      </c>
      <c r="B1838" s="18" t="s">
        <v>847</v>
      </c>
      <c r="C1838" s="5" t="s">
        <v>1817</v>
      </c>
      <c r="D1838" s="1" t="s">
        <v>233</v>
      </c>
      <c r="E1838" s="1" t="s">
        <v>2</v>
      </c>
      <c r="F1838" s="18">
        <v>2165</v>
      </c>
      <c r="G1838" s="19">
        <v>248</v>
      </c>
      <c r="H1838" s="5">
        <v>2</v>
      </c>
      <c r="I1838" s="1">
        <v>250</v>
      </c>
      <c r="J1838" s="1">
        <v>226</v>
      </c>
      <c r="L1838" t="str">
        <f t="shared" si="28"/>
        <v>http://www.badatelna.eu/reprodukce/?fondId=1073&amp;zaznamId=1108952&amp;reproId=3779109</v>
      </c>
      <c r="M1838">
        <f>VLOOKUP(F1838,Sheet2!$B$1:$E$19,2,FALSE)</f>
        <v>1073</v>
      </c>
      <c r="N1838">
        <f>VLOOKUP(F1838,Sheet2!$B$1:$E$19,3,FALSE)</f>
        <v>1108952</v>
      </c>
      <c r="O1838">
        <f>IF(G1838="Not available","",VLOOKUP(F1838,Sheet2!$B$1:$E$19,4,FALSE)+(G1838-1))</f>
        <v>3779109</v>
      </c>
    </row>
    <row r="1839" spans="1:15" s="1" customFormat="1" ht="15" customHeight="1" x14ac:dyDescent="0.25">
      <c r="A1839" s="18" t="s">
        <v>715</v>
      </c>
      <c r="B1839" s="18" t="s">
        <v>593</v>
      </c>
      <c r="C1839" s="5">
        <v>1889</v>
      </c>
      <c r="D1839" s="1" t="s">
        <v>1025</v>
      </c>
      <c r="E1839" s="1" t="s">
        <v>2</v>
      </c>
      <c r="F1839" s="18">
        <v>2165</v>
      </c>
      <c r="G1839" s="18">
        <v>222</v>
      </c>
      <c r="H1839" s="5">
        <v>2</v>
      </c>
      <c r="I1839" s="1">
        <v>225</v>
      </c>
      <c r="J1839" s="1">
        <v>201</v>
      </c>
      <c r="L1839" t="str">
        <f t="shared" si="28"/>
        <v>http://www.badatelna.eu/reprodukce/?fondId=1073&amp;zaznamId=1108952&amp;reproId=3779083</v>
      </c>
      <c r="M1839">
        <f>VLOOKUP(F1839,Sheet2!$B$1:$E$19,2,FALSE)</f>
        <v>1073</v>
      </c>
      <c r="N1839">
        <f>VLOOKUP(F1839,Sheet2!$B$1:$E$19,3,FALSE)</f>
        <v>1108952</v>
      </c>
      <c r="O1839">
        <f>IF(G1839="Not available","",VLOOKUP(F1839,Sheet2!$B$1:$E$19,4,FALSE)+(G1839-1))</f>
        <v>3779083</v>
      </c>
    </row>
    <row r="1840" spans="1:15" s="1" customFormat="1" ht="15" customHeight="1" x14ac:dyDescent="0.25">
      <c r="A1840" s="18" t="s">
        <v>715</v>
      </c>
      <c r="B1840" s="18" t="s">
        <v>593</v>
      </c>
      <c r="C1840" s="10" t="s">
        <v>2068</v>
      </c>
      <c r="D1840" s="3" t="s">
        <v>2394</v>
      </c>
      <c r="E1840" s="4" t="s">
        <v>2</v>
      </c>
      <c r="F1840" s="18">
        <v>2176</v>
      </c>
      <c r="G1840" s="18" t="s">
        <v>3271</v>
      </c>
      <c r="H1840" s="10" t="s">
        <v>2016</v>
      </c>
      <c r="I1840" s="3">
        <v>19</v>
      </c>
      <c r="J1840" s="3" t="s">
        <v>3271</v>
      </c>
      <c r="K1840" s="3"/>
      <c r="L1840" t="str">
        <f t="shared" si="28"/>
        <v/>
      </c>
      <c r="M1840">
        <f>VLOOKUP(F1840,Sheet2!$B$1:$E$19,2,FALSE)</f>
        <v>1073</v>
      </c>
      <c r="N1840">
        <f>VLOOKUP(F1840,Sheet2!$B$1:$E$19,3,FALSE)</f>
        <v>1108963</v>
      </c>
      <c r="O1840" t="str">
        <f>IF(G1840="Not available","",VLOOKUP(F1840,Sheet2!$B$1:$E$19,4,FALSE)+(G1840-1))</f>
        <v/>
      </c>
    </row>
    <row r="1841" spans="1:15" s="1" customFormat="1" ht="15" customHeight="1" x14ac:dyDescent="0.25">
      <c r="A1841" s="19" t="s">
        <v>2918</v>
      </c>
      <c r="B1841" s="18" t="s">
        <v>2938</v>
      </c>
      <c r="C1841" s="5">
        <v>1784</v>
      </c>
      <c r="D1841" s="4" t="s">
        <v>2937</v>
      </c>
      <c r="E1841" s="1" t="s">
        <v>2</v>
      </c>
      <c r="F1841" s="18">
        <v>2173</v>
      </c>
      <c r="G1841" s="18">
        <v>5</v>
      </c>
      <c r="H1841" s="5">
        <v>4</v>
      </c>
      <c r="I1841" s="1">
        <v>100</v>
      </c>
      <c r="J1841" s="1">
        <v>213</v>
      </c>
      <c r="L1841" t="str">
        <f t="shared" si="28"/>
        <v>http://www.badatelna.eu/reprodukce/?fondId=1073&amp;zaznamId=1108959&amp;reproId=3779998</v>
      </c>
      <c r="M1841">
        <f>VLOOKUP(F1841,Sheet2!$B$1:$E$19,2,FALSE)</f>
        <v>1073</v>
      </c>
      <c r="N1841">
        <f>VLOOKUP(F1841,Sheet2!$B$1:$E$19,3,FALSE)</f>
        <v>1108959</v>
      </c>
      <c r="O1841">
        <f>IF(G1841="Not available","",VLOOKUP(F1841,Sheet2!$B$1:$E$19,4,FALSE)+(G1841-1))</f>
        <v>3779998</v>
      </c>
    </row>
    <row r="1842" spans="1:15" s="1" customFormat="1" ht="15" customHeight="1" x14ac:dyDescent="0.25">
      <c r="A1842" s="18" t="s">
        <v>2942</v>
      </c>
      <c r="B1842" s="18" t="s">
        <v>2943</v>
      </c>
      <c r="C1842" s="6" t="s">
        <v>2941</v>
      </c>
      <c r="D1842" s="4" t="s">
        <v>44</v>
      </c>
      <c r="E1842" s="4" t="s">
        <v>2</v>
      </c>
      <c r="F1842" s="18">
        <v>2173</v>
      </c>
      <c r="G1842" s="18">
        <v>13</v>
      </c>
      <c r="H1842" s="6" t="s">
        <v>2944</v>
      </c>
      <c r="I1842" s="12">
        <v>100</v>
      </c>
      <c r="J1842" s="12">
        <v>213</v>
      </c>
      <c r="L1842" t="str">
        <f t="shared" si="28"/>
        <v>http://www.badatelna.eu/reprodukce/?fondId=1073&amp;zaznamId=1108959&amp;reproId=3780006</v>
      </c>
      <c r="M1842">
        <f>VLOOKUP(F1842,Sheet2!$B$1:$E$19,2,FALSE)</f>
        <v>1073</v>
      </c>
      <c r="N1842">
        <f>VLOOKUP(F1842,Sheet2!$B$1:$E$19,3,FALSE)</f>
        <v>1108959</v>
      </c>
      <c r="O1842">
        <f>IF(G1842="Not available","",VLOOKUP(F1842,Sheet2!$B$1:$E$19,4,FALSE)+(G1842-1))</f>
        <v>3780006</v>
      </c>
    </row>
    <row r="1843" spans="1:15" s="1" customFormat="1" ht="15" customHeight="1" x14ac:dyDescent="0.25">
      <c r="A1843" s="18" t="s">
        <v>2935</v>
      </c>
      <c r="B1843" s="19" t="s">
        <v>231</v>
      </c>
      <c r="C1843" s="5">
        <v>1798</v>
      </c>
      <c r="D1843" s="4" t="s">
        <v>75</v>
      </c>
      <c r="E1843" s="1" t="s">
        <v>2</v>
      </c>
      <c r="F1843" s="18">
        <v>2173</v>
      </c>
      <c r="G1843" s="18">
        <v>38</v>
      </c>
      <c r="H1843" s="6" t="s">
        <v>2939</v>
      </c>
      <c r="I1843" s="1">
        <v>100</v>
      </c>
      <c r="J1843" s="1">
        <v>213</v>
      </c>
      <c r="L1843" t="str">
        <f t="shared" si="28"/>
        <v>http://www.badatelna.eu/reprodukce/?fondId=1073&amp;zaznamId=1108959&amp;reproId=3780031</v>
      </c>
      <c r="M1843">
        <f>VLOOKUP(F1843,Sheet2!$B$1:$E$19,2,FALSE)</f>
        <v>1073</v>
      </c>
      <c r="N1843">
        <f>VLOOKUP(F1843,Sheet2!$B$1:$E$19,3,FALSE)</f>
        <v>1108959</v>
      </c>
      <c r="O1843">
        <f>IF(G1843="Not available","",VLOOKUP(F1843,Sheet2!$B$1:$E$19,4,FALSE)+(G1843-1))</f>
        <v>3780031</v>
      </c>
    </row>
    <row r="1844" spans="1:15" s="1" customFormat="1" ht="15" customHeight="1" x14ac:dyDescent="0.25">
      <c r="A1844" s="18" t="s">
        <v>232</v>
      </c>
      <c r="B1844" s="18" t="s">
        <v>637</v>
      </c>
      <c r="C1844" s="5">
        <v>1834</v>
      </c>
      <c r="D1844" s="1" t="s">
        <v>466</v>
      </c>
      <c r="E1844" s="1" t="s">
        <v>2</v>
      </c>
      <c r="F1844" s="18">
        <v>2174</v>
      </c>
      <c r="G1844" s="18">
        <v>76</v>
      </c>
      <c r="H1844" s="6" t="s">
        <v>3142</v>
      </c>
      <c r="I1844" s="1">
        <v>187</v>
      </c>
      <c r="J1844" s="1">
        <v>216</v>
      </c>
      <c r="L1844" t="str">
        <f t="shared" si="28"/>
        <v>http://www.badatelna.eu/reprodukce/?fondId=1073&amp;zaznamId=1108960&amp;reproId=3780300</v>
      </c>
      <c r="M1844">
        <f>VLOOKUP(F1844,Sheet2!$B$1:$E$19,2,FALSE)</f>
        <v>1073</v>
      </c>
      <c r="N1844">
        <f>VLOOKUP(F1844,Sheet2!$B$1:$E$19,3,FALSE)</f>
        <v>1108960</v>
      </c>
      <c r="O1844">
        <f>IF(G1844="Not available","",VLOOKUP(F1844,Sheet2!$B$1:$E$19,4,FALSE)+(G1844-1))</f>
        <v>3780300</v>
      </c>
    </row>
    <row r="1845" spans="1:15" s="1" customFormat="1" ht="15" customHeight="1" x14ac:dyDescent="0.25">
      <c r="A1845" s="18" t="s">
        <v>232</v>
      </c>
      <c r="B1845" s="18" t="s">
        <v>9</v>
      </c>
      <c r="C1845" s="5">
        <v>1804</v>
      </c>
      <c r="E1845" s="1" t="s">
        <v>2</v>
      </c>
      <c r="F1845" s="18">
        <v>2173</v>
      </c>
      <c r="G1845" s="18">
        <v>49</v>
      </c>
      <c r="H1845" s="5">
        <v>92</v>
      </c>
      <c r="I1845" s="1">
        <v>100</v>
      </c>
      <c r="J1845" s="1">
        <v>213</v>
      </c>
      <c r="L1845" t="str">
        <f t="shared" si="28"/>
        <v>http://www.badatelna.eu/reprodukce/?fondId=1073&amp;zaznamId=1108959&amp;reproId=3780042</v>
      </c>
      <c r="M1845">
        <f>VLOOKUP(F1845,Sheet2!$B$1:$E$19,2,FALSE)</f>
        <v>1073</v>
      </c>
      <c r="N1845">
        <f>VLOOKUP(F1845,Sheet2!$B$1:$E$19,3,FALSE)</f>
        <v>1108959</v>
      </c>
      <c r="O1845">
        <f>IF(G1845="Not available","",VLOOKUP(F1845,Sheet2!$B$1:$E$19,4,FALSE)+(G1845-1))</f>
        <v>3780042</v>
      </c>
    </row>
    <row r="1846" spans="1:15" s="1" customFormat="1" ht="15" customHeight="1" x14ac:dyDescent="0.25">
      <c r="A1846" s="18" t="s">
        <v>232</v>
      </c>
      <c r="B1846" s="19" t="s">
        <v>9</v>
      </c>
      <c r="C1846" s="5">
        <v>1825</v>
      </c>
      <c r="E1846" s="1" t="s">
        <v>2</v>
      </c>
      <c r="F1846" s="18">
        <v>2173</v>
      </c>
      <c r="G1846" s="18">
        <v>78</v>
      </c>
      <c r="H1846" s="5">
        <v>148</v>
      </c>
      <c r="I1846" s="1">
        <v>101</v>
      </c>
      <c r="J1846" s="1">
        <v>214</v>
      </c>
      <c r="L1846" t="str">
        <f t="shared" si="28"/>
        <v>http://www.badatelna.eu/reprodukce/?fondId=1073&amp;zaznamId=1108959&amp;reproId=3780071</v>
      </c>
      <c r="M1846">
        <f>VLOOKUP(F1846,Sheet2!$B$1:$E$19,2,FALSE)</f>
        <v>1073</v>
      </c>
      <c r="N1846">
        <f>VLOOKUP(F1846,Sheet2!$B$1:$E$19,3,FALSE)</f>
        <v>1108959</v>
      </c>
      <c r="O1846">
        <f>IF(G1846="Not available","",VLOOKUP(F1846,Sheet2!$B$1:$E$19,4,FALSE)+(G1846-1))</f>
        <v>3780071</v>
      </c>
    </row>
    <row r="1847" spans="1:15" s="1" customFormat="1" ht="15" customHeight="1" x14ac:dyDescent="0.25">
      <c r="A1847" s="18" t="s">
        <v>232</v>
      </c>
      <c r="B1847" s="18" t="s">
        <v>34</v>
      </c>
      <c r="C1847" s="5">
        <v>1797</v>
      </c>
      <c r="D1847" s="1" t="s">
        <v>99</v>
      </c>
      <c r="E1847" s="1" t="s">
        <v>2</v>
      </c>
      <c r="F1847" s="18">
        <v>2173</v>
      </c>
      <c r="G1847" s="18">
        <v>37</v>
      </c>
      <c r="H1847" s="5">
        <v>69</v>
      </c>
      <c r="I1847" s="1">
        <v>100</v>
      </c>
      <c r="J1847" s="1">
        <v>213</v>
      </c>
      <c r="L1847" t="str">
        <f t="shared" si="28"/>
        <v>http://www.badatelna.eu/reprodukce/?fondId=1073&amp;zaznamId=1108959&amp;reproId=3780030</v>
      </c>
      <c r="M1847">
        <f>VLOOKUP(F1847,Sheet2!$B$1:$E$19,2,FALSE)</f>
        <v>1073</v>
      </c>
      <c r="N1847">
        <f>VLOOKUP(F1847,Sheet2!$B$1:$E$19,3,FALSE)</f>
        <v>1108959</v>
      </c>
      <c r="O1847">
        <f>IF(G1847="Not available","",VLOOKUP(F1847,Sheet2!$B$1:$E$19,4,FALSE)+(G1847-1))</f>
        <v>3780030</v>
      </c>
    </row>
    <row r="1848" spans="1:15" s="1" customFormat="1" ht="15" customHeight="1" x14ac:dyDescent="0.25">
      <c r="A1848" s="18" t="s">
        <v>232</v>
      </c>
      <c r="B1848" s="18" t="s">
        <v>120</v>
      </c>
      <c r="C1848" s="5">
        <v>1827</v>
      </c>
      <c r="E1848" s="1" t="s">
        <v>2</v>
      </c>
      <c r="F1848" s="18">
        <v>2173</v>
      </c>
      <c r="G1848" s="18">
        <v>82</v>
      </c>
      <c r="H1848" s="5">
        <v>156</v>
      </c>
      <c r="I1848" s="1">
        <v>101</v>
      </c>
      <c r="J1848" s="1">
        <v>214</v>
      </c>
      <c r="L1848" t="str">
        <f t="shared" si="28"/>
        <v>http://www.badatelna.eu/reprodukce/?fondId=1073&amp;zaznamId=1108959&amp;reproId=3780075</v>
      </c>
      <c r="M1848">
        <f>VLOOKUP(F1848,Sheet2!$B$1:$E$19,2,FALSE)</f>
        <v>1073</v>
      </c>
      <c r="N1848">
        <f>VLOOKUP(F1848,Sheet2!$B$1:$E$19,3,FALSE)</f>
        <v>1108959</v>
      </c>
      <c r="O1848">
        <f>IF(G1848="Not available","",VLOOKUP(F1848,Sheet2!$B$1:$E$19,4,FALSE)+(G1848-1))</f>
        <v>3780075</v>
      </c>
    </row>
    <row r="1849" spans="1:15" s="1" customFormat="1" ht="15" customHeight="1" x14ac:dyDescent="0.25">
      <c r="A1849" s="18" t="s">
        <v>232</v>
      </c>
      <c r="B1849" s="18" t="s">
        <v>56</v>
      </c>
      <c r="C1849" s="5">
        <v>1823</v>
      </c>
      <c r="E1849" s="1" t="s">
        <v>2</v>
      </c>
      <c r="F1849" s="18">
        <v>2173</v>
      </c>
      <c r="G1849" s="18">
        <v>74</v>
      </c>
      <c r="H1849" s="5">
        <v>140</v>
      </c>
      <c r="I1849" s="1">
        <v>101</v>
      </c>
      <c r="J1849" s="1">
        <v>214</v>
      </c>
      <c r="L1849" t="str">
        <f t="shared" si="28"/>
        <v>http://www.badatelna.eu/reprodukce/?fondId=1073&amp;zaznamId=1108959&amp;reproId=3780067</v>
      </c>
      <c r="M1849">
        <f>VLOOKUP(F1849,Sheet2!$B$1:$E$19,2,FALSE)</f>
        <v>1073</v>
      </c>
      <c r="N1849">
        <f>VLOOKUP(F1849,Sheet2!$B$1:$E$19,3,FALSE)</f>
        <v>1108959</v>
      </c>
      <c r="O1849">
        <f>IF(G1849="Not available","",VLOOKUP(F1849,Sheet2!$B$1:$E$19,4,FALSE)+(G1849-1))</f>
        <v>3780067</v>
      </c>
    </row>
    <row r="1850" spans="1:15" s="1" customFormat="1" ht="15" customHeight="1" x14ac:dyDescent="0.25">
      <c r="A1850" s="18" t="s">
        <v>232</v>
      </c>
      <c r="B1850" s="18" t="s">
        <v>233</v>
      </c>
      <c r="C1850" s="6" t="s">
        <v>3319</v>
      </c>
      <c r="E1850" s="1" t="s">
        <v>2</v>
      </c>
      <c r="F1850" s="18">
        <v>2173</v>
      </c>
      <c r="G1850" s="18">
        <v>86</v>
      </c>
      <c r="H1850" s="5">
        <v>161</v>
      </c>
      <c r="I1850" s="1">
        <v>101</v>
      </c>
      <c r="J1850" s="1">
        <v>214</v>
      </c>
      <c r="L1850" t="str">
        <f t="shared" si="28"/>
        <v>http://www.badatelna.eu/reprodukce/?fondId=1073&amp;zaznamId=1108959&amp;reproId=3780079</v>
      </c>
      <c r="M1850">
        <f>VLOOKUP(F1850,Sheet2!$B$1:$E$19,2,FALSE)</f>
        <v>1073</v>
      </c>
      <c r="N1850">
        <f>VLOOKUP(F1850,Sheet2!$B$1:$E$19,3,FALSE)</f>
        <v>1108959</v>
      </c>
      <c r="O1850">
        <f>IF(G1850="Not available","",VLOOKUP(F1850,Sheet2!$B$1:$E$19,4,FALSE)+(G1850-1))</f>
        <v>3780079</v>
      </c>
    </row>
    <row r="1851" spans="1:15" s="1" customFormat="1" ht="15" customHeight="1" x14ac:dyDescent="0.25">
      <c r="A1851" s="18" t="s">
        <v>232</v>
      </c>
      <c r="B1851" s="18" t="s">
        <v>21</v>
      </c>
      <c r="C1851" s="5">
        <v>1824</v>
      </c>
      <c r="E1851" s="1" t="s">
        <v>2</v>
      </c>
      <c r="F1851" s="18">
        <v>2173</v>
      </c>
      <c r="G1851" s="18">
        <v>75</v>
      </c>
      <c r="H1851" s="5">
        <v>143</v>
      </c>
      <c r="I1851" s="1">
        <v>101</v>
      </c>
      <c r="J1851" s="1">
        <v>214</v>
      </c>
      <c r="L1851" t="str">
        <f t="shared" si="28"/>
        <v>http://www.badatelna.eu/reprodukce/?fondId=1073&amp;zaznamId=1108959&amp;reproId=3780068</v>
      </c>
      <c r="M1851">
        <f>VLOOKUP(F1851,Sheet2!$B$1:$E$19,2,FALSE)</f>
        <v>1073</v>
      </c>
      <c r="N1851">
        <f>VLOOKUP(F1851,Sheet2!$B$1:$E$19,3,FALSE)</f>
        <v>1108959</v>
      </c>
      <c r="O1851">
        <f>IF(G1851="Not available","",VLOOKUP(F1851,Sheet2!$B$1:$E$19,4,FALSE)+(G1851-1))</f>
        <v>3780068</v>
      </c>
    </row>
    <row r="1852" spans="1:15" s="1" customFormat="1" ht="15" customHeight="1" x14ac:dyDescent="0.25">
      <c r="A1852" s="18" t="s">
        <v>232</v>
      </c>
      <c r="B1852" s="18" t="s">
        <v>3339</v>
      </c>
      <c r="C1852" s="5">
        <v>1827</v>
      </c>
      <c r="E1852" s="1" t="s">
        <v>2</v>
      </c>
      <c r="F1852" s="18">
        <v>2173</v>
      </c>
      <c r="G1852" s="18">
        <v>80</v>
      </c>
      <c r="H1852" s="5">
        <v>153</v>
      </c>
      <c r="I1852" s="1">
        <v>101</v>
      </c>
      <c r="J1852" s="1">
        <v>214</v>
      </c>
      <c r="L1852" t="str">
        <f t="shared" si="28"/>
        <v>http://www.badatelna.eu/reprodukce/?fondId=1073&amp;zaznamId=1108959&amp;reproId=3780073</v>
      </c>
      <c r="M1852">
        <f>VLOOKUP(F1852,Sheet2!$B$1:$E$19,2,FALSE)</f>
        <v>1073</v>
      </c>
      <c r="N1852">
        <f>VLOOKUP(F1852,Sheet2!$B$1:$E$19,3,FALSE)</f>
        <v>1108959</v>
      </c>
      <c r="O1852">
        <f>IF(G1852="Not available","",VLOOKUP(F1852,Sheet2!$B$1:$E$19,4,FALSE)+(G1852-1))</f>
        <v>3780073</v>
      </c>
    </row>
    <row r="1853" spans="1:15" s="1" customFormat="1" ht="15" customHeight="1" x14ac:dyDescent="0.25">
      <c r="A1853" s="18" t="s">
        <v>1146</v>
      </c>
      <c r="B1853" s="18" t="s">
        <v>1968</v>
      </c>
      <c r="C1853" s="10" t="s">
        <v>2074</v>
      </c>
      <c r="D1853" s="3" t="s">
        <v>2389</v>
      </c>
      <c r="E1853" s="4" t="s">
        <v>2</v>
      </c>
      <c r="F1853" s="18">
        <v>2176</v>
      </c>
      <c r="G1853" s="18" t="s">
        <v>3271</v>
      </c>
      <c r="H1853" s="10" t="s">
        <v>2142</v>
      </c>
      <c r="I1853" s="3">
        <v>19</v>
      </c>
      <c r="J1853" s="3" t="s">
        <v>3271</v>
      </c>
      <c r="K1853" s="3"/>
      <c r="L1853" t="str">
        <f t="shared" si="28"/>
        <v/>
      </c>
      <c r="M1853">
        <f>VLOOKUP(F1853,Sheet2!$B$1:$E$19,2,FALSE)</f>
        <v>1073</v>
      </c>
      <c r="N1853">
        <f>VLOOKUP(F1853,Sheet2!$B$1:$E$19,3,FALSE)</f>
        <v>1108963</v>
      </c>
      <c r="O1853" t="str">
        <f>IF(G1853="Not available","",VLOOKUP(F1853,Sheet2!$B$1:$E$19,4,FALSE)+(G1853-1))</f>
        <v/>
      </c>
    </row>
    <row r="1854" spans="1:15" s="1" customFormat="1" ht="15" customHeight="1" x14ac:dyDescent="0.25">
      <c r="A1854" s="18" t="s">
        <v>1146</v>
      </c>
      <c r="B1854" s="18" t="s">
        <v>2017</v>
      </c>
      <c r="C1854" s="10" t="s">
        <v>2074</v>
      </c>
      <c r="D1854" s="3" t="s">
        <v>2392</v>
      </c>
      <c r="E1854" s="4" t="s">
        <v>2</v>
      </c>
      <c r="F1854" s="18">
        <v>2176</v>
      </c>
      <c r="G1854" s="18" t="s">
        <v>3271</v>
      </c>
      <c r="H1854" s="10" t="s">
        <v>2396</v>
      </c>
      <c r="I1854" s="3">
        <v>19</v>
      </c>
      <c r="J1854" s="3" t="s">
        <v>3271</v>
      </c>
      <c r="K1854" s="3"/>
      <c r="L1854" t="str">
        <f t="shared" si="28"/>
        <v/>
      </c>
      <c r="M1854">
        <f>VLOOKUP(F1854,Sheet2!$B$1:$E$19,2,FALSE)</f>
        <v>1073</v>
      </c>
      <c r="N1854">
        <f>VLOOKUP(F1854,Sheet2!$B$1:$E$19,3,FALSE)</f>
        <v>1108963</v>
      </c>
      <c r="O1854" t="str">
        <f>IF(G1854="Not available","",VLOOKUP(F1854,Sheet2!$B$1:$E$19,4,FALSE)+(G1854-1))</f>
        <v/>
      </c>
    </row>
    <row r="1855" spans="1:15" s="1" customFormat="1" ht="15" customHeight="1" x14ac:dyDescent="0.25">
      <c r="A1855" s="18" t="s">
        <v>1146</v>
      </c>
      <c r="B1855" s="18" t="s">
        <v>439</v>
      </c>
      <c r="C1855" s="5" t="s">
        <v>1778</v>
      </c>
      <c r="D1855" s="1" t="s">
        <v>40</v>
      </c>
      <c r="E1855" s="1" t="s">
        <v>2</v>
      </c>
      <c r="F1855" s="18">
        <v>2165</v>
      </c>
      <c r="G1855" s="18">
        <v>236</v>
      </c>
      <c r="H1855" s="5">
        <v>3</v>
      </c>
      <c r="I1855" s="1">
        <v>237</v>
      </c>
      <c r="J1855" s="1">
        <v>213</v>
      </c>
      <c r="L1855" t="str">
        <f t="shared" si="28"/>
        <v>http://www.badatelna.eu/reprodukce/?fondId=1073&amp;zaznamId=1108952&amp;reproId=3779097</v>
      </c>
      <c r="M1855">
        <f>VLOOKUP(F1855,Sheet2!$B$1:$E$19,2,FALSE)</f>
        <v>1073</v>
      </c>
      <c r="N1855">
        <f>VLOOKUP(F1855,Sheet2!$B$1:$E$19,3,FALSE)</f>
        <v>1108952</v>
      </c>
      <c r="O1855">
        <f>IF(G1855="Not available","",VLOOKUP(F1855,Sheet2!$B$1:$E$19,4,FALSE)+(G1855-1))</f>
        <v>3779097</v>
      </c>
    </row>
    <row r="1856" spans="1:15" s="1" customFormat="1" ht="15" customHeight="1" x14ac:dyDescent="0.25">
      <c r="A1856" s="18" t="s">
        <v>1146</v>
      </c>
      <c r="B1856" s="18" t="s">
        <v>1051</v>
      </c>
      <c r="C1856" s="5" t="s">
        <v>1771</v>
      </c>
      <c r="D1856" s="1" t="s">
        <v>434</v>
      </c>
      <c r="E1856" s="1" t="s">
        <v>2</v>
      </c>
      <c r="F1856" s="18">
        <v>2165</v>
      </c>
      <c r="G1856" s="18">
        <v>234</v>
      </c>
      <c r="H1856" s="5">
        <v>1</v>
      </c>
      <c r="I1856" s="1">
        <v>237</v>
      </c>
      <c r="J1856" s="1">
        <v>213</v>
      </c>
      <c r="L1856" t="str">
        <f t="shared" si="28"/>
        <v>http://www.badatelna.eu/reprodukce/?fondId=1073&amp;zaznamId=1108952&amp;reproId=3779095</v>
      </c>
      <c r="M1856">
        <f>VLOOKUP(F1856,Sheet2!$B$1:$E$19,2,FALSE)</f>
        <v>1073</v>
      </c>
      <c r="N1856">
        <f>VLOOKUP(F1856,Sheet2!$B$1:$E$19,3,FALSE)</f>
        <v>1108952</v>
      </c>
      <c r="O1856">
        <f>IF(G1856="Not available","",VLOOKUP(F1856,Sheet2!$B$1:$E$19,4,FALSE)+(G1856-1))</f>
        <v>3779095</v>
      </c>
    </row>
    <row r="1857" spans="1:15" s="1" customFormat="1" ht="15" customHeight="1" x14ac:dyDescent="0.25">
      <c r="A1857" s="18" t="s">
        <v>1146</v>
      </c>
      <c r="B1857" s="18" t="s">
        <v>1147</v>
      </c>
      <c r="C1857" s="5">
        <v>1883</v>
      </c>
      <c r="D1857" s="1" t="s">
        <v>434</v>
      </c>
      <c r="E1857" s="1" t="s">
        <v>2</v>
      </c>
      <c r="F1857" s="18">
        <v>2165</v>
      </c>
      <c r="G1857" s="18">
        <v>185</v>
      </c>
      <c r="H1857" s="5">
        <v>1</v>
      </c>
      <c r="I1857" s="1">
        <v>190</v>
      </c>
      <c r="J1857" s="1">
        <v>167</v>
      </c>
      <c r="L1857" t="str">
        <f t="shared" si="28"/>
        <v>http://www.badatelna.eu/reprodukce/?fondId=1073&amp;zaznamId=1108952&amp;reproId=3779046</v>
      </c>
      <c r="M1857">
        <f>VLOOKUP(F1857,Sheet2!$B$1:$E$19,2,FALSE)</f>
        <v>1073</v>
      </c>
      <c r="N1857">
        <f>VLOOKUP(F1857,Sheet2!$B$1:$E$19,3,FALSE)</f>
        <v>1108952</v>
      </c>
      <c r="O1857">
        <f>IF(G1857="Not available","",VLOOKUP(F1857,Sheet2!$B$1:$E$19,4,FALSE)+(G1857-1))</f>
        <v>3779046</v>
      </c>
    </row>
    <row r="1858" spans="1:15" s="1" customFormat="1" ht="15" customHeight="1" x14ac:dyDescent="0.25">
      <c r="A1858" s="18" t="s">
        <v>1146</v>
      </c>
      <c r="B1858" s="18" t="s">
        <v>1136</v>
      </c>
      <c r="C1858" s="10" t="s">
        <v>2079</v>
      </c>
      <c r="D1858" s="3" t="s">
        <v>2397</v>
      </c>
      <c r="E1858" s="4" t="s">
        <v>2</v>
      </c>
      <c r="F1858" s="18">
        <v>2176</v>
      </c>
      <c r="G1858" s="18" t="s">
        <v>3271</v>
      </c>
      <c r="H1858" s="10" t="s">
        <v>2073</v>
      </c>
      <c r="I1858" s="3">
        <v>20</v>
      </c>
      <c r="J1858" s="3" t="s">
        <v>3271</v>
      </c>
      <c r="K1858" s="3"/>
      <c r="L1858" t="str">
        <f t="shared" si="28"/>
        <v/>
      </c>
      <c r="M1858">
        <f>VLOOKUP(F1858,Sheet2!$B$1:$E$19,2,FALSE)</f>
        <v>1073</v>
      </c>
      <c r="N1858">
        <f>VLOOKUP(F1858,Sheet2!$B$1:$E$19,3,FALSE)</f>
        <v>1108963</v>
      </c>
      <c r="O1858" t="str">
        <f>IF(G1858="Not available","",VLOOKUP(F1858,Sheet2!$B$1:$E$19,4,FALSE)+(G1858-1))</f>
        <v/>
      </c>
    </row>
    <row r="1859" spans="1:15" s="1" customFormat="1" ht="15" customHeight="1" x14ac:dyDescent="0.25">
      <c r="A1859" s="18" t="s">
        <v>1146</v>
      </c>
      <c r="B1859" s="18" t="s">
        <v>1136</v>
      </c>
      <c r="C1859" s="6" t="s">
        <v>1942</v>
      </c>
      <c r="D1859" s="1" t="s">
        <v>40</v>
      </c>
      <c r="E1859" s="1" t="s">
        <v>2</v>
      </c>
      <c r="F1859" s="18">
        <v>2165</v>
      </c>
      <c r="G1859" s="18">
        <v>243</v>
      </c>
      <c r="H1859" s="5">
        <v>3</v>
      </c>
      <c r="I1859" s="1">
        <v>244</v>
      </c>
      <c r="J1859" s="1">
        <v>220</v>
      </c>
      <c r="L1859" t="str">
        <f t="shared" ref="L1859:L1922" si="29">IF(G1859="Not available","","http://www.badatelna.eu/reprodukce/?fondId="&amp;M1859&amp;"&amp;zaznamId="&amp;N1859&amp;"&amp;reproId="&amp;O1859)</f>
        <v>http://www.badatelna.eu/reprodukce/?fondId=1073&amp;zaznamId=1108952&amp;reproId=3779104</v>
      </c>
      <c r="M1859">
        <f>VLOOKUP(F1859,Sheet2!$B$1:$E$19,2,FALSE)</f>
        <v>1073</v>
      </c>
      <c r="N1859">
        <f>VLOOKUP(F1859,Sheet2!$B$1:$E$19,3,FALSE)</f>
        <v>1108952</v>
      </c>
      <c r="O1859">
        <f>IF(G1859="Not available","",VLOOKUP(F1859,Sheet2!$B$1:$E$19,4,FALSE)+(G1859-1))</f>
        <v>3779104</v>
      </c>
    </row>
    <row r="1860" spans="1:15" s="1" customFormat="1" ht="15" customHeight="1" x14ac:dyDescent="0.25">
      <c r="A1860" s="18" t="s">
        <v>1146</v>
      </c>
      <c r="B1860" s="18" t="s">
        <v>2276</v>
      </c>
      <c r="C1860" s="10" t="s">
        <v>2036</v>
      </c>
      <c r="D1860" s="3" t="s">
        <v>2389</v>
      </c>
      <c r="E1860" s="4" t="s">
        <v>2</v>
      </c>
      <c r="F1860" s="18">
        <v>2176</v>
      </c>
      <c r="G1860" s="18" t="s">
        <v>3271</v>
      </c>
      <c r="H1860" s="10" t="s">
        <v>1955</v>
      </c>
      <c r="I1860" s="3">
        <v>19</v>
      </c>
      <c r="J1860" s="3" t="s">
        <v>3271</v>
      </c>
      <c r="K1860" s="3"/>
      <c r="L1860" t="str">
        <f t="shared" si="29"/>
        <v/>
      </c>
      <c r="M1860">
        <f>VLOOKUP(F1860,Sheet2!$B$1:$E$19,2,FALSE)</f>
        <v>1073</v>
      </c>
      <c r="N1860">
        <f>VLOOKUP(F1860,Sheet2!$B$1:$E$19,3,FALSE)</f>
        <v>1108963</v>
      </c>
      <c r="O1860" t="str">
        <f>IF(G1860="Not available","",VLOOKUP(F1860,Sheet2!$B$1:$E$19,4,FALSE)+(G1860-1))</f>
        <v/>
      </c>
    </row>
    <row r="1861" spans="1:15" s="1" customFormat="1" ht="15" customHeight="1" x14ac:dyDescent="0.25">
      <c r="A1861" s="18" t="s">
        <v>1146</v>
      </c>
      <c r="B1861" s="18" t="s">
        <v>602</v>
      </c>
      <c r="C1861" s="10" t="s">
        <v>2055</v>
      </c>
      <c r="D1861" s="3" t="s">
        <v>2389</v>
      </c>
      <c r="E1861" s="4" t="s">
        <v>2</v>
      </c>
      <c r="F1861" s="18">
        <v>2176</v>
      </c>
      <c r="G1861" s="18" t="s">
        <v>3271</v>
      </c>
      <c r="H1861" s="10" t="s">
        <v>2075</v>
      </c>
      <c r="I1861" s="3">
        <v>19</v>
      </c>
      <c r="J1861" s="3" t="s">
        <v>3271</v>
      </c>
      <c r="K1861" s="3"/>
      <c r="L1861" t="str">
        <f t="shared" si="29"/>
        <v/>
      </c>
      <c r="M1861">
        <f>VLOOKUP(F1861,Sheet2!$B$1:$E$19,2,FALSE)</f>
        <v>1073</v>
      </c>
      <c r="N1861">
        <f>VLOOKUP(F1861,Sheet2!$B$1:$E$19,3,FALSE)</f>
        <v>1108963</v>
      </c>
      <c r="O1861" t="str">
        <f>IF(G1861="Not available","",VLOOKUP(F1861,Sheet2!$B$1:$E$19,4,FALSE)+(G1861-1))</f>
        <v/>
      </c>
    </row>
    <row r="1862" spans="1:15" s="1" customFormat="1" ht="15" customHeight="1" x14ac:dyDescent="0.25">
      <c r="A1862" s="18" t="s">
        <v>1146</v>
      </c>
      <c r="B1862" s="18" t="s">
        <v>602</v>
      </c>
      <c r="C1862" s="5">
        <v>1887</v>
      </c>
      <c r="D1862" s="1" t="s">
        <v>434</v>
      </c>
      <c r="E1862" s="1" t="s">
        <v>2</v>
      </c>
      <c r="F1862" s="18">
        <v>2165</v>
      </c>
      <c r="G1862" s="18">
        <v>212</v>
      </c>
      <c r="H1862" s="5">
        <v>1</v>
      </c>
      <c r="I1862" s="1">
        <v>215</v>
      </c>
      <c r="J1862" s="1">
        <v>191</v>
      </c>
      <c r="L1862" t="str">
        <f t="shared" si="29"/>
        <v>http://www.badatelna.eu/reprodukce/?fondId=1073&amp;zaznamId=1108952&amp;reproId=3779073</v>
      </c>
      <c r="M1862">
        <f>VLOOKUP(F1862,Sheet2!$B$1:$E$19,2,FALSE)</f>
        <v>1073</v>
      </c>
      <c r="N1862">
        <f>VLOOKUP(F1862,Sheet2!$B$1:$E$19,3,FALSE)</f>
        <v>1108952</v>
      </c>
      <c r="O1862">
        <f>IF(G1862="Not available","",VLOOKUP(F1862,Sheet2!$B$1:$E$19,4,FALSE)+(G1862-1))</f>
        <v>3779073</v>
      </c>
    </row>
    <row r="1863" spans="1:15" s="1" customFormat="1" ht="15" customHeight="1" x14ac:dyDescent="0.25">
      <c r="A1863" s="18" t="s">
        <v>1146</v>
      </c>
      <c r="B1863" s="18" t="s">
        <v>233</v>
      </c>
      <c r="C1863" s="10" t="s">
        <v>2052</v>
      </c>
      <c r="D1863" s="3" t="s">
        <v>2392</v>
      </c>
      <c r="E1863" s="4" t="s">
        <v>2</v>
      </c>
      <c r="F1863" s="18">
        <v>2176</v>
      </c>
      <c r="G1863" s="18" t="s">
        <v>3271</v>
      </c>
      <c r="H1863" s="10" t="s">
        <v>2046</v>
      </c>
      <c r="I1863" s="3">
        <v>19</v>
      </c>
      <c r="J1863" s="3" t="s">
        <v>3271</v>
      </c>
      <c r="K1863" s="3"/>
      <c r="L1863" t="str">
        <f t="shared" si="29"/>
        <v/>
      </c>
      <c r="M1863">
        <f>VLOOKUP(F1863,Sheet2!$B$1:$E$19,2,FALSE)</f>
        <v>1073</v>
      </c>
      <c r="N1863">
        <f>VLOOKUP(F1863,Sheet2!$B$1:$E$19,3,FALSE)</f>
        <v>1108963</v>
      </c>
      <c r="O1863" t="str">
        <f>IF(G1863="Not available","",VLOOKUP(F1863,Sheet2!$B$1:$E$19,4,FALSE)+(G1863-1))</f>
        <v/>
      </c>
    </row>
    <row r="1864" spans="1:15" s="1" customFormat="1" ht="15" customHeight="1" x14ac:dyDescent="0.25">
      <c r="A1864" s="18" t="s">
        <v>1146</v>
      </c>
      <c r="B1864" s="18" t="s">
        <v>1944</v>
      </c>
      <c r="C1864" s="10" t="s">
        <v>2092</v>
      </c>
      <c r="D1864" s="3" t="s">
        <v>2392</v>
      </c>
      <c r="E1864" s="4" t="s">
        <v>2</v>
      </c>
      <c r="F1864" s="18">
        <v>2176</v>
      </c>
      <c r="G1864" s="18" t="s">
        <v>3271</v>
      </c>
      <c r="H1864" s="10" t="s">
        <v>1971</v>
      </c>
      <c r="I1864" s="3">
        <v>20</v>
      </c>
      <c r="J1864" s="3" t="s">
        <v>3271</v>
      </c>
      <c r="K1864" s="3"/>
      <c r="L1864" t="str">
        <f t="shared" si="29"/>
        <v/>
      </c>
      <c r="M1864">
        <f>VLOOKUP(F1864,Sheet2!$B$1:$E$19,2,FALSE)</f>
        <v>1073</v>
      </c>
      <c r="N1864">
        <f>VLOOKUP(F1864,Sheet2!$B$1:$E$19,3,FALSE)</f>
        <v>1108963</v>
      </c>
      <c r="O1864" t="str">
        <f>IF(G1864="Not available","",VLOOKUP(F1864,Sheet2!$B$1:$E$19,4,FALSE)+(G1864-1))</f>
        <v/>
      </c>
    </row>
    <row r="1865" spans="1:15" s="1" customFormat="1" ht="15" customHeight="1" x14ac:dyDescent="0.25">
      <c r="A1865" s="18" t="s">
        <v>1146</v>
      </c>
      <c r="B1865" s="18" t="s">
        <v>1115</v>
      </c>
      <c r="C1865" s="5" t="s">
        <v>1892</v>
      </c>
      <c r="D1865" s="1" t="s">
        <v>40</v>
      </c>
      <c r="E1865" s="1" t="s">
        <v>2</v>
      </c>
      <c r="F1865" s="18">
        <v>2165</v>
      </c>
      <c r="G1865" s="19">
        <v>269</v>
      </c>
      <c r="H1865" s="5">
        <v>1</v>
      </c>
      <c r="I1865" s="1">
        <v>272</v>
      </c>
      <c r="J1865" s="1">
        <v>246</v>
      </c>
      <c r="L1865" t="str">
        <f t="shared" si="29"/>
        <v>http://www.badatelna.eu/reprodukce/?fondId=1073&amp;zaznamId=1108952&amp;reproId=3779130</v>
      </c>
      <c r="M1865">
        <f>VLOOKUP(F1865,Sheet2!$B$1:$E$19,2,FALSE)</f>
        <v>1073</v>
      </c>
      <c r="N1865">
        <f>VLOOKUP(F1865,Sheet2!$B$1:$E$19,3,FALSE)</f>
        <v>1108952</v>
      </c>
      <c r="O1865">
        <f>IF(G1865="Not available","",VLOOKUP(F1865,Sheet2!$B$1:$E$19,4,FALSE)+(G1865-1))</f>
        <v>3779130</v>
      </c>
    </row>
    <row r="1866" spans="1:15" s="1" customFormat="1" ht="15" customHeight="1" x14ac:dyDescent="0.25">
      <c r="A1866" s="18" t="s">
        <v>1146</v>
      </c>
      <c r="B1866" s="18" t="s">
        <v>593</v>
      </c>
      <c r="C1866" s="10" t="s">
        <v>1952</v>
      </c>
      <c r="D1866" s="3" t="s">
        <v>2392</v>
      </c>
      <c r="E1866" s="4" t="s">
        <v>2</v>
      </c>
      <c r="F1866" s="18">
        <v>2176</v>
      </c>
      <c r="G1866" s="18" t="s">
        <v>3271</v>
      </c>
      <c r="H1866" s="10" t="s">
        <v>2069</v>
      </c>
      <c r="I1866" s="3">
        <v>20</v>
      </c>
      <c r="J1866" s="3" t="s">
        <v>3271</v>
      </c>
      <c r="K1866" s="3"/>
      <c r="L1866" t="str">
        <f t="shared" si="29"/>
        <v/>
      </c>
      <c r="M1866">
        <f>VLOOKUP(F1866,Sheet2!$B$1:$E$19,2,FALSE)</f>
        <v>1073</v>
      </c>
      <c r="N1866">
        <f>VLOOKUP(F1866,Sheet2!$B$1:$E$19,3,FALSE)</f>
        <v>1108963</v>
      </c>
      <c r="O1866" t="str">
        <f>IF(G1866="Not available","",VLOOKUP(F1866,Sheet2!$B$1:$E$19,4,FALSE)+(G1866-1))</f>
        <v/>
      </c>
    </row>
    <row r="1867" spans="1:15" s="1" customFormat="1" ht="15" customHeight="1" x14ac:dyDescent="0.25">
      <c r="A1867" s="18" t="s">
        <v>1146</v>
      </c>
      <c r="B1867" s="18" t="s">
        <v>593</v>
      </c>
      <c r="C1867" s="5" t="s">
        <v>1840</v>
      </c>
      <c r="D1867" s="1" t="s">
        <v>40</v>
      </c>
      <c r="E1867" s="1" t="s">
        <v>2</v>
      </c>
      <c r="F1867" s="18">
        <v>2165</v>
      </c>
      <c r="G1867" s="18">
        <v>254</v>
      </c>
      <c r="H1867" s="5">
        <v>1</v>
      </c>
      <c r="I1867" s="1">
        <v>252</v>
      </c>
      <c r="J1867" s="1">
        <v>228</v>
      </c>
      <c r="L1867" t="str">
        <f t="shared" si="29"/>
        <v>http://www.badatelna.eu/reprodukce/?fondId=1073&amp;zaznamId=1108952&amp;reproId=3779115</v>
      </c>
      <c r="M1867">
        <f>VLOOKUP(F1867,Sheet2!$B$1:$E$19,2,FALSE)</f>
        <v>1073</v>
      </c>
      <c r="N1867">
        <f>VLOOKUP(F1867,Sheet2!$B$1:$E$19,3,FALSE)</f>
        <v>1108952</v>
      </c>
      <c r="O1867">
        <f>IF(G1867="Not available","",VLOOKUP(F1867,Sheet2!$B$1:$E$19,4,FALSE)+(G1867-1))</f>
        <v>3779115</v>
      </c>
    </row>
    <row r="1868" spans="1:15" s="1" customFormat="1" ht="15" customHeight="1" x14ac:dyDescent="0.25">
      <c r="A1868" s="18" t="s">
        <v>1146</v>
      </c>
      <c r="B1868" s="18" t="s">
        <v>2022</v>
      </c>
      <c r="C1868" s="10" t="s">
        <v>2068</v>
      </c>
      <c r="D1868" s="3" t="s">
        <v>2389</v>
      </c>
      <c r="E1868" s="4" t="s">
        <v>2</v>
      </c>
      <c r="F1868" s="18">
        <v>2176</v>
      </c>
      <c r="G1868" s="18" t="s">
        <v>3271</v>
      </c>
      <c r="H1868" s="10" t="s">
        <v>2088</v>
      </c>
      <c r="I1868" s="3">
        <v>19</v>
      </c>
      <c r="J1868" s="3" t="s">
        <v>3271</v>
      </c>
      <c r="K1868" s="3"/>
      <c r="L1868" t="str">
        <f t="shared" si="29"/>
        <v/>
      </c>
      <c r="M1868">
        <f>VLOOKUP(F1868,Sheet2!$B$1:$E$19,2,FALSE)</f>
        <v>1073</v>
      </c>
      <c r="N1868">
        <f>VLOOKUP(F1868,Sheet2!$B$1:$E$19,3,FALSE)</f>
        <v>1108963</v>
      </c>
      <c r="O1868" t="str">
        <f>IF(G1868="Not available","",VLOOKUP(F1868,Sheet2!$B$1:$E$19,4,FALSE)+(G1868-1))</f>
        <v/>
      </c>
    </row>
    <row r="1869" spans="1:15" s="1" customFormat="1" ht="15" customHeight="1" x14ac:dyDescent="0.25">
      <c r="A1869" s="18" t="s">
        <v>1146</v>
      </c>
      <c r="B1869" s="18" t="s">
        <v>76</v>
      </c>
      <c r="C1869" s="5">
        <v>1889</v>
      </c>
      <c r="D1869" s="1" t="s">
        <v>1115</v>
      </c>
      <c r="E1869" s="1" t="s">
        <v>2</v>
      </c>
      <c r="F1869" s="18">
        <v>2165</v>
      </c>
      <c r="G1869" s="18">
        <v>221</v>
      </c>
      <c r="H1869" s="5">
        <v>1</v>
      </c>
      <c r="I1869" s="1">
        <v>225</v>
      </c>
      <c r="J1869" s="1">
        <v>201</v>
      </c>
      <c r="L1869" t="str">
        <f t="shared" si="29"/>
        <v>http://www.badatelna.eu/reprodukce/?fondId=1073&amp;zaznamId=1108952&amp;reproId=3779082</v>
      </c>
      <c r="M1869">
        <f>VLOOKUP(F1869,Sheet2!$B$1:$E$19,2,FALSE)</f>
        <v>1073</v>
      </c>
      <c r="N1869">
        <f>VLOOKUP(F1869,Sheet2!$B$1:$E$19,3,FALSE)</f>
        <v>1108952</v>
      </c>
      <c r="O1869">
        <f>IF(G1869="Not available","",VLOOKUP(F1869,Sheet2!$B$1:$E$19,4,FALSE)+(G1869-1))</f>
        <v>3779082</v>
      </c>
    </row>
    <row r="1870" spans="1:15" s="1" customFormat="1" ht="15" customHeight="1" x14ac:dyDescent="0.25">
      <c r="A1870" s="18" t="s">
        <v>1146</v>
      </c>
      <c r="B1870" s="18" t="s">
        <v>1171</v>
      </c>
      <c r="C1870" s="5">
        <v>1885</v>
      </c>
      <c r="D1870" s="1" t="s">
        <v>1174</v>
      </c>
      <c r="E1870" s="1" t="s">
        <v>2</v>
      </c>
      <c r="F1870" s="18">
        <v>2165</v>
      </c>
      <c r="G1870" s="18">
        <v>200</v>
      </c>
      <c r="H1870" s="5">
        <v>2</v>
      </c>
      <c r="I1870" s="1">
        <v>204</v>
      </c>
      <c r="J1870" s="1">
        <v>187</v>
      </c>
      <c r="L1870" t="str">
        <f t="shared" si="29"/>
        <v>http://www.badatelna.eu/reprodukce/?fondId=1073&amp;zaznamId=1108952&amp;reproId=3779061</v>
      </c>
      <c r="M1870">
        <f>VLOOKUP(F1870,Sheet2!$B$1:$E$19,2,FALSE)</f>
        <v>1073</v>
      </c>
      <c r="N1870">
        <f>VLOOKUP(F1870,Sheet2!$B$1:$E$19,3,FALSE)</f>
        <v>1108952</v>
      </c>
      <c r="O1870">
        <f>IF(G1870="Not available","",VLOOKUP(F1870,Sheet2!$B$1:$E$19,4,FALSE)+(G1870-1))</f>
        <v>3779061</v>
      </c>
    </row>
    <row r="1871" spans="1:15" s="1" customFormat="1" ht="15" customHeight="1" x14ac:dyDescent="0.25">
      <c r="A1871" s="18" t="s">
        <v>1146</v>
      </c>
      <c r="B1871" s="18" t="s">
        <v>2391</v>
      </c>
      <c r="C1871" s="10" t="s">
        <v>2043</v>
      </c>
      <c r="D1871" s="3" t="s">
        <v>2390</v>
      </c>
      <c r="E1871" s="4" t="s">
        <v>2</v>
      </c>
      <c r="F1871" s="18">
        <v>2176</v>
      </c>
      <c r="G1871" s="18" t="s">
        <v>3271</v>
      </c>
      <c r="H1871" s="10" t="s">
        <v>2053</v>
      </c>
      <c r="I1871" s="3">
        <v>19</v>
      </c>
      <c r="J1871" s="3" t="s">
        <v>3271</v>
      </c>
      <c r="K1871" s="3"/>
      <c r="L1871" t="str">
        <f t="shared" si="29"/>
        <v/>
      </c>
      <c r="M1871">
        <f>VLOOKUP(F1871,Sheet2!$B$1:$E$19,2,FALSE)</f>
        <v>1073</v>
      </c>
      <c r="N1871">
        <f>VLOOKUP(F1871,Sheet2!$B$1:$E$19,3,FALSE)</f>
        <v>1108963</v>
      </c>
      <c r="O1871" t="str">
        <f>IF(G1871="Not available","",VLOOKUP(F1871,Sheet2!$B$1:$E$19,4,FALSE)+(G1871-1))</f>
        <v/>
      </c>
    </row>
    <row r="1872" spans="1:15" s="1" customFormat="1" ht="15" customHeight="1" x14ac:dyDescent="0.25">
      <c r="A1872" s="18" t="s">
        <v>222</v>
      </c>
      <c r="B1872" s="18" t="s">
        <v>50</v>
      </c>
      <c r="C1872" s="5">
        <v>1792</v>
      </c>
      <c r="D1872" s="1" t="s">
        <v>4</v>
      </c>
      <c r="E1872" s="1" t="s">
        <v>2</v>
      </c>
      <c r="F1872" s="18">
        <v>2173</v>
      </c>
      <c r="G1872" s="18">
        <v>26</v>
      </c>
      <c r="H1872" s="5">
        <v>47</v>
      </c>
      <c r="I1872" s="1">
        <v>100</v>
      </c>
      <c r="J1872" s="1">
        <v>213</v>
      </c>
      <c r="L1872" t="str">
        <f t="shared" si="29"/>
        <v>http://www.badatelna.eu/reprodukce/?fondId=1073&amp;zaznamId=1108959&amp;reproId=3780019</v>
      </c>
      <c r="M1872">
        <f>VLOOKUP(F1872,Sheet2!$B$1:$E$19,2,FALSE)</f>
        <v>1073</v>
      </c>
      <c r="N1872">
        <f>VLOOKUP(F1872,Sheet2!$B$1:$E$19,3,FALSE)</f>
        <v>1108959</v>
      </c>
      <c r="O1872">
        <f>IF(G1872="Not available","",VLOOKUP(F1872,Sheet2!$B$1:$E$19,4,FALSE)+(G1872-1))</f>
        <v>3780019</v>
      </c>
    </row>
    <row r="1873" spans="1:15" s="1" customFormat="1" ht="15" customHeight="1" x14ac:dyDescent="0.25">
      <c r="A1873" s="18" t="s">
        <v>222</v>
      </c>
      <c r="B1873" s="18" t="s">
        <v>74</v>
      </c>
      <c r="C1873" s="5">
        <v>1820</v>
      </c>
      <c r="E1873" s="1" t="s">
        <v>2</v>
      </c>
      <c r="F1873" s="18">
        <v>2173</v>
      </c>
      <c r="G1873" s="18">
        <v>70</v>
      </c>
      <c r="H1873" s="5">
        <v>133</v>
      </c>
      <c r="I1873" s="1">
        <v>101</v>
      </c>
      <c r="J1873" s="1">
        <v>214</v>
      </c>
      <c r="L1873" t="str">
        <f t="shared" si="29"/>
        <v>http://www.badatelna.eu/reprodukce/?fondId=1073&amp;zaznamId=1108959&amp;reproId=3780063</v>
      </c>
      <c r="M1873">
        <f>VLOOKUP(F1873,Sheet2!$B$1:$E$19,2,FALSE)</f>
        <v>1073</v>
      </c>
      <c r="N1873">
        <f>VLOOKUP(F1873,Sheet2!$B$1:$E$19,3,FALSE)</f>
        <v>1108959</v>
      </c>
      <c r="O1873">
        <f>IF(G1873="Not available","",VLOOKUP(F1873,Sheet2!$B$1:$E$19,4,FALSE)+(G1873-1))</f>
        <v>3780063</v>
      </c>
    </row>
    <row r="1874" spans="1:15" s="1" customFormat="1" ht="15" customHeight="1" x14ac:dyDescent="0.25">
      <c r="A1874" s="18" t="s">
        <v>222</v>
      </c>
      <c r="B1874" s="18" t="s">
        <v>77</v>
      </c>
      <c r="C1874" s="5">
        <v>1815</v>
      </c>
      <c r="E1874" s="1" t="s">
        <v>2</v>
      </c>
      <c r="F1874" s="18">
        <v>2173</v>
      </c>
      <c r="G1874" s="18">
        <v>64</v>
      </c>
      <c r="H1874" s="5">
        <v>122</v>
      </c>
      <c r="I1874" s="1">
        <v>101</v>
      </c>
      <c r="J1874" s="1">
        <v>214</v>
      </c>
      <c r="L1874" t="str">
        <f t="shared" si="29"/>
        <v>http://www.badatelna.eu/reprodukce/?fondId=1073&amp;zaznamId=1108959&amp;reproId=3780057</v>
      </c>
      <c r="M1874">
        <f>VLOOKUP(F1874,Sheet2!$B$1:$E$19,2,FALSE)</f>
        <v>1073</v>
      </c>
      <c r="N1874">
        <f>VLOOKUP(F1874,Sheet2!$B$1:$E$19,3,FALSE)</f>
        <v>1108959</v>
      </c>
      <c r="O1874">
        <f>IF(G1874="Not available","",VLOOKUP(F1874,Sheet2!$B$1:$E$19,4,FALSE)+(G1874-1))</f>
        <v>3780057</v>
      </c>
    </row>
    <row r="1875" spans="1:15" s="1" customFormat="1" ht="15" customHeight="1" x14ac:dyDescent="0.25">
      <c r="A1875" s="19" t="s">
        <v>222</v>
      </c>
      <c r="B1875" s="18" t="s">
        <v>218</v>
      </c>
      <c r="C1875" s="5">
        <v>1786</v>
      </c>
      <c r="D1875" s="1" t="s">
        <v>4</v>
      </c>
      <c r="E1875" s="1" t="s">
        <v>2</v>
      </c>
      <c r="F1875" s="18">
        <v>2173</v>
      </c>
      <c r="G1875" s="18">
        <v>13</v>
      </c>
      <c r="H1875" s="5">
        <v>20</v>
      </c>
      <c r="I1875" s="1">
        <v>100</v>
      </c>
      <c r="J1875" s="1">
        <v>213</v>
      </c>
      <c r="L1875" t="str">
        <f t="shared" si="29"/>
        <v>http://www.badatelna.eu/reprodukce/?fondId=1073&amp;zaznamId=1108959&amp;reproId=3780006</v>
      </c>
      <c r="M1875">
        <f>VLOOKUP(F1875,Sheet2!$B$1:$E$19,2,FALSE)</f>
        <v>1073</v>
      </c>
      <c r="N1875">
        <f>VLOOKUP(F1875,Sheet2!$B$1:$E$19,3,FALSE)</f>
        <v>1108959</v>
      </c>
      <c r="O1875">
        <f>IF(G1875="Not available","",VLOOKUP(F1875,Sheet2!$B$1:$E$19,4,FALSE)+(G1875-1))</f>
        <v>3780006</v>
      </c>
    </row>
    <row r="1876" spans="1:15" s="1" customFormat="1" ht="15" customHeight="1" x14ac:dyDescent="0.25">
      <c r="A1876" s="18" t="s">
        <v>222</v>
      </c>
      <c r="B1876" s="19" t="s">
        <v>349</v>
      </c>
      <c r="C1876" s="5">
        <v>1789</v>
      </c>
      <c r="D1876" s="1" t="s">
        <v>223</v>
      </c>
      <c r="E1876" s="1" t="s">
        <v>2</v>
      </c>
      <c r="F1876" s="18">
        <v>2173</v>
      </c>
      <c r="G1876" s="18">
        <v>20</v>
      </c>
      <c r="H1876" s="5">
        <v>35</v>
      </c>
      <c r="I1876" s="1">
        <v>100</v>
      </c>
      <c r="J1876" s="1">
        <v>213</v>
      </c>
      <c r="L1876" t="str">
        <f t="shared" si="29"/>
        <v>http://www.badatelna.eu/reprodukce/?fondId=1073&amp;zaznamId=1108959&amp;reproId=3780013</v>
      </c>
      <c r="M1876">
        <f>VLOOKUP(F1876,Sheet2!$B$1:$E$19,2,FALSE)</f>
        <v>1073</v>
      </c>
      <c r="N1876">
        <f>VLOOKUP(F1876,Sheet2!$B$1:$E$19,3,FALSE)</f>
        <v>1108959</v>
      </c>
      <c r="O1876">
        <f>IF(G1876="Not available","",VLOOKUP(F1876,Sheet2!$B$1:$E$19,4,FALSE)+(G1876-1))</f>
        <v>3780013</v>
      </c>
    </row>
    <row r="1877" spans="1:15" s="1" customFormat="1" ht="15" customHeight="1" x14ac:dyDescent="0.25">
      <c r="A1877" s="19" t="s">
        <v>222</v>
      </c>
      <c r="B1877" s="18" t="s">
        <v>2934</v>
      </c>
      <c r="C1877" s="5">
        <v>1785</v>
      </c>
      <c r="D1877" s="4" t="s">
        <v>4</v>
      </c>
      <c r="E1877" s="1" t="s">
        <v>2</v>
      </c>
      <c r="F1877" s="18">
        <v>2173</v>
      </c>
      <c r="G1877" s="18">
        <v>5</v>
      </c>
      <c r="H1877" s="5">
        <v>5</v>
      </c>
      <c r="I1877" s="1">
        <v>100</v>
      </c>
      <c r="J1877" s="1">
        <v>213</v>
      </c>
      <c r="L1877" t="str">
        <f t="shared" si="29"/>
        <v>http://www.badatelna.eu/reprodukce/?fondId=1073&amp;zaznamId=1108959&amp;reproId=3779998</v>
      </c>
      <c r="M1877">
        <f>VLOOKUP(F1877,Sheet2!$B$1:$E$19,2,FALSE)</f>
        <v>1073</v>
      </c>
      <c r="N1877">
        <f>VLOOKUP(F1877,Sheet2!$B$1:$E$19,3,FALSE)</f>
        <v>1108959</v>
      </c>
      <c r="O1877">
        <f>IF(G1877="Not available","",VLOOKUP(F1877,Sheet2!$B$1:$E$19,4,FALSE)+(G1877-1))</f>
        <v>3779998</v>
      </c>
    </row>
    <row r="1878" spans="1:15" s="1" customFormat="1" ht="15" customHeight="1" x14ac:dyDescent="0.25">
      <c r="A1878" s="18" t="s">
        <v>222</v>
      </c>
      <c r="B1878" s="18" t="s">
        <v>18</v>
      </c>
      <c r="C1878" s="5">
        <v>1812</v>
      </c>
      <c r="E1878" s="1" t="s">
        <v>2</v>
      </c>
      <c r="F1878" s="18">
        <v>2173</v>
      </c>
      <c r="G1878" s="18">
        <v>60</v>
      </c>
      <c r="H1878" s="5">
        <v>115</v>
      </c>
      <c r="I1878" s="1">
        <v>101</v>
      </c>
      <c r="J1878" s="1">
        <v>214</v>
      </c>
      <c r="L1878" t="str">
        <f t="shared" si="29"/>
        <v>http://www.badatelna.eu/reprodukce/?fondId=1073&amp;zaznamId=1108959&amp;reproId=3780053</v>
      </c>
      <c r="M1878">
        <f>VLOOKUP(F1878,Sheet2!$B$1:$E$19,2,FALSE)</f>
        <v>1073</v>
      </c>
      <c r="N1878">
        <f>VLOOKUP(F1878,Sheet2!$B$1:$E$19,3,FALSE)</f>
        <v>1108959</v>
      </c>
      <c r="O1878">
        <f>IF(G1878="Not available","",VLOOKUP(F1878,Sheet2!$B$1:$E$19,4,FALSE)+(G1878-1))</f>
        <v>3780053</v>
      </c>
    </row>
    <row r="1879" spans="1:15" s="1" customFormat="1" ht="15" customHeight="1" x14ac:dyDescent="0.25">
      <c r="A1879" s="18" t="s">
        <v>222</v>
      </c>
      <c r="B1879" s="18" t="s">
        <v>11</v>
      </c>
      <c r="C1879" s="5">
        <v>1810</v>
      </c>
      <c r="E1879" s="1" t="s">
        <v>2</v>
      </c>
      <c r="F1879" s="18">
        <v>2173</v>
      </c>
      <c r="G1879" s="18">
        <v>55</v>
      </c>
      <c r="H1879" s="5">
        <v>106</v>
      </c>
      <c r="I1879" s="1">
        <v>101</v>
      </c>
      <c r="J1879" s="1">
        <v>214</v>
      </c>
      <c r="L1879" t="str">
        <f t="shared" si="29"/>
        <v>http://www.badatelna.eu/reprodukce/?fondId=1073&amp;zaznamId=1108959&amp;reproId=3780048</v>
      </c>
      <c r="M1879">
        <f>VLOOKUP(F1879,Sheet2!$B$1:$E$19,2,FALSE)</f>
        <v>1073</v>
      </c>
      <c r="N1879">
        <f>VLOOKUP(F1879,Sheet2!$B$1:$E$19,3,FALSE)</f>
        <v>1108959</v>
      </c>
      <c r="O1879">
        <f>IF(G1879="Not available","",VLOOKUP(F1879,Sheet2!$B$1:$E$19,4,FALSE)+(G1879-1))</f>
        <v>3780048</v>
      </c>
    </row>
    <row r="1880" spans="1:15" s="1" customFormat="1" ht="15" customHeight="1" x14ac:dyDescent="0.25">
      <c r="A1880" s="18" t="s">
        <v>2403</v>
      </c>
      <c r="B1880" s="18" t="s">
        <v>2096</v>
      </c>
      <c r="C1880" s="10" t="s">
        <v>2098</v>
      </c>
      <c r="D1880" s="3" t="s">
        <v>2393</v>
      </c>
      <c r="E1880" s="4" t="s">
        <v>2</v>
      </c>
      <c r="F1880" s="18">
        <v>2176</v>
      </c>
      <c r="G1880" s="18" t="s">
        <v>3271</v>
      </c>
      <c r="H1880" s="10" t="s">
        <v>2086</v>
      </c>
      <c r="I1880" s="3">
        <v>20</v>
      </c>
      <c r="J1880" s="3" t="s">
        <v>3271</v>
      </c>
      <c r="K1880" s="3"/>
      <c r="L1880" t="str">
        <f t="shared" si="29"/>
        <v/>
      </c>
      <c r="M1880">
        <f>VLOOKUP(F1880,Sheet2!$B$1:$E$19,2,FALSE)</f>
        <v>1073</v>
      </c>
      <c r="N1880">
        <f>VLOOKUP(F1880,Sheet2!$B$1:$E$19,3,FALSE)</f>
        <v>1108963</v>
      </c>
      <c r="O1880" t="str">
        <f>IF(G1880="Not available","",VLOOKUP(F1880,Sheet2!$B$1:$E$19,4,FALSE)+(G1880-1))</f>
        <v/>
      </c>
    </row>
    <row r="1881" spans="1:15" s="1" customFormat="1" ht="15" customHeight="1" x14ac:dyDescent="0.25">
      <c r="A1881" s="18" t="s">
        <v>1182</v>
      </c>
      <c r="B1881" s="18" t="s">
        <v>1209</v>
      </c>
      <c r="C1881" s="14" t="s">
        <v>2098</v>
      </c>
      <c r="D1881" s="4" t="s">
        <v>197</v>
      </c>
      <c r="E1881" s="1" t="s">
        <v>2</v>
      </c>
      <c r="F1881" s="18">
        <v>2165</v>
      </c>
      <c r="G1881" s="18">
        <v>304</v>
      </c>
      <c r="H1881" s="5">
        <v>3</v>
      </c>
      <c r="I1881" s="1">
        <v>305</v>
      </c>
      <c r="J1881" s="1">
        <v>278</v>
      </c>
      <c r="L1881" t="str">
        <f t="shared" si="29"/>
        <v>http://www.badatelna.eu/reprodukce/?fondId=1073&amp;zaznamId=1108952&amp;reproId=3779165</v>
      </c>
      <c r="M1881">
        <f>VLOOKUP(F1881,Sheet2!$B$1:$E$19,2,FALSE)</f>
        <v>1073</v>
      </c>
      <c r="N1881">
        <f>VLOOKUP(F1881,Sheet2!$B$1:$E$19,3,FALSE)</f>
        <v>1108952</v>
      </c>
      <c r="O1881">
        <f>IF(G1881="Not available","",VLOOKUP(F1881,Sheet2!$B$1:$E$19,4,FALSE)+(G1881-1))</f>
        <v>3779165</v>
      </c>
    </row>
    <row r="1882" spans="1:15" s="1" customFormat="1" ht="15" customHeight="1" x14ac:dyDescent="0.25">
      <c r="A1882" s="18" t="s">
        <v>1182</v>
      </c>
      <c r="B1882" s="18" t="s">
        <v>1141</v>
      </c>
      <c r="C1882" s="5">
        <v>1887</v>
      </c>
      <c r="D1882" s="1" t="s">
        <v>197</v>
      </c>
      <c r="E1882" s="1" t="s">
        <v>2</v>
      </c>
      <c r="F1882" s="18">
        <v>2165</v>
      </c>
      <c r="G1882" s="18">
        <v>214</v>
      </c>
      <c r="H1882" s="5">
        <v>3</v>
      </c>
      <c r="I1882" s="1">
        <v>215</v>
      </c>
      <c r="J1882" s="1">
        <v>191</v>
      </c>
      <c r="L1882" t="str">
        <f t="shared" si="29"/>
        <v>http://www.badatelna.eu/reprodukce/?fondId=1073&amp;zaznamId=1108952&amp;reproId=3779075</v>
      </c>
      <c r="M1882">
        <f>VLOOKUP(F1882,Sheet2!$B$1:$E$19,2,FALSE)</f>
        <v>1073</v>
      </c>
      <c r="N1882">
        <f>VLOOKUP(F1882,Sheet2!$B$1:$E$19,3,FALSE)</f>
        <v>1108952</v>
      </c>
      <c r="O1882">
        <f>IF(G1882="Not available","",VLOOKUP(F1882,Sheet2!$B$1:$E$19,4,FALSE)+(G1882-1))</f>
        <v>3779075</v>
      </c>
    </row>
    <row r="1883" spans="1:15" s="1" customFormat="1" ht="15" customHeight="1" x14ac:dyDescent="0.25">
      <c r="A1883" s="18" t="s">
        <v>1182</v>
      </c>
      <c r="B1883" s="18" t="s">
        <v>1175</v>
      </c>
      <c r="C1883" s="14" t="s">
        <v>2244</v>
      </c>
      <c r="D1883" s="4" t="s">
        <v>197</v>
      </c>
      <c r="E1883" s="1" t="s">
        <v>2</v>
      </c>
      <c r="F1883" s="18">
        <v>2165</v>
      </c>
      <c r="G1883" s="18">
        <v>298</v>
      </c>
      <c r="H1883" s="5">
        <v>2</v>
      </c>
      <c r="I1883" s="1">
        <v>300</v>
      </c>
      <c r="J1883" s="1">
        <v>273</v>
      </c>
      <c r="L1883" t="str">
        <f t="shared" si="29"/>
        <v>http://www.badatelna.eu/reprodukce/?fondId=1073&amp;zaznamId=1108952&amp;reproId=3779159</v>
      </c>
      <c r="M1883">
        <f>VLOOKUP(F1883,Sheet2!$B$1:$E$19,2,FALSE)</f>
        <v>1073</v>
      </c>
      <c r="N1883">
        <f>VLOOKUP(F1883,Sheet2!$B$1:$E$19,3,FALSE)</f>
        <v>1108952</v>
      </c>
      <c r="O1883">
        <f>IF(G1883="Not available","",VLOOKUP(F1883,Sheet2!$B$1:$E$19,4,FALSE)+(G1883-1))</f>
        <v>3779159</v>
      </c>
    </row>
    <row r="1884" spans="1:15" s="1" customFormat="1" ht="15" customHeight="1" x14ac:dyDescent="0.25">
      <c r="A1884" s="18" t="s">
        <v>1182</v>
      </c>
      <c r="B1884" s="18" t="s">
        <v>1175</v>
      </c>
      <c r="C1884" s="10" t="s">
        <v>2244</v>
      </c>
      <c r="D1884" s="3" t="s">
        <v>2393</v>
      </c>
      <c r="E1884" s="4" t="s">
        <v>2</v>
      </c>
      <c r="F1884" s="18">
        <v>2176</v>
      </c>
      <c r="G1884" s="18" t="s">
        <v>3271</v>
      </c>
      <c r="H1884" s="10" t="s">
        <v>2016</v>
      </c>
      <c r="I1884" s="3">
        <v>20</v>
      </c>
      <c r="J1884" s="3" t="s">
        <v>3271</v>
      </c>
      <c r="K1884" s="3"/>
      <c r="L1884" t="str">
        <f t="shared" si="29"/>
        <v/>
      </c>
      <c r="M1884">
        <f>VLOOKUP(F1884,Sheet2!$B$1:$E$19,2,FALSE)</f>
        <v>1073</v>
      </c>
      <c r="N1884">
        <f>VLOOKUP(F1884,Sheet2!$B$1:$E$19,3,FALSE)</f>
        <v>1108963</v>
      </c>
      <c r="O1884" t="str">
        <f>IF(G1884="Not available","",VLOOKUP(F1884,Sheet2!$B$1:$E$19,4,FALSE)+(G1884-1))</f>
        <v/>
      </c>
    </row>
    <row r="1885" spans="1:15" s="1" customFormat="1" ht="15" customHeight="1" x14ac:dyDescent="0.25">
      <c r="A1885" s="18" t="s">
        <v>1182</v>
      </c>
      <c r="B1885" s="18" t="s">
        <v>1121</v>
      </c>
      <c r="C1885" s="10" t="s">
        <v>2074</v>
      </c>
      <c r="D1885" s="3" t="s">
        <v>2393</v>
      </c>
      <c r="E1885" s="4" t="s">
        <v>2</v>
      </c>
      <c r="F1885" s="18">
        <v>2176</v>
      </c>
      <c r="G1885" s="18" t="s">
        <v>3271</v>
      </c>
      <c r="H1885" s="10" t="s">
        <v>2054</v>
      </c>
      <c r="I1885" s="3">
        <v>19</v>
      </c>
      <c r="J1885" s="3" t="s">
        <v>3271</v>
      </c>
      <c r="K1885" s="3"/>
      <c r="L1885" t="str">
        <f t="shared" si="29"/>
        <v/>
      </c>
      <c r="M1885">
        <f>VLOOKUP(F1885,Sheet2!$B$1:$E$19,2,FALSE)</f>
        <v>1073</v>
      </c>
      <c r="N1885">
        <f>VLOOKUP(F1885,Sheet2!$B$1:$E$19,3,FALSE)</f>
        <v>1108963</v>
      </c>
      <c r="O1885" t="str">
        <f>IF(G1885="Not available","",VLOOKUP(F1885,Sheet2!$B$1:$E$19,4,FALSE)+(G1885-1))</f>
        <v/>
      </c>
    </row>
    <row r="1886" spans="1:15" s="1" customFormat="1" ht="15" customHeight="1" x14ac:dyDescent="0.25">
      <c r="A1886" s="18" t="s">
        <v>1182</v>
      </c>
      <c r="B1886" s="18" t="s">
        <v>1121</v>
      </c>
      <c r="C1886" s="5" t="s">
        <v>1777</v>
      </c>
      <c r="D1886" s="1" t="s">
        <v>197</v>
      </c>
      <c r="E1886" s="1" t="s">
        <v>2</v>
      </c>
      <c r="F1886" s="18">
        <v>2165</v>
      </c>
      <c r="G1886" s="18">
        <v>235</v>
      </c>
      <c r="H1886" s="5">
        <v>2</v>
      </c>
      <c r="I1886" s="1">
        <v>237</v>
      </c>
      <c r="J1886" s="1">
        <v>213</v>
      </c>
      <c r="L1886" t="str">
        <f t="shared" si="29"/>
        <v>http://www.badatelna.eu/reprodukce/?fondId=1073&amp;zaznamId=1108952&amp;reproId=3779096</v>
      </c>
      <c r="M1886">
        <f>VLOOKUP(F1886,Sheet2!$B$1:$E$19,2,FALSE)</f>
        <v>1073</v>
      </c>
      <c r="N1886">
        <f>VLOOKUP(F1886,Sheet2!$B$1:$E$19,3,FALSE)</f>
        <v>1108952</v>
      </c>
      <c r="O1886">
        <f>IF(G1886="Not available","",VLOOKUP(F1886,Sheet2!$B$1:$E$19,4,FALSE)+(G1886-1))</f>
        <v>3779096</v>
      </c>
    </row>
    <row r="1887" spans="1:15" s="1" customFormat="1" ht="15" customHeight="1" x14ac:dyDescent="0.25">
      <c r="A1887" s="18" t="s">
        <v>1182</v>
      </c>
      <c r="B1887" s="18" t="s">
        <v>1033</v>
      </c>
      <c r="C1887" s="5">
        <v>1889</v>
      </c>
      <c r="D1887" s="1" t="s">
        <v>197</v>
      </c>
      <c r="E1887" s="1" t="s">
        <v>2</v>
      </c>
      <c r="F1887" s="18">
        <v>2165</v>
      </c>
      <c r="G1887" s="18">
        <v>222</v>
      </c>
      <c r="H1887" s="5">
        <v>2</v>
      </c>
      <c r="I1887" s="1">
        <v>225</v>
      </c>
      <c r="J1887" s="1">
        <v>201</v>
      </c>
      <c r="L1887" t="str">
        <f t="shared" si="29"/>
        <v>http://www.badatelna.eu/reprodukce/?fondId=1073&amp;zaznamId=1108952&amp;reproId=3779083</v>
      </c>
      <c r="M1887">
        <f>VLOOKUP(F1887,Sheet2!$B$1:$E$19,2,FALSE)</f>
        <v>1073</v>
      </c>
      <c r="N1887">
        <f>VLOOKUP(F1887,Sheet2!$B$1:$E$19,3,FALSE)</f>
        <v>1108952</v>
      </c>
      <c r="O1887">
        <f>IF(G1887="Not available","",VLOOKUP(F1887,Sheet2!$B$1:$E$19,4,FALSE)+(G1887-1))</f>
        <v>3779083</v>
      </c>
    </row>
    <row r="1888" spans="1:15" s="1" customFormat="1" ht="15" customHeight="1" x14ac:dyDescent="0.25">
      <c r="A1888" s="18" t="s">
        <v>1182</v>
      </c>
      <c r="B1888" s="18" t="s">
        <v>1033</v>
      </c>
      <c r="C1888" s="10" t="s">
        <v>2068</v>
      </c>
      <c r="D1888" s="3" t="s">
        <v>2393</v>
      </c>
      <c r="E1888" s="4" t="s">
        <v>2</v>
      </c>
      <c r="F1888" s="18">
        <v>2176</v>
      </c>
      <c r="G1888" s="18" t="s">
        <v>3271</v>
      </c>
      <c r="H1888" s="10" t="s">
        <v>2094</v>
      </c>
      <c r="I1888" s="3">
        <v>19</v>
      </c>
      <c r="J1888" s="3" t="s">
        <v>3271</v>
      </c>
      <c r="K1888" s="3"/>
      <c r="L1888" t="str">
        <f t="shared" si="29"/>
        <v/>
      </c>
      <c r="M1888">
        <f>VLOOKUP(F1888,Sheet2!$B$1:$E$19,2,FALSE)</f>
        <v>1073</v>
      </c>
      <c r="N1888">
        <f>VLOOKUP(F1888,Sheet2!$B$1:$E$19,3,FALSE)</f>
        <v>1108963</v>
      </c>
      <c r="O1888" t="str">
        <f>IF(G1888="Not available","",VLOOKUP(F1888,Sheet2!$B$1:$E$19,4,FALSE)+(G1888-1))</f>
        <v/>
      </c>
    </row>
    <row r="1889" spans="1:15" s="1" customFormat="1" ht="15" customHeight="1" x14ac:dyDescent="0.25">
      <c r="A1889" s="18" t="s">
        <v>227</v>
      </c>
      <c r="B1889" s="18" t="s">
        <v>14</v>
      </c>
      <c r="C1889" s="5">
        <v>1808</v>
      </c>
      <c r="E1889" s="1" t="s">
        <v>2</v>
      </c>
      <c r="F1889" s="18">
        <v>2173</v>
      </c>
      <c r="G1889" s="18">
        <v>54</v>
      </c>
      <c r="H1889" s="5">
        <v>102</v>
      </c>
      <c r="I1889" s="1">
        <v>101</v>
      </c>
      <c r="J1889" s="1">
        <v>214</v>
      </c>
      <c r="L1889" t="str">
        <f t="shared" si="29"/>
        <v>http://www.badatelna.eu/reprodukce/?fondId=1073&amp;zaznamId=1108959&amp;reproId=3780047</v>
      </c>
      <c r="M1889">
        <f>VLOOKUP(F1889,Sheet2!$B$1:$E$19,2,FALSE)</f>
        <v>1073</v>
      </c>
      <c r="N1889">
        <f>VLOOKUP(F1889,Sheet2!$B$1:$E$19,3,FALSE)</f>
        <v>1108959</v>
      </c>
      <c r="O1889">
        <f>IF(G1889="Not available","",VLOOKUP(F1889,Sheet2!$B$1:$E$19,4,FALSE)+(G1889-1))</f>
        <v>3780047</v>
      </c>
    </row>
    <row r="1890" spans="1:15" s="1" customFormat="1" ht="15" customHeight="1" x14ac:dyDescent="0.25">
      <c r="A1890" s="18" t="s">
        <v>227</v>
      </c>
      <c r="B1890" s="18" t="s">
        <v>122</v>
      </c>
      <c r="C1890" s="5">
        <v>1793</v>
      </c>
      <c r="D1890" s="1" t="s">
        <v>225</v>
      </c>
      <c r="E1890" s="1" t="s">
        <v>2</v>
      </c>
      <c r="F1890" s="18">
        <v>2173</v>
      </c>
      <c r="G1890" s="18">
        <v>29</v>
      </c>
      <c r="H1890" s="5">
        <v>52</v>
      </c>
      <c r="I1890" s="1">
        <v>100</v>
      </c>
      <c r="J1890" s="1">
        <v>213</v>
      </c>
      <c r="L1890" t="str">
        <f t="shared" si="29"/>
        <v>http://www.badatelna.eu/reprodukce/?fondId=1073&amp;zaznamId=1108959&amp;reproId=3780022</v>
      </c>
      <c r="M1890">
        <f>VLOOKUP(F1890,Sheet2!$B$1:$E$19,2,FALSE)</f>
        <v>1073</v>
      </c>
      <c r="N1890">
        <f>VLOOKUP(F1890,Sheet2!$B$1:$E$19,3,FALSE)</f>
        <v>1108959</v>
      </c>
      <c r="O1890">
        <f>IF(G1890="Not available","",VLOOKUP(F1890,Sheet2!$B$1:$E$19,4,FALSE)+(G1890-1))</f>
        <v>3780022</v>
      </c>
    </row>
    <row r="1891" spans="1:15" s="1" customFormat="1" ht="15" customHeight="1" x14ac:dyDescent="0.25">
      <c r="A1891" s="18" t="s">
        <v>227</v>
      </c>
      <c r="B1891" s="18" t="s">
        <v>370</v>
      </c>
      <c r="C1891" s="5">
        <v>1845</v>
      </c>
      <c r="D1891" s="1" t="s">
        <v>22</v>
      </c>
      <c r="E1891" s="1" t="s">
        <v>2</v>
      </c>
      <c r="F1891" s="18">
        <v>2174</v>
      </c>
      <c r="G1891" s="18">
        <v>158</v>
      </c>
      <c r="H1891" s="6" t="s">
        <v>3224</v>
      </c>
      <c r="I1891" s="1">
        <v>187</v>
      </c>
      <c r="J1891" s="1">
        <v>216</v>
      </c>
      <c r="L1891" t="str">
        <f t="shared" si="29"/>
        <v>http://www.badatelna.eu/reprodukce/?fondId=1073&amp;zaznamId=1108960&amp;reproId=3780382</v>
      </c>
      <c r="M1891">
        <f>VLOOKUP(F1891,Sheet2!$B$1:$E$19,2,FALSE)</f>
        <v>1073</v>
      </c>
      <c r="N1891">
        <f>VLOOKUP(F1891,Sheet2!$B$1:$E$19,3,FALSE)</f>
        <v>1108960</v>
      </c>
      <c r="O1891">
        <f>IF(G1891="Not available","",VLOOKUP(F1891,Sheet2!$B$1:$E$19,4,FALSE)+(G1891-1))</f>
        <v>3780382</v>
      </c>
    </row>
    <row r="1892" spans="1:15" s="1" customFormat="1" ht="15" customHeight="1" x14ac:dyDescent="0.25">
      <c r="A1892" s="18" t="s">
        <v>227</v>
      </c>
      <c r="B1892" s="18" t="s">
        <v>237</v>
      </c>
      <c r="C1892" s="5">
        <v>1827</v>
      </c>
      <c r="E1892" s="1" t="s">
        <v>2</v>
      </c>
      <c r="F1892" s="18">
        <v>2173</v>
      </c>
      <c r="G1892" s="18">
        <v>80</v>
      </c>
      <c r="H1892" s="5">
        <v>153</v>
      </c>
      <c r="I1892" s="1">
        <v>101</v>
      </c>
      <c r="J1892" s="1">
        <v>214</v>
      </c>
      <c r="L1892" t="str">
        <f t="shared" si="29"/>
        <v>http://www.badatelna.eu/reprodukce/?fondId=1073&amp;zaznamId=1108959&amp;reproId=3780073</v>
      </c>
      <c r="M1892">
        <f>VLOOKUP(F1892,Sheet2!$B$1:$E$19,2,FALSE)</f>
        <v>1073</v>
      </c>
      <c r="N1892">
        <f>VLOOKUP(F1892,Sheet2!$B$1:$E$19,3,FALSE)</f>
        <v>1108959</v>
      </c>
      <c r="O1892">
        <f>IF(G1892="Not available","",VLOOKUP(F1892,Sheet2!$B$1:$E$19,4,FALSE)+(G1892-1))</f>
        <v>3780073</v>
      </c>
    </row>
    <row r="1893" spans="1:15" s="1" customFormat="1" ht="15" customHeight="1" x14ac:dyDescent="0.25">
      <c r="A1893" s="18" t="s">
        <v>227</v>
      </c>
      <c r="B1893" s="18" t="s">
        <v>669</v>
      </c>
      <c r="C1893" s="5">
        <v>1843</v>
      </c>
      <c r="D1893" s="1" t="s">
        <v>22</v>
      </c>
      <c r="E1893" s="1" t="s">
        <v>2</v>
      </c>
      <c r="F1893" s="18">
        <v>2174</v>
      </c>
      <c r="G1893" s="18">
        <v>134</v>
      </c>
      <c r="H1893" s="6" t="s">
        <v>3201</v>
      </c>
      <c r="I1893" s="1">
        <v>187</v>
      </c>
      <c r="J1893" s="1">
        <v>216</v>
      </c>
      <c r="L1893" t="str">
        <f t="shared" si="29"/>
        <v>http://www.badatelna.eu/reprodukce/?fondId=1073&amp;zaznamId=1108960&amp;reproId=3780358</v>
      </c>
      <c r="M1893">
        <f>VLOOKUP(F1893,Sheet2!$B$1:$E$19,2,FALSE)</f>
        <v>1073</v>
      </c>
      <c r="N1893">
        <f>VLOOKUP(F1893,Sheet2!$B$1:$E$19,3,FALSE)</f>
        <v>1108960</v>
      </c>
      <c r="O1893">
        <f>IF(G1893="Not available","",VLOOKUP(F1893,Sheet2!$B$1:$E$19,4,FALSE)+(G1893-1))</f>
        <v>3780358</v>
      </c>
    </row>
    <row r="1894" spans="1:15" s="1" customFormat="1" ht="15" customHeight="1" x14ac:dyDescent="0.25">
      <c r="A1894" s="18" t="s">
        <v>227</v>
      </c>
      <c r="B1894" s="18" t="s">
        <v>17</v>
      </c>
      <c r="C1894" s="5">
        <v>1794</v>
      </c>
      <c r="D1894" s="1" t="s">
        <v>225</v>
      </c>
      <c r="E1894" s="1" t="s">
        <v>2</v>
      </c>
      <c r="F1894" s="18">
        <v>2173</v>
      </c>
      <c r="G1894" s="18">
        <v>38</v>
      </c>
      <c r="H1894" s="6" t="s">
        <v>2864</v>
      </c>
      <c r="I1894" s="1">
        <v>100</v>
      </c>
      <c r="J1894" s="1">
        <v>213</v>
      </c>
      <c r="L1894" t="str">
        <f t="shared" si="29"/>
        <v>http://www.badatelna.eu/reprodukce/?fondId=1073&amp;zaznamId=1108959&amp;reproId=3780031</v>
      </c>
      <c r="M1894">
        <f>VLOOKUP(F1894,Sheet2!$B$1:$E$19,2,FALSE)</f>
        <v>1073</v>
      </c>
      <c r="N1894">
        <f>VLOOKUP(F1894,Sheet2!$B$1:$E$19,3,FALSE)</f>
        <v>1108959</v>
      </c>
      <c r="O1894">
        <f>IF(G1894="Not available","",VLOOKUP(F1894,Sheet2!$B$1:$E$19,4,FALSE)+(G1894-1))</f>
        <v>3780031</v>
      </c>
    </row>
    <row r="1895" spans="1:15" s="1" customFormat="1" ht="15" customHeight="1" x14ac:dyDescent="0.25">
      <c r="A1895" s="18" t="s">
        <v>242</v>
      </c>
      <c r="B1895" s="18" t="s">
        <v>503</v>
      </c>
      <c r="C1895" s="5">
        <v>1832</v>
      </c>
      <c r="D1895" s="1" t="s">
        <v>653</v>
      </c>
      <c r="E1895" s="1" t="s">
        <v>2</v>
      </c>
      <c r="F1895" s="18">
        <v>2174</v>
      </c>
      <c r="G1895" s="18">
        <v>67</v>
      </c>
      <c r="H1895" s="6" t="s">
        <v>3134</v>
      </c>
      <c r="I1895" s="1">
        <v>187</v>
      </c>
      <c r="J1895" s="1">
        <v>216</v>
      </c>
      <c r="K1895" s="2"/>
      <c r="L1895" t="str">
        <f t="shared" si="29"/>
        <v>http://www.badatelna.eu/reprodukce/?fondId=1073&amp;zaznamId=1108960&amp;reproId=3780291</v>
      </c>
      <c r="M1895">
        <f>VLOOKUP(F1895,Sheet2!$B$1:$E$19,2,FALSE)</f>
        <v>1073</v>
      </c>
      <c r="N1895">
        <f>VLOOKUP(F1895,Sheet2!$B$1:$E$19,3,FALSE)</f>
        <v>1108960</v>
      </c>
      <c r="O1895">
        <f>IF(G1895="Not available","",VLOOKUP(F1895,Sheet2!$B$1:$E$19,4,FALSE)+(G1895-1))</f>
        <v>3780291</v>
      </c>
    </row>
    <row r="1896" spans="1:15" s="1" customFormat="1" ht="15" customHeight="1" x14ac:dyDescent="0.25">
      <c r="A1896" s="18" t="s">
        <v>242</v>
      </c>
      <c r="B1896" s="18" t="s">
        <v>19</v>
      </c>
      <c r="C1896" s="5">
        <v>1827</v>
      </c>
      <c r="E1896" s="1" t="s">
        <v>2</v>
      </c>
      <c r="F1896" s="18">
        <v>2173</v>
      </c>
      <c r="G1896" s="18">
        <v>79</v>
      </c>
      <c r="H1896" s="5">
        <v>150</v>
      </c>
      <c r="I1896" s="1">
        <v>101</v>
      </c>
      <c r="J1896" s="1">
        <v>214</v>
      </c>
      <c r="L1896" t="str">
        <f t="shared" si="29"/>
        <v>http://www.badatelna.eu/reprodukce/?fondId=1073&amp;zaznamId=1108959&amp;reproId=3780072</v>
      </c>
      <c r="M1896">
        <f>VLOOKUP(F1896,Sheet2!$B$1:$E$19,2,FALSE)</f>
        <v>1073</v>
      </c>
      <c r="N1896">
        <f>VLOOKUP(F1896,Sheet2!$B$1:$E$19,3,FALSE)</f>
        <v>1108959</v>
      </c>
      <c r="O1896">
        <f>IF(G1896="Not available","",VLOOKUP(F1896,Sheet2!$B$1:$E$19,4,FALSE)+(G1896-1))</f>
        <v>3780072</v>
      </c>
    </row>
    <row r="1897" spans="1:15" s="1" customFormat="1" ht="15" customHeight="1" x14ac:dyDescent="0.25">
      <c r="A1897" s="18" t="s">
        <v>242</v>
      </c>
      <c r="B1897" s="18" t="s">
        <v>422</v>
      </c>
      <c r="C1897" s="5">
        <v>1839</v>
      </c>
      <c r="D1897" s="1" t="s">
        <v>22</v>
      </c>
      <c r="E1897" s="1" t="s">
        <v>2</v>
      </c>
      <c r="F1897" s="18">
        <v>2174</v>
      </c>
      <c r="G1897" s="18">
        <v>103</v>
      </c>
      <c r="H1897" s="6" t="s">
        <v>3172</v>
      </c>
      <c r="I1897" s="1">
        <v>187</v>
      </c>
      <c r="J1897" s="1">
        <v>216</v>
      </c>
      <c r="L1897" t="str">
        <f t="shared" si="29"/>
        <v>http://www.badatelna.eu/reprodukce/?fondId=1073&amp;zaznamId=1108960&amp;reproId=3780327</v>
      </c>
      <c r="M1897">
        <f>VLOOKUP(F1897,Sheet2!$B$1:$E$19,2,FALSE)</f>
        <v>1073</v>
      </c>
      <c r="N1897">
        <f>VLOOKUP(F1897,Sheet2!$B$1:$E$19,3,FALSE)</f>
        <v>1108960</v>
      </c>
      <c r="O1897">
        <f>IF(G1897="Not available","",VLOOKUP(F1897,Sheet2!$B$1:$E$19,4,FALSE)+(G1897-1))</f>
        <v>3780327</v>
      </c>
    </row>
    <row r="1898" spans="1:15" s="1" customFormat="1" ht="15" customHeight="1" x14ac:dyDescent="0.25">
      <c r="A1898" s="18" t="s">
        <v>242</v>
      </c>
      <c r="B1898" s="18" t="s">
        <v>427</v>
      </c>
      <c r="C1898" s="5">
        <v>1847</v>
      </c>
      <c r="D1898" s="1" t="s">
        <v>562</v>
      </c>
      <c r="E1898" s="1" t="s">
        <v>2</v>
      </c>
      <c r="F1898" s="18">
        <v>2164</v>
      </c>
      <c r="G1898" s="18">
        <v>14</v>
      </c>
      <c r="H1898" s="5">
        <v>12</v>
      </c>
      <c r="I1898" s="1">
        <v>129</v>
      </c>
      <c r="J1898" s="1" t="s">
        <v>3271</v>
      </c>
      <c r="L1898" t="str">
        <f t="shared" si="29"/>
        <v>http://www.badatelna.eu/reprodukce/?fondId=1073&amp;zaznamId=1108951&amp;reproId=3778728</v>
      </c>
      <c r="M1898">
        <f>VLOOKUP(F1898,Sheet2!$B$1:$E$19,2,FALSE)</f>
        <v>1073</v>
      </c>
      <c r="N1898">
        <f>VLOOKUP(F1898,Sheet2!$B$1:$E$19,3,FALSE)</f>
        <v>1108951</v>
      </c>
      <c r="O1898">
        <f>IF(G1898="Not available","",VLOOKUP(F1898,Sheet2!$B$1:$E$19,4,FALSE)+(G1898-1))</f>
        <v>3778728</v>
      </c>
    </row>
    <row r="1899" spans="1:15" s="1" customFormat="1" ht="15" customHeight="1" x14ac:dyDescent="0.25">
      <c r="A1899" s="18" t="s">
        <v>242</v>
      </c>
      <c r="B1899" s="18" t="s">
        <v>665</v>
      </c>
      <c r="C1899" s="5">
        <v>1834</v>
      </c>
      <c r="D1899" s="1" t="s">
        <v>653</v>
      </c>
      <c r="E1899" s="1" t="s">
        <v>2</v>
      </c>
      <c r="F1899" s="18">
        <v>2174</v>
      </c>
      <c r="G1899" s="18">
        <v>75</v>
      </c>
      <c r="H1899" s="6" t="s">
        <v>3141</v>
      </c>
      <c r="I1899" s="1">
        <v>187</v>
      </c>
      <c r="J1899" s="1">
        <v>216</v>
      </c>
      <c r="L1899" t="str">
        <f t="shared" si="29"/>
        <v>http://www.badatelna.eu/reprodukce/?fondId=1073&amp;zaznamId=1108960&amp;reproId=3780299</v>
      </c>
      <c r="M1899">
        <f>VLOOKUP(F1899,Sheet2!$B$1:$E$19,2,FALSE)</f>
        <v>1073</v>
      </c>
      <c r="N1899">
        <f>VLOOKUP(F1899,Sheet2!$B$1:$E$19,3,FALSE)</f>
        <v>1108960</v>
      </c>
      <c r="O1899">
        <f>IF(G1899="Not available","",VLOOKUP(F1899,Sheet2!$B$1:$E$19,4,FALSE)+(G1899-1))</f>
        <v>3780299</v>
      </c>
    </row>
    <row r="1900" spans="1:15" s="1" customFormat="1" ht="15" customHeight="1" x14ac:dyDescent="0.25">
      <c r="A1900" s="18" t="s">
        <v>242</v>
      </c>
      <c r="B1900" s="18" t="s">
        <v>145</v>
      </c>
      <c r="C1900" s="5">
        <v>1836</v>
      </c>
      <c r="D1900" s="1" t="s">
        <v>22</v>
      </c>
      <c r="E1900" s="1" t="s">
        <v>2</v>
      </c>
      <c r="F1900" s="18">
        <v>2174</v>
      </c>
      <c r="G1900" s="18">
        <v>86</v>
      </c>
      <c r="H1900" s="6" t="s">
        <v>3153</v>
      </c>
      <c r="I1900" s="1">
        <v>187</v>
      </c>
      <c r="J1900" s="1">
        <v>216</v>
      </c>
      <c r="L1900" t="str">
        <f t="shared" si="29"/>
        <v>http://www.badatelna.eu/reprodukce/?fondId=1073&amp;zaznamId=1108960&amp;reproId=3780310</v>
      </c>
      <c r="M1900">
        <f>VLOOKUP(F1900,Sheet2!$B$1:$E$19,2,FALSE)</f>
        <v>1073</v>
      </c>
      <c r="N1900">
        <f>VLOOKUP(F1900,Sheet2!$B$1:$E$19,3,FALSE)</f>
        <v>1108960</v>
      </c>
      <c r="O1900">
        <f>IF(G1900="Not available","",VLOOKUP(F1900,Sheet2!$B$1:$E$19,4,FALSE)+(G1900-1))</f>
        <v>3780310</v>
      </c>
    </row>
    <row r="1901" spans="1:15" s="1" customFormat="1" ht="15" customHeight="1" x14ac:dyDescent="0.25">
      <c r="A1901" s="18" t="s">
        <v>242</v>
      </c>
      <c r="B1901" s="18" t="s">
        <v>243</v>
      </c>
      <c r="C1901" s="5">
        <v>1827</v>
      </c>
      <c r="E1901" s="1" t="s">
        <v>2</v>
      </c>
      <c r="F1901" s="18">
        <v>2173</v>
      </c>
      <c r="G1901" s="18">
        <v>10</v>
      </c>
      <c r="H1901" s="5">
        <v>15</v>
      </c>
      <c r="I1901" s="1">
        <v>101</v>
      </c>
      <c r="J1901" s="1">
        <v>214</v>
      </c>
      <c r="L1901" t="str">
        <f t="shared" si="29"/>
        <v>http://www.badatelna.eu/reprodukce/?fondId=1073&amp;zaznamId=1108959&amp;reproId=3780003</v>
      </c>
      <c r="M1901">
        <f>VLOOKUP(F1901,Sheet2!$B$1:$E$19,2,FALSE)</f>
        <v>1073</v>
      </c>
      <c r="N1901">
        <f>VLOOKUP(F1901,Sheet2!$B$1:$E$19,3,FALSE)</f>
        <v>1108959</v>
      </c>
      <c r="O1901">
        <f>IF(G1901="Not available","",VLOOKUP(F1901,Sheet2!$B$1:$E$19,4,FALSE)+(G1901-1))</f>
        <v>3780003</v>
      </c>
    </row>
    <row r="1902" spans="1:15" s="1" customFormat="1" ht="15" customHeight="1" x14ac:dyDescent="0.25">
      <c r="A1902" s="19" t="s">
        <v>2945</v>
      </c>
      <c r="B1902" s="18" t="s">
        <v>120</v>
      </c>
      <c r="C1902" s="5">
        <v>1804</v>
      </c>
      <c r="D1902" s="4" t="s">
        <v>60</v>
      </c>
      <c r="E1902" s="1" t="s">
        <v>2</v>
      </c>
      <c r="F1902" s="18">
        <v>2173</v>
      </c>
      <c r="G1902" s="18">
        <v>49</v>
      </c>
      <c r="H1902" s="5">
        <v>92</v>
      </c>
      <c r="I1902" s="1">
        <v>100</v>
      </c>
      <c r="J1902" s="1">
        <v>213</v>
      </c>
      <c r="L1902" t="str">
        <f t="shared" si="29"/>
        <v>http://www.badatelna.eu/reprodukce/?fondId=1073&amp;zaznamId=1108959&amp;reproId=3780042</v>
      </c>
      <c r="M1902">
        <f>VLOOKUP(F1902,Sheet2!$B$1:$E$19,2,FALSE)</f>
        <v>1073</v>
      </c>
      <c r="N1902">
        <f>VLOOKUP(F1902,Sheet2!$B$1:$E$19,3,FALSE)</f>
        <v>1108959</v>
      </c>
      <c r="O1902">
        <f>IF(G1902="Not available","",VLOOKUP(F1902,Sheet2!$B$1:$E$19,4,FALSE)+(G1902-1))</f>
        <v>3780042</v>
      </c>
    </row>
    <row r="1903" spans="1:15" s="1" customFormat="1" ht="15" customHeight="1" x14ac:dyDescent="0.25">
      <c r="A1903" s="18" t="s">
        <v>2946</v>
      </c>
      <c r="B1903" s="18" t="s">
        <v>228</v>
      </c>
      <c r="C1903" s="5">
        <v>1795</v>
      </c>
      <c r="D1903" s="1" t="s">
        <v>74</v>
      </c>
      <c r="E1903" s="1" t="s">
        <v>2</v>
      </c>
      <c r="F1903" s="18">
        <v>2173</v>
      </c>
      <c r="G1903" s="18">
        <v>33</v>
      </c>
      <c r="H1903" s="5">
        <v>60</v>
      </c>
      <c r="I1903" s="1">
        <v>100</v>
      </c>
      <c r="J1903" s="1">
        <v>213</v>
      </c>
      <c r="L1903" t="str">
        <f t="shared" si="29"/>
        <v>http://www.badatelna.eu/reprodukce/?fondId=1073&amp;zaznamId=1108959&amp;reproId=3780026</v>
      </c>
      <c r="M1903">
        <f>VLOOKUP(F1903,Sheet2!$B$1:$E$19,2,FALSE)</f>
        <v>1073</v>
      </c>
      <c r="N1903">
        <f>VLOOKUP(F1903,Sheet2!$B$1:$E$19,3,FALSE)</f>
        <v>1108959</v>
      </c>
      <c r="O1903">
        <f>IF(G1903="Not available","",VLOOKUP(F1903,Sheet2!$B$1:$E$19,4,FALSE)+(G1903-1))</f>
        <v>3780026</v>
      </c>
    </row>
    <row r="1904" spans="1:15" s="1" customFormat="1" ht="15" customHeight="1" x14ac:dyDescent="0.25">
      <c r="A1904" s="19" t="s">
        <v>2946</v>
      </c>
      <c r="B1904" s="18" t="s">
        <v>18</v>
      </c>
      <c r="C1904" s="5">
        <v>1790</v>
      </c>
      <c r="D1904" s="1" t="s">
        <v>74</v>
      </c>
      <c r="E1904" s="1" t="s">
        <v>2</v>
      </c>
      <c r="F1904" s="18">
        <v>2173</v>
      </c>
      <c r="G1904" s="18">
        <v>23</v>
      </c>
      <c r="H1904" s="5">
        <v>40</v>
      </c>
      <c r="I1904" s="1">
        <v>100</v>
      </c>
      <c r="J1904" s="1">
        <v>213</v>
      </c>
      <c r="L1904" t="str">
        <f t="shared" si="29"/>
        <v>http://www.badatelna.eu/reprodukce/?fondId=1073&amp;zaznamId=1108959&amp;reproId=3780016</v>
      </c>
      <c r="M1904">
        <f>VLOOKUP(F1904,Sheet2!$B$1:$E$19,2,FALSE)</f>
        <v>1073</v>
      </c>
      <c r="N1904">
        <f>VLOOKUP(F1904,Sheet2!$B$1:$E$19,3,FALSE)</f>
        <v>1108959</v>
      </c>
      <c r="O1904">
        <f>IF(G1904="Not available","",VLOOKUP(F1904,Sheet2!$B$1:$E$19,4,FALSE)+(G1904-1))</f>
        <v>3780016</v>
      </c>
    </row>
    <row r="1905" spans="1:15" s="1" customFormat="1" ht="15" customHeight="1" x14ac:dyDescent="0.25">
      <c r="A1905" s="18" t="s">
        <v>864</v>
      </c>
      <c r="B1905" s="18" t="s">
        <v>865</v>
      </c>
      <c r="C1905" s="5">
        <v>1855</v>
      </c>
      <c r="D1905" s="1" t="s">
        <v>866</v>
      </c>
      <c r="E1905" s="1" t="s">
        <v>2</v>
      </c>
      <c r="F1905" s="18">
        <v>2164</v>
      </c>
      <c r="G1905" s="18">
        <v>106</v>
      </c>
      <c r="H1905" s="5">
        <v>104</v>
      </c>
      <c r="I1905" s="1">
        <v>129</v>
      </c>
      <c r="J1905" s="1" t="s">
        <v>3271</v>
      </c>
      <c r="L1905" t="str">
        <f t="shared" si="29"/>
        <v>http://www.badatelna.eu/reprodukce/?fondId=1073&amp;zaznamId=1108951&amp;reproId=3778820</v>
      </c>
      <c r="M1905">
        <f>VLOOKUP(F1905,Sheet2!$B$1:$E$19,2,FALSE)</f>
        <v>1073</v>
      </c>
      <c r="N1905">
        <f>VLOOKUP(F1905,Sheet2!$B$1:$E$19,3,FALSE)</f>
        <v>1108951</v>
      </c>
      <c r="O1905">
        <f>IF(G1905="Not available","",VLOOKUP(F1905,Sheet2!$B$1:$E$19,4,FALSE)+(G1905-1))</f>
        <v>3778820</v>
      </c>
    </row>
    <row r="1906" spans="1:15" s="1" customFormat="1" ht="15" customHeight="1" x14ac:dyDescent="0.25">
      <c r="A1906" s="18" t="s">
        <v>2404</v>
      </c>
      <c r="B1906" s="18" t="s">
        <v>92</v>
      </c>
      <c r="C1906" s="10" t="s">
        <v>2115</v>
      </c>
      <c r="D1906" s="3" t="s">
        <v>2405</v>
      </c>
      <c r="E1906" s="4" t="s">
        <v>2</v>
      </c>
      <c r="F1906" s="18">
        <v>2176</v>
      </c>
      <c r="G1906" s="18" t="s">
        <v>3271</v>
      </c>
      <c r="H1906" s="10" t="s">
        <v>2094</v>
      </c>
      <c r="I1906" s="3">
        <v>20</v>
      </c>
      <c r="J1906" s="3" t="s">
        <v>3271</v>
      </c>
      <c r="K1906" s="3"/>
      <c r="L1906" t="str">
        <f t="shared" si="29"/>
        <v/>
      </c>
      <c r="M1906">
        <f>VLOOKUP(F1906,Sheet2!$B$1:$E$19,2,FALSE)</f>
        <v>1073</v>
      </c>
      <c r="N1906">
        <f>VLOOKUP(F1906,Sheet2!$B$1:$E$19,3,FALSE)</f>
        <v>1108963</v>
      </c>
      <c r="O1906" t="str">
        <f>IF(G1906="Not available","",VLOOKUP(F1906,Sheet2!$B$1:$E$19,4,FALSE)+(G1906-1))</f>
        <v/>
      </c>
    </row>
    <row r="1907" spans="1:15" s="1" customFormat="1" ht="15" customHeight="1" x14ac:dyDescent="0.25">
      <c r="A1907" s="18" t="s">
        <v>1183</v>
      </c>
      <c r="B1907" s="18" t="s">
        <v>2410</v>
      </c>
      <c r="C1907" s="10" t="s">
        <v>2109</v>
      </c>
      <c r="D1907" s="3" t="s">
        <v>2409</v>
      </c>
      <c r="E1907" s="4" t="s">
        <v>2</v>
      </c>
      <c r="F1907" s="18">
        <v>2176</v>
      </c>
      <c r="G1907" s="18" t="s">
        <v>3271</v>
      </c>
      <c r="H1907" s="10" t="s">
        <v>2142</v>
      </c>
      <c r="I1907" s="3">
        <v>22</v>
      </c>
      <c r="J1907" s="3" t="s">
        <v>3271</v>
      </c>
      <c r="K1907" s="3"/>
      <c r="L1907" t="str">
        <f t="shared" si="29"/>
        <v/>
      </c>
      <c r="M1907">
        <f>VLOOKUP(F1907,Sheet2!$B$1:$E$19,2,FALSE)</f>
        <v>1073</v>
      </c>
      <c r="N1907">
        <f>VLOOKUP(F1907,Sheet2!$B$1:$E$19,3,FALSE)</f>
        <v>1108963</v>
      </c>
      <c r="O1907" t="str">
        <f>IF(G1907="Not available","",VLOOKUP(F1907,Sheet2!$B$1:$E$19,4,FALSE)+(G1907-1))</f>
        <v/>
      </c>
    </row>
    <row r="1908" spans="1:15" s="1" customFormat="1" ht="15" customHeight="1" x14ac:dyDescent="0.25">
      <c r="A1908" s="18" t="s">
        <v>1183</v>
      </c>
      <c r="B1908" s="18" t="s">
        <v>819</v>
      </c>
      <c r="C1908" s="5">
        <v>1887</v>
      </c>
      <c r="D1908" s="12" t="s">
        <v>478</v>
      </c>
      <c r="E1908" s="1" t="s">
        <v>2</v>
      </c>
      <c r="F1908" s="18">
        <v>2165</v>
      </c>
      <c r="G1908" s="18">
        <v>214</v>
      </c>
      <c r="H1908" s="5">
        <v>3</v>
      </c>
      <c r="I1908" s="1">
        <v>215</v>
      </c>
      <c r="J1908" s="1">
        <v>191</v>
      </c>
      <c r="L1908" t="str">
        <f t="shared" si="29"/>
        <v>http://www.badatelna.eu/reprodukce/?fondId=1073&amp;zaznamId=1108952&amp;reproId=3779075</v>
      </c>
      <c r="M1908">
        <f>VLOOKUP(F1908,Sheet2!$B$1:$E$19,2,FALSE)</f>
        <v>1073</v>
      </c>
      <c r="N1908">
        <f>VLOOKUP(F1908,Sheet2!$B$1:$E$19,3,FALSE)</f>
        <v>1108952</v>
      </c>
      <c r="O1908">
        <f>IF(G1908="Not available","",VLOOKUP(F1908,Sheet2!$B$1:$E$19,4,FALSE)+(G1908-1))</f>
        <v>3779075</v>
      </c>
    </row>
    <row r="1909" spans="1:15" s="1" customFormat="1" ht="15" customHeight="1" x14ac:dyDescent="0.25">
      <c r="A1909" s="18" t="s">
        <v>1183</v>
      </c>
      <c r="B1909" s="18" t="s">
        <v>1126</v>
      </c>
      <c r="C1909" s="10" t="s">
        <v>2106</v>
      </c>
      <c r="D1909" s="3" t="s">
        <v>2409</v>
      </c>
      <c r="E1909" s="4" t="s">
        <v>2</v>
      </c>
      <c r="F1909" s="18">
        <v>2176</v>
      </c>
      <c r="G1909" s="18" t="s">
        <v>3271</v>
      </c>
      <c r="H1909" s="10" t="s">
        <v>1989</v>
      </c>
      <c r="I1909" s="3">
        <v>22</v>
      </c>
      <c r="J1909" s="3" t="s">
        <v>3271</v>
      </c>
      <c r="K1909" s="3"/>
      <c r="L1909" t="str">
        <f t="shared" si="29"/>
        <v/>
      </c>
      <c r="M1909">
        <f>VLOOKUP(F1909,Sheet2!$B$1:$E$19,2,FALSE)</f>
        <v>1073</v>
      </c>
      <c r="N1909">
        <f>VLOOKUP(F1909,Sheet2!$B$1:$E$19,3,FALSE)</f>
        <v>1108963</v>
      </c>
      <c r="O1909" t="str">
        <f>IF(G1909="Not available","",VLOOKUP(F1909,Sheet2!$B$1:$E$19,4,FALSE)+(G1909-1))</f>
        <v/>
      </c>
    </row>
    <row r="1910" spans="1:15" s="1" customFormat="1" ht="15" customHeight="1" x14ac:dyDescent="0.25">
      <c r="A1910" s="18" t="s">
        <v>1183</v>
      </c>
      <c r="B1910" s="18" t="s">
        <v>2411</v>
      </c>
      <c r="C1910" s="10" t="s">
        <v>1960</v>
      </c>
      <c r="D1910" s="3" t="s">
        <v>2412</v>
      </c>
      <c r="E1910" s="4" t="s">
        <v>2</v>
      </c>
      <c r="F1910" s="18">
        <v>2176</v>
      </c>
      <c r="G1910" s="18" t="s">
        <v>3271</v>
      </c>
      <c r="H1910" s="10" t="s">
        <v>2083</v>
      </c>
      <c r="I1910" s="3">
        <v>22</v>
      </c>
      <c r="J1910" s="3" t="s">
        <v>3271</v>
      </c>
      <c r="K1910" s="3"/>
      <c r="L1910" t="str">
        <f t="shared" si="29"/>
        <v/>
      </c>
      <c r="M1910">
        <f>VLOOKUP(F1910,Sheet2!$B$1:$E$19,2,FALSE)</f>
        <v>1073</v>
      </c>
      <c r="N1910">
        <f>VLOOKUP(F1910,Sheet2!$B$1:$E$19,3,FALSE)</f>
        <v>1108963</v>
      </c>
      <c r="O1910" t="str">
        <f>IF(G1910="Not available","",VLOOKUP(F1910,Sheet2!$B$1:$E$19,4,FALSE)+(G1910-1))</f>
        <v/>
      </c>
    </row>
    <row r="1911" spans="1:15" s="1" customFormat="1" ht="15" customHeight="1" x14ac:dyDescent="0.25">
      <c r="A1911" s="18" t="s">
        <v>1183</v>
      </c>
      <c r="B1911" s="18" t="s">
        <v>2134</v>
      </c>
      <c r="C1911" s="10" t="s">
        <v>2102</v>
      </c>
      <c r="D1911" s="3" t="s">
        <v>2407</v>
      </c>
      <c r="E1911" s="4" t="s">
        <v>2</v>
      </c>
      <c r="F1911" s="18">
        <v>2176</v>
      </c>
      <c r="G1911" s="18" t="s">
        <v>3271</v>
      </c>
      <c r="H1911" s="10" t="s">
        <v>2088</v>
      </c>
      <c r="I1911" s="3">
        <v>22</v>
      </c>
      <c r="J1911" s="3" t="s">
        <v>3271</v>
      </c>
      <c r="K1911" s="3"/>
      <c r="L1911" t="str">
        <f t="shared" si="29"/>
        <v/>
      </c>
      <c r="M1911">
        <f>VLOOKUP(F1911,Sheet2!$B$1:$E$19,2,FALSE)</f>
        <v>1073</v>
      </c>
      <c r="N1911">
        <f>VLOOKUP(F1911,Sheet2!$B$1:$E$19,3,FALSE)</f>
        <v>1108963</v>
      </c>
      <c r="O1911" t="str">
        <f>IF(G1911="Not available","",VLOOKUP(F1911,Sheet2!$B$1:$E$19,4,FALSE)+(G1911-1))</f>
        <v/>
      </c>
    </row>
    <row r="1912" spans="1:15" s="1" customFormat="1" ht="15" customHeight="1" x14ac:dyDescent="0.25">
      <c r="A1912" s="18" t="s">
        <v>1183</v>
      </c>
      <c r="B1912" s="18" t="s">
        <v>1152</v>
      </c>
      <c r="C1912" s="10" t="s">
        <v>2092</v>
      </c>
      <c r="D1912" s="3" t="s">
        <v>2407</v>
      </c>
      <c r="E1912" s="4" t="s">
        <v>2</v>
      </c>
      <c r="F1912" s="18">
        <v>2176</v>
      </c>
      <c r="G1912" s="18" t="s">
        <v>3271</v>
      </c>
      <c r="H1912" s="10" t="s">
        <v>2037</v>
      </c>
      <c r="I1912" s="3">
        <v>22</v>
      </c>
      <c r="J1912" s="3" t="s">
        <v>3271</v>
      </c>
      <c r="K1912" s="3"/>
      <c r="L1912" t="str">
        <f t="shared" si="29"/>
        <v/>
      </c>
      <c r="M1912">
        <f>VLOOKUP(F1912,Sheet2!$B$1:$E$19,2,FALSE)</f>
        <v>1073</v>
      </c>
      <c r="N1912">
        <f>VLOOKUP(F1912,Sheet2!$B$1:$E$19,3,FALSE)</f>
        <v>1108963</v>
      </c>
      <c r="O1912" t="str">
        <f>IF(G1912="Not available","",VLOOKUP(F1912,Sheet2!$B$1:$E$19,4,FALSE)+(G1912-1))</f>
        <v/>
      </c>
    </row>
    <row r="1913" spans="1:15" s="1" customFormat="1" ht="15" customHeight="1" x14ac:dyDescent="0.25">
      <c r="A1913" s="18" t="s">
        <v>1183</v>
      </c>
      <c r="B1913" s="18" t="s">
        <v>1152</v>
      </c>
      <c r="C1913" s="5" t="s">
        <v>1893</v>
      </c>
      <c r="D1913" s="1" t="s">
        <v>478</v>
      </c>
      <c r="E1913" s="1" t="s">
        <v>2</v>
      </c>
      <c r="F1913" s="18">
        <v>2165</v>
      </c>
      <c r="G1913" s="18">
        <v>270</v>
      </c>
      <c r="H1913" s="5">
        <v>2</v>
      </c>
      <c r="I1913" s="1">
        <v>272</v>
      </c>
      <c r="J1913" s="1">
        <v>246</v>
      </c>
      <c r="L1913" t="str">
        <f t="shared" si="29"/>
        <v>http://www.badatelna.eu/reprodukce/?fondId=1073&amp;zaznamId=1108952&amp;reproId=3779131</v>
      </c>
      <c r="M1913">
        <f>VLOOKUP(F1913,Sheet2!$B$1:$E$19,2,FALSE)</f>
        <v>1073</v>
      </c>
      <c r="N1913">
        <f>VLOOKUP(F1913,Sheet2!$B$1:$E$19,3,FALSE)</f>
        <v>1108952</v>
      </c>
      <c r="O1913">
        <f>IF(G1913="Not available","",VLOOKUP(F1913,Sheet2!$B$1:$E$19,4,FALSE)+(G1913-1))</f>
        <v>3779131</v>
      </c>
    </row>
    <row r="1914" spans="1:15" s="1" customFormat="1" ht="15" customHeight="1" x14ac:dyDescent="0.25">
      <c r="A1914" s="18" t="s">
        <v>1183</v>
      </c>
      <c r="B1914" s="18" t="s">
        <v>1011</v>
      </c>
      <c r="C1914" s="10" t="s">
        <v>2097</v>
      </c>
      <c r="D1914" s="3" t="s">
        <v>2407</v>
      </c>
      <c r="E1914" s="4" t="s">
        <v>2</v>
      </c>
      <c r="F1914" s="18">
        <v>2176</v>
      </c>
      <c r="G1914" s="18" t="s">
        <v>3271</v>
      </c>
      <c r="H1914" s="10" t="s">
        <v>2083</v>
      </c>
      <c r="I1914" s="3">
        <v>22</v>
      </c>
      <c r="J1914" s="3" t="s">
        <v>3271</v>
      </c>
      <c r="K1914" s="3"/>
      <c r="L1914" t="str">
        <f t="shared" si="29"/>
        <v/>
      </c>
      <c r="M1914">
        <f>VLOOKUP(F1914,Sheet2!$B$1:$E$19,2,FALSE)</f>
        <v>1073</v>
      </c>
      <c r="N1914">
        <f>VLOOKUP(F1914,Sheet2!$B$1:$E$19,3,FALSE)</f>
        <v>1108963</v>
      </c>
      <c r="O1914" t="str">
        <f>IF(G1914="Not available","",VLOOKUP(F1914,Sheet2!$B$1:$E$19,4,FALSE)+(G1914-1))</f>
        <v/>
      </c>
    </row>
    <row r="1915" spans="1:15" s="1" customFormat="1" ht="15" customHeight="1" x14ac:dyDescent="0.25">
      <c r="A1915" s="18" t="s">
        <v>1183</v>
      </c>
      <c r="B1915" s="18" t="s">
        <v>361</v>
      </c>
      <c r="C1915" s="14" t="s">
        <v>2097</v>
      </c>
      <c r="D1915" s="4" t="s">
        <v>478</v>
      </c>
      <c r="E1915" s="1" t="s">
        <v>2</v>
      </c>
      <c r="F1915" s="18">
        <v>2165</v>
      </c>
      <c r="G1915" s="18">
        <v>292</v>
      </c>
      <c r="H1915" s="5">
        <v>1</v>
      </c>
      <c r="I1915" s="1">
        <v>295</v>
      </c>
      <c r="J1915" s="1">
        <v>268</v>
      </c>
      <c r="L1915" t="str">
        <f t="shared" si="29"/>
        <v>http://www.badatelna.eu/reprodukce/?fondId=1073&amp;zaznamId=1108952&amp;reproId=3779153</v>
      </c>
      <c r="M1915">
        <f>VLOOKUP(F1915,Sheet2!$B$1:$E$19,2,FALSE)</f>
        <v>1073</v>
      </c>
      <c r="N1915">
        <f>VLOOKUP(F1915,Sheet2!$B$1:$E$19,3,FALSE)</f>
        <v>1108952</v>
      </c>
      <c r="O1915">
        <f>IF(G1915="Not available","",VLOOKUP(F1915,Sheet2!$B$1:$E$19,4,FALSE)+(G1915-1))</f>
        <v>3779153</v>
      </c>
    </row>
    <row r="1916" spans="1:15" s="1" customFormat="1" ht="15" customHeight="1" x14ac:dyDescent="0.25">
      <c r="A1916" s="18" t="s">
        <v>1183</v>
      </c>
      <c r="B1916" s="18" t="s">
        <v>863</v>
      </c>
      <c r="C1916" s="10" t="s">
        <v>2072</v>
      </c>
      <c r="D1916" s="3" t="s">
        <v>2406</v>
      </c>
      <c r="E1916" s="4" t="s">
        <v>2</v>
      </c>
      <c r="F1916" s="18">
        <v>2176</v>
      </c>
      <c r="G1916" s="18" t="s">
        <v>3271</v>
      </c>
      <c r="H1916" s="10" t="s">
        <v>2051</v>
      </c>
      <c r="I1916" s="3">
        <v>22</v>
      </c>
      <c r="J1916" s="3" t="s">
        <v>3271</v>
      </c>
      <c r="K1916" s="3"/>
      <c r="L1916" t="str">
        <f t="shared" si="29"/>
        <v/>
      </c>
      <c r="M1916">
        <f>VLOOKUP(F1916,Sheet2!$B$1:$E$19,2,FALSE)</f>
        <v>1073</v>
      </c>
      <c r="N1916">
        <f>VLOOKUP(F1916,Sheet2!$B$1:$E$19,3,FALSE)</f>
        <v>1108963</v>
      </c>
      <c r="O1916" t="str">
        <f>IF(G1916="Not available","",VLOOKUP(F1916,Sheet2!$B$1:$E$19,4,FALSE)+(G1916-1))</f>
        <v/>
      </c>
    </row>
    <row r="1917" spans="1:15" s="1" customFormat="1" ht="15" customHeight="1" x14ac:dyDescent="0.25">
      <c r="A1917" s="18" t="s">
        <v>1183</v>
      </c>
      <c r="B1917" s="18" t="s">
        <v>863</v>
      </c>
      <c r="C1917" s="5" t="s">
        <v>1753</v>
      </c>
      <c r="D1917" s="1" t="s">
        <v>520</v>
      </c>
      <c r="E1917" s="1" t="s">
        <v>2</v>
      </c>
      <c r="F1917" s="18">
        <v>2165</v>
      </c>
      <c r="G1917" s="18">
        <v>229</v>
      </c>
      <c r="H1917" s="5">
        <v>2</v>
      </c>
      <c r="I1917" s="1">
        <v>231</v>
      </c>
      <c r="J1917" s="1">
        <v>207</v>
      </c>
      <c r="L1917" t="str">
        <f t="shared" si="29"/>
        <v>http://www.badatelna.eu/reprodukce/?fondId=1073&amp;zaznamId=1108952&amp;reproId=3779090</v>
      </c>
      <c r="M1917">
        <f>VLOOKUP(F1917,Sheet2!$B$1:$E$19,2,FALSE)</f>
        <v>1073</v>
      </c>
      <c r="N1917">
        <f>VLOOKUP(F1917,Sheet2!$B$1:$E$19,3,FALSE)</f>
        <v>1108952</v>
      </c>
      <c r="O1917">
        <f>IF(G1917="Not available","",VLOOKUP(F1917,Sheet2!$B$1:$E$19,4,FALSE)+(G1917-1))</f>
        <v>3779090</v>
      </c>
    </row>
    <row r="1918" spans="1:15" s="1" customFormat="1" ht="15" customHeight="1" x14ac:dyDescent="0.25">
      <c r="A1918" s="18" t="s">
        <v>1183</v>
      </c>
      <c r="B1918" s="18" t="s">
        <v>1121</v>
      </c>
      <c r="C1918" s="10" t="s">
        <v>2079</v>
      </c>
      <c r="D1918" s="3" t="s">
        <v>2407</v>
      </c>
      <c r="E1918" s="4" t="s">
        <v>2</v>
      </c>
      <c r="F1918" s="18">
        <v>2176</v>
      </c>
      <c r="G1918" s="18" t="s">
        <v>3271</v>
      </c>
      <c r="H1918" s="10" t="s">
        <v>2142</v>
      </c>
      <c r="I1918" s="3">
        <v>22</v>
      </c>
      <c r="J1918" s="3" t="s">
        <v>3271</v>
      </c>
      <c r="K1918" s="3"/>
      <c r="L1918" t="str">
        <f t="shared" si="29"/>
        <v/>
      </c>
      <c r="M1918">
        <f>VLOOKUP(F1918,Sheet2!$B$1:$E$19,2,FALSE)</f>
        <v>1073</v>
      </c>
      <c r="N1918">
        <f>VLOOKUP(F1918,Sheet2!$B$1:$E$19,3,FALSE)</f>
        <v>1108963</v>
      </c>
      <c r="O1918" t="str">
        <f>IF(G1918="Not available","",VLOOKUP(F1918,Sheet2!$B$1:$E$19,4,FALSE)+(G1918-1))</f>
        <v/>
      </c>
    </row>
    <row r="1919" spans="1:15" s="1" customFormat="1" ht="15" customHeight="1" x14ac:dyDescent="0.25">
      <c r="A1919" s="18" t="s">
        <v>1183</v>
      </c>
      <c r="B1919" s="18" t="s">
        <v>1121</v>
      </c>
      <c r="C1919" s="5" t="s">
        <v>1799</v>
      </c>
      <c r="D1919" s="1" t="s">
        <v>478</v>
      </c>
      <c r="E1919" s="1" t="s">
        <v>2</v>
      </c>
      <c r="F1919" s="18">
        <v>2165</v>
      </c>
      <c r="G1919" s="18">
        <v>241</v>
      </c>
      <c r="H1919" s="5">
        <v>1</v>
      </c>
      <c r="I1919" s="1">
        <v>244</v>
      </c>
      <c r="J1919" s="1">
        <v>220</v>
      </c>
      <c r="L1919" t="str">
        <f t="shared" si="29"/>
        <v>http://www.badatelna.eu/reprodukce/?fondId=1073&amp;zaznamId=1108952&amp;reproId=3779102</v>
      </c>
      <c r="M1919">
        <f>VLOOKUP(F1919,Sheet2!$B$1:$E$19,2,FALSE)</f>
        <v>1073</v>
      </c>
      <c r="N1919">
        <f>VLOOKUP(F1919,Sheet2!$B$1:$E$19,3,FALSE)</f>
        <v>1108952</v>
      </c>
      <c r="O1919">
        <f>IF(G1919="Not available","",VLOOKUP(F1919,Sheet2!$B$1:$E$19,4,FALSE)+(G1919-1))</f>
        <v>3779102</v>
      </c>
    </row>
    <row r="1920" spans="1:15" s="1" customFormat="1" ht="15" customHeight="1" x14ac:dyDescent="0.25">
      <c r="A1920" s="18" t="s">
        <v>1183</v>
      </c>
      <c r="B1920" s="18" t="s">
        <v>1113</v>
      </c>
      <c r="C1920" s="10" t="s">
        <v>1952</v>
      </c>
      <c r="D1920" s="3" t="s">
        <v>2407</v>
      </c>
      <c r="E1920" s="4" t="s">
        <v>2</v>
      </c>
      <c r="F1920" s="18">
        <v>2176</v>
      </c>
      <c r="G1920" s="18" t="s">
        <v>3271</v>
      </c>
      <c r="H1920" s="10" t="s">
        <v>2016</v>
      </c>
      <c r="I1920" s="3">
        <v>22</v>
      </c>
      <c r="J1920" s="3" t="s">
        <v>3271</v>
      </c>
      <c r="K1920" s="3"/>
      <c r="L1920" t="str">
        <f t="shared" si="29"/>
        <v/>
      </c>
      <c r="M1920">
        <f>VLOOKUP(F1920,Sheet2!$B$1:$E$19,2,FALSE)</f>
        <v>1073</v>
      </c>
      <c r="N1920">
        <f>VLOOKUP(F1920,Sheet2!$B$1:$E$19,3,FALSE)</f>
        <v>1108963</v>
      </c>
      <c r="O1920" t="str">
        <f>IF(G1920="Not available","",VLOOKUP(F1920,Sheet2!$B$1:$E$19,4,FALSE)+(G1920-1))</f>
        <v/>
      </c>
    </row>
    <row r="1921" spans="1:15" s="1" customFormat="1" ht="15" customHeight="1" x14ac:dyDescent="0.25">
      <c r="A1921" s="18" t="s">
        <v>1183</v>
      </c>
      <c r="B1921" s="18" t="s">
        <v>1113</v>
      </c>
      <c r="C1921" s="5" t="s">
        <v>1842</v>
      </c>
      <c r="D1921" s="1" t="s">
        <v>478</v>
      </c>
      <c r="E1921" s="1" t="s">
        <v>2</v>
      </c>
      <c r="F1921" s="18">
        <v>2165</v>
      </c>
      <c r="G1921" s="18">
        <v>255</v>
      </c>
      <c r="H1921" s="5">
        <v>2</v>
      </c>
      <c r="I1921" s="1">
        <v>252</v>
      </c>
      <c r="J1921" s="1">
        <v>228</v>
      </c>
      <c r="L1921" t="str">
        <f t="shared" si="29"/>
        <v>http://www.badatelna.eu/reprodukce/?fondId=1073&amp;zaznamId=1108952&amp;reproId=3779116</v>
      </c>
      <c r="M1921">
        <f>VLOOKUP(F1921,Sheet2!$B$1:$E$19,2,FALSE)</f>
        <v>1073</v>
      </c>
      <c r="N1921">
        <f>VLOOKUP(F1921,Sheet2!$B$1:$E$19,3,FALSE)</f>
        <v>1108952</v>
      </c>
      <c r="O1921">
        <f>IF(G1921="Not available","",VLOOKUP(F1921,Sheet2!$B$1:$E$19,4,FALSE)+(G1921-1))</f>
        <v>3779116</v>
      </c>
    </row>
    <row r="1922" spans="1:15" s="1" customFormat="1" ht="15" customHeight="1" x14ac:dyDescent="0.25">
      <c r="A1922" s="18" t="s">
        <v>1183</v>
      </c>
      <c r="B1922" s="18" t="s">
        <v>542</v>
      </c>
      <c r="C1922" s="14" t="s">
        <v>2098</v>
      </c>
      <c r="D1922" s="4" t="s">
        <v>478</v>
      </c>
      <c r="E1922" s="1" t="s">
        <v>2</v>
      </c>
      <c r="F1922" s="18">
        <v>2165</v>
      </c>
      <c r="G1922" s="18">
        <v>302</v>
      </c>
      <c r="H1922" s="5">
        <v>1</v>
      </c>
      <c r="I1922" s="1">
        <v>305</v>
      </c>
      <c r="J1922" s="1">
        <v>278</v>
      </c>
      <c r="L1922" t="str">
        <f t="shared" si="29"/>
        <v>http://www.badatelna.eu/reprodukce/?fondId=1073&amp;zaznamId=1108952&amp;reproId=3779163</v>
      </c>
      <c r="M1922">
        <f>VLOOKUP(F1922,Sheet2!$B$1:$E$19,2,FALSE)</f>
        <v>1073</v>
      </c>
      <c r="N1922">
        <f>VLOOKUP(F1922,Sheet2!$B$1:$E$19,3,FALSE)</f>
        <v>1108952</v>
      </c>
      <c r="O1922">
        <f>IF(G1922="Not available","",VLOOKUP(F1922,Sheet2!$B$1:$E$19,4,FALSE)+(G1922-1))</f>
        <v>3779163</v>
      </c>
    </row>
    <row r="1923" spans="1:15" s="1" customFormat="1" ht="15" customHeight="1" x14ac:dyDescent="0.25">
      <c r="A1923" s="18" t="s">
        <v>1183</v>
      </c>
      <c r="B1923" s="18" t="s">
        <v>2408</v>
      </c>
      <c r="C1923" s="10" t="s">
        <v>2098</v>
      </c>
      <c r="D1923" s="3" t="s">
        <v>2407</v>
      </c>
      <c r="E1923" s="4" t="s">
        <v>2</v>
      </c>
      <c r="F1923" s="18">
        <v>2176</v>
      </c>
      <c r="G1923" s="18" t="s">
        <v>3271</v>
      </c>
      <c r="H1923" s="10" t="s">
        <v>1955</v>
      </c>
      <c r="I1923" s="3">
        <v>22</v>
      </c>
      <c r="J1923" s="3" t="s">
        <v>3271</v>
      </c>
      <c r="K1923" s="3"/>
      <c r="L1923" t="str">
        <f t="shared" ref="L1923:L1986" si="30">IF(G1923="Not available","","http://www.badatelna.eu/reprodukce/?fondId="&amp;M1923&amp;"&amp;zaznamId="&amp;N1923&amp;"&amp;reproId="&amp;O1923)</f>
        <v/>
      </c>
      <c r="M1923">
        <f>VLOOKUP(F1923,Sheet2!$B$1:$E$19,2,FALSE)</f>
        <v>1073</v>
      </c>
      <c r="N1923">
        <f>VLOOKUP(F1923,Sheet2!$B$1:$E$19,3,FALSE)</f>
        <v>1108963</v>
      </c>
      <c r="O1923" t="str">
        <f>IF(G1923="Not available","",VLOOKUP(F1923,Sheet2!$B$1:$E$19,4,FALSE)+(G1923-1))</f>
        <v/>
      </c>
    </row>
    <row r="1924" spans="1:15" s="1" customFormat="1" ht="15" customHeight="1" x14ac:dyDescent="0.25">
      <c r="A1924" s="18" t="s">
        <v>1215</v>
      </c>
      <c r="B1924" s="18" t="s">
        <v>432</v>
      </c>
      <c r="C1924" s="5" t="s">
        <v>1799</v>
      </c>
      <c r="D1924" s="1" t="s">
        <v>219</v>
      </c>
      <c r="E1924" s="1" t="s">
        <v>2</v>
      </c>
      <c r="F1924" s="18">
        <v>2165</v>
      </c>
      <c r="G1924" s="18">
        <v>241</v>
      </c>
      <c r="H1924" s="5">
        <v>1</v>
      </c>
      <c r="I1924" s="1">
        <v>244</v>
      </c>
      <c r="J1924" s="1">
        <v>220</v>
      </c>
      <c r="L1924" t="str">
        <f t="shared" si="30"/>
        <v>http://www.badatelna.eu/reprodukce/?fondId=1073&amp;zaznamId=1108952&amp;reproId=3779102</v>
      </c>
      <c r="M1924">
        <f>VLOOKUP(F1924,Sheet2!$B$1:$E$19,2,FALSE)</f>
        <v>1073</v>
      </c>
      <c r="N1924">
        <f>VLOOKUP(F1924,Sheet2!$B$1:$E$19,3,FALSE)</f>
        <v>1108952</v>
      </c>
      <c r="O1924">
        <f>IF(G1924="Not available","",VLOOKUP(F1924,Sheet2!$B$1:$E$19,4,FALSE)+(G1924-1))</f>
        <v>3779102</v>
      </c>
    </row>
    <row r="1925" spans="1:15" s="1" customFormat="1" ht="15" customHeight="1" x14ac:dyDescent="0.25">
      <c r="A1925" s="18" t="s">
        <v>2415</v>
      </c>
      <c r="B1925" s="18" t="s">
        <v>432</v>
      </c>
      <c r="C1925" s="10" t="s">
        <v>2079</v>
      </c>
      <c r="D1925" s="3" t="s">
        <v>2416</v>
      </c>
      <c r="E1925" s="4" t="s">
        <v>2</v>
      </c>
      <c r="F1925" s="18">
        <v>2176</v>
      </c>
      <c r="G1925" s="18" t="s">
        <v>3271</v>
      </c>
      <c r="H1925" s="10" t="s">
        <v>1954</v>
      </c>
      <c r="I1925" s="3">
        <v>23</v>
      </c>
      <c r="J1925" s="3" t="s">
        <v>3271</v>
      </c>
      <c r="K1925" s="3"/>
      <c r="L1925" t="str">
        <f t="shared" si="30"/>
        <v/>
      </c>
      <c r="M1925">
        <f>VLOOKUP(F1925,Sheet2!$B$1:$E$19,2,FALSE)</f>
        <v>1073</v>
      </c>
      <c r="N1925">
        <f>VLOOKUP(F1925,Sheet2!$B$1:$E$19,3,FALSE)</f>
        <v>1108963</v>
      </c>
      <c r="O1925" t="str">
        <f>IF(G1925="Not available","",VLOOKUP(F1925,Sheet2!$B$1:$E$19,4,FALSE)+(G1925-1))</f>
        <v/>
      </c>
    </row>
    <row r="1926" spans="1:15" s="1" customFormat="1" ht="15" customHeight="1" x14ac:dyDescent="0.25">
      <c r="A1926" s="18" t="s">
        <v>253</v>
      </c>
      <c r="B1926" s="18" t="s">
        <v>2948</v>
      </c>
      <c r="C1926" s="5">
        <v>1821</v>
      </c>
      <c r="E1926" s="1" t="s">
        <v>2</v>
      </c>
      <c r="F1926" s="18">
        <v>2173</v>
      </c>
      <c r="G1926" s="18">
        <v>79</v>
      </c>
      <c r="H1926" s="5">
        <v>150</v>
      </c>
      <c r="I1926" s="1">
        <v>102</v>
      </c>
      <c r="J1926" s="1">
        <v>217</v>
      </c>
      <c r="L1926" t="str">
        <f t="shared" si="30"/>
        <v>http://www.badatelna.eu/reprodukce/?fondId=1073&amp;zaznamId=1108959&amp;reproId=3780072</v>
      </c>
      <c r="M1926">
        <f>VLOOKUP(F1926,Sheet2!$B$1:$E$19,2,FALSE)</f>
        <v>1073</v>
      </c>
      <c r="N1926">
        <f>VLOOKUP(F1926,Sheet2!$B$1:$E$19,3,FALSE)</f>
        <v>1108959</v>
      </c>
      <c r="O1926">
        <f>IF(G1926="Not available","",VLOOKUP(F1926,Sheet2!$B$1:$E$19,4,FALSE)+(G1926-1))</f>
        <v>3780072</v>
      </c>
    </row>
    <row r="1927" spans="1:15" s="1" customFormat="1" ht="15" customHeight="1" x14ac:dyDescent="0.25">
      <c r="A1927" s="18" t="s">
        <v>253</v>
      </c>
      <c r="B1927" s="18" t="s">
        <v>370</v>
      </c>
      <c r="C1927" s="5">
        <v>1854</v>
      </c>
      <c r="D1927" s="1" t="s">
        <v>245</v>
      </c>
      <c r="E1927" s="1" t="s">
        <v>2</v>
      </c>
      <c r="F1927" s="18">
        <v>2164</v>
      </c>
      <c r="G1927" s="18">
        <v>97</v>
      </c>
      <c r="H1927" s="5">
        <v>95</v>
      </c>
      <c r="I1927" s="1">
        <v>130</v>
      </c>
      <c r="J1927" s="1" t="s">
        <v>3271</v>
      </c>
      <c r="L1927" t="str">
        <f t="shared" si="30"/>
        <v>http://www.badatelna.eu/reprodukce/?fondId=1073&amp;zaznamId=1108951&amp;reproId=3778811</v>
      </c>
      <c r="M1927">
        <f>VLOOKUP(F1927,Sheet2!$B$1:$E$19,2,FALSE)</f>
        <v>1073</v>
      </c>
      <c r="N1927">
        <f>VLOOKUP(F1927,Sheet2!$B$1:$E$19,3,FALSE)</f>
        <v>1108951</v>
      </c>
      <c r="O1927">
        <f>IF(G1927="Not available","",VLOOKUP(F1927,Sheet2!$B$1:$E$19,4,FALSE)+(G1927-1))</f>
        <v>3778811</v>
      </c>
    </row>
    <row r="1928" spans="1:15" s="1" customFormat="1" ht="15" customHeight="1" x14ac:dyDescent="0.25">
      <c r="A1928" s="18" t="s">
        <v>253</v>
      </c>
      <c r="B1928" s="18" t="s">
        <v>51</v>
      </c>
      <c r="C1928" s="5">
        <v>1819</v>
      </c>
      <c r="E1928" s="1" t="s">
        <v>2</v>
      </c>
      <c r="F1928" s="18">
        <v>2173</v>
      </c>
      <c r="G1928" s="18">
        <v>70</v>
      </c>
      <c r="H1928" s="5">
        <v>132</v>
      </c>
      <c r="I1928" s="1">
        <v>102</v>
      </c>
      <c r="J1928" s="1">
        <v>217</v>
      </c>
      <c r="L1928" t="str">
        <f t="shared" si="30"/>
        <v>http://www.badatelna.eu/reprodukce/?fondId=1073&amp;zaznamId=1108959&amp;reproId=3780063</v>
      </c>
      <c r="M1928">
        <f>VLOOKUP(F1928,Sheet2!$B$1:$E$19,2,FALSE)</f>
        <v>1073</v>
      </c>
      <c r="N1928">
        <f>VLOOKUP(F1928,Sheet2!$B$1:$E$19,3,FALSE)</f>
        <v>1108959</v>
      </c>
      <c r="O1928">
        <f>IF(G1928="Not available","",VLOOKUP(F1928,Sheet2!$B$1:$E$19,4,FALSE)+(G1928-1))</f>
        <v>3780063</v>
      </c>
    </row>
    <row r="1929" spans="1:15" s="1" customFormat="1" ht="15" customHeight="1" x14ac:dyDescent="0.25">
      <c r="A1929" s="18" t="s">
        <v>253</v>
      </c>
      <c r="B1929" s="18" t="s">
        <v>197</v>
      </c>
      <c r="C1929" s="5">
        <v>1858</v>
      </c>
      <c r="E1929" s="1" t="s">
        <v>939</v>
      </c>
      <c r="F1929" s="18">
        <v>999</v>
      </c>
      <c r="G1929" s="18">
        <v>8</v>
      </c>
      <c r="H1929" s="5">
        <v>6</v>
      </c>
      <c r="I1929" s="1">
        <v>69</v>
      </c>
      <c r="J1929" s="1">
        <v>103</v>
      </c>
      <c r="L1929" t="str">
        <f t="shared" si="30"/>
        <v>http://www.badatelna.eu/reprodukce/?fondId=241&amp;zaznamId=1133739&amp;reproId=3885737</v>
      </c>
      <c r="M1929">
        <f>VLOOKUP(F1929,Sheet2!$B$1:$E$19,2,FALSE)</f>
        <v>241</v>
      </c>
      <c r="N1929">
        <f>VLOOKUP(F1929,Sheet2!$B$1:$E$19,3,FALSE)</f>
        <v>1133739</v>
      </c>
      <c r="O1929">
        <f>IF(G1929="Not available","",VLOOKUP(F1929,Sheet2!$B$1:$E$19,4,FALSE)+(G1929-1))</f>
        <v>3885737</v>
      </c>
    </row>
    <row r="1930" spans="1:15" s="1" customFormat="1" ht="15" customHeight="1" x14ac:dyDescent="0.25">
      <c r="A1930" s="19" t="s">
        <v>253</v>
      </c>
      <c r="B1930" s="19" t="s">
        <v>244</v>
      </c>
      <c r="C1930" s="5">
        <v>1786</v>
      </c>
      <c r="D1930" s="1" t="s">
        <v>245</v>
      </c>
      <c r="E1930" s="1" t="s">
        <v>2</v>
      </c>
      <c r="F1930" s="18">
        <v>2173</v>
      </c>
      <c r="G1930" s="18">
        <v>12</v>
      </c>
      <c r="H1930" s="5">
        <v>18</v>
      </c>
      <c r="I1930" s="1">
        <v>102</v>
      </c>
      <c r="J1930" s="1">
        <v>217</v>
      </c>
      <c r="L1930" t="str">
        <f t="shared" si="30"/>
        <v>http://www.badatelna.eu/reprodukce/?fondId=1073&amp;zaznamId=1108959&amp;reproId=3780005</v>
      </c>
      <c r="M1930">
        <f>VLOOKUP(F1930,Sheet2!$B$1:$E$19,2,FALSE)</f>
        <v>1073</v>
      </c>
      <c r="N1930">
        <f>VLOOKUP(F1930,Sheet2!$B$1:$E$19,3,FALSE)</f>
        <v>1108959</v>
      </c>
      <c r="O1930">
        <f>IF(G1930="Not available","",VLOOKUP(F1930,Sheet2!$B$1:$E$19,4,FALSE)+(G1930-1))</f>
        <v>3780005</v>
      </c>
    </row>
    <row r="1931" spans="1:15" s="1" customFormat="1" ht="15" customHeight="1" x14ac:dyDescent="0.25">
      <c r="A1931" s="18" t="s">
        <v>953</v>
      </c>
      <c r="B1931" s="19" t="s">
        <v>3252</v>
      </c>
      <c r="C1931" s="5">
        <v>1860</v>
      </c>
      <c r="E1931" s="1" t="s">
        <v>939</v>
      </c>
      <c r="F1931" s="18">
        <v>999</v>
      </c>
      <c r="G1931" s="18">
        <v>21</v>
      </c>
      <c r="H1931" s="5">
        <v>19</v>
      </c>
      <c r="I1931" s="1">
        <v>69</v>
      </c>
      <c r="J1931" s="1">
        <v>103</v>
      </c>
      <c r="L1931" t="str">
        <f t="shared" si="30"/>
        <v>http://www.badatelna.eu/reprodukce/?fondId=241&amp;zaznamId=1133739&amp;reproId=3885750</v>
      </c>
      <c r="M1931">
        <f>VLOOKUP(F1931,Sheet2!$B$1:$E$19,2,FALSE)</f>
        <v>241</v>
      </c>
      <c r="N1931">
        <f>VLOOKUP(F1931,Sheet2!$B$1:$E$19,3,FALSE)</f>
        <v>1133739</v>
      </c>
      <c r="O1931">
        <f>IF(G1931="Not available","",VLOOKUP(F1931,Sheet2!$B$1:$E$19,4,FALSE)+(G1931-1))</f>
        <v>3885750</v>
      </c>
    </row>
    <row r="1932" spans="1:15" s="1" customFormat="1" ht="15" customHeight="1" x14ac:dyDescent="0.25">
      <c r="A1932" s="18" t="s">
        <v>246</v>
      </c>
      <c r="B1932" s="18" t="s">
        <v>671</v>
      </c>
      <c r="C1932" s="5">
        <v>1845</v>
      </c>
      <c r="D1932" s="1" t="s">
        <v>672</v>
      </c>
      <c r="E1932" s="1" t="s">
        <v>2</v>
      </c>
      <c r="F1932" s="18">
        <v>2174</v>
      </c>
      <c r="G1932" s="18">
        <v>160</v>
      </c>
      <c r="H1932" s="6" t="s">
        <v>3223</v>
      </c>
      <c r="I1932" s="1">
        <v>188</v>
      </c>
      <c r="J1932" s="1">
        <v>218</v>
      </c>
      <c r="L1932" t="str">
        <f t="shared" si="30"/>
        <v>http://www.badatelna.eu/reprodukce/?fondId=1073&amp;zaznamId=1108960&amp;reproId=3780384</v>
      </c>
      <c r="M1932">
        <f>VLOOKUP(F1932,Sheet2!$B$1:$E$19,2,FALSE)</f>
        <v>1073</v>
      </c>
      <c r="N1932">
        <f>VLOOKUP(F1932,Sheet2!$B$1:$E$19,3,FALSE)</f>
        <v>1108960</v>
      </c>
      <c r="O1932">
        <f>IF(G1932="Not available","",VLOOKUP(F1932,Sheet2!$B$1:$E$19,4,FALSE)+(G1932-1))</f>
        <v>3780384</v>
      </c>
    </row>
    <row r="1933" spans="1:15" s="1" customFormat="1" ht="15" customHeight="1" x14ac:dyDescent="0.25">
      <c r="A1933" s="18" t="s">
        <v>246</v>
      </c>
      <c r="B1933" s="18" t="s">
        <v>868</v>
      </c>
      <c r="C1933" s="5">
        <v>1854</v>
      </c>
      <c r="D1933" s="4" t="s">
        <v>482</v>
      </c>
      <c r="E1933" s="1" t="s">
        <v>2</v>
      </c>
      <c r="F1933" s="18">
        <v>2164</v>
      </c>
      <c r="G1933" s="18">
        <v>96</v>
      </c>
      <c r="H1933" s="5">
        <v>94</v>
      </c>
      <c r="I1933" s="1">
        <v>130</v>
      </c>
      <c r="J1933" s="1" t="s">
        <v>3271</v>
      </c>
      <c r="L1933" t="str">
        <f t="shared" si="30"/>
        <v>http://www.badatelna.eu/reprodukce/?fondId=1073&amp;zaznamId=1108951&amp;reproId=3778810</v>
      </c>
      <c r="M1933">
        <f>VLOOKUP(F1933,Sheet2!$B$1:$E$19,2,FALSE)</f>
        <v>1073</v>
      </c>
      <c r="N1933">
        <f>VLOOKUP(F1933,Sheet2!$B$1:$E$19,3,FALSE)</f>
        <v>1108951</v>
      </c>
      <c r="O1933">
        <f>IF(G1933="Not available","",VLOOKUP(F1933,Sheet2!$B$1:$E$19,4,FALSE)+(G1933-1))</f>
        <v>3778810</v>
      </c>
    </row>
    <row r="1934" spans="1:15" s="1" customFormat="1" ht="15" customHeight="1" x14ac:dyDescent="0.25">
      <c r="A1934" s="18" t="s">
        <v>246</v>
      </c>
      <c r="B1934" s="18" t="s">
        <v>12</v>
      </c>
      <c r="C1934" s="5">
        <v>1799</v>
      </c>
      <c r="E1934" s="1" t="s">
        <v>2</v>
      </c>
      <c r="F1934" s="18">
        <v>2173</v>
      </c>
      <c r="G1934" s="18">
        <v>41</v>
      </c>
      <c r="H1934" s="5">
        <v>76</v>
      </c>
      <c r="I1934" s="1">
        <v>102</v>
      </c>
      <c r="J1934" s="1">
        <v>217</v>
      </c>
      <c r="L1934" t="str">
        <f t="shared" si="30"/>
        <v>http://www.badatelna.eu/reprodukce/?fondId=1073&amp;zaznamId=1108959&amp;reproId=3780034</v>
      </c>
      <c r="M1934">
        <f>VLOOKUP(F1934,Sheet2!$B$1:$E$19,2,FALSE)</f>
        <v>1073</v>
      </c>
      <c r="N1934">
        <f>VLOOKUP(F1934,Sheet2!$B$1:$E$19,3,FALSE)</f>
        <v>1108959</v>
      </c>
      <c r="O1934">
        <f>IF(G1934="Not available","",VLOOKUP(F1934,Sheet2!$B$1:$E$19,4,FALSE)+(G1934-1))</f>
        <v>3780034</v>
      </c>
    </row>
    <row r="1935" spans="1:15" s="1" customFormat="1" ht="15" customHeight="1" x14ac:dyDescent="0.25">
      <c r="A1935" s="18" t="s">
        <v>246</v>
      </c>
      <c r="B1935" s="18" t="s">
        <v>212</v>
      </c>
      <c r="C1935" s="5">
        <v>1845</v>
      </c>
      <c r="D1935" s="1" t="s">
        <v>64</v>
      </c>
      <c r="E1935" s="1" t="s">
        <v>2</v>
      </c>
      <c r="F1935" s="18">
        <v>2174</v>
      </c>
      <c r="G1935" s="18">
        <v>157</v>
      </c>
      <c r="H1935" s="6" t="s">
        <v>3222</v>
      </c>
      <c r="I1935" s="1">
        <v>188</v>
      </c>
      <c r="J1935" s="1">
        <v>218</v>
      </c>
      <c r="L1935" t="str">
        <f t="shared" si="30"/>
        <v>http://www.badatelna.eu/reprodukce/?fondId=1073&amp;zaznamId=1108960&amp;reproId=3780381</v>
      </c>
      <c r="M1935">
        <f>VLOOKUP(F1935,Sheet2!$B$1:$E$19,2,FALSE)</f>
        <v>1073</v>
      </c>
      <c r="N1935">
        <f>VLOOKUP(F1935,Sheet2!$B$1:$E$19,3,FALSE)</f>
        <v>1108960</v>
      </c>
      <c r="O1935">
        <f>IF(G1935="Not available","",VLOOKUP(F1935,Sheet2!$B$1:$E$19,4,FALSE)+(G1935-1))</f>
        <v>3780381</v>
      </c>
    </row>
    <row r="1936" spans="1:15" s="1" customFormat="1" ht="15" customHeight="1" x14ac:dyDescent="0.25">
      <c r="A1936" s="18" t="s">
        <v>246</v>
      </c>
      <c r="B1936" s="18" t="s">
        <v>237</v>
      </c>
      <c r="C1936" s="5">
        <v>1837</v>
      </c>
      <c r="D1936" s="1" t="s">
        <v>64</v>
      </c>
      <c r="E1936" s="1" t="s">
        <v>2</v>
      </c>
      <c r="F1936" s="18">
        <v>2174</v>
      </c>
      <c r="G1936" s="18">
        <v>96</v>
      </c>
      <c r="H1936" s="6" t="s">
        <v>3164</v>
      </c>
      <c r="I1936" s="1">
        <v>188</v>
      </c>
      <c r="J1936" s="1">
        <v>218</v>
      </c>
      <c r="L1936" t="str">
        <f t="shared" si="30"/>
        <v>http://www.badatelna.eu/reprodukce/?fondId=1073&amp;zaznamId=1108960&amp;reproId=3780320</v>
      </c>
      <c r="M1936">
        <f>VLOOKUP(F1936,Sheet2!$B$1:$E$19,2,FALSE)</f>
        <v>1073</v>
      </c>
      <c r="N1936">
        <f>VLOOKUP(F1936,Sheet2!$B$1:$E$19,3,FALSE)</f>
        <v>1108960</v>
      </c>
      <c r="O1936">
        <f>IF(G1936="Not available","",VLOOKUP(F1936,Sheet2!$B$1:$E$19,4,FALSE)+(G1936-1))</f>
        <v>3780320</v>
      </c>
    </row>
    <row r="1937" spans="1:15" s="1" customFormat="1" ht="15" customHeight="1" x14ac:dyDescent="0.25">
      <c r="A1937" s="18" t="s">
        <v>246</v>
      </c>
      <c r="B1937" s="18" t="s">
        <v>432</v>
      </c>
      <c r="C1937" s="5">
        <v>1843</v>
      </c>
      <c r="D1937" s="1" t="s">
        <v>64</v>
      </c>
      <c r="E1937" s="1" t="s">
        <v>2</v>
      </c>
      <c r="F1937" s="18">
        <v>2174</v>
      </c>
      <c r="G1937" s="18">
        <v>136</v>
      </c>
      <c r="H1937" s="6" t="s">
        <v>3202</v>
      </c>
      <c r="I1937" s="1">
        <v>188</v>
      </c>
      <c r="J1937" s="1">
        <v>218</v>
      </c>
      <c r="L1937" t="str">
        <f t="shared" si="30"/>
        <v>http://www.badatelna.eu/reprodukce/?fondId=1073&amp;zaznamId=1108960&amp;reproId=3780360</v>
      </c>
      <c r="M1937">
        <f>VLOOKUP(F1937,Sheet2!$B$1:$E$19,2,FALSE)</f>
        <v>1073</v>
      </c>
      <c r="N1937">
        <f>VLOOKUP(F1937,Sheet2!$B$1:$E$19,3,FALSE)</f>
        <v>1108960</v>
      </c>
      <c r="O1937">
        <f>IF(G1937="Not available","",VLOOKUP(F1937,Sheet2!$B$1:$E$19,4,FALSE)+(G1937-1))</f>
        <v>3780360</v>
      </c>
    </row>
    <row r="1938" spans="1:15" s="1" customFormat="1" ht="15" customHeight="1" x14ac:dyDescent="0.25">
      <c r="A1938" s="18" t="s">
        <v>246</v>
      </c>
      <c r="B1938" s="18" t="s">
        <v>427</v>
      </c>
      <c r="C1938" s="5">
        <v>1841</v>
      </c>
      <c r="D1938" s="1" t="s">
        <v>64</v>
      </c>
      <c r="E1938" s="1" t="s">
        <v>2</v>
      </c>
      <c r="F1938" s="18">
        <v>2174</v>
      </c>
      <c r="G1938" s="18">
        <v>116</v>
      </c>
      <c r="H1938" s="6" t="s">
        <v>3186</v>
      </c>
      <c r="I1938" s="1">
        <v>188</v>
      </c>
      <c r="J1938" s="1">
        <v>218</v>
      </c>
      <c r="L1938" t="str">
        <f t="shared" si="30"/>
        <v>http://www.badatelna.eu/reprodukce/?fondId=1073&amp;zaznamId=1108960&amp;reproId=3780340</v>
      </c>
      <c r="M1938">
        <f>VLOOKUP(F1938,Sheet2!$B$1:$E$19,2,FALSE)</f>
        <v>1073</v>
      </c>
      <c r="N1938">
        <f>VLOOKUP(F1938,Sheet2!$B$1:$E$19,3,FALSE)</f>
        <v>1108960</v>
      </c>
      <c r="O1938">
        <f>IF(G1938="Not available","",VLOOKUP(F1938,Sheet2!$B$1:$E$19,4,FALSE)+(G1938-1))</f>
        <v>3780340</v>
      </c>
    </row>
    <row r="1939" spans="1:15" s="1" customFormat="1" ht="15" customHeight="1" x14ac:dyDescent="0.25">
      <c r="A1939" s="18" t="s">
        <v>246</v>
      </c>
      <c r="B1939" s="18" t="s">
        <v>665</v>
      </c>
      <c r="C1939" s="5">
        <v>1834</v>
      </c>
      <c r="D1939" s="1" t="s">
        <v>64</v>
      </c>
      <c r="E1939" s="1" t="s">
        <v>2</v>
      </c>
      <c r="F1939" s="18">
        <v>2174</v>
      </c>
      <c r="G1939" s="18">
        <v>77</v>
      </c>
      <c r="H1939" s="6" t="s">
        <v>3143</v>
      </c>
      <c r="I1939" s="1">
        <v>188</v>
      </c>
      <c r="J1939" s="1">
        <v>218</v>
      </c>
      <c r="L1939" t="str">
        <f t="shared" si="30"/>
        <v>http://www.badatelna.eu/reprodukce/?fondId=1073&amp;zaznamId=1108960&amp;reproId=3780301</v>
      </c>
      <c r="M1939">
        <f>VLOOKUP(F1939,Sheet2!$B$1:$E$19,2,FALSE)</f>
        <v>1073</v>
      </c>
      <c r="N1939">
        <f>VLOOKUP(F1939,Sheet2!$B$1:$E$19,3,FALSE)</f>
        <v>1108960</v>
      </c>
      <c r="O1939">
        <f>IF(G1939="Not available","",VLOOKUP(F1939,Sheet2!$B$1:$E$19,4,FALSE)+(G1939-1))</f>
        <v>3780301</v>
      </c>
    </row>
    <row r="1940" spans="1:15" s="1" customFormat="1" ht="15" customHeight="1" x14ac:dyDescent="0.25">
      <c r="A1940" s="18" t="s">
        <v>246</v>
      </c>
      <c r="B1940" s="18" t="s">
        <v>24</v>
      </c>
      <c r="C1940" s="5">
        <v>1835</v>
      </c>
      <c r="D1940" s="1" t="s">
        <v>64</v>
      </c>
      <c r="E1940" s="1" t="s">
        <v>2</v>
      </c>
      <c r="F1940" s="18">
        <v>2174</v>
      </c>
      <c r="G1940" s="18">
        <v>84</v>
      </c>
      <c r="H1940" s="6" t="s">
        <v>3150</v>
      </c>
      <c r="I1940" s="1">
        <v>188</v>
      </c>
      <c r="J1940" s="1">
        <v>218</v>
      </c>
      <c r="L1940" t="str">
        <f t="shared" si="30"/>
        <v>http://www.badatelna.eu/reprodukce/?fondId=1073&amp;zaznamId=1108960&amp;reproId=3780308</v>
      </c>
      <c r="M1940">
        <f>VLOOKUP(F1940,Sheet2!$B$1:$E$19,2,FALSE)</f>
        <v>1073</v>
      </c>
      <c r="N1940">
        <f>VLOOKUP(F1940,Sheet2!$B$1:$E$19,3,FALSE)</f>
        <v>1108960</v>
      </c>
      <c r="O1940">
        <f>IF(G1940="Not available","",VLOOKUP(F1940,Sheet2!$B$1:$E$19,4,FALSE)+(G1940-1))</f>
        <v>3780308</v>
      </c>
    </row>
    <row r="1941" spans="1:15" s="1" customFormat="1" ht="15" customHeight="1" x14ac:dyDescent="0.25">
      <c r="A1941" s="18" t="s">
        <v>246</v>
      </c>
      <c r="B1941" s="18" t="s">
        <v>545</v>
      </c>
      <c r="C1941" s="5">
        <v>1839</v>
      </c>
      <c r="D1941" s="1" t="s">
        <v>64</v>
      </c>
      <c r="E1941" s="1" t="s">
        <v>2</v>
      </c>
      <c r="F1941" s="18">
        <v>2174</v>
      </c>
      <c r="G1941" s="18">
        <v>108</v>
      </c>
      <c r="H1941" s="6" t="s">
        <v>3175</v>
      </c>
      <c r="I1941" s="1">
        <v>188</v>
      </c>
      <c r="J1941" s="1">
        <v>218</v>
      </c>
      <c r="L1941" t="str">
        <f t="shared" si="30"/>
        <v>http://www.badatelna.eu/reprodukce/?fondId=1073&amp;zaznamId=1108960&amp;reproId=3780332</v>
      </c>
      <c r="M1941">
        <f>VLOOKUP(F1941,Sheet2!$B$1:$E$19,2,FALSE)</f>
        <v>1073</v>
      </c>
      <c r="N1941">
        <f>VLOOKUP(F1941,Sheet2!$B$1:$E$19,3,FALSE)</f>
        <v>1108960</v>
      </c>
      <c r="O1941">
        <f>IF(G1941="Not available","",VLOOKUP(F1941,Sheet2!$B$1:$E$19,4,FALSE)+(G1941-1))</f>
        <v>3780332</v>
      </c>
    </row>
    <row r="1942" spans="1:15" s="1" customFormat="1" ht="15" customHeight="1" x14ac:dyDescent="0.25">
      <c r="A1942" s="18" t="s">
        <v>250</v>
      </c>
      <c r="B1942" s="18" t="s">
        <v>249</v>
      </c>
      <c r="C1942" s="5">
        <v>1803</v>
      </c>
      <c r="E1942" s="1" t="s">
        <v>2</v>
      </c>
      <c r="F1942" s="18">
        <v>2173</v>
      </c>
      <c r="G1942" s="18">
        <v>48</v>
      </c>
      <c r="H1942" s="5">
        <v>90</v>
      </c>
      <c r="I1942" s="1">
        <v>102</v>
      </c>
      <c r="J1942" s="1">
        <v>217</v>
      </c>
      <c r="L1942" t="str">
        <f t="shared" si="30"/>
        <v>http://www.badatelna.eu/reprodukce/?fondId=1073&amp;zaznamId=1108959&amp;reproId=3780041</v>
      </c>
      <c r="M1942">
        <f>VLOOKUP(F1942,Sheet2!$B$1:$E$19,2,FALSE)</f>
        <v>1073</v>
      </c>
      <c r="N1942">
        <f>VLOOKUP(F1942,Sheet2!$B$1:$E$19,3,FALSE)</f>
        <v>1108959</v>
      </c>
      <c r="O1942">
        <f>IF(G1942="Not available","",VLOOKUP(F1942,Sheet2!$B$1:$E$19,4,FALSE)+(G1942-1))</f>
        <v>3780041</v>
      </c>
    </row>
    <row r="1943" spans="1:15" s="1" customFormat="1" ht="15" customHeight="1" x14ac:dyDescent="0.25">
      <c r="A1943" s="18" t="s">
        <v>250</v>
      </c>
      <c r="B1943" s="18" t="s">
        <v>251</v>
      </c>
      <c r="C1943" s="5">
        <v>1809</v>
      </c>
      <c r="E1943" s="1" t="s">
        <v>2</v>
      </c>
      <c r="F1943" s="18">
        <v>2173</v>
      </c>
      <c r="G1943" s="18">
        <v>56</v>
      </c>
      <c r="H1943" s="5">
        <v>107</v>
      </c>
      <c r="I1943" s="1">
        <v>102</v>
      </c>
      <c r="J1943" s="1">
        <v>217</v>
      </c>
      <c r="L1943" t="str">
        <f t="shared" si="30"/>
        <v>http://www.badatelna.eu/reprodukce/?fondId=1073&amp;zaznamId=1108959&amp;reproId=3780049</v>
      </c>
      <c r="M1943">
        <f>VLOOKUP(F1943,Sheet2!$B$1:$E$19,2,FALSE)</f>
        <v>1073</v>
      </c>
      <c r="N1943">
        <f>VLOOKUP(F1943,Sheet2!$B$1:$E$19,3,FALSE)</f>
        <v>1108959</v>
      </c>
      <c r="O1943">
        <f>IF(G1943="Not available","",VLOOKUP(F1943,Sheet2!$B$1:$E$19,4,FALSE)+(G1943-1))</f>
        <v>3780049</v>
      </c>
    </row>
    <row r="1944" spans="1:15" s="1" customFormat="1" ht="15" customHeight="1" x14ac:dyDescent="0.25">
      <c r="A1944" s="18" t="s">
        <v>250</v>
      </c>
      <c r="B1944" s="18" t="s">
        <v>64</v>
      </c>
      <c r="C1944" s="5">
        <v>1807</v>
      </c>
      <c r="E1944" s="1" t="s">
        <v>2</v>
      </c>
      <c r="F1944" s="18">
        <v>2173</v>
      </c>
      <c r="G1944" s="18">
        <v>51</v>
      </c>
      <c r="H1944" s="5">
        <v>97</v>
      </c>
      <c r="I1944" s="1">
        <v>102</v>
      </c>
      <c r="J1944" s="1">
        <v>217</v>
      </c>
      <c r="L1944" t="str">
        <f t="shared" si="30"/>
        <v>http://www.badatelna.eu/reprodukce/?fondId=1073&amp;zaznamId=1108959&amp;reproId=3780044</v>
      </c>
      <c r="M1944">
        <f>VLOOKUP(F1944,Sheet2!$B$1:$E$19,2,FALSE)</f>
        <v>1073</v>
      </c>
      <c r="N1944">
        <f>VLOOKUP(F1944,Sheet2!$B$1:$E$19,3,FALSE)</f>
        <v>1108959</v>
      </c>
      <c r="O1944">
        <f>IF(G1944="Not available","",VLOOKUP(F1944,Sheet2!$B$1:$E$19,4,FALSE)+(G1944-1))</f>
        <v>3780044</v>
      </c>
    </row>
    <row r="1945" spans="1:15" s="1" customFormat="1" ht="15" customHeight="1" x14ac:dyDescent="0.25">
      <c r="A1945" s="18" t="s">
        <v>250</v>
      </c>
      <c r="B1945" s="18" t="s">
        <v>120</v>
      </c>
      <c r="C1945" s="5">
        <v>1818</v>
      </c>
      <c r="E1945" s="1" t="s">
        <v>2</v>
      </c>
      <c r="F1945" s="18">
        <v>2173</v>
      </c>
      <c r="G1945" s="18">
        <v>68</v>
      </c>
      <c r="H1945" s="5">
        <v>129</v>
      </c>
      <c r="I1945" s="1">
        <v>102</v>
      </c>
      <c r="J1945" s="1">
        <v>217</v>
      </c>
      <c r="L1945" t="str">
        <f t="shared" si="30"/>
        <v>http://www.badatelna.eu/reprodukce/?fondId=1073&amp;zaznamId=1108959&amp;reproId=3780061</v>
      </c>
      <c r="M1945">
        <f>VLOOKUP(F1945,Sheet2!$B$1:$E$19,2,FALSE)</f>
        <v>1073</v>
      </c>
      <c r="N1945">
        <f>VLOOKUP(F1945,Sheet2!$B$1:$E$19,3,FALSE)</f>
        <v>1108959</v>
      </c>
      <c r="O1945">
        <f>IF(G1945="Not available","",VLOOKUP(F1945,Sheet2!$B$1:$E$19,4,FALSE)+(G1945-1))</f>
        <v>3780061</v>
      </c>
    </row>
    <row r="1946" spans="1:15" s="1" customFormat="1" ht="15" customHeight="1" x14ac:dyDescent="0.25">
      <c r="A1946" s="18" t="s">
        <v>250</v>
      </c>
      <c r="B1946" s="18" t="s">
        <v>169</v>
      </c>
      <c r="C1946" s="5">
        <v>1818</v>
      </c>
      <c r="E1946" s="1" t="s">
        <v>2</v>
      </c>
      <c r="F1946" s="18">
        <v>2173</v>
      </c>
      <c r="G1946" s="18">
        <v>68</v>
      </c>
      <c r="H1946" s="5">
        <v>129</v>
      </c>
      <c r="I1946" s="1">
        <v>102</v>
      </c>
      <c r="J1946" s="1">
        <v>217</v>
      </c>
      <c r="L1946" t="str">
        <f t="shared" si="30"/>
        <v>http://www.badatelna.eu/reprodukce/?fondId=1073&amp;zaznamId=1108959&amp;reproId=3780061</v>
      </c>
      <c r="M1946">
        <f>VLOOKUP(F1946,Sheet2!$B$1:$E$19,2,FALSE)</f>
        <v>1073</v>
      </c>
      <c r="N1946">
        <f>VLOOKUP(F1946,Sheet2!$B$1:$E$19,3,FALSE)</f>
        <v>1108959</v>
      </c>
      <c r="O1946">
        <f>IF(G1946="Not available","",VLOOKUP(F1946,Sheet2!$B$1:$E$19,4,FALSE)+(G1946-1))</f>
        <v>3780061</v>
      </c>
    </row>
    <row r="1947" spans="1:15" s="1" customFormat="1" ht="15" customHeight="1" x14ac:dyDescent="0.25">
      <c r="A1947" s="18" t="s">
        <v>250</v>
      </c>
      <c r="B1947" s="18" t="s">
        <v>252</v>
      </c>
      <c r="C1947" s="5">
        <v>1815</v>
      </c>
      <c r="E1947" s="1" t="s">
        <v>2</v>
      </c>
      <c r="F1947" s="18">
        <v>2173</v>
      </c>
      <c r="G1947" s="18">
        <v>64</v>
      </c>
      <c r="H1947" s="5">
        <v>122</v>
      </c>
      <c r="I1947" s="1">
        <v>102</v>
      </c>
      <c r="J1947" s="1">
        <v>217</v>
      </c>
      <c r="L1947" t="str">
        <f t="shared" si="30"/>
        <v>http://www.badatelna.eu/reprodukce/?fondId=1073&amp;zaznamId=1108959&amp;reproId=3780057</v>
      </c>
      <c r="M1947">
        <f>VLOOKUP(F1947,Sheet2!$B$1:$E$19,2,FALSE)</f>
        <v>1073</v>
      </c>
      <c r="N1947">
        <f>VLOOKUP(F1947,Sheet2!$B$1:$E$19,3,FALSE)</f>
        <v>1108959</v>
      </c>
      <c r="O1947">
        <f>IF(G1947="Not available","",VLOOKUP(F1947,Sheet2!$B$1:$E$19,4,FALSE)+(G1947-1))</f>
        <v>3780057</v>
      </c>
    </row>
    <row r="1948" spans="1:15" s="1" customFormat="1" ht="15" customHeight="1" x14ac:dyDescent="0.25">
      <c r="A1948" s="18" t="s">
        <v>250</v>
      </c>
      <c r="B1948" s="18" t="s">
        <v>23</v>
      </c>
      <c r="C1948" s="5">
        <v>1809</v>
      </c>
      <c r="E1948" s="1" t="s">
        <v>2</v>
      </c>
      <c r="F1948" s="18">
        <v>2173</v>
      </c>
      <c r="G1948" s="18">
        <v>60</v>
      </c>
      <c r="H1948" s="5">
        <v>115</v>
      </c>
      <c r="I1948" s="1">
        <v>102</v>
      </c>
      <c r="J1948" s="1">
        <v>217</v>
      </c>
      <c r="L1948" t="str">
        <f t="shared" si="30"/>
        <v>http://www.badatelna.eu/reprodukce/?fondId=1073&amp;zaznamId=1108959&amp;reproId=3780053</v>
      </c>
      <c r="M1948">
        <f>VLOOKUP(F1948,Sheet2!$B$1:$E$19,2,FALSE)</f>
        <v>1073</v>
      </c>
      <c r="N1948">
        <f>VLOOKUP(F1948,Sheet2!$B$1:$E$19,3,FALSE)</f>
        <v>1108959</v>
      </c>
      <c r="O1948">
        <f>IF(G1948="Not available","",VLOOKUP(F1948,Sheet2!$B$1:$E$19,4,FALSE)+(G1948-1))</f>
        <v>3780053</v>
      </c>
    </row>
    <row r="1949" spans="1:15" s="1" customFormat="1" ht="15" customHeight="1" x14ac:dyDescent="0.25">
      <c r="A1949" s="18" t="s">
        <v>1037</v>
      </c>
      <c r="B1949" s="18" t="s">
        <v>1102</v>
      </c>
      <c r="C1949" s="10" t="s">
        <v>1952</v>
      </c>
      <c r="D1949" s="3" t="s">
        <v>2417</v>
      </c>
      <c r="E1949" s="4" t="s">
        <v>2</v>
      </c>
      <c r="F1949" s="18">
        <v>2176</v>
      </c>
      <c r="G1949" s="18" t="s">
        <v>3271</v>
      </c>
      <c r="H1949" s="10" t="s">
        <v>1981</v>
      </c>
      <c r="I1949" s="3">
        <v>23</v>
      </c>
      <c r="J1949" s="3" t="s">
        <v>3271</v>
      </c>
      <c r="K1949" s="3"/>
      <c r="L1949" t="str">
        <f t="shared" si="30"/>
        <v/>
      </c>
      <c r="M1949">
        <f>VLOOKUP(F1949,Sheet2!$B$1:$E$19,2,FALSE)</f>
        <v>1073</v>
      </c>
      <c r="N1949">
        <f>VLOOKUP(F1949,Sheet2!$B$1:$E$19,3,FALSE)</f>
        <v>1108963</v>
      </c>
      <c r="O1949" t="str">
        <f>IF(G1949="Not available","",VLOOKUP(F1949,Sheet2!$B$1:$E$19,4,FALSE)+(G1949-1))</f>
        <v/>
      </c>
    </row>
    <row r="1950" spans="1:15" s="1" customFormat="1" ht="15" customHeight="1" x14ac:dyDescent="0.25">
      <c r="A1950" s="18" t="s">
        <v>1037</v>
      </c>
      <c r="B1950" s="18" t="s">
        <v>1102</v>
      </c>
      <c r="C1950" s="5" t="s">
        <v>1843</v>
      </c>
      <c r="D1950" s="12" t="s">
        <v>197</v>
      </c>
      <c r="E1950" s="1" t="s">
        <v>2</v>
      </c>
      <c r="F1950" s="18">
        <v>2165</v>
      </c>
      <c r="G1950" s="18">
        <v>256</v>
      </c>
      <c r="H1950" s="5">
        <v>3</v>
      </c>
      <c r="I1950" s="1">
        <v>252</v>
      </c>
      <c r="J1950" s="1">
        <v>228</v>
      </c>
      <c r="L1950" t="str">
        <f t="shared" si="30"/>
        <v>http://www.badatelna.eu/reprodukce/?fondId=1073&amp;zaznamId=1108952&amp;reproId=3779117</v>
      </c>
      <c r="M1950">
        <f>VLOOKUP(F1950,Sheet2!$B$1:$E$19,2,FALSE)</f>
        <v>1073</v>
      </c>
      <c r="N1950">
        <f>VLOOKUP(F1950,Sheet2!$B$1:$E$19,3,FALSE)</f>
        <v>1108952</v>
      </c>
      <c r="O1950">
        <f>IF(G1950="Not available","",VLOOKUP(F1950,Sheet2!$B$1:$E$19,4,FALSE)+(G1950-1))</f>
        <v>3779117</v>
      </c>
    </row>
    <row r="1951" spans="1:15" s="1" customFormat="1" ht="15" customHeight="1" x14ac:dyDescent="0.25">
      <c r="A1951" s="18" t="s">
        <v>1037</v>
      </c>
      <c r="B1951" s="18" t="s">
        <v>2027</v>
      </c>
      <c r="C1951" s="10" t="s">
        <v>1285</v>
      </c>
      <c r="D1951" s="3" t="s">
        <v>2413</v>
      </c>
      <c r="E1951" s="4" t="s">
        <v>2</v>
      </c>
      <c r="F1951" s="18">
        <v>2176</v>
      </c>
      <c r="G1951" s="18" t="s">
        <v>3271</v>
      </c>
      <c r="H1951" s="10" t="s">
        <v>2414</v>
      </c>
      <c r="I1951" s="3">
        <v>23</v>
      </c>
      <c r="J1951" s="3" t="s">
        <v>3271</v>
      </c>
      <c r="K1951" s="3"/>
      <c r="L1951" t="str">
        <f t="shared" si="30"/>
        <v/>
      </c>
      <c r="M1951">
        <f>VLOOKUP(F1951,Sheet2!$B$1:$E$19,2,FALSE)</f>
        <v>1073</v>
      </c>
      <c r="N1951">
        <f>VLOOKUP(F1951,Sheet2!$B$1:$E$19,3,FALSE)</f>
        <v>1108963</v>
      </c>
      <c r="O1951" t="str">
        <f>IF(G1951="Not available","",VLOOKUP(F1951,Sheet2!$B$1:$E$19,4,FALSE)+(G1951-1))</f>
        <v/>
      </c>
    </row>
    <row r="1952" spans="1:15" s="1" customFormat="1" ht="15" customHeight="1" x14ac:dyDescent="0.25">
      <c r="A1952" s="18" t="s">
        <v>1037</v>
      </c>
      <c r="B1952" s="18" t="s">
        <v>2027</v>
      </c>
      <c r="C1952" s="10" t="s">
        <v>2093</v>
      </c>
      <c r="D1952" s="3" t="s">
        <v>2417</v>
      </c>
      <c r="E1952" s="4" t="s">
        <v>2</v>
      </c>
      <c r="F1952" s="18">
        <v>2176</v>
      </c>
      <c r="G1952" s="18" t="s">
        <v>3271</v>
      </c>
      <c r="H1952" s="10" t="s">
        <v>2086</v>
      </c>
      <c r="I1952" s="3">
        <v>23</v>
      </c>
      <c r="J1952" s="3" t="s">
        <v>3271</v>
      </c>
      <c r="K1952" s="3"/>
      <c r="L1952" t="str">
        <f t="shared" si="30"/>
        <v/>
      </c>
      <c r="M1952">
        <f>VLOOKUP(F1952,Sheet2!$B$1:$E$19,2,FALSE)</f>
        <v>1073</v>
      </c>
      <c r="N1952">
        <f>VLOOKUP(F1952,Sheet2!$B$1:$E$19,3,FALSE)</f>
        <v>1108963</v>
      </c>
      <c r="O1952" t="str">
        <f>IF(G1952="Not available","",VLOOKUP(F1952,Sheet2!$B$1:$E$19,4,FALSE)+(G1952-1))</f>
        <v/>
      </c>
    </row>
    <row r="1953" spans="1:15" s="1" customFormat="1" ht="15" customHeight="1" x14ac:dyDescent="0.25">
      <c r="A1953" s="18" t="s">
        <v>1037</v>
      </c>
      <c r="B1953" s="18" t="s">
        <v>847</v>
      </c>
      <c r="C1953" s="5">
        <v>1882</v>
      </c>
      <c r="D1953" s="1" t="s">
        <v>304</v>
      </c>
      <c r="E1953" s="1" t="s">
        <v>2</v>
      </c>
      <c r="F1953" s="18">
        <v>2165</v>
      </c>
      <c r="G1953" s="18">
        <v>181</v>
      </c>
      <c r="H1953" s="5">
        <v>5</v>
      </c>
      <c r="I1953" s="1">
        <v>182</v>
      </c>
      <c r="J1953" s="1">
        <v>159</v>
      </c>
      <c r="L1953" t="str">
        <f t="shared" si="30"/>
        <v>http://www.badatelna.eu/reprodukce/?fondId=1073&amp;zaznamId=1108952&amp;reproId=3779042</v>
      </c>
      <c r="M1953">
        <f>VLOOKUP(F1953,Sheet2!$B$1:$E$19,2,FALSE)</f>
        <v>1073</v>
      </c>
      <c r="N1953">
        <f>VLOOKUP(F1953,Sheet2!$B$1:$E$19,3,FALSE)</f>
        <v>1108952</v>
      </c>
      <c r="O1953">
        <f>IF(G1953="Not available","",VLOOKUP(F1953,Sheet2!$B$1:$E$19,4,FALSE)+(G1953-1))</f>
        <v>3779042</v>
      </c>
    </row>
    <row r="1954" spans="1:15" s="1" customFormat="1" ht="15" customHeight="1" x14ac:dyDescent="0.25">
      <c r="A1954" s="18" t="s">
        <v>1037</v>
      </c>
      <c r="B1954" s="18" t="s">
        <v>847</v>
      </c>
      <c r="C1954" s="5" t="s">
        <v>1911</v>
      </c>
      <c r="D1954" s="1" t="s">
        <v>197</v>
      </c>
      <c r="E1954" s="1" t="s">
        <v>2</v>
      </c>
      <c r="F1954" s="18">
        <v>2165</v>
      </c>
      <c r="G1954" s="18">
        <v>277</v>
      </c>
      <c r="H1954" s="5">
        <v>3</v>
      </c>
      <c r="I1954" s="1">
        <v>278</v>
      </c>
      <c r="J1954" s="1">
        <v>252</v>
      </c>
      <c r="L1954" t="str">
        <f t="shared" si="30"/>
        <v>http://www.badatelna.eu/reprodukce/?fondId=1073&amp;zaznamId=1108952&amp;reproId=3779138</v>
      </c>
      <c r="M1954">
        <f>VLOOKUP(F1954,Sheet2!$B$1:$E$19,2,FALSE)</f>
        <v>1073</v>
      </c>
      <c r="N1954">
        <f>VLOOKUP(F1954,Sheet2!$B$1:$E$19,3,FALSE)</f>
        <v>1108952</v>
      </c>
      <c r="O1954">
        <f>IF(G1954="Not available","",VLOOKUP(F1954,Sheet2!$B$1:$E$19,4,FALSE)+(G1954-1))</f>
        <v>3779138</v>
      </c>
    </row>
    <row r="1955" spans="1:15" s="1" customFormat="1" ht="15" customHeight="1" x14ac:dyDescent="0.25">
      <c r="A1955" s="18" t="s">
        <v>1037</v>
      </c>
      <c r="B1955" s="18" t="s">
        <v>998</v>
      </c>
      <c r="C1955" s="5" t="s">
        <v>1457</v>
      </c>
      <c r="D1955" s="1" t="s">
        <v>1036</v>
      </c>
      <c r="E1955" s="1" t="s">
        <v>2</v>
      </c>
      <c r="F1955" s="18">
        <v>2165</v>
      </c>
      <c r="G1955" s="18">
        <v>75</v>
      </c>
      <c r="H1955" s="5">
        <v>72</v>
      </c>
      <c r="I1955" s="1">
        <v>84</v>
      </c>
      <c r="J1955" s="1" t="s">
        <v>3271</v>
      </c>
      <c r="L1955" t="str">
        <f t="shared" si="30"/>
        <v>http://www.badatelna.eu/reprodukce/?fondId=1073&amp;zaznamId=1108952&amp;reproId=3778936</v>
      </c>
      <c r="M1955">
        <f>VLOOKUP(F1955,Sheet2!$B$1:$E$19,2,FALSE)</f>
        <v>1073</v>
      </c>
      <c r="N1955">
        <f>VLOOKUP(F1955,Sheet2!$B$1:$E$19,3,FALSE)</f>
        <v>1108952</v>
      </c>
      <c r="O1955">
        <f>IF(G1955="Not available","",VLOOKUP(F1955,Sheet2!$B$1:$E$19,4,FALSE)+(G1955-1))</f>
        <v>3778936</v>
      </c>
    </row>
    <row r="1956" spans="1:15" s="1" customFormat="1" ht="15" customHeight="1" x14ac:dyDescent="0.25">
      <c r="A1956" s="18" t="s">
        <v>248</v>
      </c>
      <c r="B1956" s="18" t="s">
        <v>213</v>
      </c>
      <c r="C1956" s="5">
        <v>1803</v>
      </c>
      <c r="E1956" s="1" t="s">
        <v>2</v>
      </c>
      <c r="F1956" s="18">
        <v>2173</v>
      </c>
      <c r="G1956" s="18">
        <v>47</v>
      </c>
      <c r="H1956" s="5">
        <v>89</v>
      </c>
      <c r="I1956" s="1">
        <v>102</v>
      </c>
      <c r="J1956" s="1">
        <v>217</v>
      </c>
      <c r="L1956" t="str">
        <f t="shared" si="30"/>
        <v>http://www.badatelna.eu/reprodukce/?fondId=1073&amp;zaznamId=1108959&amp;reproId=3780040</v>
      </c>
      <c r="M1956">
        <f>VLOOKUP(F1956,Sheet2!$B$1:$E$19,2,FALSE)</f>
        <v>1073</v>
      </c>
      <c r="N1956">
        <f>VLOOKUP(F1956,Sheet2!$B$1:$E$19,3,FALSE)</f>
        <v>1108959</v>
      </c>
      <c r="O1956">
        <f>IF(G1956="Not available","",VLOOKUP(F1956,Sheet2!$B$1:$E$19,4,FALSE)+(G1956-1))</f>
        <v>3780040</v>
      </c>
    </row>
    <row r="1957" spans="1:15" s="1" customFormat="1" ht="15" customHeight="1" x14ac:dyDescent="0.25">
      <c r="A1957" s="18" t="s">
        <v>248</v>
      </c>
      <c r="B1957" s="18" t="s">
        <v>12</v>
      </c>
      <c r="C1957" s="5">
        <v>1809</v>
      </c>
      <c r="E1957" s="1" t="s">
        <v>2</v>
      </c>
      <c r="F1957" s="18">
        <v>2173</v>
      </c>
      <c r="G1957" s="18">
        <v>55</v>
      </c>
      <c r="H1957" s="5">
        <v>104</v>
      </c>
      <c r="I1957" s="1">
        <v>102</v>
      </c>
      <c r="J1957" s="1">
        <v>217</v>
      </c>
      <c r="L1957" t="str">
        <f t="shared" si="30"/>
        <v>http://www.badatelna.eu/reprodukce/?fondId=1073&amp;zaznamId=1108959&amp;reproId=3780048</v>
      </c>
      <c r="M1957">
        <f>VLOOKUP(F1957,Sheet2!$B$1:$E$19,2,FALSE)</f>
        <v>1073</v>
      </c>
      <c r="N1957">
        <f>VLOOKUP(F1957,Sheet2!$B$1:$E$19,3,FALSE)</f>
        <v>1108959</v>
      </c>
      <c r="O1957">
        <f>IF(G1957="Not available","",VLOOKUP(F1957,Sheet2!$B$1:$E$19,4,FALSE)+(G1957-1))</f>
        <v>3780048</v>
      </c>
    </row>
    <row r="1958" spans="1:15" s="1" customFormat="1" ht="15" customHeight="1" x14ac:dyDescent="0.25">
      <c r="A1958" s="18" t="s">
        <v>1034</v>
      </c>
      <c r="B1958" s="19" t="s">
        <v>774</v>
      </c>
      <c r="C1958" s="5">
        <v>1861</v>
      </c>
      <c r="E1958" s="1" t="s">
        <v>939</v>
      </c>
      <c r="F1958" s="18">
        <v>999</v>
      </c>
      <c r="G1958" s="18">
        <v>29</v>
      </c>
      <c r="H1958" s="5">
        <v>27</v>
      </c>
      <c r="I1958" s="1">
        <v>69</v>
      </c>
      <c r="J1958" s="1">
        <v>103</v>
      </c>
      <c r="L1958" t="str">
        <f t="shared" si="30"/>
        <v>http://www.badatelna.eu/reprodukce/?fondId=241&amp;zaznamId=1133739&amp;reproId=3885758</v>
      </c>
      <c r="M1958">
        <f>VLOOKUP(F1958,Sheet2!$B$1:$E$19,2,FALSE)</f>
        <v>241</v>
      </c>
      <c r="N1958">
        <f>VLOOKUP(F1958,Sheet2!$B$1:$E$19,3,FALSE)</f>
        <v>1133739</v>
      </c>
      <c r="O1958">
        <f>IF(G1958="Not available","",VLOOKUP(F1958,Sheet2!$B$1:$E$19,4,FALSE)+(G1958-1))</f>
        <v>3885758</v>
      </c>
    </row>
    <row r="1959" spans="1:15" s="1" customFormat="1" ht="15" customHeight="1" x14ac:dyDescent="0.25">
      <c r="A1959" s="18" t="s">
        <v>1034</v>
      </c>
      <c r="B1959" s="18" t="s">
        <v>506</v>
      </c>
      <c r="C1959" s="5">
        <v>1862</v>
      </c>
      <c r="E1959" s="1" t="s">
        <v>939</v>
      </c>
      <c r="F1959" s="18">
        <v>999</v>
      </c>
      <c r="G1959" s="18">
        <v>39</v>
      </c>
      <c r="H1959" s="5">
        <v>37</v>
      </c>
      <c r="I1959" s="1">
        <v>69</v>
      </c>
      <c r="J1959" s="1">
        <v>103</v>
      </c>
      <c r="L1959" t="str">
        <f t="shared" si="30"/>
        <v>http://www.badatelna.eu/reprodukce/?fondId=241&amp;zaznamId=1133739&amp;reproId=3885768</v>
      </c>
      <c r="M1959">
        <f>VLOOKUP(F1959,Sheet2!$B$1:$E$19,2,FALSE)</f>
        <v>241</v>
      </c>
      <c r="N1959">
        <f>VLOOKUP(F1959,Sheet2!$B$1:$E$19,3,FALSE)</f>
        <v>1133739</v>
      </c>
      <c r="O1959">
        <f>IF(G1959="Not available","",VLOOKUP(F1959,Sheet2!$B$1:$E$19,4,FALSE)+(G1959-1))</f>
        <v>3885768</v>
      </c>
    </row>
    <row r="1960" spans="1:15" s="1" customFormat="1" ht="15" customHeight="1" x14ac:dyDescent="0.25">
      <c r="A1960" s="18" t="s">
        <v>1034</v>
      </c>
      <c r="B1960" s="18" t="s">
        <v>24</v>
      </c>
      <c r="C1960" s="5">
        <v>1866</v>
      </c>
      <c r="E1960" s="1" t="s">
        <v>939</v>
      </c>
      <c r="F1960" s="18">
        <v>999</v>
      </c>
      <c r="G1960" s="18">
        <v>58</v>
      </c>
      <c r="H1960" s="5">
        <v>56</v>
      </c>
      <c r="I1960" s="1">
        <v>69</v>
      </c>
      <c r="J1960" s="1">
        <v>103</v>
      </c>
      <c r="L1960" t="str">
        <f t="shared" si="30"/>
        <v>http://www.badatelna.eu/reprodukce/?fondId=241&amp;zaznamId=1133739&amp;reproId=3885787</v>
      </c>
      <c r="M1960">
        <f>VLOOKUP(F1960,Sheet2!$B$1:$E$19,2,FALSE)</f>
        <v>241</v>
      </c>
      <c r="N1960">
        <f>VLOOKUP(F1960,Sheet2!$B$1:$E$19,3,FALSE)</f>
        <v>1133739</v>
      </c>
      <c r="O1960">
        <f>IF(G1960="Not available","",VLOOKUP(F1960,Sheet2!$B$1:$E$19,4,FALSE)+(G1960-1))</f>
        <v>3885787</v>
      </c>
    </row>
    <row r="1961" spans="1:15" s="1" customFormat="1" ht="15" customHeight="1" x14ac:dyDescent="0.25">
      <c r="A1961" s="18" t="s">
        <v>1034</v>
      </c>
      <c r="B1961" s="18" t="s">
        <v>24</v>
      </c>
      <c r="C1961" s="5" t="s">
        <v>1456</v>
      </c>
      <c r="D1961" s="1" t="s">
        <v>1035</v>
      </c>
      <c r="E1961" s="1" t="s">
        <v>2</v>
      </c>
      <c r="F1961" s="18">
        <v>2165</v>
      </c>
      <c r="G1961" s="18">
        <v>12</v>
      </c>
      <c r="H1961" s="5">
        <v>9</v>
      </c>
      <c r="I1961" s="1">
        <v>84</v>
      </c>
      <c r="J1961" s="1" t="s">
        <v>3271</v>
      </c>
      <c r="L1961" t="str">
        <f t="shared" si="30"/>
        <v>http://www.badatelna.eu/reprodukce/?fondId=1073&amp;zaznamId=1108952&amp;reproId=3778873</v>
      </c>
      <c r="M1961">
        <f>VLOOKUP(F1961,Sheet2!$B$1:$E$19,2,FALSE)</f>
        <v>1073</v>
      </c>
      <c r="N1961">
        <f>VLOOKUP(F1961,Sheet2!$B$1:$E$19,3,FALSE)</f>
        <v>1108952</v>
      </c>
      <c r="O1961">
        <f>IF(G1961="Not available","",VLOOKUP(F1961,Sheet2!$B$1:$E$19,4,FALSE)+(G1961-1))</f>
        <v>3778873</v>
      </c>
    </row>
    <row r="1962" spans="1:15" s="1" customFormat="1" ht="15" customHeight="1" x14ac:dyDescent="0.25">
      <c r="A1962" s="18" t="s">
        <v>247</v>
      </c>
      <c r="B1962" s="18" t="s">
        <v>13</v>
      </c>
      <c r="C1962" s="5">
        <v>1803</v>
      </c>
      <c r="E1962" s="1" t="s">
        <v>2</v>
      </c>
      <c r="F1962" s="18">
        <v>2173</v>
      </c>
      <c r="G1962" s="18">
        <v>46</v>
      </c>
      <c r="H1962" s="5">
        <v>87</v>
      </c>
      <c r="I1962" s="1">
        <v>102</v>
      </c>
      <c r="J1962" s="1">
        <v>217</v>
      </c>
      <c r="L1962" t="str">
        <f t="shared" si="30"/>
        <v>http://www.badatelna.eu/reprodukce/?fondId=1073&amp;zaznamId=1108959&amp;reproId=3780039</v>
      </c>
      <c r="M1962">
        <f>VLOOKUP(F1962,Sheet2!$B$1:$E$19,2,FALSE)</f>
        <v>1073</v>
      </c>
      <c r="N1962">
        <f>VLOOKUP(F1962,Sheet2!$B$1:$E$19,3,FALSE)</f>
        <v>1108959</v>
      </c>
      <c r="O1962">
        <f>IF(G1962="Not available","",VLOOKUP(F1962,Sheet2!$B$1:$E$19,4,FALSE)+(G1962-1))</f>
        <v>3780039</v>
      </c>
    </row>
    <row r="1963" spans="1:15" s="1" customFormat="1" ht="15" customHeight="1" x14ac:dyDescent="0.25">
      <c r="A1963" s="18" t="s">
        <v>2459</v>
      </c>
      <c r="B1963" s="18" t="s">
        <v>2460</v>
      </c>
      <c r="C1963" s="10" t="s">
        <v>2458</v>
      </c>
      <c r="D1963" s="3" t="s">
        <v>2461</v>
      </c>
      <c r="E1963" s="4" t="s">
        <v>2</v>
      </c>
      <c r="F1963" s="18">
        <v>2176</v>
      </c>
      <c r="G1963" s="18" t="s">
        <v>3271</v>
      </c>
      <c r="H1963" s="10" t="s">
        <v>1954</v>
      </c>
      <c r="I1963" s="3">
        <v>25</v>
      </c>
      <c r="J1963" s="3" t="s">
        <v>3271</v>
      </c>
      <c r="K1963" s="3"/>
      <c r="L1963" t="str">
        <f t="shared" si="30"/>
        <v/>
      </c>
      <c r="M1963">
        <f>VLOOKUP(F1963,Sheet2!$B$1:$E$19,2,FALSE)</f>
        <v>1073</v>
      </c>
      <c r="N1963">
        <f>VLOOKUP(F1963,Sheet2!$B$1:$E$19,3,FALSE)</f>
        <v>1108963</v>
      </c>
      <c r="O1963" t="str">
        <f>IF(G1963="Not available","",VLOOKUP(F1963,Sheet2!$B$1:$E$19,4,FALSE)+(G1963-1))</f>
        <v/>
      </c>
    </row>
    <row r="1964" spans="1:15" s="1" customFormat="1" ht="15" customHeight="1" x14ac:dyDescent="0.25">
      <c r="A1964" s="19" t="s">
        <v>3081</v>
      </c>
      <c r="B1964" s="18" t="s">
        <v>15</v>
      </c>
      <c r="C1964" s="5">
        <v>1791</v>
      </c>
      <c r="D1964" s="1" t="s">
        <v>10</v>
      </c>
      <c r="E1964" s="1" t="s">
        <v>2</v>
      </c>
      <c r="F1964" s="18">
        <v>2173</v>
      </c>
      <c r="G1964" s="18">
        <v>25</v>
      </c>
      <c r="H1964" s="5">
        <v>44</v>
      </c>
      <c r="I1964" s="1">
        <v>103</v>
      </c>
      <c r="J1964" s="12">
        <v>221</v>
      </c>
      <c r="L1964" t="str">
        <f t="shared" si="30"/>
        <v>http://www.badatelna.eu/reprodukce/?fondId=1073&amp;zaznamId=1108959&amp;reproId=3780018</v>
      </c>
      <c r="M1964">
        <f>VLOOKUP(F1964,Sheet2!$B$1:$E$19,2,FALSE)</f>
        <v>1073</v>
      </c>
      <c r="N1964">
        <f>VLOOKUP(F1964,Sheet2!$B$1:$E$19,3,FALSE)</f>
        <v>1108959</v>
      </c>
      <c r="O1964">
        <f>IF(G1964="Not available","",VLOOKUP(F1964,Sheet2!$B$1:$E$19,4,FALSE)+(G1964-1))</f>
        <v>3780018</v>
      </c>
    </row>
    <row r="1965" spans="1:15" s="1" customFormat="1" ht="15" customHeight="1" x14ac:dyDescent="0.25">
      <c r="A1965" s="18" t="s">
        <v>259</v>
      </c>
      <c r="B1965" s="18" t="s">
        <v>871</v>
      </c>
      <c r="C1965" s="5">
        <v>1849</v>
      </c>
      <c r="D1965" s="1" t="s">
        <v>12</v>
      </c>
      <c r="E1965" s="1" t="s">
        <v>2</v>
      </c>
      <c r="F1965" s="18">
        <v>2164</v>
      </c>
      <c r="G1965" s="18">
        <v>64</v>
      </c>
      <c r="H1965" s="5">
        <v>62</v>
      </c>
      <c r="I1965" s="1">
        <v>131</v>
      </c>
      <c r="J1965" s="1" t="s">
        <v>3271</v>
      </c>
      <c r="L1965" t="str">
        <f t="shared" si="30"/>
        <v>http://www.badatelna.eu/reprodukce/?fondId=1073&amp;zaznamId=1108951&amp;reproId=3778778</v>
      </c>
      <c r="M1965">
        <f>VLOOKUP(F1965,Sheet2!$B$1:$E$19,2,FALSE)</f>
        <v>1073</v>
      </c>
      <c r="N1965">
        <f>VLOOKUP(F1965,Sheet2!$B$1:$E$19,3,FALSE)</f>
        <v>1108951</v>
      </c>
      <c r="O1965">
        <f>IF(G1965="Not available","",VLOOKUP(F1965,Sheet2!$B$1:$E$19,4,FALSE)+(G1965-1))</f>
        <v>3778778</v>
      </c>
    </row>
    <row r="1966" spans="1:15" s="1" customFormat="1" ht="15" customHeight="1" x14ac:dyDescent="0.25">
      <c r="A1966" s="18" t="s">
        <v>259</v>
      </c>
      <c r="B1966" s="18" t="s">
        <v>637</v>
      </c>
      <c r="C1966" s="5">
        <v>1835</v>
      </c>
      <c r="D1966" s="1" t="s">
        <v>12</v>
      </c>
      <c r="E1966" s="1" t="s">
        <v>2</v>
      </c>
      <c r="F1966" s="18">
        <v>2174</v>
      </c>
      <c r="G1966" s="18">
        <v>84</v>
      </c>
      <c r="H1966" s="6" t="s">
        <v>3150</v>
      </c>
      <c r="I1966" s="1">
        <v>189</v>
      </c>
      <c r="J1966" s="1">
        <v>220</v>
      </c>
      <c r="L1966" t="str">
        <f t="shared" si="30"/>
        <v>http://www.badatelna.eu/reprodukce/?fondId=1073&amp;zaznamId=1108960&amp;reproId=3780308</v>
      </c>
      <c r="M1966">
        <f>VLOOKUP(F1966,Sheet2!$B$1:$E$19,2,FALSE)</f>
        <v>1073</v>
      </c>
      <c r="N1966">
        <f>VLOOKUP(F1966,Sheet2!$B$1:$E$19,3,FALSE)</f>
        <v>1108960</v>
      </c>
      <c r="O1966">
        <f>IF(G1966="Not available","",VLOOKUP(F1966,Sheet2!$B$1:$E$19,4,FALSE)+(G1966-1))</f>
        <v>3780308</v>
      </c>
    </row>
    <row r="1967" spans="1:15" s="1" customFormat="1" ht="15" customHeight="1" x14ac:dyDescent="0.25">
      <c r="A1967" s="18" t="s">
        <v>259</v>
      </c>
      <c r="B1967" s="18" t="s">
        <v>880</v>
      </c>
      <c r="C1967" s="5">
        <v>1856</v>
      </c>
      <c r="D1967" s="1" t="s">
        <v>50</v>
      </c>
      <c r="E1967" s="1" t="s">
        <v>2</v>
      </c>
      <c r="F1967" s="18">
        <v>2164</v>
      </c>
      <c r="G1967" s="18">
        <v>113</v>
      </c>
      <c r="H1967" s="5">
        <v>111</v>
      </c>
      <c r="I1967" s="1">
        <v>131</v>
      </c>
      <c r="J1967" s="1" t="s">
        <v>3271</v>
      </c>
      <c r="L1967" t="str">
        <f t="shared" si="30"/>
        <v>http://www.badatelna.eu/reprodukce/?fondId=1073&amp;zaznamId=1108951&amp;reproId=3778827</v>
      </c>
      <c r="M1967">
        <f>VLOOKUP(F1967,Sheet2!$B$1:$E$19,2,FALSE)</f>
        <v>1073</v>
      </c>
      <c r="N1967">
        <f>VLOOKUP(F1967,Sheet2!$B$1:$E$19,3,FALSE)</f>
        <v>1108951</v>
      </c>
      <c r="O1967">
        <f>IF(G1967="Not available","",VLOOKUP(F1967,Sheet2!$B$1:$E$19,4,FALSE)+(G1967-1))</f>
        <v>3778827</v>
      </c>
    </row>
    <row r="1968" spans="1:15" s="1" customFormat="1" ht="15" customHeight="1" x14ac:dyDescent="0.25">
      <c r="A1968" s="18" t="s">
        <v>259</v>
      </c>
      <c r="B1968" s="18" t="s">
        <v>1223</v>
      </c>
      <c r="C1968" s="10" t="s">
        <v>1952</v>
      </c>
      <c r="D1968" s="3" t="s">
        <v>2441</v>
      </c>
      <c r="E1968" s="4" t="s">
        <v>2</v>
      </c>
      <c r="F1968" s="18">
        <v>2176</v>
      </c>
      <c r="G1968" s="18" t="s">
        <v>3271</v>
      </c>
      <c r="H1968" s="10" t="s">
        <v>2073</v>
      </c>
      <c r="I1968" s="3">
        <v>25</v>
      </c>
      <c r="J1968" s="3" t="s">
        <v>3271</v>
      </c>
      <c r="K1968" s="3"/>
      <c r="L1968" t="str">
        <f t="shared" si="30"/>
        <v/>
      </c>
      <c r="M1968">
        <f>VLOOKUP(F1968,Sheet2!$B$1:$E$19,2,FALSE)</f>
        <v>1073</v>
      </c>
      <c r="N1968">
        <f>VLOOKUP(F1968,Sheet2!$B$1:$E$19,3,FALSE)</f>
        <v>1108963</v>
      </c>
      <c r="O1968" t="str">
        <f>IF(G1968="Not available","",VLOOKUP(F1968,Sheet2!$B$1:$E$19,4,FALSE)+(G1968-1))</f>
        <v/>
      </c>
    </row>
    <row r="1969" spans="1:15" s="1" customFormat="1" ht="15" customHeight="1" x14ac:dyDescent="0.25">
      <c r="A1969" s="18" t="s">
        <v>259</v>
      </c>
      <c r="B1969" s="18" t="s">
        <v>1223</v>
      </c>
      <c r="C1969" s="5" t="s">
        <v>1845</v>
      </c>
      <c r="D1969" s="1" t="s">
        <v>1115</v>
      </c>
      <c r="E1969" s="1" t="s">
        <v>2</v>
      </c>
      <c r="F1969" s="18">
        <v>2165</v>
      </c>
      <c r="G1969" s="18">
        <v>256</v>
      </c>
      <c r="H1969" s="5">
        <v>3</v>
      </c>
      <c r="I1969" s="1">
        <v>252</v>
      </c>
      <c r="J1969" s="1">
        <v>228</v>
      </c>
      <c r="L1969" t="str">
        <f t="shared" si="30"/>
        <v>http://www.badatelna.eu/reprodukce/?fondId=1073&amp;zaznamId=1108952&amp;reproId=3779117</v>
      </c>
      <c r="M1969">
        <f>VLOOKUP(F1969,Sheet2!$B$1:$E$19,2,FALSE)</f>
        <v>1073</v>
      </c>
      <c r="N1969">
        <f>VLOOKUP(F1969,Sheet2!$B$1:$E$19,3,FALSE)</f>
        <v>1108952</v>
      </c>
      <c r="O1969">
        <f>IF(G1969="Not available","",VLOOKUP(F1969,Sheet2!$B$1:$E$19,4,FALSE)+(G1969-1))</f>
        <v>3779117</v>
      </c>
    </row>
    <row r="1970" spans="1:15" s="1" customFormat="1" ht="15" customHeight="1" x14ac:dyDescent="0.25">
      <c r="A1970" s="18" t="s">
        <v>259</v>
      </c>
      <c r="B1970" s="18" t="s">
        <v>135</v>
      </c>
      <c r="C1970" s="5" t="s">
        <v>1463</v>
      </c>
      <c r="D1970" s="1" t="s">
        <v>50</v>
      </c>
      <c r="E1970" s="1" t="s">
        <v>2</v>
      </c>
      <c r="F1970" s="18">
        <v>2165</v>
      </c>
      <c r="G1970" s="18">
        <v>20</v>
      </c>
      <c r="H1970" s="5">
        <v>17</v>
      </c>
      <c r="I1970" s="1">
        <v>85</v>
      </c>
      <c r="J1970" s="1" t="s">
        <v>3271</v>
      </c>
      <c r="L1970" t="str">
        <f t="shared" si="30"/>
        <v>http://www.badatelna.eu/reprodukce/?fondId=1073&amp;zaznamId=1108952&amp;reproId=3778881</v>
      </c>
      <c r="M1970">
        <f>VLOOKUP(F1970,Sheet2!$B$1:$E$19,2,FALSE)</f>
        <v>1073</v>
      </c>
      <c r="N1970">
        <f>VLOOKUP(F1970,Sheet2!$B$1:$E$19,3,FALSE)</f>
        <v>1108952</v>
      </c>
      <c r="O1970">
        <f>IF(G1970="Not available","",VLOOKUP(F1970,Sheet2!$B$1:$E$19,4,FALSE)+(G1970-1))</f>
        <v>3778881</v>
      </c>
    </row>
    <row r="1971" spans="1:15" s="1" customFormat="1" ht="15" customHeight="1" x14ac:dyDescent="0.25">
      <c r="A1971" s="18" t="s">
        <v>259</v>
      </c>
      <c r="B1971" s="18" t="s">
        <v>469</v>
      </c>
      <c r="C1971" s="5">
        <v>1838</v>
      </c>
      <c r="D1971" s="1" t="s">
        <v>428</v>
      </c>
      <c r="E1971" s="1" t="s">
        <v>2</v>
      </c>
      <c r="F1971" s="18">
        <v>2174</v>
      </c>
      <c r="G1971" s="18">
        <v>97</v>
      </c>
      <c r="H1971" s="6" t="s">
        <v>3167</v>
      </c>
      <c r="I1971" s="1">
        <v>189</v>
      </c>
      <c r="J1971" s="1">
        <v>220</v>
      </c>
      <c r="L1971" t="str">
        <f t="shared" si="30"/>
        <v>http://www.badatelna.eu/reprodukce/?fondId=1073&amp;zaznamId=1108960&amp;reproId=3780321</v>
      </c>
      <c r="M1971">
        <f>VLOOKUP(F1971,Sheet2!$B$1:$E$19,2,FALSE)</f>
        <v>1073</v>
      </c>
      <c r="N1971">
        <f>VLOOKUP(F1971,Sheet2!$B$1:$E$19,3,FALSE)</f>
        <v>1108960</v>
      </c>
      <c r="O1971">
        <f>IF(G1971="Not available","",VLOOKUP(F1971,Sheet2!$B$1:$E$19,4,FALSE)+(G1971-1))</f>
        <v>3780321</v>
      </c>
    </row>
    <row r="1972" spans="1:15" s="1" customFormat="1" ht="15" customHeight="1" x14ac:dyDescent="0.25">
      <c r="A1972" s="18" t="s">
        <v>259</v>
      </c>
      <c r="B1972" s="18" t="s">
        <v>495</v>
      </c>
      <c r="C1972" s="5">
        <v>1847</v>
      </c>
      <c r="D1972" s="1" t="s">
        <v>50</v>
      </c>
      <c r="E1972" s="1" t="s">
        <v>2</v>
      </c>
      <c r="F1972" s="18">
        <v>2164</v>
      </c>
      <c r="G1972" s="18">
        <v>9</v>
      </c>
      <c r="H1972" s="5">
        <v>7</v>
      </c>
      <c r="I1972" s="1">
        <v>131</v>
      </c>
      <c r="J1972" s="1" t="s">
        <v>3271</v>
      </c>
      <c r="L1972" t="str">
        <f t="shared" si="30"/>
        <v>http://www.badatelna.eu/reprodukce/?fondId=1073&amp;zaznamId=1108951&amp;reproId=3778723</v>
      </c>
      <c r="M1972">
        <f>VLOOKUP(F1972,Sheet2!$B$1:$E$19,2,FALSE)</f>
        <v>1073</v>
      </c>
      <c r="N1972">
        <f>VLOOKUP(F1972,Sheet2!$B$1:$E$19,3,FALSE)</f>
        <v>1108951</v>
      </c>
      <c r="O1972">
        <f>IF(G1972="Not available","",VLOOKUP(F1972,Sheet2!$B$1:$E$19,4,FALSE)+(G1972-1))</f>
        <v>3778723</v>
      </c>
    </row>
    <row r="1973" spans="1:15" s="1" customFormat="1" ht="15" customHeight="1" x14ac:dyDescent="0.25">
      <c r="A1973" s="18" t="s">
        <v>259</v>
      </c>
      <c r="B1973" s="18" t="s">
        <v>197</v>
      </c>
      <c r="C1973" s="5">
        <v>1866</v>
      </c>
      <c r="E1973" s="1" t="s">
        <v>939</v>
      </c>
      <c r="F1973" s="18">
        <v>999</v>
      </c>
      <c r="G1973" s="18">
        <v>57</v>
      </c>
      <c r="H1973" s="5">
        <v>55</v>
      </c>
      <c r="I1973" s="1">
        <v>70</v>
      </c>
      <c r="J1973" s="1">
        <v>104</v>
      </c>
      <c r="L1973" t="str">
        <f t="shared" si="30"/>
        <v>http://www.badatelna.eu/reprodukce/?fondId=241&amp;zaznamId=1133739&amp;reproId=3885786</v>
      </c>
      <c r="M1973">
        <f>VLOOKUP(F1973,Sheet2!$B$1:$E$19,2,FALSE)</f>
        <v>241</v>
      </c>
      <c r="N1973">
        <f>VLOOKUP(F1973,Sheet2!$B$1:$E$19,3,FALSE)</f>
        <v>1133739</v>
      </c>
      <c r="O1973">
        <f>IF(G1973="Not available","",VLOOKUP(F1973,Sheet2!$B$1:$E$19,4,FALSE)+(G1973-1))</f>
        <v>3885786</v>
      </c>
    </row>
    <row r="1974" spans="1:15" s="1" customFormat="1" ht="15" customHeight="1" x14ac:dyDescent="0.25">
      <c r="A1974" s="18" t="s">
        <v>259</v>
      </c>
      <c r="B1974" s="18" t="s">
        <v>197</v>
      </c>
      <c r="C1974" s="5" t="s">
        <v>1461</v>
      </c>
      <c r="D1974" s="1" t="s">
        <v>50</v>
      </c>
      <c r="E1974" s="1" t="s">
        <v>2</v>
      </c>
      <c r="F1974" s="18">
        <v>2165</v>
      </c>
      <c r="G1974" s="18">
        <v>11</v>
      </c>
      <c r="H1974" s="5">
        <v>8</v>
      </c>
      <c r="I1974" s="1">
        <v>85</v>
      </c>
      <c r="J1974" s="1" t="s">
        <v>3271</v>
      </c>
      <c r="L1974" t="str">
        <f t="shared" si="30"/>
        <v>http://www.badatelna.eu/reprodukce/?fondId=1073&amp;zaznamId=1108952&amp;reproId=3778872</v>
      </c>
      <c r="M1974">
        <f>VLOOKUP(F1974,Sheet2!$B$1:$E$19,2,FALSE)</f>
        <v>1073</v>
      </c>
      <c r="N1974">
        <f>VLOOKUP(F1974,Sheet2!$B$1:$E$19,3,FALSE)</f>
        <v>1108952</v>
      </c>
      <c r="O1974">
        <f>IF(G1974="Not available","",VLOOKUP(F1974,Sheet2!$B$1:$E$19,4,FALSE)+(G1974-1))</f>
        <v>3778872</v>
      </c>
    </row>
    <row r="1975" spans="1:15" s="1" customFormat="1" ht="15" customHeight="1" x14ac:dyDescent="0.25">
      <c r="A1975" s="18" t="s">
        <v>259</v>
      </c>
      <c r="B1975" s="18" t="s">
        <v>26</v>
      </c>
      <c r="C1975" s="5">
        <v>1845</v>
      </c>
      <c r="D1975" s="1" t="s">
        <v>486</v>
      </c>
      <c r="E1975" s="1" t="s">
        <v>2</v>
      </c>
      <c r="F1975" s="18">
        <v>2174</v>
      </c>
      <c r="G1975" s="18">
        <v>159</v>
      </c>
      <c r="H1975" s="6" t="s">
        <v>3225</v>
      </c>
      <c r="I1975" s="1">
        <v>190</v>
      </c>
      <c r="J1975" s="1">
        <v>221</v>
      </c>
      <c r="L1975" t="str">
        <f t="shared" si="30"/>
        <v>http://www.badatelna.eu/reprodukce/?fondId=1073&amp;zaznamId=1108960&amp;reproId=3780383</v>
      </c>
      <c r="M1975">
        <f>VLOOKUP(F1975,Sheet2!$B$1:$E$19,2,FALSE)</f>
        <v>1073</v>
      </c>
      <c r="N1975">
        <f>VLOOKUP(F1975,Sheet2!$B$1:$E$19,3,FALSE)</f>
        <v>1108960</v>
      </c>
      <c r="O1975">
        <f>IF(G1975="Not available","",VLOOKUP(F1975,Sheet2!$B$1:$E$19,4,FALSE)+(G1975-1))</f>
        <v>3780383</v>
      </c>
    </row>
    <row r="1976" spans="1:15" s="1" customFormat="1" ht="15" customHeight="1" x14ac:dyDescent="0.25">
      <c r="A1976" s="19" t="s">
        <v>259</v>
      </c>
      <c r="B1976" s="18" t="s">
        <v>46</v>
      </c>
      <c r="C1976" s="5">
        <v>1789</v>
      </c>
      <c r="D1976" s="1" t="s">
        <v>17</v>
      </c>
      <c r="E1976" s="1" t="s">
        <v>2</v>
      </c>
      <c r="F1976" s="18">
        <v>2173</v>
      </c>
      <c r="G1976" s="18">
        <v>19</v>
      </c>
      <c r="H1976" s="5">
        <v>33</v>
      </c>
      <c r="I1976" s="1">
        <v>115</v>
      </c>
      <c r="J1976" s="1">
        <v>259</v>
      </c>
      <c r="L1976" t="str">
        <f t="shared" si="30"/>
        <v>http://www.badatelna.eu/reprodukce/?fondId=1073&amp;zaznamId=1108959&amp;reproId=3780012</v>
      </c>
      <c r="M1976">
        <f>VLOOKUP(F1976,Sheet2!$B$1:$E$19,2,FALSE)</f>
        <v>1073</v>
      </c>
      <c r="N1976">
        <f>VLOOKUP(F1976,Sheet2!$B$1:$E$19,3,FALSE)</f>
        <v>1108959</v>
      </c>
      <c r="O1976">
        <f>IF(G1976="Not available","",VLOOKUP(F1976,Sheet2!$B$1:$E$19,4,FALSE)+(G1976-1))</f>
        <v>3780012</v>
      </c>
    </row>
    <row r="1977" spans="1:15" s="1" customFormat="1" ht="15" customHeight="1" x14ac:dyDescent="0.25">
      <c r="A1977" s="18" t="s">
        <v>259</v>
      </c>
      <c r="B1977" s="18" t="s">
        <v>233</v>
      </c>
      <c r="C1977" s="5">
        <v>1840</v>
      </c>
      <c r="D1977" s="1" t="s">
        <v>12</v>
      </c>
      <c r="E1977" s="1" t="s">
        <v>2</v>
      </c>
      <c r="F1977" s="18">
        <v>2174</v>
      </c>
      <c r="G1977" s="18">
        <v>111</v>
      </c>
      <c r="H1977" s="16" t="s">
        <v>3181</v>
      </c>
      <c r="I1977" s="1">
        <v>189</v>
      </c>
      <c r="J1977" s="1">
        <v>220</v>
      </c>
      <c r="L1977" t="str">
        <f t="shared" si="30"/>
        <v>http://www.badatelna.eu/reprodukce/?fondId=1073&amp;zaznamId=1108960&amp;reproId=3780335</v>
      </c>
      <c r="M1977">
        <f>VLOOKUP(F1977,Sheet2!$B$1:$E$19,2,FALSE)</f>
        <v>1073</v>
      </c>
      <c r="N1977">
        <f>VLOOKUP(F1977,Sheet2!$B$1:$E$19,3,FALSE)</f>
        <v>1108960</v>
      </c>
      <c r="O1977">
        <f>IF(G1977="Not available","",VLOOKUP(F1977,Sheet2!$B$1:$E$19,4,FALSE)+(G1977-1))</f>
        <v>3780335</v>
      </c>
    </row>
    <row r="1978" spans="1:15" s="1" customFormat="1" ht="15" customHeight="1" x14ac:dyDescent="0.25">
      <c r="A1978" s="18" t="s">
        <v>259</v>
      </c>
      <c r="B1978" s="18" t="s">
        <v>233</v>
      </c>
      <c r="C1978" s="5">
        <v>1841</v>
      </c>
      <c r="D1978" s="1" t="s">
        <v>486</v>
      </c>
      <c r="E1978" s="1" t="s">
        <v>2</v>
      </c>
      <c r="F1978" s="18">
        <v>2174</v>
      </c>
      <c r="G1978" s="18">
        <v>115</v>
      </c>
      <c r="H1978" s="6" t="s">
        <v>3184</v>
      </c>
      <c r="I1978" s="1">
        <v>189</v>
      </c>
      <c r="J1978" s="1">
        <v>220</v>
      </c>
      <c r="L1978" t="str">
        <f t="shared" si="30"/>
        <v>http://www.badatelna.eu/reprodukce/?fondId=1073&amp;zaznamId=1108960&amp;reproId=3780339</v>
      </c>
      <c r="M1978">
        <f>VLOOKUP(F1978,Sheet2!$B$1:$E$19,2,FALSE)</f>
        <v>1073</v>
      </c>
      <c r="N1978">
        <f>VLOOKUP(F1978,Sheet2!$B$1:$E$19,3,FALSE)</f>
        <v>1108960</v>
      </c>
      <c r="O1978">
        <f>IF(G1978="Not available","",VLOOKUP(F1978,Sheet2!$B$1:$E$19,4,FALSE)+(G1978-1))</f>
        <v>3780339</v>
      </c>
    </row>
    <row r="1979" spans="1:15" s="1" customFormat="1" ht="15" customHeight="1" x14ac:dyDescent="0.25">
      <c r="A1979" s="18" t="s">
        <v>259</v>
      </c>
      <c r="B1979" s="18" t="s">
        <v>684</v>
      </c>
      <c r="C1979" s="5">
        <v>1844</v>
      </c>
      <c r="D1979" s="1" t="s">
        <v>12</v>
      </c>
      <c r="E1979" s="1" t="s">
        <v>2</v>
      </c>
      <c r="F1979" s="18">
        <v>2174</v>
      </c>
      <c r="G1979" s="18">
        <v>147</v>
      </c>
      <c r="H1979" s="6" t="s">
        <v>3213</v>
      </c>
      <c r="I1979" s="1">
        <v>190</v>
      </c>
      <c r="J1979" s="1">
        <v>221</v>
      </c>
      <c r="L1979" t="str">
        <f t="shared" si="30"/>
        <v>http://www.badatelna.eu/reprodukce/?fondId=1073&amp;zaznamId=1108960&amp;reproId=3780371</v>
      </c>
      <c r="M1979">
        <f>VLOOKUP(F1979,Sheet2!$B$1:$E$19,2,FALSE)</f>
        <v>1073</v>
      </c>
      <c r="N1979">
        <f>VLOOKUP(F1979,Sheet2!$B$1:$E$19,3,FALSE)</f>
        <v>1108960</v>
      </c>
      <c r="O1979">
        <f>IF(G1979="Not available","",VLOOKUP(F1979,Sheet2!$B$1:$E$19,4,FALSE)+(G1979-1))</f>
        <v>3780371</v>
      </c>
    </row>
    <row r="1980" spans="1:15" s="1" customFormat="1" ht="15" customHeight="1" x14ac:dyDescent="0.25">
      <c r="A1980" s="19" t="s">
        <v>259</v>
      </c>
      <c r="B1980" s="18" t="s">
        <v>544</v>
      </c>
      <c r="C1980" s="5">
        <v>1837</v>
      </c>
      <c r="D1980" s="1" t="s">
        <v>486</v>
      </c>
      <c r="E1980" s="1" t="s">
        <v>2</v>
      </c>
      <c r="F1980" s="18">
        <v>2174</v>
      </c>
      <c r="G1980" s="18">
        <v>90</v>
      </c>
      <c r="H1980" s="6" t="s">
        <v>3156</v>
      </c>
      <c r="I1980" s="1">
        <v>189</v>
      </c>
      <c r="J1980" s="1">
        <v>220</v>
      </c>
      <c r="L1980" t="str">
        <f t="shared" si="30"/>
        <v>http://www.badatelna.eu/reprodukce/?fondId=1073&amp;zaznamId=1108960&amp;reproId=3780314</v>
      </c>
      <c r="M1980">
        <f>VLOOKUP(F1980,Sheet2!$B$1:$E$19,2,FALSE)</f>
        <v>1073</v>
      </c>
      <c r="N1980">
        <f>VLOOKUP(F1980,Sheet2!$B$1:$E$19,3,FALSE)</f>
        <v>1108960</v>
      </c>
      <c r="O1980">
        <f>IF(G1980="Not available","",VLOOKUP(F1980,Sheet2!$B$1:$E$19,4,FALSE)+(G1980-1))</f>
        <v>3780314</v>
      </c>
    </row>
    <row r="1981" spans="1:15" s="1" customFormat="1" ht="15" customHeight="1" x14ac:dyDescent="0.25">
      <c r="A1981" s="18" t="s">
        <v>259</v>
      </c>
      <c r="B1981" s="18" t="s">
        <v>434</v>
      </c>
      <c r="C1981" s="5" t="s">
        <v>1361</v>
      </c>
      <c r="D1981" s="1" t="s">
        <v>233</v>
      </c>
      <c r="E1981" s="1" t="s">
        <v>2</v>
      </c>
      <c r="F1981" s="18">
        <v>2165</v>
      </c>
      <c r="G1981" s="18">
        <v>17</v>
      </c>
      <c r="H1981" s="5">
        <v>14</v>
      </c>
      <c r="I1981" s="1">
        <v>85</v>
      </c>
      <c r="J1981" s="1" t="s">
        <v>3271</v>
      </c>
      <c r="L1981" t="str">
        <f t="shared" si="30"/>
        <v>http://www.badatelna.eu/reprodukce/?fondId=1073&amp;zaznamId=1108952&amp;reproId=3778878</v>
      </c>
      <c r="M1981">
        <f>VLOOKUP(F1981,Sheet2!$B$1:$E$19,2,FALSE)</f>
        <v>1073</v>
      </c>
      <c r="N1981">
        <f>VLOOKUP(F1981,Sheet2!$B$1:$E$19,3,FALSE)</f>
        <v>1108952</v>
      </c>
      <c r="O1981">
        <f>IF(G1981="Not available","",VLOOKUP(F1981,Sheet2!$B$1:$E$19,4,FALSE)+(G1981-1))</f>
        <v>3778878</v>
      </c>
    </row>
    <row r="1982" spans="1:15" s="1" customFormat="1" ht="15" customHeight="1" x14ac:dyDescent="0.25">
      <c r="A1982" s="18" t="s">
        <v>259</v>
      </c>
      <c r="B1982" s="18" t="s">
        <v>422</v>
      </c>
      <c r="C1982" s="5">
        <v>1833</v>
      </c>
      <c r="D1982" s="1" t="s">
        <v>12</v>
      </c>
      <c r="E1982" s="1" t="s">
        <v>2</v>
      </c>
      <c r="F1982" s="18">
        <v>2174</v>
      </c>
      <c r="G1982" s="18">
        <v>70</v>
      </c>
      <c r="H1982" s="10" t="s">
        <v>3140</v>
      </c>
      <c r="I1982" s="1">
        <v>189</v>
      </c>
      <c r="J1982" s="1">
        <v>220</v>
      </c>
      <c r="L1982" t="str">
        <f t="shared" si="30"/>
        <v>http://www.badatelna.eu/reprodukce/?fondId=1073&amp;zaznamId=1108960&amp;reproId=3780294</v>
      </c>
      <c r="M1982">
        <f>VLOOKUP(F1982,Sheet2!$B$1:$E$19,2,FALSE)</f>
        <v>1073</v>
      </c>
      <c r="N1982">
        <f>VLOOKUP(F1982,Sheet2!$B$1:$E$19,3,FALSE)</f>
        <v>1108960</v>
      </c>
      <c r="O1982">
        <f>IF(G1982="Not available","",VLOOKUP(F1982,Sheet2!$B$1:$E$19,4,FALSE)+(G1982-1))</f>
        <v>3780294</v>
      </c>
    </row>
    <row r="1983" spans="1:15" s="1" customFormat="1" ht="15" customHeight="1" x14ac:dyDescent="0.25">
      <c r="A1983" s="18" t="s">
        <v>259</v>
      </c>
      <c r="B1983" s="19" t="s">
        <v>18</v>
      </c>
      <c r="C1983" s="5">
        <v>1788</v>
      </c>
      <c r="D1983" s="1" t="s">
        <v>12</v>
      </c>
      <c r="E1983" s="1" t="s">
        <v>2</v>
      </c>
      <c r="F1983" s="18">
        <v>2173</v>
      </c>
      <c r="G1983" s="18">
        <v>16</v>
      </c>
      <c r="H1983" s="5">
        <v>27</v>
      </c>
      <c r="I1983" s="1">
        <v>103</v>
      </c>
      <c r="J1983" s="12">
        <v>221</v>
      </c>
      <c r="L1983" t="str">
        <f t="shared" si="30"/>
        <v>http://www.badatelna.eu/reprodukce/?fondId=1073&amp;zaznamId=1108959&amp;reproId=3780009</v>
      </c>
      <c r="M1983">
        <f>VLOOKUP(F1983,Sheet2!$B$1:$E$19,2,FALSE)</f>
        <v>1073</v>
      </c>
      <c r="N1983">
        <f>VLOOKUP(F1983,Sheet2!$B$1:$E$19,3,FALSE)</f>
        <v>1108959</v>
      </c>
      <c r="O1983">
        <f>IF(G1983="Not available","",VLOOKUP(F1983,Sheet2!$B$1:$E$19,4,FALSE)+(G1983-1))</f>
        <v>3780009</v>
      </c>
    </row>
    <row r="1984" spans="1:15" s="1" customFormat="1" ht="15" customHeight="1" x14ac:dyDescent="0.25">
      <c r="A1984" s="18" t="s">
        <v>259</v>
      </c>
      <c r="B1984" s="18" t="s">
        <v>398</v>
      </c>
      <c r="C1984" s="5">
        <v>1831</v>
      </c>
      <c r="D1984" s="1" t="s">
        <v>428</v>
      </c>
      <c r="E1984" s="1" t="s">
        <v>2</v>
      </c>
      <c r="F1984" s="18">
        <v>2174</v>
      </c>
      <c r="G1984" s="18">
        <v>64</v>
      </c>
      <c r="H1984" s="6" t="s">
        <v>3108</v>
      </c>
      <c r="I1984" s="1">
        <v>189</v>
      </c>
      <c r="J1984" s="1">
        <v>220</v>
      </c>
      <c r="L1984" t="str">
        <f t="shared" si="30"/>
        <v>http://www.badatelna.eu/reprodukce/?fondId=1073&amp;zaznamId=1108960&amp;reproId=3780288</v>
      </c>
      <c r="M1984">
        <f>VLOOKUP(F1984,Sheet2!$B$1:$E$19,2,FALSE)</f>
        <v>1073</v>
      </c>
      <c r="N1984">
        <f>VLOOKUP(F1984,Sheet2!$B$1:$E$19,3,FALSE)</f>
        <v>1108960</v>
      </c>
      <c r="O1984">
        <f>IF(G1984="Not available","",VLOOKUP(F1984,Sheet2!$B$1:$E$19,4,FALSE)+(G1984-1))</f>
        <v>3780288</v>
      </c>
    </row>
    <row r="1985" spans="1:15" s="1" customFormat="1" ht="15" customHeight="1" x14ac:dyDescent="0.25">
      <c r="A1985" s="18" t="s">
        <v>259</v>
      </c>
      <c r="B1985" s="18" t="s">
        <v>683</v>
      </c>
      <c r="C1985" s="5">
        <v>1843</v>
      </c>
      <c r="D1985" s="1" t="s">
        <v>486</v>
      </c>
      <c r="E1985" s="1" t="s">
        <v>2</v>
      </c>
      <c r="F1985" s="18">
        <v>2174</v>
      </c>
      <c r="G1985" s="18">
        <v>140</v>
      </c>
      <c r="H1985" s="6" t="s">
        <v>3205</v>
      </c>
      <c r="I1985" s="1">
        <v>190</v>
      </c>
      <c r="J1985" s="1">
        <v>221</v>
      </c>
      <c r="L1985" t="str">
        <f t="shared" si="30"/>
        <v>http://www.badatelna.eu/reprodukce/?fondId=1073&amp;zaznamId=1108960&amp;reproId=3780364</v>
      </c>
      <c r="M1985">
        <f>VLOOKUP(F1985,Sheet2!$B$1:$E$19,2,FALSE)</f>
        <v>1073</v>
      </c>
      <c r="N1985">
        <f>VLOOKUP(F1985,Sheet2!$B$1:$E$19,3,FALSE)</f>
        <v>1108960</v>
      </c>
      <c r="O1985">
        <f>IF(G1985="Not available","",VLOOKUP(F1985,Sheet2!$B$1:$E$19,4,FALSE)+(G1985-1))</f>
        <v>3780364</v>
      </c>
    </row>
    <row r="1986" spans="1:15" s="1" customFormat="1" ht="15" customHeight="1" x14ac:dyDescent="0.25">
      <c r="A1986" s="18" t="s">
        <v>259</v>
      </c>
      <c r="B1986" s="18" t="s">
        <v>924</v>
      </c>
      <c r="C1986" s="5">
        <v>1864</v>
      </c>
      <c r="E1986" s="1" t="s">
        <v>939</v>
      </c>
      <c r="F1986" s="18">
        <v>999</v>
      </c>
      <c r="G1986" s="18">
        <v>47</v>
      </c>
      <c r="H1986" s="6" t="s">
        <v>2867</v>
      </c>
      <c r="I1986" s="1">
        <v>70</v>
      </c>
      <c r="J1986" s="1">
        <v>104</v>
      </c>
      <c r="L1986" t="str">
        <f t="shared" si="30"/>
        <v>http://www.badatelna.eu/reprodukce/?fondId=241&amp;zaznamId=1133739&amp;reproId=3885776</v>
      </c>
      <c r="M1986">
        <f>VLOOKUP(F1986,Sheet2!$B$1:$E$19,2,FALSE)</f>
        <v>241</v>
      </c>
      <c r="N1986">
        <f>VLOOKUP(F1986,Sheet2!$B$1:$E$19,3,FALSE)</f>
        <v>1133739</v>
      </c>
      <c r="O1986">
        <f>IF(G1986="Not available","",VLOOKUP(F1986,Sheet2!$B$1:$E$19,4,FALSE)+(G1986-1))</f>
        <v>3885776</v>
      </c>
    </row>
    <row r="1987" spans="1:15" s="1" customFormat="1" ht="15" customHeight="1" x14ac:dyDescent="0.25">
      <c r="A1987" s="18" t="s">
        <v>259</v>
      </c>
      <c r="B1987" s="18" t="s">
        <v>424</v>
      </c>
      <c r="C1987" s="5">
        <v>1839</v>
      </c>
      <c r="D1987" s="1" t="s">
        <v>50</v>
      </c>
      <c r="E1987" s="1" t="s">
        <v>2</v>
      </c>
      <c r="F1987" s="18">
        <v>2174</v>
      </c>
      <c r="G1987" s="18">
        <v>104</v>
      </c>
      <c r="H1987" s="6" t="s">
        <v>3174</v>
      </c>
      <c r="I1987" s="1">
        <v>189</v>
      </c>
      <c r="J1987" s="1">
        <v>220</v>
      </c>
      <c r="L1987" t="str">
        <f t="shared" ref="L1987:L2050" si="31">IF(G1987="Not available","","http://www.badatelna.eu/reprodukce/?fondId="&amp;M1987&amp;"&amp;zaznamId="&amp;N1987&amp;"&amp;reproId="&amp;O1987)</f>
        <v>http://www.badatelna.eu/reprodukce/?fondId=1073&amp;zaznamId=1108960&amp;reproId=3780328</v>
      </c>
      <c r="M1987">
        <f>VLOOKUP(F1987,Sheet2!$B$1:$E$19,2,FALSE)</f>
        <v>1073</v>
      </c>
      <c r="N1987">
        <f>VLOOKUP(F1987,Sheet2!$B$1:$E$19,3,FALSE)</f>
        <v>1108960</v>
      </c>
      <c r="O1987">
        <f>IF(G1987="Not available","",VLOOKUP(F1987,Sheet2!$B$1:$E$19,4,FALSE)+(G1987-1))</f>
        <v>3780328</v>
      </c>
    </row>
    <row r="1988" spans="1:15" s="1" customFormat="1" ht="15" customHeight="1" x14ac:dyDescent="0.25">
      <c r="A1988" s="19" t="s">
        <v>3061</v>
      </c>
      <c r="B1988" s="19" t="s">
        <v>3060</v>
      </c>
      <c r="C1988" s="5">
        <v>1784</v>
      </c>
      <c r="E1988" s="1" t="s">
        <v>2</v>
      </c>
      <c r="F1988" s="18">
        <v>2173</v>
      </c>
      <c r="G1988" s="18">
        <v>4</v>
      </c>
      <c r="H1988" s="6" t="s">
        <v>2969</v>
      </c>
      <c r="I1988" s="1">
        <v>103</v>
      </c>
      <c r="J1988" s="12">
        <v>221</v>
      </c>
      <c r="L1988" t="str">
        <f t="shared" si="31"/>
        <v>http://www.badatelna.eu/reprodukce/?fondId=1073&amp;zaznamId=1108959&amp;reproId=3779997</v>
      </c>
      <c r="M1988">
        <f>VLOOKUP(F1988,Sheet2!$B$1:$E$19,2,FALSE)</f>
        <v>1073</v>
      </c>
      <c r="N1988">
        <f>VLOOKUP(F1988,Sheet2!$B$1:$E$19,3,FALSE)</f>
        <v>1108959</v>
      </c>
      <c r="O1988">
        <f>IF(G1988="Not available","",VLOOKUP(F1988,Sheet2!$B$1:$E$19,4,FALSE)+(G1988-1))</f>
        <v>3779997</v>
      </c>
    </row>
    <row r="1989" spans="1:15" s="1" customFormat="1" ht="15" customHeight="1" x14ac:dyDescent="0.25">
      <c r="A1989" s="18" t="s">
        <v>1232</v>
      </c>
      <c r="B1989" s="18" t="s">
        <v>2096</v>
      </c>
      <c r="C1989" s="10" t="s">
        <v>2087</v>
      </c>
      <c r="D1989" s="3" t="s">
        <v>2828</v>
      </c>
      <c r="E1989" s="4" t="s">
        <v>2</v>
      </c>
      <c r="F1989" s="18">
        <v>2176</v>
      </c>
      <c r="G1989" s="18" t="s">
        <v>3271</v>
      </c>
      <c r="H1989" s="10" t="s">
        <v>2094</v>
      </c>
      <c r="I1989" s="3">
        <v>25</v>
      </c>
      <c r="J1989" s="3" t="s">
        <v>3271</v>
      </c>
      <c r="K1989" s="3"/>
      <c r="L1989" t="str">
        <f t="shared" si="31"/>
        <v/>
      </c>
      <c r="M1989">
        <f>VLOOKUP(F1989,Sheet2!$B$1:$E$19,2,FALSE)</f>
        <v>1073</v>
      </c>
      <c r="N1989">
        <f>VLOOKUP(F1989,Sheet2!$B$1:$E$19,3,FALSE)</f>
        <v>1108963</v>
      </c>
      <c r="O1989" t="str">
        <f>IF(G1989="Not available","",VLOOKUP(F1989,Sheet2!$B$1:$E$19,4,FALSE)+(G1989-1))</f>
        <v/>
      </c>
    </row>
    <row r="1990" spans="1:15" s="1" customFormat="1" ht="15" customHeight="1" x14ac:dyDescent="0.25">
      <c r="A1990" s="18" t="s">
        <v>1232</v>
      </c>
      <c r="B1990" s="18" t="s">
        <v>1126</v>
      </c>
      <c r="C1990" s="10" t="s">
        <v>2098</v>
      </c>
      <c r="D1990" s="3" t="s">
        <v>2828</v>
      </c>
      <c r="E1990" s="4" t="s">
        <v>2</v>
      </c>
      <c r="F1990" s="18">
        <v>2176</v>
      </c>
      <c r="G1990" s="18" t="s">
        <v>3271</v>
      </c>
      <c r="H1990" s="10" t="s">
        <v>2075</v>
      </c>
      <c r="I1990" s="3">
        <v>25</v>
      </c>
      <c r="J1990" s="3" t="s">
        <v>3271</v>
      </c>
      <c r="K1990" s="3"/>
      <c r="L1990" t="str">
        <f t="shared" si="31"/>
        <v/>
      </c>
      <c r="M1990">
        <f>VLOOKUP(F1990,Sheet2!$B$1:$E$19,2,FALSE)</f>
        <v>1073</v>
      </c>
      <c r="N1990">
        <f>VLOOKUP(F1990,Sheet2!$B$1:$E$19,3,FALSE)</f>
        <v>1108963</v>
      </c>
      <c r="O1990" t="str">
        <f>IF(G1990="Not available","",VLOOKUP(F1990,Sheet2!$B$1:$E$19,4,FALSE)+(G1990-1))</f>
        <v/>
      </c>
    </row>
    <row r="1991" spans="1:15" s="1" customFormat="1" ht="15" customHeight="1" x14ac:dyDescent="0.25">
      <c r="A1991" s="18" t="s">
        <v>1232</v>
      </c>
      <c r="B1991" s="18" t="s">
        <v>1224</v>
      </c>
      <c r="C1991" s="14" t="s">
        <v>2098</v>
      </c>
      <c r="D1991" s="4" t="s">
        <v>2818</v>
      </c>
      <c r="E1991" s="1" t="s">
        <v>2</v>
      </c>
      <c r="F1991" s="18">
        <v>2165</v>
      </c>
      <c r="G1991" s="18">
        <v>302</v>
      </c>
      <c r="H1991" s="5">
        <v>1</v>
      </c>
      <c r="I1991" s="1">
        <v>305</v>
      </c>
      <c r="J1991" s="1">
        <v>278</v>
      </c>
      <c r="L1991" t="str">
        <f t="shared" si="31"/>
        <v>http://www.badatelna.eu/reprodukce/?fondId=1073&amp;zaznamId=1108952&amp;reproId=3779163</v>
      </c>
      <c r="M1991">
        <f>VLOOKUP(F1991,Sheet2!$B$1:$E$19,2,FALSE)</f>
        <v>1073</v>
      </c>
      <c r="N1991">
        <f>VLOOKUP(F1991,Sheet2!$B$1:$E$19,3,FALSE)</f>
        <v>1108952</v>
      </c>
      <c r="O1991">
        <f>IF(G1991="Not available","",VLOOKUP(F1991,Sheet2!$B$1:$E$19,4,FALSE)+(G1991-1))</f>
        <v>3779163</v>
      </c>
    </row>
    <row r="1992" spans="1:15" s="1" customFormat="1" ht="15" customHeight="1" x14ac:dyDescent="0.25">
      <c r="A1992" s="18" t="s">
        <v>1232</v>
      </c>
      <c r="B1992" s="18" t="s">
        <v>1209</v>
      </c>
      <c r="C1992" s="5" t="s">
        <v>1867</v>
      </c>
      <c r="D1992" s="4" t="s">
        <v>2819</v>
      </c>
      <c r="E1992" s="1" t="s">
        <v>2</v>
      </c>
      <c r="F1992" s="18">
        <v>2165</v>
      </c>
      <c r="G1992" s="18">
        <v>261</v>
      </c>
      <c r="H1992" s="5">
        <v>2</v>
      </c>
      <c r="I1992" s="1">
        <v>265</v>
      </c>
      <c r="J1992" s="1">
        <v>239</v>
      </c>
      <c r="L1992" t="str">
        <f t="shared" si="31"/>
        <v>http://www.badatelna.eu/reprodukce/?fondId=1073&amp;zaznamId=1108952&amp;reproId=3779122</v>
      </c>
      <c r="M1992">
        <f>VLOOKUP(F1992,Sheet2!$B$1:$E$19,2,FALSE)</f>
        <v>1073</v>
      </c>
      <c r="N1992">
        <f>VLOOKUP(F1992,Sheet2!$B$1:$E$19,3,FALSE)</f>
        <v>1108952</v>
      </c>
      <c r="O1992">
        <f>IF(G1992="Not available","",VLOOKUP(F1992,Sheet2!$B$1:$E$19,4,FALSE)+(G1992-1))</f>
        <v>3779122</v>
      </c>
    </row>
    <row r="1993" spans="1:15" s="1" customFormat="1" ht="15" customHeight="1" x14ac:dyDescent="0.25">
      <c r="A1993" s="18" t="s">
        <v>1232</v>
      </c>
      <c r="B1993" s="18" t="s">
        <v>1241</v>
      </c>
      <c r="C1993" s="5" t="s">
        <v>1895</v>
      </c>
      <c r="D1993" s="4" t="s">
        <v>2818</v>
      </c>
      <c r="E1993" s="1" t="s">
        <v>2</v>
      </c>
      <c r="F1993" s="18">
        <v>2165</v>
      </c>
      <c r="G1993" s="18">
        <v>271</v>
      </c>
      <c r="H1993" s="5">
        <v>3</v>
      </c>
      <c r="I1993" s="1">
        <v>272</v>
      </c>
      <c r="J1993" s="1">
        <v>246</v>
      </c>
      <c r="L1993" t="str">
        <f t="shared" si="31"/>
        <v>http://www.badatelna.eu/reprodukce/?fondId=1073&amp;zaznamId=1108952&amp;reproId=3779132</v>
      </c>
      <c r="M1993">
        <f>VLOOKUP(F1993,Sheet2!$B$1:$E$19,2,FALSE)</f>
        <v>1073</v>
      </c>
      <c r="N1993">
        <f>VLOOKUP(F1993,Sheet2!$B$1:$E$19,3,FALSE)</f>
        <v>1108952</v>
      </c>
      <c r="O1993">
        <f>IF(G1993="Not available","",VLOOKUP(F1993,Sheet2!$B$1:$E$19,4,FALSE)+(G1993-1))</f>
        <v>3779132</v>
      </c>
    </row>
    <row r="1994" spans="1:15" s="1" customFormat="1" ht="15" customHeight="1" x14ac:dyDescent="0.25">
      <c r="A1994" s="18" t="s">
        <v>1232</v>
      </c>
      <c r="B1994" s="18" t="s">
        <v>1152</v>
      </c>
      <c r="C1994" s="10" t="s">
        <v>2092</v>
      </c>
      <c r="D1994" s="3" t="s">
        <v>2828</v>
      </c>
      <c r="E1994" s="4" t="s">
        <v>2</v>
      </c>
      <c r="F1994" s="18">
        <v>2176</v>
      </c>
      <c r="G1994" s="18" t="s">
        <v>3271</v>
      </c>
      <c r="H1994" s="10" t="s">
        <v>2175</v>
      </c>
      <c r="I1994" s="3">
        <v>25</v>
      </c>
      <c r="J1994" s="3" t="s">
        <v>3271</v>
      </c>
      <c r="K1994" s="3"/>
      <c r="L1994" t="str">
        <f t="shared" si="31"/>
        <v/>
      </c>
      <c r="M1994">
        <f>VLOOKUP(F1994,Sheet2!$B$1:$E$19,2,FALSE)</f>
        <v>1073</v>
      </c>
      <c r="N1994">
        <f>VLOOKUP(F1994,Sheet2!$B$1:$E$19,3,FALSE)</f>
        <v>1108963</v>
      </c>
      <c r="O1994" t="str">
        <f>IF(G1994="Not available","",VLOOKUP(F1994,Sheet2!$B$1:$E$19,4,FALSE)+(G1994-1))</f>
        <v/>
      </c>
    </row>
    <row r="1995" spans="1:15" s="1" customFormat="1" ht="15" customHeight="1" x14ac:dyDescent="0.25">
      <c r="A1995" s="18" t="s">
        <v>263</v>
      </c>
      <c r="B1995" s="18" t="s">
        <v>876</v>
      </c>
      <c r="C1995" s="5">
        <v>1852</v>
      </c>
      <c r="D1995" s="1" t="s">
        <v>875</v>
      </c>
      <c r="E1995" s="1" t="s">
        <v>2</v>
      </c>
      <c r="F1995" s="18">
        <v>2164</v>
      </c>
      <c r="G1995" s="18">
        <v>84</v>
      </c>
      <c r="H1995" s="5">
        <v>82</v>
      </c>
      <c r="I1995" s="1">
        <v>131</v>
      </c>
      <c r="J1995" s="3" t="s">
        <v>3271</v>
      </c>
      <c r="L1995" t="str">
        <f t="shared" si="31"/>
        <v>http://www.badatelna.eu/reprodukce/?fondId=1073&amp;zaznamId=1108951&amp;reproId=3778798</v>
      </c>
      <c r="M1995">
        <f>VLOOKUP(F1995,Sheet2!$B$1:$E$19,2,FALSE)</f>
        <v>1073</v>
      </c>
      <c r="N1995">
        <f>VLOOKUP(F1995,Sheet2!$B$1:$E$19,3,FALSE)</f>
        <v>1108951</v>
      </c>
      <c r="O1995">
        <f>IF(G1995="Not available","",VLOOKUP(F1995,Sheet2!$B$1:$E$19,4,FALSE)+(G1995-1))</f>
        <v>3778798</v>
      </c>
    </row>
    <row r="1996" spans="1:15" s="1" customFormat="1" ht="15" customHeight="1" x14ac:dyDescent="0.25">
      <c r="A1996" s="18" t="s">
        <v>263</v>
      </c>
      <c r="B1996" s="18" t="s">
        <v>477</v>
      </c>
      <c r="C1996" s="5">
        <v>1852</v>
      </c>
      <c r="D1996" s="1" t="s">
        <v>40</v>
      </c>
      <c r="E1996" s="1" t="s">
        <v>2</v>
      </c>
      <c r="F1996" s="18">
        <v>2164</v>
      </c>
      <c r="G1996" s="18">
        <v>81</v>
      </c>
      <c r="H1996" s="5">
        <v>79</v>
      </c>
      <c r="I1996" s="1">
        <v>131</v>
      </c>
      <c r="J1996" s="3" t="s">
        <v>3271</v>
      </c>
      <c r="L1996" t="str">
        <f t="shared" si="31"/>
        <v>http://www.badatelna.eu/reprodukce/?fondId=1073&amp;zaznamId=1108951&amp;reproId=3778795</v>
      </c>
      <c r="M1996">
        <f>VLOOKUP(F1996,Sheet2!$B$1:$E$19,2,FALSE)</f>
        <v>1073</v>
      </c>
      <c r="N1996">
        <f>VLOOKUP(F1996,Sheet2!$B$1:$E$19,3,FALSE)</f>
        <v>1108951</v>
      </c>
      <c r="O1996">
        <f>IF(G1996="Not available","",VLOOKUP(F1996,Sheet2!$B$1:$E$19,4,FALSE)+(G1996-1))</f>
        <v>3778795</v>
      </c>
    </row>
    <row r="1997" spans="1:15" s="1" customFormat="1" ht="15" customHeight="1" x14ac:dyDescent="0.25">
      <c r="A1997" s="18" t="s">
        <v>263</v>
      </c>
      <c r="B1997" s="18" t="s">
        <v>819</v>
      </c>
      <c r="C1997" s="5">
        <v>1853</v>
      </c>
      <c r="D1997" s="1" t="s">
        <v>434</v>
      </c>
      <c r="E1997" s="1" t="s">
        <v>2</v>
      </c>
      <c r="F1997" s="18">
        <v>2164</v>
      </c>
      <c r="G1997" s="18">
        <v>92</v>
      </c>
      <c r="H1997" s="5">
        <v>90</v>
      </c>
      <c r="I1997" s="1">
        <v>131</v>
      </c>
      <c r="J1997" s="3" t="s">
        <v>3271</v>
      </c>
      <c r="L1997" t="str">
        <f t="shared" si="31"/>
        <v>http://www.badatelna.eu/reprodukce/?fondId=1073&amp;zaznamId=1108951&amp;reproId=3778806</v>
      </c>
      <c r="M1997">
        <f>VLOOKUP(F1997,Sheet2!$B$1:$E$19,2,FALSE)</f>
        <v>1073</v>
      </c>
      <c r="N1997">
        <f>VLOOKUP(F1997,Sheet2!$B$1:$E$19,3,FALSE)</f>
        <v>1108951</v>
      </c>
      <c r="O1997">
        <f>IF(G1997="Not available","",VLOOKUP(F1997,Sheet2!$B$1:$E$19,4,FALSE)+(G1997-1))</f>
        <v>3778806</v>
      </c>
    </row>
    <row r="1998" spans="1:15" s="1" customFormat="1" ht="15" customHeight="1" x14ac:dyDescent="0.25">
      <c r="A1998" s="18" t="s">
        <v>263</v>
      </c>
      <c r="B1998" s="18" t="s">
        <v>985</v>
      </c>
      <c r="C1998" s="5">
        <v>1889</v>
      </c>
      <c r="D1998" s="1" t="s">
        <v>233</v>
      </c>
      <c r="E1998" s="1" t="s">
        <v>2</v>
      </c>
      <c r="F1998" s="18">
        <v>2165</v>
      </c>
      <c r="G1998" s="18">
        <v>223</v>
      </c>
      <c r="H1998" s="5">
        <v>3</v>
      </c>
      <c r="I1998" s="1">
        <v>225</v>
      </c>
      <c r="J1998" s="1">
        <v>201</v>
      </c>
      <c r="L1998" t="str">
        <f t="shared" si="31"/>
        <v>http://www.badatelna.eu/reprodukce/?fondId=1073&amp;zaznamId=1108952&amp;reproId=3779084</v>
      </c>
      <c r="M1998">
        <f>VLOOKUP(F1998,Sheet2!$B$1:$E$19,2,FALSE)</f>
        <v>1073</v>
      </c>
      <c r="N1998">
        <f>VLOOKUP(F1998,Sheet2!$B$1:$E$19,3,FALSE)</f>
        <v>1108952</v>
      </c>
      <c r="O1998">
        <f>IF(G1998="Not available","",VLOOKUP(F1998,Sheet2!$B$1:$E$19,4,FALSE)+(G1998-1))</f>
        <v>3779084</v>
      </c>
    </row>
    <row r="1999" spans="1:15" s="1" customFormat="1" ht="15" customHeight="1" x14ac:dyDescent="0.25">
      <c r="A1999" s="18" t="s">
        <v>263</v>
      </c>
      <c r="B1999" s="18" t="s">
        <v>2154</v>
      </c>
      <c r="C1999" s="10" t="s">
        <v>2068</v>
      </c>
      <c r="D1999" s="3" t="s">
        <v>2433</v>
      </c>
      <c r="E1999" s="4" t="s">
        <v>2</v>
      </c>
      <c r="F1999" s="18">
        <v>2176</v>
      </c>
      <c r="G1999" s="18" t="s">
        <v>3271</v>
      </c>
      <c r="H1999" s="10" t="s">
        <v>2031</v>
      </c>
      <c r="I1999" s="3">
        <v>24</v>
      </c>
      <c r="J1999" s="3" t="s">
        <v>3271</v>
      </c>
      <c r="K1999" s="3"/>
      <c r="L1999" t="str">
        <f t="shared" si="31"/>
        <v/>
      </c>
      <c r="M1999">
        <f>VLOOKUP(F1999,Sheet2!$B$1:$E$19,2,FALSE)</f>
        <v>1073</v>
      </c>
      <c r="N1999">
        <f>VLOOKUP(F1999,Sheet2!$B$1:$E$19,3,FALSE)</f>
        <v>1108963</v>
      </c>
      <c r="O1999" t="str">
        <f>IF(G1999="Not available","",VLOOKUP(F1999,Sheet2!$B$1:$E$19,4,FALSE)+(G1999-1))</f>
        <v/>
      </c>
    </row>
    <row r="2000" spans="1:15" s="1" customFormat="1" ht="15" customHeight="1" x14ac:dyDescent="0.25">
      <c r="A2000" s="18" t="s">
        <v>263</v>
      </c>
      <c r="B2000" s="18" t="s">
        <v>16</v>
      </c>
      <c r="C2000" s="5">
        <v>1821</v>
      </c>
      <c r="E2000" s="1" t="s">
        <v>2</v>
      </c>
      <c r="F2000" s="18">
        <v>2173</v>
      </c>
      <c r="G2000" s="18">
        <v>71</v>
      </c>
      <c r="H2000" s="5">
        <v>135</v>
      </c>
      <c r="I2000" s="1">
        <v>104</v>
      </c>
      <c r="J2000" s="1">
        <v>222</v>
      </c>
      <c r="L2000" t="str">
        <f t="shared" si="31"/>
        <v>http://www.badatelna.eu/reprodukce/?fondId=1073&amp;zaznamId=1108959&amp;reproId=3780064</v>
      </c>
      <c r="M2000">
        <f>VLOOKUP(F2000,Sheet2!$B$1:$E$19,2,FALSE)</f>
        <v>1073</v>
      </c>
      <c r="N2000">
        <f>VLOOKUP(F2000,Sheet2!$B$1:$E$19,3,FALSE)</f>
        <v>1108959</v>
      </c>
      <c r="O2000">
        <f>IF(G2000="Not available","",VLOOKUP(F2000,Sheet2!$B$1:$E$19,4,FALSE)+(G2000-1))</f>
        <v>3780064</v>
      </c>
    </row>
    <row r="2001" spans="1:15" s="1" customFormat="1" ht="15" customHeight="1" x14ac:dyDescent="0.25">
      <c r="A2001" s="18" t="s">
        <v>263</v>
      </c>
      <c r="B2001" s="18" t="s">
        <v>674</v>
      </c>
      <c r="C2001" s="5">
        <v>1850</v>
      </c>
      <c r="D2001" s="1" t="s">
        <v>40</v>
      </c>
      <c r="E2001" s="1" t="s">
        <v>2</v>
      </c>
      <c r="F2001" s="18">
        <v>2164</v>
      </c>
      <c r="G2001" s="18">
        <v>66</v>
      </c>
      <c r="H2001" s="5">
        <v>64</v>
      </c>
      <c r="I2001" s="1">
        <v>131</v>
      </c>
      <c r="J2001" s="3" t="s">
        <v>3271</v>
      </c>
      <c r="L2001" t="str">
        <f t="shared" si="31"/>
        <v>http://www.badatelna.eu/reprodukce/?fondId=1073&amp;zaznamId=1108951&amp;reproId=3778780</v>
      </c>
      <c r="M2001">
        <f>VLOOKUP(F2001,Sheet2!$B$1:$E$19,2,FALSE)</f>
        <v>1073</v>
      </c>
      <c r="N2001">
        <f>VLOOKUP(F2001,Sheet2!$B$1:$E$19,3,FALSE)</f>
        <v>1108951</v>
      </c>
      <c r="O2001">
        <f>IF(G2001="Not available","",VLOOKUP(F2001,Sheet2!$B$1:$E$19,4,FALSE)+(G2001-1))</f>
        <v>3778780</v>
      </c>
    </row>
    <row r="2002" spans="1:15" s="1" customFormat="1" ht="15" customHeight="1" x14ac:dyDescent="0.25">
      <c r="A2002" s="18" t="s">
        <v>263</v>
      </c>
      <c r="B2002" s="18" t="s">
        <v>547</v>
      </c>
      <c r="C2002" s="5">
        <v>1846</v>
      </c>
      <c r="D2002" s="1" t="s">
        <v>21</v>
      </c>
      <c r="E2002" s="1" t="s">
        <v>2</v>
      </c>
      <c r="F2002" s="18">
        <v>2174</v>
      </c>
      <c r="G2002" s="18">
        <v>167</v>
      </c>
      <c r="H2002" s="6" t="s">
        <v>3234</v>
      </c>
      <c r="I2002" s="1">
        <v>190</v>
      </c>
      <c r="J2002" s="1">
        <v>221</v>
      </c>
      <c r="L2002" t="str">
        <f t="shared" si="31"/>
        <v>http://www.badatelna.eu/reprodukce/?fondId=1073&amp;zaznamId=1108960&amp;reproId=3780391</v>
      </c>
      <c r="M2002">
        <f>VLOOKUP(F2002,Sheet2!$B$1:$E$19,2,FALSE)</f>
        <v>1073</v>
      </c>
      <c r="N2002">
        <f>VLOOKUP(F2002,Sheet2!$B$1:$E$19,3,FALSE)</f>
        <v>1108960</v>
      </c>
      <c r="O2002">
        <f>IF(G2002="Not available","",VLOOKUP(F2002,Sheet2!$B$1:$E$19,4,FALSE)+(G2002-1))</f>
        <v>3780391</v>
      </c>
    </row>
    <row r="2003" spans="1:15" s="1" customFormat="1" ht="15" customHeight="1" x14ac:dyDescent="0.25">
      <c r="A2003" s="18" t="s">
        <v>263</v>
      </c>
      <c r="B2003" s="18" t="s">
        <v>1009</v>
      </c>
      <c r="C2003" s="10" t="s">
        <v>2244</v>
      </c>
      <c r="D2003" s="3" t="s">
        <v>2443</v>
      </c>
      <c r="E2003" s="4" t="s">
        <v>2</v>
      </c>
      <c r="F2003" s="18">
        <v>2176</v>
      </c>
      <c r="G2003" s="18" t="s">
        <v>3271</v>
      </c>
      <c r="H2003" s="10" t="s">
        <v>2311</v>
      </c>
      <c r="I2003" s="3">
        <v>25</v>
      </c>
      <c r="J2003" s="3" t="s">
        <v>3271</v>
      </c>
      <c r="K2003" s="3"/>
      <c r="L2003" t="str">
        <f t="shared" si="31"/>
        <v/>
      </c>
      <c r="M2003">
        <f>VLOOKUP(F2003,Sheet2!$B$1:$E$19,2,FALSE)</f>
        <v>1073</v>
      </c>
      <c r="N2003">
        <f>VLOOKUP(F2003,Sheet2!$B$1:$E$19,3,FALSE)</f>
        <v>1108963</v>
      </c>
      <c r="O2003" t="str">
        <f>IF(G2003="Not available","",VLOOKUP(F2003,Sheet2!$B$1:$E$19,4,FALSE)+(G2003-1))</f>
        <v/>
      </c>
    </row>
    <row r="2004" spans="1:15" s="1" customFormat="1" ht="15" customHeight="1" x14ac:dyDescent="0.25">
      <c r="A2004" s="18" t="s">
        <v>263</v>
      </c>
      <c r="B2004" s="18" t="s">
        <v>869</v>
      </c>
      <c r="C2004" s="5">
        <v>1848</v>
      </c>
      <c r="D2004" s="1" t="s">
        <v>21</v>
      </c>
      <c r="E2004" s="1" t="s">
        <v>2</v>
      </c>
      <c r="F2004" s="18">
        <v>2164</v>
      </c>
      <c r="G2004" s="18">
        <v>86</v>
      </c>
      <c r="H2004" s="5">
        <v>31</v>
      </c>
      <c r="I2004" s="1">
        <v>131</v>
      </c>
      <c r="J2004" s="3" t="s">
        <v>3271</v>
      </c>
      <c r="L2004" t="str">
        <f t="shared" si="31"/>
        <v>http://www.badatelna.eu/reprodukce/?fondId=1073&amp;zaznamId=1108951&amp;reproId=3778800</v>
      </c>
      <c r="M2004">
        <f>VLOOKUP(F2004,Sheet2!$B$1:$E$19,2,FALSE)</f>
        <v>1073</v>
      </c>
      <c r="N2004">
        <f>VLOOKUP(F2004,Sheet2!$B$1:$E$19,3,FALSE)</f>
        <v>1108951</v>
      </c>
      <c r="O2004">
        <f>IF(G2004="Not available","",VLOOKUP(F2004,Sheet2!$B$1:$E$19,4,FALSE)+(G2004-1))</f>
        <v>3778800</v>
      </c>
    </row>
    <row r="2005" spans="1:15" s="1" customFormat="1" ht="15" customHeight="1" x14ac:dyDescent="0.25">
      <c r="A2005" s="18" t="s">
        <v>263</v>
      </c>
      <c r="B2005" s="18" t="s">
        <v>88</v>
      </c>
      <c r="C2005" s="5">
        <v>1830</v>
      </c>
      <c r="E2005" s="1" t="s">
        <v>2</v>
      </c>
      <c r="F2005" s="18">
        <v>2173</v>
      </c>
      <c r="G2005" s="18">
        <v>87</v>
      </c>
      <c r="H2005" s="5">
        <v>161</v>
      </c>
      <c r="I2005" s="1">
        <v>104</v>
      </c>
      <c r="J2005" s="1">
        <v>223</v>
      </c>
      <c r="L2005" t="str">
        <f t="shared" si="31"/>
        <v>http://www.badatelna.eu/reprodukce/?fondId=1073&amp;zaznamId=1108959&amp;reproId=3780080</v>
      </c>
      <c r="M2005">
        <f>VLOOKUP(F2005,Sheet2!$B$1:$E$19,2,FALSE)</f>
        <v>1073</v>
      </c>
      <c r="N2005">
        <f>VLOOKUP(F2005,Sheet2!$B$1:$E$19,3,FALSE)</f>
        <v>1108959</v>
      </c>
      <c r="O2005">
        <f>IF(G2005="Not available","",VLOOKUP(F2005,Sheet2!$B$1:$E$19,4,FALSE)+(G2005-1))</f>
        <v>3780080</v>
      </c>
    </row>
    <row r="2006" spans="1:15" s="1" customFormat="1" ht="15" customHeight="1" x14ac:dyDescent="0.25">
      <c r="A2006" s="18" t="s">
        <v>263</v>
      </c>
      <c r="B2006" s="18" t="s">
        <v>1267</v>
      </c>
      <c r="C2006" s="14" t="s">
        <v>2244</v>
      </c>
      <c r="D2006" s="4" t="s">
        <v>1113</v>
      </c>
      <c r="E2006" s="1" t="s">
        <v>2</v>
      </c>
      <c r="F2006" s="18">
        <v>2165</v>
      </c>
      <c r="G2006" s="18">
        <v>299</v>
      </c>
      <c r="H2006" s="5">
        <v>3</v>
      </c>
      <c r="I2006" s="1">
        <v>300</v>
      </c>
      <c r="J2006" s="1">
        <v>273</v>
      </c>
      <c r="L2006" t="str">
        <f t="shared" si="31"/>
        <v>http://www.badatelna.eu/reprodukce/?fondId=1073&amp;zaznamId=1108952&amp;reproId=3779160</v>
      </c>
      <c r="M2006">
        <f>VLOOKUP(F2006,Sheet2!$B$1:$E$19,2,FALSE)</f>
        <v>1073</v>
      </c>
      <c r="N2006">
        <f>VLOOKUP(F2006,Sheet2!$B$1:$E$19,3,FALSE)</f>
        <v>1108952</v>
      </c>
      <c r="O2006">
        <f>IF(G2006="Not available","",VLOOKUP(F2006,Sheet2!$B$1:$E$19,4,FALSE)+(G2006-1))</f>
        <v>3779160</v>
      </c>
    </row>
    <row r="2007" spans="1:15" s="1" customFormat="1" ht="15" customHeight="1" x14ac:dyDescent="0.25">
      <c r="A2007" s="18" t="s">
        <v>263</v>
      </c>
      <c r="B2007" s="18" t="s">
        <v>2444</v>
      </c>
      <c r="C2007" s="10" t="s">
        <v>2095</v>
      </c>
      <c r="D2007" s="3" t="s">
        <v>2445</v>
      </c>
      <c r="E2007" s="4" t="s">
        <v>2</v>
      </c>
      <c r="F2007" s="18">
        <v>2176</v>
      </c>
      <c r="G2007" s="18" t="s">
        <v>3271</v>
      </c>
      <c r="H2007" s="10" t="s">
        <v>2086</v>
      </c>
      <c r="I2007" s="3">
        <v>25</v>
      </c>
      <c r="J2007" s="3" t="s">
        <v>3271</v>
      </c>
      <c r="K2007" s="3"/>
      <c r="L2007" t="str">
        <f t="shared" si="31"/>
        <v/>
      </c>
      <c r="M2007">
        <f>VLOOKUP(F2007,Sheet2!$B$1:$E$19,2,FALSE)</f>
        <v>1073</v>
      </c>
      <c r="N2007">
        <f>VLOOKUP(F2007,Sheet2!$B$1:$E$19,3,FALSE)</f>
        <v>1108963</v>
      </c>
      <c r="O2007" t="str">
        <f>IF(G2007="Not available","",VLOOKUP(F2007,Sheet2!$B$1:$E$19,4,FALSE)+(G2007-1))</f>
        <v/>
      </c>
    </row>
    <row r="2008" spans="1:15" s="1" customFormat="1" ht="15" customHeight="1" x14ac:dyDescent="0.25">
      <c r="A2008" s="18" t="s">
        <v>263</v>
      </c>
      <c r="B2008" s="18" t="s">
        <v>1253</v>
      </c>
      <c r="C2008" s="14" t="s">
        <v>2095</v>
      </c>
      <c r="D2008" s="1" t="s">
        <v>1113</v>
      </c>
      <c r="E2008" s="1" t="s">
        <v>2</v>
      </c>
      <c r="F2008" s="18">
        <v>2165</v>
      </c>
      <c r="G2008" s="18">
        <v>290</v>
      </c>
      <c r="H2008" s="5">
        <v>3</v>
      </c>
      <c r="I2008" s="1">
        <v>286</v>
      </c>
      <c r="J2008" s="1">
        <v>260</v>
      </c>
      <c r="L2008" t="str">
        <f t="shared" si="31"/>
        <v>http://www.badatelna.eu/reprodukce/?fondId=1073&amp;zaznamId=1108952&amp;reproId=3779151</v>
      </c>
      <c r="M2008">
        <f>VLOOKUP(F2008,Sheet2!$B$1:$E$19,2,FALSE)</f>
        <v>1073</v>
      </c>
      <c r="N2008">
        <f>VLOOKUP(F2008,Sheet2!$B$1:$E$19,3,FALSE)</f>
        <v>1108952</v>
      </c>
      <c r="O2008">
        <f>IF(G2008="Not available","",VLOOKUP(F2008,Sheet2!$B$1:$E$19,4,FALSE)+(G2008-1))</f>
        <v>3779151</v>
      </c>
    </row>
    <row r="2009" spans="1:15" s="1" customFormat="1" ht="15" customHeight="1" x14ac:dyDescent="0.25">
      <c r="A2009" s="18" t="s">
        <v>263</v>
      </c>
      <c r="B2009" s="18" t="s">
        <v>721</v>
      </c>
      <c r="C2009" s="5">
        <v>1853</v>
      </c>
      <c r="D2009" s="1" t="s">
        <v>21</v>
      </c>
      <c r="E2009" s="1" t="s">
        <v>2</v>
      </c>
      <c r="F2009" s="18">
        <v>2164</v>
      </c>
      <c r="G2009" s="18">
        <v>92</v>
      </c>
      <c r="H2009" s="5">
        <v>90</v>
      </c>
      <c r="I2009" s="1">
        <v>131</v>
      </c>
      <c r="J2009" s="3" t="s">
        <v>3271</v>
      </c>
      <c r="L2009" t="str">
        <f t="shared" si="31"/>
        <v>http://www.badatelna.eu/reprodukce/?fondId=1073&amp;zaznamId=1108951&amp;reproId=3778806</v>
      </c>
      <c r="M2009">
        <f>VLOOKUP(F2009,Sheet2!$B$1:$E$19,2,FALSE)</f>
        <v>1073</v>
      </c>
      <c r="N2009">
        <f>VLOOKUP(F2009,Sheet2!$B$1:$E$19,3,FALSE)</f>
        <v>1108951</v>
      </c>
      <c r="O2009">
        <f>IF(G2009="Not available","",VLOOKUP(F2009,Sheet2!$B$1:$E$19,4,FALSE)+(G2009-1))</f>
        <v>3778806</v>
      </c>
    </row>
    <row r="2010" spans="1:15" s="1" customFormat="1" ht="15" customHeight="1" x14ac:dyDescent="0.25">
      <c r="A2010" s="18" t="s">
        <v>263</v>
      </c>
      <c r="B2010" s="18" t="s">
        <v>1208</v>
      </c>
      <c r="C2010" s="10" t="s">
        <v>2092</v>
      </c>
      <c r="D2010" s="3" t="s">
        <v>2443</v>
      </c>
      <c r="E2010" s="4" t="s">
        <v>2</v>
      </c>
      <c r="F2010" s="18">
        <v>2176</v>
      </c>
      <c r="G2010" s="18" t="s">
        <v>3271</v>
      </c>
      <c r="H2010" s="10" t="s">
        <v>2094</v>
      </c>
      <c r="I2010" s="3">
        <v>25</v>
      </c>
      <c r="J2010" s="3" t="s">
        <v>3271</v>
      </c>
      <c r="K2010" s="3"/>
      <c r="L2010" t="str">
        <f t="shared" si="31"/>
        <v/>
      </c>
      <c r="M2010">
        <f>VLOOKUP(F2010,Sheet2!$B$1:$E$19,2,FALSE)</f>
        <v>1073</v>
      </c>
      <c r="N2010">
        <f>VLOOKUP(F2010,Sheet2!$B$1:$E$19,3,FALSE)</f>
        <v>1108963</v>
      </c>
      <c r="O2010" t="str">
        <f>IF(G2010="Not available","",VLOOKUP(F2010,Sheet2!$B$1:$E$19,4,FALSE)+(G2010-1))</f>
        <v/>
      </c>
    </row>
    <row r="2011" spans="1:15" s="1" customFormat="1" ht="15" customHeight="1" x14ac:dyDescent="0.25">
      <c r="A2011" s="18" t="s">
        <v>263</v>
      </c>
      <c r="B2011" s="18" t="s">
        <v>1233</v>
      </c>
      <c r="C2011" s="5" t="s">
        <v>1894</v>
      </c>
      <c r="D2011" s="1" t="s">
        <v>1113</v>
      </c>
      <c r="E2011" s="1" t="s">
        <v>2</v>
      </c>
      <c r="F2011" s="18">
        <v>2165</v>
      </c>
      <c r="G2011" s="18">
        <v>270</v>
      </c>
      <c r="H2011" s="5">
        <v>2</v>
      </c>
      <c r="I2011" s="1">
        <v>272</v>
      </c>
      <c r="J2011" s="1">
        <v>246</v>
      </c>
      <c r="L2011" t="str">
        <f t="shared" si="31"/>
        <v>http://www.badatelna.eu/reprodukce/?fondId=1073&amp;zaznamId=1108952&amp;reproId=3779131</v>
      </c>
      <c r="M2011">
        <f>VLOOKUP(F2011,Sheet2!$B$1:$E$19,2,FALSE)</f>
        <v>1073</v>
      </c>
      <c r="N2011">
        <f>VLOOKUP(F2011,Sheet2!$B$1:$E$19,3,FALSE)</f>
        <v>1108952</v>
      </c>
      <c r="O2011">
        <f>IF(G2011="Not available","",VLOOKUP(F2011,Sheet2!$B$1:$E$19,4,FALSE)+(G2011-1))</f>
        <v>3779131</v>
      </c>
    </row>
    <row r="2012" spans="1:15" s="1" customFormat="1" ht="15" customHeight="1" x14ac:dyDescent="0.25">
      <c r="A2012" s="18" t="s">
        <v>263</v>
      </c>
      <c r="B2012" s="18" t="s">
        <v>8</v>
      </c>
      <c r="C2012" s="5">
        <v>1824</v>
      </c>
      <c r="E2012" s="1" t="s">
        <v>2</v>
      </c>
      <c r="F2012" s="18">
        <v>2173</v>
      </c>
      <c r="G2012" s="18">
        <v>76</v>
      </c>
      <c r="H2012" s="5">
        <v>144</v>
      </c>
      <c r="I2012" s="1">
        <v>104</v>
      </c>
      <c r="J2012" s="1">
        <v>222</v>
      </c>
      <c r="L2012" t="str">
        <f t="shared" si="31"/>
        <v>http://www.badatelna.eu/reprodukce/?fondId=1073&amp;zaznamId=1108959&amp;reproId=3780069</v>
      </c>
      <c r="M2012">
        <f>VLOOKUP(F2012,Sheet2!$B$1:$E$19,2,FALSE)</f>
        <v>1073</v>
      </c>
      <c r="N2012">
        <f>VLOOKUP(F2012,Sheet2!$B$1:$E$19,3,FALSE)</f>
        <v>1108959</v>
      </c>
      <c r="O2012">
        <f>IF(G2012="Not available","",VLOOKUP(F2012,Sheet2!$B$1:$E$19,4,FALSE)+(G2012-1))</f>
        <v>3780069</v>
      </c>
    </row>
    <row r="2013" spans="1:15" s="1" customFormat="1" ht="15" customHeight="1" x14ac:dyDescent="0.25">
      <c r="A2013" s="18" t="s">
        <v>263</v>
      </c>
      <c r="B2013" s="18" t="s">
        <v>809</v>
      </c>
      <c r="C2013" s="5">
        <v>1854</v>
      </c>
      <c r="D2013" s="1" t="s">
        <v>40</v>
      </c>
      <c r="E2013" s="1" t="s">
        <v>2</v>
      </c>
      <c r="F2013" s="18">
        <v>2164</v>
      </c>
      <c r="G2013" s="18">
        <v>94</v>
      </c>
      <c r="H2013" s="5">
        <v>92</v>
      </c>
      <c r="I2013" s="1">
        <v>131</v>
      </c>
      <c r="J2013" s="3" t="s">
        <v>3271</v>
      </c>
      <c r="L2013" t="str">
        <f t="shared" si="31"/>
        <v>http://www.badatelna.eu/reprodukce/?fondId=1073&amp;zaznamId=1108951&amp;reproId=3778808</v>
      </c>
      <c r="M2013">
        <f>VLOOKUP(F2013,Sheet2!$B$1:$E$19,2,FALSE)</f>
        <v>1073</v>
      </c>
      <c r="N2013">
        <f>VLOOKUP(F2013,Sheet2!$B$1:$E$19,3,FALSE)</f>
        <v>1108951</v>
      </c>
      <c r="O2013">
        <f>IF(G2013="Not available","",VLOOKUP(F2013,Sheet2!$B$1:$E$19,4,FALSE)+(G2013-1))</f>
        <v>3778808</v>
      </c>
    </row>
    <row r="2014" spans="1:15" s="1" customFormat="1" ht="15" customHeight="1" x14ac:dyDescent="0.25">
      <c r="A2014" s="18" t="s">
        <v>263</v>
      </c>
      <c r="B2014" s="18" t="s">
        <v>809</v>
      </c>
      <c r="C2014" s="5">
        <v>1854</v>
      </c>
      <c r="D2014" s="1" t="s">
        <v>434</v>
      </c>
      <c r="E2014" s="1" t="s">
        <v>2</v>
      </c>
      <c r="F2014" s="18">
        <v>2164</v>
      </c>
      <c r="G2014" s="18">
        <v>99</v>
      </c>
      <c r="H2014" s="5">
        <v>97</v>
      </c>
      <c r="I2014" s="1">
        <v>131</v>
      </c>
      <c r="J2014" s="3" t="s">
        <v>3271</v>
      </c>
      <c r="L2014" t="str">
        <f t="shared" si="31"/>
        <v>http://www.badatelna.eu/reprodukce/?fondId=1073&amp;zaznamId=1108951&amp;reproId=3778813</v>
      </c>
      <c r="M2014">
        <f>VLOOKUP(F2014,Sheet2!$B$1:$E$19,2,FALSE)</f>
        <v>1073</v>
      </c>
      <c r="N2014">
        <f>VLOOKUP(F2014,Sheet2!$B$1:$E$19,3,FALSE)</f>
        <v>1108951</v>
      </c>
      <c r="O2014">
        <f>IF(G2014="Not available","",VLOOKUP(F2014,Sheet2!$B$1:$E$19,4,FALSE)+(G2014-1))</f>
        <v>3778813</v>
      </c>
    </row>
    <row r="2015" spans="1:15" s="1" customFormat="1" ht="15" customHeight="1" x14ac:dyDescent="0.25">
      <c r="A2015" s="18" t="s">
        <v>263</v>
      </c>
      <c r="B2015" s="18" t="s">
        <v>160</v>
      </c>
      <c r="C2015" s="5">
        <v>1823</v>
      </c>
      <c r="E2015" s="1" t="s">
        <v>2</v>
      </c>
      <c r="F2015" s="18">
        <v>2173</v>
      </c>
      <c r="G2015" s="18">
        <v>73</v>
      </c>
      <c r="H2015" s="5">
        <v>139</v>
      </c>
      <c r="I2015" s="1">
        <v>104</v>
      </c>
      <c r="J2015" s="1">
        <v>222</v>
      </c>
      <c r="L2015" t="str">
        <f t="shared" si="31"/>
        <v>http://www.badatelna.eu/reprodukce/?fondId=1073&amp;zaznamId=1108959&amp;reproId=3780066</v>
      </c>
      <c r="M2015">
        <f>VLOOKUP(F2015,Sheet2!$B$1:$E$19,2,FALSE)</f>
        <v>1073</v>
      </c>
      <c r="N2015">
        <f>VLOOKUP(F2015,Sheet2!$B$1:$E$19,3,FALSE)</f>
        <v>1108959</v>
      </c>
      <c r="O2015">
        <f>IF(G2015="Not available","",VLOOKUP(F2015,Sheet2!$B$1:$E$19,4,FALSE)+(G2015-1))</f>
        <v>3780066</v>
      </c>
    </row>
    <row r="2016" spans="1:15" s="1" customFormat="1" ht="15" customHeight="1" x14ac:dyDescent="0.25">
      <c r="A2016" s="18" t="s">
        <v>263</v>
      </c>
      <c r="B2016" s="18" t="s">
        <v>12</v>
      </c>
      <c r="C2016" s="5" t="s">
        <v>1913</v>
      </c>
      <c r="D2016" s="1" t="s">
        <v>233</v>
      </c>
      <c r="E2016" s="1" t="s">
        <v>2</v>
      </c>
      <c r="F2016" s="18">
        <v>2165</v>
      </c>
      <c r="G2016" s="18">
        <v>276</v>
      </c>
      <c r="H2016" s="5">
        <v>2</v>
      </c>
      <c r="I2016" s="1">
        <v>278</v>
      </c>
      <c r="J2016" s="1">
        <v>252</v>
      </c>
      <c r="L2016" t="str">
        <f t="shared" si="31"/>
        <v>http://www.badatelna.eu/reprodukce/?fondId=1073&amp;zaznamId=1108952&amp;reproId=3779137</v>
      </c>
      <c r="M2016">
        <f>VLOOKUP(F2016,Sheet2!$B$1:$E$19,2,FALSE)</f>
        <v>1073</v>
      </c>
      <c r="N2016">
        <f>VLOOKUP(F2016,Sheet2!$B$1:$E$19,3,FALSE)</f>
        <v>1108952</v>
      </c>
      <c r="O2016">
        <f>IF(G2016="Not available","",VLOOKUP(F2016,Sheet2!$B$1:$E$19,4,FALSE)+(G2016-1))</f>
        <v>3779137</v>
      </c>
    </row>
    <row r="2017" spans="1:15" s="1" customFormat="1" ht="15" customHeight="1" x14ac:dyDescent="0.25">
      <c r="A2017" s="18" t="s">
        <v>263</v>
      </c>
      <c r="B2017" s="18" t="s">
        <v>2000</v>
      </c>
      <c r="C2017" s="10" t="s">
        <v>2093</v>
      </c>
      <c r="D2017" s="3" t="s">
        <v>2433</v>
      </c>
      <c r="E2017" s="4" t="s">
        <v>2</v>
      </c>
      <c r="F2017" s="18">
        <v>2176</v>
      </c>
      <c r="G2017" s="18" t="s">
        <v>3271</v>
      </c>
      <c r="H2017" s="10" t="s">
        <v>2016</v>
      </c>
      <c r="I2017" s="3">
        <v>25</v>
      </c>
      <c r="J2017" s="3" t="s">
        <v>3271</v>
      </c>
      <c r="K2017" s="3"/>
      <c r="L2017" t="str">
        <f t="shared" si="31"/>
        <v/>
      </c>
      <c r="M2017">
        <f>VLOOKUP(F2017,Sheet2!$B$1:$E$19,2,FALSE)</f>
        <v>1073</v>
      </c>
      <c r="N2017">
        <f>VLOOKUP(F2017,Sheet2!$B$1:$E$19,3,FALSE)</f>
        <v>1108963</v>
      </c>
      <c r="O2017" t="str">
        <f>IF(G2017="Not available","",VLOOKUP(F2017,Sheet2!$B$1:$E$19,4,FALSE)+(G2017-1))</f>
        <v/>
      </c>
    </row>
    <row r="2018" spans="1:15" s="1" customFormat="1" ht="15" customHeight="1" x14ac:dyDescent="0.25">
      <c r="A2018" s="18" t="s">
        <v>263</v>
      </c>
      <c r="B2018" s="18" t="s">
        <v>138</v>
      </c>
      <c r="C2018" s="5">
        <v>1849</v>
      </c>
      <c r="D2018" s="1" t="s">
        <v>21</v>
      </c>
      <c r="E2018" s="1" t="s">
        <v>2</v>
      </c>
      <c r="F2018" s="18">
        <v>2164</v>
      </c>
      <c r="G2018" s="18">
        <v>61</v>
      </c>
      <c r="H2018" s="5">
        <v>59</v>
      </c>
      <c r="I2018" s="1">
        <v>131</v>
      </c>
      <c r="J2018" s="3" t="s">
        <v>3271</v>
      </c>
      <c r="L2018" t="str">
        <f t="shared" si="31"/>
        <v>http://www.badatelna.eu/reprodukce/?fondId=1073&amp;zaznamId=1108951&amp;reproId=3778775</v>
      </c>
      <c r="M2018">
        <f>VLOOKUP(F2018,Sheet2!$B$1:$E$19,2,FALSE)</f>
        <v>1073</v>
      </c>
      <c r="N2018">
        <f>VLOOKUP(F2018,Sheet2!$B$1:$E$19,3,FALSE)</f>
        <v>1108951</v>
      </c>
      <c r="O2018">
        <f>IF(G2018="Not available","",VLOOKUP(F2018,Sheet2!$B$1:$E$19,4,FALSE)+(G2018-1))</f>
        <v>3778775</v>
      </c>
    </row>
    <row r="2019" spans="1:15" s="1" customFormat="1" ht="15" customHeight="1" x14ac:dyDescent="0.25">
      <c r="A2019" s="18" t="s">
        <v>263</v>
      </c>
      <c r="B2019" s="18" t="s">
        <v>197</v>
      </c>
      <c r="C2019" s="5">
        <v>1861</v>
      </c>
      <c r="E2019" s="1" t="s">
        <v>939</v>
      </c>
      <c r="F2019" s="18">
        <v>999</v>
      </c>
      <c r="G2019" s="18">
        <v>31</v>
      </c>
      <c r="H2019" s="5">
        <v>29</v>
      </c>
      <c r="I2019" s="1">
        <v>70</v>
      </c>
      <c r="J2019" s="1">
        <v>104</v>
      </c>
      <c r="L2019" t="str">
        <f t="shared" si="31"/>
        <v>http://www.badatelna.eu/reprodukce/?fondId=241&amp;zaznamId=1133739&amp;reproId=3885760</v>
      </c>
      <c r="M2019">
        <f>VLOOKUP(F2019,Sheet2!$B$1:$E$19,2,FALSE)</f>
        <v>241</v>
      </c>
      <c r="N2019">
        <f>VLOOKUP(F2019,Sheet2!$B$1:$E$19,3,FALSE)</f>
        <v>1133739</v>
      </c>
      <c r="O2019">
        <f>IF(G2019="Not available","",VLOOKUP(F2019,Sheet2!$B$1:$E$19,4,FALSE)+(G2019-1))</f>
        <v>3885760</v>
      </c>
    </row>
    <row r="2020" spans="1:15" s="1" customFormat="1" ht="15" customHeight="1" x14ac:dyDescent="0.25">
      <c r="A2020" s="18" t="s">
        <v>263</v>
      </c>
      <c r="B2020" s="18" t="s">
        <v>2418</v>
      </c>
      <c r="C2020" s="10" t="s">
        <v>1969</v>
      </c>
      <c r="D2020" s="3" t="s">
        <v>2419</v>
      </c>
      <c r="E2020" s="4" t="s">
        <v>2</v>
      </c>
      <c r="F2020" s="18">
        <v>2176</v>
      </c>
      <c r="G2020" s="18" t="s">
        <v>3271</v>
      </c>
      <c r="H2020" s="10" t="s">
        <v>2075</v>
      </c>
      <c r="I2020" s="3">
        <v>24</v>
      </c>
      <c r="J2020" s="3" t="s">
        <v>3271</v>
      </c>
      <c r="L2020" t="str">
        <f t="shared" si="31"/>
        <v/>
      </c>
      <c r="M2020">
        <f>VLOOKUP(F2020,Sheet2!$B$1:$E$19,2,FALSE)</f>
        <v>1073</v>
      </c>
      <c r="N2020">
        <f>VLOOKUP(F2020,Sheet2!$B$1:$E$19,3,FALSE)</f>
        <v>1108963</v>
      </c>
      <c r="O2020" t="str">
        <f>IF(G2020="Not available","",VLOOKUP(F2020,Sheet2!$B$1:$E$19,4,FALSE)+(G2020-1))</f>
        <v/>
      </c>
    </row>
    <row r="2021" spans="1:15" s="1" customFormat="1" ht="15" customHeight="1" x14ac:dyDescent="0.25">
      <c r="A2021" s="18" t="s">
        <v>263</v>
      </c>
      <c r="B2021" s="18" t="s">
        <v>133</v>
      </c>
      <c r="C2021" s="5">
        <v>1834</v>
      </c>
      <c r="D2021" s="1" t="s">
        <v>4</v>
      </c>
      <c r="E2021" s="1" t="s">
        <v>2</v>
      </c>
      <c r="F2021" s="18">
        <v>2174</v>
      </c>
      <c r="G2021" s="18">
        <v>77</v>
      </c>
      <c r="H2021" s="6" t="s">
        <v>3143</v>
      </c>
      <c r="I2021" s="1">
        <v>189</v>
      </c>
      <c r="J2021" s="1">
        <v>220</v>
      </c>
      <c r="L2021" t="str">
        <f t="shared" si="31"/>
        <v>http://www.badatelna.eu/reprodukce/?fondId=1073&amp;zaznamId=1108960&amp;reproId=3780301</v>
      </c>
      <c r="M2021">
        <f>VLOOKUP(F2021,Sheet2!$B$1:$E$19,2,FALSE)</f>
        <v>1073</v>
      </c>
      <c r="N2021">
        <f>VLOOKUP(F2021,Sheet2!$B$1:$E$19,3,FALSE)</f>
        <v>1108960</v>
      </c>
      <c r="O2021">
        <f>IF(G2021="Not available","",VLOOKUP(F2021,Sheet2!$B$1:$E$19,4,FALSE)+(G2021-1))</f>
        <v>3780301</v>
      </c>
    </row>
    <row r="2022" spans="1:15" s="1" customFormat="1" ht="15" customHeight="1" x14ac:dyDescent="0.25">
      <c r="A2022" s="18" t="s">
        <v>263</v>
      </c>
      <c r="B2022" s="18" t="s">
        <v>4</v>
      </c>
      <c r="C2022" s="5">
        <v>1790</v>
      </c>
      <c r="D2022" s="1" t="s">
        <v>21</v>
      </c>
      <c r="E2022" s="1" t="s">
        <v>2</v>
      </c>
      <c r="F2022" s="18">
        <v>2173</v>
      </c>
      <c r="G2022" s="18">
        <v>24</v>
      </c>
      <c r="H2022" s="5">
        <v>42</v>
      </c>
      <c r="I2022" s="1">
        <v>103</v>
      </c>
      <c r="J2022" s="12">
        <v>221</v>
      </c>
      <c r="L2022" t="str">
        <f t="shared" si="31"/>
        <v>http://www.badatelna.eu/reprodukce/?fondId=1073&amp;zaznamId=1108959&amp;reproId=3780017</v>
      </c>
      <c r="M2022">
        <f>VLOOKUP(F2022,Sheet2!$B$1:$E$19,2,FALSE)</f>
        <v>1073</v>
      </c>
      <c r="N2022">
        <f>VLOOKUP(F2022,Sheet2!$B$1:$E$19,3,FALSE)</f>
        <v>1108959</v>
      </c>
      <c r="O2022">
        <f>IF(G2022="Not available","",VLOOKUP(F2022,Sheet2!$B$1:$E$19,4,FALSE)+(G2022-1))</f>
        <v>3780017</v>
      </c>
    </row>
    <row r="2023" spans="1:15" s="1" customFormat="1" ht="15" customHeight="1" x14ac:dyDescent="0.25">
      <c r="A2023" s="18" t="s">
        <v>263</v>
      </c>
      <c r="B2023" s="18" t="s">
        <v>4</v>
      </c>
      <c r="C2023" s="5">
        <v>1843</v>
      </c>
      <c r="D2023" s="1" t="s">
        <v>21</v>
      </c>
      <c r="E2023" s="1" t="s">
        <v>2</v>
      </c>
      <c r="F2023" s="18">
        <v>2174</v>
      </c>
      <c r="G2023" s="18">
        <v>135</v>
      </c>
      <c r="H2023" s="6" t="s">
        <v>3192</v>
      </c>
      <c r="I2023" s="1">
        <v>190</v>
      </c>
      <c r="J2023" s="1">
        <v>221</v>
      </c>
      <c r="L2023" t="str">
        <f t="shared" si="31"/>
        <v>http://www.badatelna.eu/reprodukce/?fondId=1073&amp;zaznamId=1108960&amp;reproId=3780359</v>
      </c>
      <c r="M2023">
        <f>VLOOKUP(F2023,Sheet2!$B$1:$E$19,2,FALSE)</f>
        <v>1073</v>
      </c>
      <c r="N2023">
        <f>VLOOKUP(F2023,Sheet2!$B$1:$E$19,3,FALSE)</f>
        <v>1108960</v>
      </c>
      <c r="O2023">
        <f>IF(G2023="Not available","",VLOOKUP(F2023,Sheet2!$B$1:$E$19,4,FALSE)+(G2023-1))</f>
        <v>3780359</v>
      </c>
    </row>
    <row r="2024" spans="1:15" s="1" customFormat="1" ht="15" customHeight="1" x14ac:dyDescent="0.25">
      <c r="A2024" s="18" t="s">
        <v>263</v>
      </c>
      <c r="B2024" s="18" t="s">
        <v>863</v>
      </c>
      <c r="C2024" s="5">
        <v>1863</v>
      </c>
      <c r="E2024" s="1" t="s">
        <v>939</v>
      </c>
      <c r="F2024" s="18">
        <v>999</v>
      </c>
      <c r="G2024" s="18">
        <v>44</v>
      </c>
      <c r="H2024" s="5">
        <v>42</v>
      </c>
      <c r="I2024" s="1">
        <v>70</v>
      </c>
      <c r="J2024" s="1">
        <v>104</v>
      </c>
      <c r="L2024" t="str">
        <f t="shared" si="31"/>
        <v>http://www.badatelna.eu/reprodukce/?fondId=241&amp;zaznamId=1133739&amp;reproId=3885773</v>
      </c>
      <c r="M2024">
        <f>VLOOKUP(F2024,Sheet2!$B$1:$E$19,2,FALSE)</f>
        <v>241</v>
      </c>
      <c r="N2024">
        <f>VLOOKUP(F2024,Sheet2!$B$1:$E$19,3,FALSE)</f>
        <v>1133739</v>
      </c>
      <c r="O2024">
        <f>IF(G2024="Not available","",VLOOKUP(F2024,Sheet2!$B$1:$E$19,4,FALSE)+(G2024-1))</f>
        <v>3885773</v>
      </c>
    </row>
    <row r="2025" spans="1:15" s="1" customFormat="1" ht="15" customHeight="1" x14ac:dyDescent="0.25">
      <c r="A2025" s="18" t="s">
        <v>263</v>
      </c>
      <c r="B2025" s="18" t="s">
        <v>602</v>
      </c>
      <c r="C2025" s="5">
        <v>1850</v>
      </c>
      <c r="D2025" s="1" t="s">
        <v>21</v>
      </c>
      <c r="E2025" s="1" t="s">
        <v>2</v>
      </c>
      <c r="F2025" s="18">
        <v>2164</v>
      </c>
      <c r="G2025" s="18">
        <v>73</v>
      </c>
      <c r="H2025" s="5">
        <v>71</v>
      </c>
      <c r="I2025" s="1">
        <v>131</v>
      </c>
      <c r="J2025" s="3" t="s">
        <v>3271</v>
      </c>
      <c r="L2025" t="str">
        <f t="shared" si="31"/>
        <v>http://www.badatelna.eu/reprodukce/?fondId=1073&amp;zaznamId=1108951&amp;reproId=3778787</v>
      </c>
      <c r="M2025">
        <f>VLOOKUP(F2025,Sheet2!$B$1:$E$19,2,FALSE)</f>
        <v>1073</v>
      </c>
      <c r="N2025">
        <f>VLOOKUP(F2025,Sheet2!$B$1:$E$19,3,FALSE)</f>
        <v>1108951</v>
      </c>
      <c r="O2025">
        <f>IF(G2025="Not available","",VLOOKUP(F2025,Sheet2!$B$1:$E$19,4,FALSE)+(G2025-1))</f>
        <v>3778787</v>
      </c>
    </row>
    <row r="2026" spans="1:15" s="1" customFormat="1" ht="15" customHeight="1" x14ac:dyDescent="0.25">
      <c r="A2026" s="18" t="s">
        <v>263</v>
      </c>
      <c r="B2026" s="18" t="s">
        <v>602</v>
      </c>
      <c r="C2026" s="5">
        <v>1856</v>
      </c>
      <c r="D2026" s="1" t="s">
        <v>40</v>
      </c>
      <c r="E2026" s="1" t="s">
        <v>2</v>
      </c>
      <c r="F2026" s="18">
        <v>2164</v>
      </c>
      <c r="G2026" s="18">
        <v>105</v>
      </c>
      <c r="H2026" s="5">
        <v>103</v>
      </c>
      <c r="I2026" s="1">
        <v>131</v>
      </c>
      <c r="J2026" s="3" t="s">
        <v>3271</v>
      </c>
      <c r="L2026" t="str">
        <f t="shared" si="31"/>
        <v>http://www.badatelna.eu/reprodukce/?fondId=1073&amp;zaznamId=1108951&amp;reproId=3778819</v>
      </c>
      <c r="M2026">
        <f>VLOOKUP(F2026,Sheet2!$B$1:$E$19,2,FALSE)</f>
        <v>1073</v>
      </c>
      <c r="N2026">
        <f>VLOOKUP(F2026,Sheet2!$B$1:$E$19,3,FALSE)</f>
        <v>1108951</v>
      </c>
      <c r="O2026">
        <f>IF(G2026="Not available","",VLOOKUP(F2026,Sheet2!$B$1:$E$19,4,FALSE)+(G2026-1))</f>
        <v>3778819</v>
      </c>
    </row>
    <row r="2027" spans="1:15" s="1" customFormat="1" ht="15" customHeight="1" x14ac:dyDescent="0.25">
      <c r="A2027" s="18" t="s">
        <v>263</v>
      </c>
      <c r="B2027" s="18" t="s">
        <v>602</v>
      </c>
      <c r="C2027" s="5">
        <v>1865</v>
      </c>
      <c r="E2027" s="1" t="s">
        <v>939</v>
      </c>
      <c r="F2027" s="18">
        <v>999</v>
      </c>
      <c r="G2027" s="18">
        <v>54</v>
      </c>
      <c r="H2027" s="5">
        <v>52</v>
      </c>
      <c r="I2027" s="1">
        <v>70</v>
      </c>
      <c r="J2027" s="1">
        <v>104</v>
      </c>
      <c r="L2027" t="str">
        <f t="shared" si="31"/>
        <v>http://www.badatelna.eu/reprodukce/?fondId=241&amp;zaznamId=1133739&amp;reproId=3885783</v>
      </c>
      <c r="M2027">
        <f>VLOOKUP(F2027,Sheet2!$B$1:$E$19,2,FALSE)</f>
        <v>241</v>
      </c>
      <c r="N2027">
        <f>VLOOKUP(F2027,Sheet2!$B$1:$E$19,3,FALSE)</f>
        <v>1133739</v>
      </c>
      <c r="O2027">
        <f>IF(G2027="Not available","",VLOOKUP(F2027,Sheet2!$B$1:$E$19,4,FALSE)+(G2027-1))</f>
        <v>3885783</v>
      </c>
    </row>
    <row r="2028" spans="1:15" s="1" customFormat="1" ht="15" customHeight="1" x14ac:dyDescent="0.25">
      <c r="A2028" s="18" t="s">
        <v>263</v>
      </c>
      <c r="B2028" s="18" t="s">
        <v>602</v>
      </c>
      <c r="C2028" s="5" t="s">
        <v>1289</v>
      </c>
      <c r="D2028" s="1" t="s">
        <v>21</v>
      </c>
      <c r="E2028" s="1" t="s">
        <v>2</v>
      </c>
      <c r="F2028" s="18">
        <v>2165</v>
      </c>
      <c r="G2028" s="18">
        <v>7</v>
      </c>
      <c r="H2028" s="5">
        <v>4</v>
      </c>
      <c r="I2028" s="1">
        <v>85</v>
      </c>
      <c r="J2028" s="1" t="s">
        <v>3271</v>
      </c>
      <c r="L2028" t="str">
        <f t="shared" si="31"/>
        <v>http://www.badatelna.eu/reprodukce/?fondId=1073&amp;zaznamId=1108952&amp;reproId=3778868</v>
      </c>
      <c r="M2028">
        <f>VLOOKUP(F2028,Sheet2!$B$1:$E$19,2,FALSE)</f>
        <v>1073</v>
      </c>
      <c r="N2028">
        <f>VLOOKUP(F2028,Sheet2!$B$1:$E$19,3,FALSE)</f>
        <v>1108952</v>
      </c>
      <c r="O2028">
        <f>IF(G2028="Not available","",VLOOKUP(F2028,Sheet2!$B$1:$E$19,4,FALSE)+(G2028-1))</f>
        <v>3778868</v>
      </c>
    </row>
    <row r="2029" spans="1:15" s="1" customFormat="1" ht="15" customHeight="1" x14ac:dyDescent="0.25">
      <c r="A2029" s="18" t="s">
        <v>263</v>
      </c>
      <c r="B2029" s="18" t="s">
        <v>172</v>
      </c>
      <c r="C2029" s="10" t="s">
        <v>2093</v>
      </c>
      <c r="D2029" s="3" t="s">
        <v>2445</v>
      </c>
      <c r="E2029" s="4" t="s">
        <v>2</v>
      </c>
      <c r="F2029" s="18">
        <v>2176</v>
      </c>
      <c r="G2029" s="18" t="s">
        <v>3271</v>
      </c>
      <c r="H2029" s="10" t="s">
        <v>2136</v>
      </c>
      <c r="I2029" s="3">
        <v>25</v>
      </c>
      <c r="J2029" s="3" t="s">
        <v>3271</v>
      </c>
      <c r="K2029" s="3"/>
      <c r="L2029" t="str">
        <f t="shared" si="31"/>
        <v/>
      </c>
      <c r="M2029">
        <f>VLOOKUP(F2029,Sheet2!$B$1:$E$19,2,FALSE)</f>
        <v>1073</v>
      </c>
      <c r="N2029">
        <f>VLOOKUP(F2029,Sheet2!$B$1:$E$19,3,FALSE)</f>
        <v>1108963</v>
      </c>
      <c r="O2029" t="str">
        <f>IF(G2029="Not available","",VLOOKUP(F2029,Sheet2!$B$1:$E$19,4,FALSE)+(G2029-1))</f>
        <v/>
      </c>
    </row>
    <row r="2030" spans="1:15" s="1" customFormat="1" ht="15" customHeight="1" x14ac:dyDescent="0.25">
      <c r="A2030" s="18" t="s">
        <v>263</v>
      </c>
      <c r="B2030" s="18" t="s">
        <v>172</v>
      </c>
      <c r="C2030" s="5" t="s">
        <v>1467</v>
      </c>
      <c r="D2030" s="1" t="s">
        <v>998</v>
      </c>
      <c r="E2030" s="1" t="s">
        <v>2</v>
      </c>
      <c r="F2030" s="18">
        <v>2165</v>
      </c>
      <c r="G2030" s="18">
        <v>56</v>
      </c>
      <c r="H2030" s="5">
        <v>53</v>
      </c>
      <c r="I2030" s="1">
        <v>85</v>
      </c>
      <c r="J2030" s="1" t="s">
        <v>3271</v>
      </c>
      <c r="L2030" t="str">
        <f t="shared" si="31"/>
        <v>http://www.badatelna.eu/reprodukce/?fondId=1073&amp;zaznamId=1108952&amp;reproId=3778917</v>
      </c>
      <c r="M2030">
        <f>VLOOKUP(F2030,Sheet2!$B$1:$E$19,2,FALSE)</f>
        <v>1073</v>
      </c>
      <c r="N2030">
        <f>VLOOKUP(F2030,Sheet2!$B$1:$E$19,3,FALSE)</f>
        <v>1108952</v>
      </c>
      <c r="O2030">
        <f>IF(G2030="Not available","",VLOOKUP(F2030,Sheet2!$B$1:$E$19,4,FALSE)+(G2030-1))</f>
        <v>3778917</v>
      </c>
    </row>
    <row r="2031" spans="1:15" s="1" customFormat="1" ht="15" customHeight="1" x14ac:dyDescent="0.25">
      <c r="A2031" s="18" t="s">
        <v>263</v>
      </c>
      <c r="B2031" s="18" t="s">
        <v>540</v>
      </c>
      <c r="C2031" s="5" t="s">
        <v>1914</v>
      </c>
      <c r="D2031" s="1" t="s">
        <v>1113</v>
      </c>
      <c r="E2031" s="1" t="s">
        <v>2</v>
      </c>
      <c r="F2031" s="18">
        <v>2165</v>
      </c>
      <c r="G2031" s="18">
        <v>277</v>
      </c>
      <c r="H2031" s="5">
        <v>3</v>
      </c>
      <c r="I2031" s="1">
        <v>278</v>
      </c>
      <c r="J2031" s="1">
        <v>252</v>
      </c>
      <c r="L2031" t="str">
        <f t="shared" si="31"/>
        <v>http://www.badatelna.eu/reprodukce/?fondId=1073&amp;zaznamId=1108952&amp;reproId=3779138</v>
      </c>
      <c r="M2031">
        <f>VLOOKUP(F2031,Sheet2!$B$1:$E$19,2,FALSE)</f>
        <v>1073</v>
      </c>
      <c r="N2031">
        <f>VLOOKUP(F2031,Sheet2!$B$1:$E$19,3,FALSE)</f>
        <v>1108952</v>
      </c>
      <c r="O2031">
        <f>IF(G2031="Not available","",VLOOKUP(F2031,Sheet2!$B$1:$E$19,4,FALSE)+(G2031-1))</f>
        <v>3779138</v>
      </c>
    </row>
    <row r="2032" spans="1:15" s="1" customFormat="1" ht="15" customHeight="1" x14ac:dyDescent="0.25">
      <c r="A2032" s="18" t="s">
        <v>263</v>
      </c>
      <c r="B2032" s="18" t="s">
        <v>233</v>
      </c>
      <c r="C2032" s="5">
        <v>1856</v>
      </c>
      <c r="D2032" s="1" t="s">
        <v>21</v>
      </c>
      <c r="E2032" s="1" t="s">
        <v>2</v>
      </c>
      <c r="F2032" s="18">
        <v>2164</v>
      </c>
      <c r="G2032" s="18">
        <v>113</v>
      </c>
      <c r="H2032" s="5">
        <v>111</v>
      </c>
      <c r="I2032" s="1">
        <v>131</v>
      </c>
      <c r="J2032" s="3" t="s">
        <v>3271</v>
      </c>
      <c r="L2032" t="str">
        <f t="shared" si="31"/>
        <v>http://www.badatelna.eu/reprodukce/?fondId=1073&amp;zaznamId=1108951&amp;reproId=3778827</v>
      </c>
      <c r="M2032">
        <f>VLOOKUP(F2032,Sheet2!$B$1:$E$19,2,FALSE)</f>
        <v>1073</v>
      </c>
      <c r="N2032">
        <f>VLOOKUP(F2032,Sheet2!$B$1:$E$19,3,FALSE)</f>
        <v>1108951</v>
      </c>
      <c r="O2032">
        <f>IF(G2032="Not available","",VLOOKUP(F2032,Sheet2!$B$1:$E$19,4,FALSE)+(G2032-1))</f>
        <v>3778827</v>
      </c>
    </row>
    <row r="2033" spans="1:15" s="1" customFormat="1" ht="15" customHeight="1" x14ac:dyDescent="0.25">
      <c r="A2033" s="18" t="s">
        <v>263</v>
      </c>
      <c r="B2033" s="18" t="s">
        <v>105</v>
      </c>
      <c r="C2033" s="5">
        <v>1850</v>
      </c>
      <c r="D2033" s="1" t="s">
        <v>872</v>
      </c>
      <c r="E2033" s="1" t="s">
        <v>2</v>
      </c>
      <c r="F2033" s="18">
        <v>2164</v>
      </c>
      <c r="G2033" s="18">
        <v>73</v>
      </c>
      <c r="H2033" s="5">
        <v>71</v>
      </c>
      <c r="I2033" s="1">
        <v>131</v>
      </c>
      <c r="J2033" s="3" t="s">
        <v>3271</v>
      </c>
      <c r="L2033" t="str">
        <f t="shared" si="31"/>
        <v>http://www.badatelna.eu/reprodukce/?fondId=1073&amp;zaznamId=1108951&amp;reproId=3778787</v>
      </c>
      <c r="M2033">
        <f>VLOOKUP(F2033,Sheet2!$B$1:$E$19,2,FALSE)</f>
        <v>1073</v>
      </c>
      <c r="N2033">
        <f>VLOOKUP(F2033,Sheet2!$B$1:$E$19,3,FALSE)</f>
        <v>1108951</v>
      </c>
      <c r="O2033">
        <f>IF(G2033="Not available","",VLOOKUP(F2033,Sheet2!$B$1:$E$19,4,FALSE)+(G2033-1))</f>
        <v>3778787</v>
      </c>
    </row>
    <row r="2034" spans="1:15" s="1" customFormat="1" ht="15" customHeight="1" x14ac:dyDescent="0.25">
      <c r="A2034" s="19" t="s">
        <v>263</v>
      </c>
      <c r="B2034" s="18" t="s">
        <v>21</v>
      </c>
      <c r="C2034" s="5">
        <v>1819</v>
      </c>
      <c r="E2034" s="1" t="s">
        <v>2</v>
      </c>
      <c r="F2034" s="18">
        <v>2173</v>
      </c>
      <c r="G2034" s="18">
        <v>70</v>
      </c>
      <c r="H2034" s="5">
        <v>132</v>
      </c>
      <c r="I2034" s="1">
        <v>104</v>
      </c>
      <c r="J2034" s="1">
        <v>222</v>
      </c>
      <c r="L2034" t="str">
        <f t="shared" si="31"/>
        <v>http://www.badatelna.eu/reprodukce/?fondId=1073&amp;zaznamId=1108959&amp;reproId=3780063</v>
      </c>
      <c r="M2034">
        <f>VLOOKUP(F2034,Sheet2!$B$1:$E$19,2,FALSE)</f>
        <v>1073</v>
      </c>
      <c r="N2034">
        <f>VLOOKUP(F2034,Sheet2!$B$1:$E$19,3,FALSE)</f>
        <v>1108959</v>
      </c>
      <c r="O2034">
        <f>IF(G2034="Not available","",VLOOKUP(F2034,Sheet2!$B$1:$E$19,4,FALSE)+(G2034-1))</f>
        <v>3780063</v>
      </c>
    </row>
    <row r="2035" spans="1:15" s="1" customFormat="1" ht="15" customHeight="1" x14ac:dyDescent="0.25">
      <c r="A2035" s="18" t="s">
        <v>263</v>
      </c>
      <c r="B2035" s="18" t="s">
        <v>434</v>
      </c>
      <c r="C2035" s="5" t="s">
        <v>1465</v>
      </c>
      <c r="D2035" s="1" t="s">
        <v>21</v>
      </c>
      <c r="E2035" s="1" t="s">
        <v>2</v>
      </c>
      <c r="F2035" s="18">
        <v>2165</v>
      </c>
      <c r="G2035" s="18">
        <v>45</v>
      </c>
      <c r="H2035" s="5">
        <v>42</v>
      </c>
      <c r="I2035" s="1">
        <v>85</v>
      </c>
      <c r="J2035" s="1" t="s">
        <v>3271</v>
      </c>
      <c r="L2035" t="str">
        <f t="shared" si="31"/>
        <v>http://www.badatelna.eu/reprodukce/?fondId=1073&amp;zaznamId=1108952&amp;reproId=3778906</v>
      </c>
      <c r="M2035">
        <f>VLOOKUP(F2035,Sheet2!$B$1:$E$19,2,FALSE)</f>
        <v>1073</v>
      </c>
      <c r="N2035">
        <f>VLOOKUP(F2035,Sheet2!$B$1:$E$19,3,FALSE)</f>
        <v>1108952</v>
      </c>
      <c r="O2035">
        <f>IF(G2035="Not available","",VLOOKUP(F2035,Sheet2!$B$1:$E$19,4,FALSE)+(G2035-1))</f>
        <v>3778906</v>
      </c>
    </row>
    <row r="2036" spans="1:15" s="1" customFormat="1" ht="15" customHeight="1" x14ac:dyDescent="0.25">
      <c r="A2036" s="18" t="s">
        <v>263</v>
      </c>
      <c r="B2036" s="18" t="s">
        <v>1007</v>
      </c>
      <c r="C2036" s="10" t="s">
        <v>1949</v>
      </c>
      <c r="D2036" s="3" t="s">
        <v>2428</v>
      </c>
      <c r="E2036" s="4" t="s">
        <v>2</v>
      </c>
      <c r="F2036" s="18">
        <v>2176</v>
      </c>
      <c r="G2036" s="18" t="s">
        <v>3271</v>
      </c>
      <c r="H2036" s="10" t="s">
        <v>2075</v>
      </c>
      <c r="I2036" s="3">
        <v>24</v>
      </c>
      <c r="J2036" s="3" t="s">
        <v>3271</v>
      </c>
      <c r="K2036" s="3"/>
      <c r="L2036" t="str">
        <f t="shared" si="31"/>
        <v/>
      </c>
      <c r="M2036">
        <f>VLOOKUP(F2036,Sheet2!$B$1:$E$19,2,FALSE)</f>
        <v>1073</v>
      </c>
      <c r="N2036">
        <f>VLOOKUP(F2036,Sheet2!$B$1:$E$19,3,FALSE)</f>
        <v>1108963</v>
      </c>
      <c r="O2036" t="str">
        <f>IF(G2036="Not available","",VLOOKUP(F2036,Sheet2!$B$1:$E$19,4,FALSE)+(G2036-1))</f>
        <v/>
      </c>
    </row>
    <row r="2037" spans="1:15" s="1" customFormat="1" ht="15" customHeight="1" x14ac:dyDescent="0.25">
      <c r="A2037" s="18" t="s">
        <v>263</v>
      </c>
      <c r="B2037" s="18" t="s">
        <v>593</v>
      </c>
      <c r="C2037" s="10" t="s">
        <v>1952</v>
      </c>
      <c r="D2037" s="3" t="s">
        <v>2433</v>
      </c>
      <c r="E2037" s="4" t="s">
        <v>2</v>
      </c>
      <c r="F2037" s="18">
        <v>2176</v>
      </c>
      <c r="G2037" s="18" t="s">
        <v>3271</v>
      </c>
      <c r="H2037" s="10" t="s">
        <v>2038</v>
      </c>
      <c r="I2037" s="3">
        <v>25</v>
      </c>
      <c r="J2037" s="3" t="s">
        <v>3271</v>
      </c>
      <c r="K2037" s="3"/>
      <c r="L2037" t="str">
        <f t="shared" si="31"/>
        <v/>
      </c>
      <c r="M2037">
        <f>VLOOKUP(F2037,Sheet2!$B$1:$E$19,2,FALSE)</f>
        <v>1073</v>
      </c>
      <c r="N2037">
        <f>VLOOKUP(F2037,Sheet2!$B$1:$E$19,3,FALSE)</f>
        <v>1108963</v>
      </c>
      <c r="O2037" t="str">
        <f>IF(G2037="Not available","",VLOOKUP(F2037,Sheet2!$B$1:$E$19,4,FALSE)+(G2037-1))</f>
        <v/>
      </c>
    </row>
    <row r="2038" spans="1:15" s="1" customFormat="1" ht="15" customHeight="1" x14ac:dyDescent="0.25">
      <c r="A2038" s="18" t="s">
        <v>263</v>
      </c>
      <c r="B2038" s="18" t="s">
        <v>713</v>
      </c>
      <c r="C2038" s="5" t="s">
        <v>1847</v>
      </c>
      <c r="D2038" s="1" t="s">
        <v>233</v>
      </c>
      <c r="E2038" s="1" t="s">
        <v>2</v>
      </c>
      <c r="F2038" s="18">
        <v>2165</v>
      </c>
      <c r="G2038" s="18">
        <v>257</v>
      </c>
      <c r="H2038" s="5">
        <v>4</v>
      </c>
      <c r="I2038" s="1">
        <v>252</v>
      </c>
      <c r="J2038" s="1">
        <v>228</v>
      </c>
      <c r="L2038" t="str">
        <f t="shared" si="31"/>
        <v>http://www.badatelna.eu/reprodukce/?fondId=1073&amp;zaznamId=1108952&amp;reproId=3779118</v>
      </c>
      <c r="M2038">
        <f>VLOOKUP(F2038,Sheet2!$B$1:$E$19,2,FALSE)</f>
        <v>1073</v>
      </c>
      <c r="N2038">
        <f>VLOOKUP(F2038,Sheet2!$B$1:$E$19,3,FALSE)</f>
        <v>1108952</v>
      </c>
      <c r="O2038">
        <f>IF(G2038="Not available","",VLOOKUP(F2038,Sheet2!$B$1:$E$19,4,FALSE)+(G2038-1))</f>
        <v>3779118</v>
      </c>
    </row>
    <row r="2039" spans="1:15" s="1" customFormat="1" ht="15" customHeight="1" x14ac:dyDescent="0.25">
      <c r="A2039" s="18" t="s">
        <v>263</v>
      </c>
      <c r="B2039" s="18" t="s">
        <v>23</v>
      </c>
      <c r="C2039" s="5">
        <v>1826</v>
      </c>
      <c r="E2039" s="1" t="s">
        <v>2</v>
      </c>
      <c r="F2039" s="18">
        <v>2173</v>
      </c>
      <c r="G2039" s="18">
        <v>78</v>
      </c>
      <c r="H2039" s="5">
        <v>148</v>
      </c>
      <c r="I2039" s="1">
        <v>104</v>
      </c>
      <c r="J2039" s="1">
        <v>223</v>
      </c>
      <c r="L2039" t="str">
        <f t="shared" si="31"/>
        <v>http://www.badatelna.eu/reprodukce/?fondId=1073&amp;zaznamId=1108959&amp;reproId=3780071</v>
      </c>
      <c r="M2039">
        <f>VLOOKUP(F2039,Sheet2!$B$1:$E$19,2,FALSE)</f>
        <v>1073</v>
      </c>
      <c r="N2039">
        <f>VLOOKUP(F2039,Sheet2!$B$1:$E$19,3,FALSE)</f>
        <v>1108959</v>
      </c>
      <c r="O2039">
        <f>IF(G2039="Not available","",VLOOKUP(F2039,Sheet2!$B$1:$E$19,4,FALSE)+(G2039-1))</f>
        <v>3780071</v>
      </c>
    </row>
    <row r="2040" spans="1:15" s="1" customFormat="1" ht="15" customHeight="1" x14ac:dyDescent="0.25">
      <c r="A2040" s="18" t="s">
        <v>263</v>
      </c>
      <c r="B2040" s="18" t="s">
        <v>23</v>
      </c>
      <c r="C2040" s="5">
        <v>1831</v>
      </c>
      <c r="D2040" s="1" t="s">
        <v>137</v>
      </c>
      <c r="E2040" s="1" t="s">
        <v>2</v>
      </c>
      <c r="F2040" s="18">
        <v>2174</v>
      </c>
      <c r="G2040" s="18">
        <v>64</v>
      </c>
      <c r="H2040" s="6" t="s">
        <v>3108</v>
      </c>
      <c r="I2040" s="1">
        <v>189</v>
      </c>
      <c r="J2040" s="1">
        <v>220</v>
      </c>
      <c r="L2040" t="str">
        <f t="shared" si="31"/>
        <v>http://www.badatelna.eu/reprodukce/?fondId=1073&amp;zaznamId=1108960&amp;reproId=3780288</v>
      </c>
      <c r="M2040">
        <f>VLOOKUP(F2040,Sheet2!$B$1:$E$19,2,FALSE)</f>
        <v>1073</v>
      </c>
      <c r="N2040">
        <f>VLOOKUP(F2040,Sheet2!$B$1:$E$19,3,FALSE)</f>
        <v>1108960</v>
      </c>
      <c r="O2040">
        <f>IF(G2040="Not available","",VLOOKUP(F2040,Sheet2!$B$1:$E$19,4,FALSE)+(G2040-1))</f>
        <v>3780288</v>
      </c>
    </row>
    <row r="2041" spans="1:15" s="1" customFormat="1" ht="15" customHeight="1" x14ac:dyDescent="0.25">
      <c r="A2041" s="18" t="s">
        <v>263</v>
      </c>
      <c r="B2041" s="18" t="s">
        <v>1155</v>
      </c>
      <c r="C2041" s="5">
        <v>1889</v>
      </c>
      <c r="D2041" s="1" t="s">
        <v>197</v>
      </c>
      <c r="E2041" s="1" t="s">
        <v>2</v>
      </c>
      <c r="F2041" s="18">
        <v>2165</v>
      </c>
      <c r="G2041" s="18">
        <v>223</v>
      </c>
      <c r="H2041" s="5">
        <v>3</v>
      </c>
      <c r="I2041" s="1">
        <v>225</v>
      </c>
      <c r="J2041" s="1">
        <v>201</v>
      </c>
      <c r="L2041" t="str">
        <f t="shared" si="31"/>
        <v>http://www.badatelna.eu/reprodukce/?fondId=1073&amp;zaznamId=1108952&amp;reproId=3779084</v>
      </c>
      <c r="M2041">
        <f>VLOOKUP(F2041,Sheet2!$B$1:$E$19,2,FALSE)</f>
        <v>1073</v>
      </c>
      <c r="N2041">
        <f>VLOOKUP(F2041,Sheet2!$B$1:$E$19,3,FALSE)</f>
        <v>1108952</v>
      </c>
      <c r="O2041">
        <f>IF(G2041="Not available","",VLOOKUP(F2041,Sheet2!$B$1:$E$19,4,FALSE)+(G2041-1))</f>
        <v>3779084</v>
      </c>
    </row>
    <row r="2042" spans="1:15" s="1" customFormat="1" ht="15" customHeight="1" x14ac:dyDescent="0.25">
      <c r="A2042" s="18" t="s">
        <v>263</v>
      </c>
      <c r="B2042" s="18" t="s">
        <v>1155</v>
      </c>
      <c r="C2042" s="10" t="s">
        <v>2068</v>
      </c>
      <c r="D2042" s="3" t="s">
        <v>2432</v>
      </c>
      <c r="E2042" s="4" t="s">
        <v>2</v>
      </c>
      <c r="F2042" s="18">
        <v>2176</v>
      </c>
      <c r="G2042" s="18" t="s">
        <v>3271</v>
      </c>
      <c r="H2042" s="10" t="s">
        <v>2230</v>
      </c>
      <c r="I2042" s="3">
        <v>24</v>
      </c>
      <c r="J2042" s="3" t="s">
        <v>3271</v>
      </c>
      <c r="K2042" s="3"/>
      <c r="L2042" t="str">
        <f t="shared" si="31"/>
        <v/>
      </c>
      <c r="M2042">
        <f>VLOOKUP(F2042,Sheet2!$B$1:$E$19,2,FALSE)</f>
        <v>1073</v>
      </c>
      <c r="N2042">
        <f>VLOOKUP(F2042,Sheet2!$B$1:$E$19,3,FALSE)</f>
        <v>1108963</v>
      </c>
      <c r="O2042" t="str">
        <f>IF(G2042="Not available","",VLOOKUP(F2042,Sheet2!$B$1:$E$19,4,FALSE)+(G2042-1))</f>
        <v/>
      </c>
    </row>
    <row r="2043" spans="1:15" s="1" customFormat="1" ht="15" customHeight="1" x14ac:dyDescent="0.25">
      <c r="A2043" s="18" t="s">
        <v>263</v>
      </c>
      <c r="B2043" s="18" t="s">
        <v>998</v>
      </c>
      <c r="C2043" s="5" t="s">
        <v>1819</v>
      </c>
      <c r="D2043" s="1" t="s">
        <v>233</v>
      </c>
      <c r="E2043" s="1" t="s">
        <v>2</v>
      </c>
      <c r="F2043" s="18">
        <v>2165</v>
      </c>
      <c r="G2043" s="18">
        <v>247</v>
      </c>
      <c r="H2043" s="5">
        <v>1</v>
      </c>
      <c r="I2043" s="1">
        <v>250</v>
      </c>
      <c r="J2043" s="1">
        <v>226</v>
      </c>
      <c r="L2043" t="str">
        <f t="shared" si="31"/>
        <v>http://www.badatelna.eu/reprodukce/?fondId=1073&amp;zaznamId=1108952&amp;reproId=3779108</v>
      </c>
      <c r="M2043">
        <f>VLOOKUP(F2043,Sheet2!$B$1:$E$19,2,FALSE)</f>
        <v>1073</v>
      </c>
      <c r="N2043">
        <f>VLOOKUP(F2043,Sheet2!$B$1:$E$19,3,FALSE)</f>
        <v>1108952</v>
      </c>
      <c r="O2043">
        <f>IF(G2043="Not available","",VLOOKUP(F2043,Sheet2!$B$1:$E$19,4,FALSE)+(G2043-1))</f>
        <v>3779108</v>
      </c>
    </row>
    <row r="2044" spans="1:15" s="1" customFormat="1" ht="15" customHeight="1" x14ac:dyDescent="0.25">
      <c r="A2044" s="18" t="s">
        <v>263</v>
      </c>
      <c r="B2044" s="18" t="s">
        <v>304</v>
      </c>
      <c r="C2044" s="5">
        <v>1845</v>
      </c>
      <c r="D2044" s="1" t="s">
        <v>21</v>
      </c>
      <c r="E2044" s="1" t="s">
        <v>2</v>
      </c>
      <c r="F2044" s="18">
        <v>2174</v>
      </c>
      <c r="G2044" s="18">
        <v>152</v>
      </c>
      <c r="H2044" s="6" t="s">
        <v>3219</v>
      </c>
      <c r="I2044" s="1">
        <v>190</v>
      </c>
      <c r="J2044" s="1">
        <v>221</v>
      </c>
      <c r="L2044" t="str">
        <f t="shared" si="31"/>
        <v>http://www.badatelna.eu/reprodukce/?fondId=1073&amp;zaznamId=1108960&amp;reproId=3780376</v>
      </c>
      <c r="M2044">
        <f>VLOOKUP(F2044,Sheet2!$B$1:$E$19,2,FALSE)</f>
        <v>1073</v>
      </c>
      <c r="N2044">
        <f>VLOOKUP(F2044,Sheet2!$B$1:$E$19,3,FALSE)</f>
        <v>1108960</v>
      </c>
      <c r="O2044">
        <f>IF(G2044="Not available","",VLOOKUP(F2044,Sheet2!$B$1:$E$19,4,FALSE)+(G2044-1))</f>
        <v>3780376</v>
      </c>
    </row>
    <row r="2045" spans="1:15" s="1" customFormat="1" ht="15" customHeight="1" x14ac:dyDescent="0.25">
      <c r="A2045" s="18" t="s">
        <v>263</v>
      </c>
      <c r="B2045" s="18" t="s">
        <v>58</v>
      </c>
      <c r="C2045" s="10" t="s">
        <v>1987</v>
      </c>
      <c r="D2045" s="3" t="s">
        <v>2420</v>
      </c>
      <c r="E2045" s="4" t="s">
        <v>2</v>
      </c>
      <c r="F2045" s="18">
        <v>2176</v>
      </c>
      <c r="G2045" s="18" t="s">
        <v>3271</v>
      </c>
      <c r="H2045" s="10" t="s">
        <v>2421</v>
      </c>
      <c r="I2045" s="3">
        <v>24</v>
      </c>
      <c r="J2045" s="3" t="s">
        <v>3271</v>
      </c>
      <c r="L2045" t="str">
        <f t="shared" si="31"/>
        <v/>
      </c>
      <c r="M2045">
        <f>VLOOKUP(F2045,Sheet2!$B$1:$E$19,2,FALSE)</f>
        <v>1073</v>
      </c>
      <c r="N2045">
        <f>VLOOKUP(F2045,Sheet2!$B$1:$E$19,3,FALSE)</f>
        <v>1108963</v>
      </c>
      <c r="O2045" t="str">
        <f>IF(G2045="Not available","",VLOOKUP(F2045,Sheet2!$B$1:$E$19,4,FALSE)+(G2045-1))</f>
        <v/>
      </c>
    </row>
    <row r="2046" spans="1:15" s="1" customFormat="1" ht="15" customHeight="1" x14ac:dyDescent="0.25">
      <c r="A2046" s="18" t="s">
        <v>263</v>
      </c>
      <c r="B2046" s="18" t="s">
        <v>545</v>
      </c>
      <c r="C2046" s="5" t="s">
        <v>1471</v>
      </c>
      <c r="D2046" s="1" t="s">
        <v>998</v>
      </c>
      <c r="E2046" s="1" t="s">
        <v>2</v>
      </c>
      <c r="F2046" s="18">
        <v>2165</v>
      </c>
      <c r="G2046" s="18">
        <v>68</v>
      </c>
      <c r="H2046" s="5">
        <v>65</v>
      </c>
      <c r="I2046" s="1">
        <v>85</v>
      </c>
      <c r="J2046" s="1" t="s">
        <v>3271</v>
      </c>
      <c r="L2046" t="str">
        <f t="shared" si="31"/>
        <v>http://www.badatelna.eu/reprodukce/?fondId=1073&amp;zaznamId=1108952&amp;reproId=3778929</v>
      </c>
      <c r="M2046">
        <f>VLOOKUP(F2046,Sheet2!$B$1:$E$19,2,FALSE)</f>
        <v>1073</v>
      </c>
      <c r="N2046">
        <f>VLOOKUP(F2046,Sheet2!$B$1:$E$19,3,FALSE)</f>
        <v>1108952</v>
      </c>
      <c r="O2046">
        <f>IF(G2046="Not available","",VLOOKUP(F2046,Sheet2!$B$1:$E$19,4,FALSE)+(G2046-1))</f>
        <v>3778929</v>
      </c>
    </row>
    <row r="2047" spans="1:15" s="1" customFormat="1" ht="15" customHeight="1" x14ac:dyDescent="0.25">
      <c r="A2047" s="18" t="s">
        <v>263</v>
      </c>
      <c r="B2047" s="18" t="s">
        <v>1972</v>
      </c>
      <c r="C2047" s="10" t="s">
        <v>2081</v>
      </c>
      <c r="D2047" s="3" t="s">
        <v>2433</v>
      </c>
      <c r="E2047" s="4" t="s">
        <v>2</v>
      </c>
      <c r="F2047" s="18">
        <v>2176</v>
      </c>
      <c r="G2047" s="18" t="s">
        <v>3271</v>
      </c>
      <c r="H2047" s="10" t="s">
        <v>2075</v>
      </c>
      <c r="I2047" s="3">
        <v>25</v>
      </c>
      <c r="J2047" s="3" t="s">
        <v>3271</v>
      </c>
      <c r="K2047" s="3"/>
      <c r="L2047" t="str">
        <f t="shared" si="31"/>
        <v/>
      </c>
      <c r="M2047">
        <f>VLOOKUP(F2047,Sheet2!$B$1:$E$19,2,FALSE)</f>
        <v>1073</v>
      </c>
      <c r="N2047">
        <f>VLOOKUP(F2047,Sheet2!$B$1:$E$19,3,FALSE)</f>
        <v>1108963</v>
      </c>
      <c r="O2047" t="str">
        <f>IF(G2047="Not available","",VLOOKUP(F2047,Sheet2!$B$1:$E$19,4,FALSE)+(G2047-1))</f>
        <v/>
      </c>
    </row>
    <row r="2048" spans="1:15" s="1" customFormat="1" ht="15" customHeight="1" x14ac:dyDescent="0.25">
      <c r="A2048" s="18" t="s">
        <v>877</v>
      </c>
      <c r="B2048" s="18" t="s">
        <v>123</v>
      </c>
      <c r="C2048" s="5">
        <v>1854</v>
      </c>
      <c r="D2048" s="1" t="s">
        <v>878</v>
      </c>
      <c r="E2048" s="1" t="s">
        <v>2</v>
      </c>
      <c r="F2048" s="18">
        <v>2164</v>
      </c>
      <c r="G2048" s="18">
        <v>99</v>
      </c>
      <c r="H2048" s="5">
        <v>97</v>
      </c>
      <c r="I2048" s="1">
        <v>131</v>
      </c>
      <c r="J2048" s="3" t="s">
        <v>3271</v>
      </c>
      <c r="L2048" t="str">
        <f t="shared" si="31"/>
        <v>http://www.badatelna.eu/reprodukce/?fondId=1073&amp;zaznamId=1108951&amp;reproId=3778813</v>
      </c>
      <c r="M2048">
        <f>VLOOKUP(F2048,Sheet2!$B$1:$E$19,2,FALSE)</f>
        <v>1073</v>
      </c>
      <c r="N2048">
        <f>VLOOKUP(F2048,Sheet2!$B$1:$E$19,3,FALSE)</f>
        <v>1108951</v>
      </c>
      <c r="O2048">
        <f>IF(G2048="Not available","",VLOOKUP(F2048,Sheet2!$B$1:$E$19,4,FALSE)+(G2048-1))</f>
        <v>3778813</v>
      </c>
    </row>
    <row r="2049" spans="1:15" s="1" customFormat="1" ht="15" customHeight="1" x14ac:dyDescent="0.25">
      <c r="A2049" s="18" t="s">
        <v>1040</v>
      </c>
      <c r="B2049" s="18" t="s">
        <v>873</v>
      </c>
      <c r="C2049" s="5" t="s">
        <v>1462</v>
      </c>
      <c r="D2049" s="1" t="s">
        <v>1041</v>
      </c>
      <c r="E2049" s="1" t="s">
        <v>2</v>
      </c>
      <c r="F2049" s="18">
        <v>2165</v>
      </c>
      <c r="G2049" s="18">
        <v>19</v>
      </c>
      <c r="H2049" s="5">
        <v>16</v>
      </c>
      <c r="I2049" s="1">
        <v>85</v>
      </c>
      <c r="J2049" s="1" t="s">
        <v>3271</v>
      </c>
      <c r="L2049" t="str">
        <f t="shared" si="31"/>
        <v>http://www.badatelna.eu/reprodukce/?fondId=1073&amp;zaznamId=1108952&amp;reproId=3778880</v>
      </c>
      <c r="M2049">
        <f>VLOOKUP(F2049,Sheet2!$B$1:$E$19,2,FALSE)</f>
        <v>1073</v>
      </c>
      <c r="N2049">
        <f>VLOOKUP(F2049,Sheet2!$B$1:$E$19,3,FALSE)</f>
        <v>1108952</v>
      </c>
      <c r="O2049">
        <f>IF(G2049="Not available","",VLOOKUP(F2049,Sheet2!$B$1:$E$19,4,FALSE)+(G2049-1))</f>
        <v>3778880</v>
      </c>
    </row>
    <row r="2050" spans="1:15" s="1" customFormat="1" ht="15" customHeight="1" x14ac:dyDescent="0.25">
      <c r="A2050" s="19" t="s">
        <v>271</v>
      </c>
      <c r="B2050" s="18" t="s">
        <v>64</v>
      </c>
      <c r="C2050" s="5">
        <v>1798</v>
      </c>
      <c r="D2050" s="1" t="s">
        <v>182</v>
      </c>
      <c r="E2050" s="1" t="s">
        <v>2</v>
      </c>
      <c r="F2050" s="18">
        <v>2173</v>
      </c>
      <c r="G2050" s="18">
        <v>36</v>
      </c>
      <c r="H2050" s="5">
        <v>67</v>
      </c>
      <c r="I2050" s="1">
        <v>103</v>
      </c>
      <c r="J2050" s="1">
        <v>221</v>
      </c>
      <c r="L2050" t="str">
        <f t="shared" si="31"/>
        <v>http://www.badatelna.eu/reprodukce/?fondId=1073&amp;zaznamId=1108959&amp;reproId=3780029</v>
      </c>
      <c r="M2050">
        <f>VLOOKUP(F2050,Sheet2!$B$1:$E$19,2,FALSE)</f>
        <v>1073</v>
      </c>
      <c r="N2050">
        <f>VLOOKUP(F2050,Sheet2!$B$1:$E$19,3,FALSE)</f>
        <v>1108959</v>
      </c>
      <c r="O2050">
        <f>IF(G2050="Not available","",VLOOKUP(F2050,Sheet2!$B$1:$E$19,4,FALSE)+(G2050-1))</f>
        <v>3780029</v>
      </c>
    </row>
    <row r="2051" spans="1:15" s="1" customFormat="1" ht="15" customHeight="1" x14ac:dyDescent="0.25">
      <c r="A2051" s="18" t="s">
        <v>271</v>
      </c>
      <c r="B2051" s="18" t="s">
        <v>23</v>
      </c>
      <c r="C2051" s="6" t="s">
        <v>2949</v>
      </c>
      <c r="D2051" s="4" t="s">
        <v>182</v>
      </c>
      <c r="E2051" s="1" t="s">
        <v>2</v>
      </c>
      <c r="F2051" s="18">
        <v>2173</v>
      </c>
      <c r="G2051" s="18">
        <v>42</v>
      </c>
      <c r="H2051" s="5">
        <v>79</v>
      </c>
      <c r="I2051" s="1">
        <v>103</v>
      </c>
      <c r="J2051" s="1">
        <v>221</v>
      </c>
      <c r="L2051" t="str">
        <f t="shared" ref="L2051:L2114" si="32">IF(G2051="Not available","","http://www.badatelna.eu/reprodukce/?fondId="&amp;M2051&amp;"&amp;zaznamId="&amp;N2051&amp;"&amp;reproId="&amp;O2051)</f>
        <v>http://www.badatelna.eu/reprodukce/?fondId=1073&amp;zaznamId=1108959&amp;reproId=3780035</v>
      </c>
      <c r="M2051">
        <f>VLOOKUP(F2051,Sheet2!$B$1:$E$19,2,FALSE)</f>
        <v>1073</v>
      </c>
      <c r="N2051">
        <f>VLOOKUP(F2051,Sheet2!$B$1:$E$19,3,FALSE)</f>
        <v>1108959</v>
      </c>
      <c r="O2051">
        <f>IF(G2051="Not available","",VLOOKUP(F2051,Sheet2!$B$1:$E$19,4,FALSE)+(G2051-1))</f>
        <v>3780035</v>
      </c>
    </row>
    <row r="2052" spans="1:15" s="1" customFormat="1" ht="15" customHeight="1" x14ac:dyDescent="0.25">
      <c r="A2052" s="18" t="s">
        <v>271</v>
      </c>
      <c r="B2052" s="18" t="s">
        <v>278</v>
      </c>
      <c r="C2052" s="5">
        <v>1802</v>
      </c>
      <c r="D2052" s="4" t="s">
        <v>182</v>
      </c>
      <c r="E2052" s="1" t="s">
        <v>2</v>
      </c>
      <c r="F2052" s="18">
        <v>2173</v>
      </c>
      <c r="G2052" s="18">
        <v>45</v>
      </c>
      <c r="H2052" s="5">
        <v>84</v>
      </c>
      <c r="I2052" s="1">
        <v>103</v>
      </c>
      <c r="J2052" s="1">
        <v>221</v>
      </c>
      <c r="L2052" t="str">
        <f t="shared" si="32"/>
        <v>http://www.badatelna.eu/reprodukce/?fondId=1073&amp;zaznamId=1108959&amp;reproId=3780038</v>
      </c>
      <c r="M2052">
        <f>VLOOKUP(F2052,Sheet2!$B$1:$E$19,2,FALSE)</f>
        <v>1073</v>
      </c>
      <c r="N2052">
        <f>VLOOKUP(F2052,Sheet2!$B$1:$E$19,3,FALSE)</f>
        <v>1108959</v>
      </c>
      <c r="O2052">
        <f>IF(G2052="Not available","",VLOOKUP(F2052,Sheet2!$B$1:$E$19,4,FALSE)+(G2052-1))</f>
        <v>3780038</v>
      </c>
    </row>
    <row r="2053" spans="1:15" s="1" customFormat="1" ht="15" customHeight="1" x14ac:dyDescent="0.25">
      <c r="A2053" s="18" t="s">
        <v>277</v>
      </c>
      <c r="B2053" s="18" t="s">
        <v>107</v>
      </c>
      <c r="C2053" s="5">
        <v>1807</v>
      </c>
      <c r="E2053" s="1" t="s">
        <v>2</v>
      </c>
      <c r="F2053" s="18">
        <v>2173</v>
      </c>
      <c r="G2053" s="18">
        <v>52</v>
      </c>
      <c r="H2053" s="5">
        <v>99</v>
      </c>
      <c r="I2053" s="1">
        <v>104</v>
      </c>
      <c r="J2053" s="1">
        <v>222</v>
      </c>
      <c r="L2053" t="str">
        <f t="shared" si="32"/>
        <v>http://www.badatelna.eu/reprodukce/?fondId=1073&amp;zaznamId=1108959&amp;reproId=3780045</v>
      </c>
      <c r="M2053">
        <f>VLOOKUP(F2053,Sheet2!$B$1:$E$19,2,FALSE)</f>
        <v>1073</v>
      </c>
      <c r="N2053">
        <f>VLOOKUP(F2053,Sheet2!$B$1:$E$19,3,FALSE)</f>
        <v>1108959</v>
      </c>
      <c r="O2053">
        <f>IF(G2053="Not available","",VLOOKUP(F2053,Sheet2!$B$1:$E$19,4,FALSE)+(G2053-1))</f>
        <v>3780045</v>
      </c>
    </row>
    <row r="2054" spans="1:15" s="1" customFormat="1" ht="15" customHeight="1" x14ac:dyDescent="0.25">
      <c r="A2054" s="18" t="s">
        <v>277</v>
      </c>
      <c r="B2054" s="18" t="s">
        <v>6</v>
      </c>
      <c r="C2054" s="5">
        <v>1826</v>
      </c>
      <c r="E2054" s="1" t="s">
        <v>2</v>
      </c>
      <c r="F2054" s="18">
        <v>2173</v>
      </c>
      <c r="G2054" s="18">
        <v>78</v>
      </c>
      <c r="H2054" s="5">
        <v>149</v>
      </c>
      <c r="I2054" s="1">
        <v>104</v>
      </c>
      <c r="J2054" s="1">
        <v>223</v>
      </c>
      <c r="L2054" t="str">
        <f t="shared" si="32"/>
        <v>http://www.badatelna.eu/reprodukce/?fondId=1073&amp;zaznamId=1108959&amp;reproId=3780071</v>
      </c>
      <c r="M2054">
        <f>VLOOKUP(F2054,Sheet2!$B$1:$E$19,2,FALSE)</f>
        <v>1073</v>
      </c>
      <c r="N2054">
        <f>VLOOKUP(F2054,Sheet2!$B$1:$E$19,3,FALSE)</f>
        <v>1108959</v>
      </c>
      <c r="O2054">
        <f>IF(G2054="Not available","",VLOOKUP(F2054,Sheet2!$B$1:$E$19,4,FALSE)+(G2054-1))</f>
        <v>3780071</v>
      </c>
    </row>
    <row r="2055" spans="1:15" s="1" customFormat="1" ht="15" customHeight="1" x14ac:dyDescent="0.25">
      <c r="A2055" s="18" t="s">
        <v>277</v>
      </c>
      <c r="B2055" s="18" t="s">
        <v>169</v>
      </c>
      <c r="C2055" s="5">
        <v>1830</v>
      </c>
      <c r="E2055" s="1" t="s">
        <v>2</v>
      </c>
      <c r="F2055" s="18">
        <v>2173</v>
      </c>
      <c r="G2055" s="18">
        <v>86</v>
      </c>
      <c r="H2055" s="5">
        <v>161</v>
      </c>
      <c r="I2055" s="1">
        <v>104</v>
      </c>
      <c r="J2055" s="1">
        <v>223</v>
      </c>
      <c r="L2055" t="str">
        <f t="shared" si="32"/>
        <v>http://www.badatelna.eu/reprodukce/?fondId=1073&amp;zaznamId=1108959&amp;reproId=3780079</v>
      </c>
      <c r="M2055">
        <f>VLOOKUP(F2055,Sheet2!$B$1:$E$19,2,FALSE)</f>
        <v>1073</v>
      </c>
      <c r="N2055">
        <f>VLOOKUP(F2055,Sheet2!$B$1:$E$19,3,FALSE)</f>
        <v>1108959</v>
      </c>
      <c r="O2055">
        <f>IF(G2055="Not available","",VLOOKUP(F2055,Sheet2!$B$1:$E$19,4,FALSE)+(G2055-1))</f>
        <v>3780079</v>
      </c>
    </row>
    <row r="2056" spans="1:15" s="1" customFormat="1" ht="15" customHeight="1" x14ac:dyDescent="0.25">
      <c r="A2056" s="18" t="s">
        <v>277</v>
      </c>
      <c r="B2056" s="18" t="s">
        <v>24</v>
      </c>
      <c r="C2056" s="5">
        <v>1815</v>
      </c>
      <c r="E2056" s="1" t="s">
        <v>2</v>
      </c>
      <c r="F2056" s="18">
        <v>2173</v>
      </c>
      <c r="G2056" s="18">
        <v>69</v>
      </c>
      <c r="H2056" s="5">
        <v>122</v>
      </c>
      <c r="I2056" s="1">
        <v>104</v>
      </c>
      <c r="J2056" s="1">
        <v>222</v>
      </c>
      <c r="L2056" t="str">
        <f t="shared" si="32"/>
        <v>http://www.badatelna.eu/reprodukce/?fondId=1073&amp;zaznamId=1108959&amp;reproId=3780062</v>
      </c>
      <c r="M2056">
        <f>VLOOKUP(F2056,Sheet2!$B$1:$E$19,2,FALSE)</f>
        <v>1073</v>
      </c>
      <c r="N2056">
        <f>VLOOKUP(F2056,Sheet2!$B$1:$E$19,3,FALSE)</f>
        <v>1108959</v>
      </c>
      <c r="O2056">
        <f>IF(G2056="Not available","",VLOOKUP(F2056,Sheet2!$B$1:$E$19,4,FALSE)+(G2056-1))</f>
        <v>3780062</v>
      </c>
    </row>
    <row r="2057" spans="1:15" s="1" customFormat="1" ht="15" customHeight="1" x14ac:dyDescent="0.25">
      <c r="A2057" s="19" t="s">
        <v>277</v>
      </c>
      <c r="B2057" s="18" t="s">
        <v>23</v>
      </c>
      <c r="C2057" s="5">
        <v>1825</v>
      </c>
      <c r="E2057" s="1" t="s">
        <v>2</v>
      </c>
      <c r="F2057" s="18">
        <v>2173</v>
      </c>
      <c r="G2057" s="18">
        <v>77</v>
      </c>
      <c r="H2057" s="5">
        <v>146</v>
      </c>
      <c r="I2057" s="1">
        <v>104</v>
      </c>
      <c r="J2057" s="1">
        <v>222</v>
      </c>
      <c r="L2057" t="str">
        <f t="shared" si="32"/>
        <v>http://www.badatelna.eu/reprodukce/?fondId=1073&amp;zaznamId=1108959&amp;reproId=3780070</v>
      </c>
      <c r="M2057">
        <f>VLOOKUP(F2057,Sheet2!$B$1:$E$19,2,FALSE)</f>
        <v>1073</v>
      </c>
      <c r="N2057">
        <f>VLOOKUP(F2057,Sheet2!$B$1:$E$19,3,FALSE)</f>
        <v>1108959</v>
      </c>
      <c r="O2057">
        <f>IF(G2057="Not available","",VLOOKUP(F2057,Sheet2!$B$1:$E$19,4,FALSE)+(G2057-1))</f>
        <v>3780070</v>
      </c>
    </row>
    <row r="2058" spans="1:15" s="1" customFormat="1" ht="15" customHeight="1" x14ac:dyDescent="0.25">
      <c r="A2058" s="18" t="s">
        <v>277</v>
      </c>
      <c r="B2058" s="18" t="s">
        <v>38</v>
      </c>
      <c r="C2058" s="5">
        <v>1805</v>
      </c>
      <c r="E2058" s="1" t="s">
        <v>2</v>
      </c>
      <c r="F2058" s="18">
        <v>2173</v>
      </c>
      <c r="G2058" s="18">
        <v>50</v>
      </c>
      <c r="H2058" s="5">
        <v>94</v>
      </c>
      <c r="I2058" s="1">
        <v>104</v>
      </c>
      <c r="J2058" s="1">
        <v>222</v>
      </c>
      <c r="L2058" t="str">
        <f t="shared" si="32"/>
        <v>http://www.badatelna.eu/reprodukce/?fondId=1073&amp;zaznamId=1108959&amp;reproId=3780043</v>
      </c>
      <c r="M2058">
        <f>VLOOKUP(F2058,Sheet2!$B$1:$E$19,2,FALSE)</f>
        <v>1073</v>
      </c>
      <c r="N2058">
        <f>VLOOKUP(F2058,Sheet2!$B$1:$E$19,3,FALSE)</f>
        <v>1108959</v>
      </c>
      <c r="O2058">
        <f>IF(G2058="Not available","",VLOOKUP(F2058,Sheet2!$B$1:$E$19,4,FALSE)+(G2058-1))</f>
        <v>3780043</v>
      </c>
    </row>
    <row r="2059" spans="1:15" s="1" customFormat="1" ht="15" customHeight="1" x14ac:dyDescent="0.25">
      <c r="A2059" s="18" t="s">
        <v>277</v>
      </c>
      <c r="B2059" s="18" t="s">
        <v>281</v>
      </c>
      <c r="C2059" s="5">
        <v>1808</v>
      </c>
      <c r="E2059" s="1" t="s">
        <v>2</v>
      </c>
      <c r="F2059" s="18">
        <v>2173</v>
      </c>
      <c r="G2059" s="18">
        <v>54</v>
      </c>
      <c r="H2059" s="5">
        <v>103</v>
      </c>
      <c r="I2059" s="1">
        <v>104</v>
      </c>
      <c r="J2059" s="1">
        <v>222</v>
      </c>
      <c r="L2059" t="str">
        <f t="shared" si="32"/>
        <v>http://www.badatelna.eu/reprodukce/?fondId=1073&amp;zaznamId=1108959&amp;reproId=3780047</v>
      </c>
      <c r="M2059">
        <f>VLOOKUP(F2059,Sheet2!$B$1:$E$19,2,FALSE)</f>
        <v>1073</v>
      </c>
      <c r="N2059">
        <f>VLOOKUP(F2059,Sheet2!$B$1:$E$19,3,FALSE)</f>
        <v>1108959</v>
      </c>
      <c r="O2059">
        <f>IF(G2059="Not available","",VLOOKUP(F2059,Sheet2!$B$1:$E$19,4,FALSE)+(G2059-1))</f>
        <v>3780047</v>
      </c>
    </row>
    <row r="2060" spans="1:15" s="1" customFormat="1" ht="15" customHeight="1" x14ac:dyDescent="0.25">
      <c r="A2060" s="18" t="s">
        <v>277</v>
      </c>
      <c r="B2060" s="25"/>
      <c r="C2060" s="5">
        <v>1828</v>
      </c>
      <c r="E2060" s="1" t="s">
        <v>2</v>
      </c>
      <c r="F2060" s="18">
        <v>2173</v>
      </c>
      <c r="G2060" s="18">
        <v>81</v>
      </c>
      <c r="H2060" s="5">
        <v>155</v>
      </c>
      <c r="I2060" s="1">
        <v>104</v>
      </c>
      <c r="J2060" s="1">
        <v>223</v>
      </c>
      <c r="L2060" t="str">
        <f t="shared" si="32"/>
        <v>http://www.badatelna.eu/reprodukce/?fondId=1073&amp;zaznamId=1108959&amp;reproId=3780074</v>
      </c>
      <c r="M2060">
        <f>VLOOKUP(F2060,Sheet2!$B$1:$E$19,2,FALSE)</f>
        <v>1073</v>
      </c>
      <c r="N2060">
        <f>VLOOKUP(F2060,Sheet2!$B$1:$E$19,3,FALSE)</f>
        <v>1108959</v>
      </c>
      <c r="O2060">
        <f>IF(G2060="Not available","",VLOOKUP(F2060,Sheet2!$B$1:$E$19,4,FALSE)+(G2060-1))</f>
        <v>3780074</v>
      </c>
    </row>
    <row r="2061" spans="1:15" s="1" customFormat="1" ht="15" customHeight="1" x14ac:dyDescent="0.25">
      <c r="A2061" s="18" t="s">
        <v>2952</v>
      </c>
      <c r="B2061" s="18" t="s">
        <v>92</v>
      </c>
      <c r="C2061" s="5">
        <v>1801</v>
      </c>
      <c r="E2061" s="1" t="s">
        <v>2</v>
      </c>
      <c r="F2061" s="18">
        <v>2173</v>
      </c>
      <c r="G2061" s="18">
        <v>44</v>
      </c>
      <c r="H2061" s="5">
        <v>82</v>
      </c>
      <c r="I2061" s="1">
        <v>103</v>
      </c>
      <c r="J2061" s="1">
        <v>221</v>
      </c>
      <c r="L2061" t="str">
        <f t="shared" si="32"/>
        <v>http://www.badatelna.eu/reprodukce/?fondId=1073&amp;zaznamId=1108959&amp;reproId=3780037</v>
      </c>
      <c r="M2061">
        <f>VLOOKUP(F2061,Sheet2!$B$1:$E$19,2,FALSE)</f>
        <v>1073</v>
      </c>
      <c r="N2061">
        <f>VLOOKUP(F2061,Sheet2!$B$1:$E$19,3,FALSE)</f>
        <v>1108959</v>
      </c>
      <c r="O2061">
        <f>IF(G2061="Not available","",VLOOKUP(F2061,Sheet2!$B$1:$E$19,4,FALSE)+(G2061-1))</f>
        <v>3780037</v>
      </c>
    </row>
    <row r="2062" spans="1:15" s="1" customFormat="1" ht="15" customHeight="1" x14ac:dyDescent="0.25">
      <c r="A2062" s="18" t="s">
        <v>2952</v>
      </c>
      <c r="B2062" s="18" t="s">
        <v>34</v>
      </c>
      <c r="C2062" s="6" t="s">
        <v>2953</v>
      </c>
      <c r="E2062" s="1" t="s">
        <v>2</v>
      </c>
      <c r="F2062" s="18">
        <v>2173</v>
      </c>
      <c r="G2062" s="18">
        <v>78</v>
      </c>
      <c r="H2062" s="6" t="s">
        <v>2954</v>
      </c>
      <c r="I2062" s="1">
        <v>104</v>
      </c>
      <c r="J2062" s="1">
        <v>222</v>
      </c>
      <c r="L2062" t="str">
        <f t="shared" si="32"/>
        <v>http://www.badatelna.eu/reprodukce/?fondId=1073&amp;zaznamId=1108959&amp;reproId=3780071</v>
      </c>
      <c r="M2062">
        <f>VLOOKUP(F2062,Sheet2!$B$1:$E$19,2,FALSE)</f>
        <v>1073</v>
      </c>
      <c r="N2062">
        <f>VLOOKUP(F2062,Sheet2!$B$1:$E$19,3,FALSE)</f>
        <v>1108959</v>
      </c>
      <c r="O2062">
        <f>IF(G2062="Not available","",VLOOKUP(F2062,Sheet2!$B$1:$E$19,4,FALSE)+(G2062-1))</f>
        <v>3780071</v>
      </c>
    </row>
    <row r="2063" spans="1:15" s="1" customFormat="1" ht="15" customHeight="1" x14ac:dyDescent="0.25">
      <c r="A2063" s="18" t="s">
        <v>955</v>
      </c>
      <c r="B2063" s="18" t="s">
        <v>963</v>
      </c>
      <c r="C2063" s="5" t="s">
        <v>1469</v>
      </c>
      <c r="D2063" s="1" t="s">
        <v>58</v>
      </c>
      <c r="E2063" s="1" t="s">
        <v>2</v>
      </c>
      <c r="F2063" s="18">
        <v>2165</v>
      </c>
      <c r="G2063" s="18">
        <v>62</v>
      </c>
      <c r="H2063" s="5">
        <v>59</v>
      </c>
      <c r="I2063" s="1">
        <v>85</v>
      </c>
      <c r="J2063" s="1" t="s">
        <v>3271</v>
      </c>
      <c r="L2063" t="str">
        <f t="shared" si="32"/>
        <v>http://www.badatelna.eu/reprodukce/?fondId=1073&amp;zaznamId=1108952&amp;reproId=3778923</v>
      </c>
      <c r="M2063">
        <f>VLOOKUP(F2063,Sheet2!$B$1:$E$19,2,FALSE)</f>
        <v>1073</v>
      </c>
      <c r="N2063">
        <f>VLOOKUP(F2063,Sheet2!$B$1:$E$19,3,FALSE)</f>
        <v>1108952</v>
      </c>
      <c r="O2063">
        <f>IF(G2063="Not available","",VLOOKUP(F2063,Sheet2!$B$1:$E$19,4,FALSE)+(G2063-1))</f>
        <v>3778923</v>
      </c>
    </row>
    <row r="2064" spans="1:15" s="1" customFormat="1" ht="15" customHeight="1" x14ac:dyDescent="0.25">
      <c r="A2064" s="18" t="s">
        <v>955</v>
      </c>
      <c r="B2064" s="18" t="s">
        <v>1019</v>
      </c>
      <c r="C2064" s="10" t="s">
        <v>2024</v>
      </c>
      <c r="D2064" s="3" t="s">
        <v>2423</v>
      </c>
      <c r="E2064" s="4" t="s">
        <v>2</v>
      </c>
      <c r="F2064" s="18">
        <v>2176</v>
      </c>
      <c r="G2064" s="18" t="s">
        <v>3271</v>
      </c>
      <c r="H2064" s="10" t="s">
        <v>2427</v>
      </c>
      <c r="I2064" s="3">
        <v>24</v>
      </c>
      <c r="J2064" s="3" t="s">
        <v>3271</v>
      </c>
      <c r="L2064" t="str">
        <f t="shared" si="32"/>
        <v/>
      </c>
      <c r="M2064">
        <f>VLOOKUP(F2064,Sheet2!$B$1:$E$19,2,FALSE)</f>
        <v>1073</v>
      </c>
      <c r="N2064">
        <f>VLOOKUP(F2064,Sheet2!$B$1:$E$19,3,FALSE)</f>
        <v>1108963</v>
      </c>
      <c r="O2064" t="str">
        <f>IF(G2064="Not available","",VLOOKUP(F2064,Sheet2!$B$1:$E$19,4,FALSE)+(G2064-1))</f>
        <v/>
      </c>
    </row>
    <row r="2065" spans="1:15" s="1" customFormat="1" ht="15" customHeight="1" x14ac:dyDescent="0.25">
      <c r="A2065" s="18" t="s">
        <v>955</v>
      </c>
      <c r="B2065" s="18" t="s">
        <v>1126</v>
      </c>
      <c r="C2065" s="5">
        <v>1882</v>
      </c>
      <c r="D2065" s="1" t="s">
        <v>1131</v>
      </c>
      <c r="E2065" s="1" t="s">
        <v>2</v>
      </c>
      <c r="F2065" s="18">
        <v>2165</v>
      </c>
      <c r="G2065" s="18">
        <v>177</v>
      </c>
      <c r="H2065" s="5">
        <v>1</v>
      </c>
      <c r="I2065" s="1">
        <v>182</v>
      </c>
      <c r="J2065" s="1">
        <v>159</v>
      </c>
      <c r="L2065" t="str">
        <f t="shared" si="32"/>
        <v>http://www.badatelna.eu/reprodukce/?fondId=1073&amp;zaznamId=1108952&amp;reproId=3779038</v>
      </c>
      <c r="M2065">
        <f>VLOOKUP(F2065,Sheet2!$B$1:$E$19,2,FALSE)</f>
        <v>1073</v>
      </c>
      <c r="N2065">
        <f>VLOOKUP(F2065,Sheet2!$B$1:$E$19,3,FALSE)</f>
        <v>1108952</v>
      </c>
      <c r="O2065">
        <f>IF(G2065="Not available","",VLOOKUP(F2065,Sheet2!$B$1:$E$19,4,FALSE)+(G2065-1))</f>
        <v>3779038</v>
      </c>
    </row>
    <row r="2066" spans="1:15" s="1" customFormat="1" ht="15" customHeight="1" x14ac:dyDescent="0.25">
      <c r="A2066" s="18" t="s">
        <v>955</v>
      </c>
      <c r="B2066" s="18" t="s">
        <v>1126</v>
      </c>
      <c r="C2066" s="10" t="s">
        <v>1285</v>
      </c>
      <c r="D2066" s="3" t="s">
        <v>2423</v>
      </c>
      <c r="E2066" s="4" t="s">
        <v>2</v>
      </c>
      <c r="F2066" s="18">
        <v>2176</v>
      </c>
      <c r="G2066" s="18" t="s">
        <v>3271</v>
      </c>
      <c r="H2066" s="10" t="s">
        <v>1955</v>
      </c>
      <c r="I2066" s="3">
        <v>24</v>
      </c>
      <c r="J2066" s="3" t="s">
        <v>3271</v>
      </c>
      <c r="K2066" s="3"/>
      <c r="L2066" t="str">
        <f t="shared" si="32"/>
        <v/>
      </c>
      <c r="M2066">
        <f>VLOOKUP(F2066,Sheet2!$B$1:$E$19,2,FALSE)</f>
        <v>1073</v>
      </c>
      <c r="N2066">
        <f>VLOOKUP(F2066,Sheet2!$B$1:$E$19,3,FALSE)</f>
        <v>1108963</v>
      </c>
      <c r="O2066" t="str">
        <f>IF(G2066="Not available","",VLOOKUP(F2066,Sheet2!$B$1:$E$19,4,FALSE)+(G2066-1))</f>
        <v/>
      </c>
    </row>
    <row r="2067" spans="1:15" s="1" customFormat="1" ht="15" customHeight="1" x14ac:dyDescent="0.25">
      <c r="A2067" s="18" t="s">
        <v>955</v>
      </c>
      <c r="B2067" s="18" t="s">
        <v>490</v>
      </c>
      <c r="C2067" s="5">
        <v>1861</v>
      </c>
      <c r="E2067" s="1" t="s">
        <v>939</v>
      </c>
      <c r="F2067" s="18">
        <v>999</v>
      </c>
      <c r="G2067" s="18">
        <v>25</v>
      </c>
      <c r="H2067" s="5">
        <v>23</v>
      </c>
      <c r="I2067" s="1">
        <v>70</v>
      </c>
      <c r="J2067" s="1">
        <v>104</v>
      </c>
      <c r="L2067" t="str">
        <f t="shared" si="32"/>
        <v>http://www.badatelna.eu/reprodukce/?fondId=241&amp;zaznamId=1133739&amp;reproId=3885754</v>
      </c>
      <c r="M2067">
        <f>VLOOKUP(F2067,Sheet2!$B$1:$E$19,2,FALSE)</f>
        <v>241</v>
      </c>
      <c r="N2067">
        <f>VLOOKUP(F2067,Sheet2!$B$1:$E$19,3,FALSE)</f>
        <v>1133739</v>
      </c>
      <c r="O2067">
        <f>IF(G2067="Not available","",VLOOKUP(F2067,Sheet2!$B$1:$E$19,4,FALSE)+(G2067-1))</f>
        <v>3885754</v>
      </c>
    </row>
    <row r="2068" spans="1:15" s="1" customFormat="1" ht="15" customHeight="1" x14ac:dyDescent="0.25">
      <c r="A2068" s="18" t="s">
        <v>955</v>
      </c>
      <c r="B2068" s="18" t="s">
        <v>2137</v>
      </c>
      <c r="C2068" s="10" t="s">
        <v>2005</v>
      </c>
      <c r="D2068" s="3" t="s">
        <v>2424</v>
      </c>
      <c r="E2068" s="4" t="s">
        <v>2</v>
      </c>
      <c r="F2068" s="18">
        <v>2176</v>
      </c>
      <c r="G2068" s="18" t="s">
        <v>3271</v>
      </c>
      <c r="H2068" s="10" t="s">
        <v>2311</v>
      </c>
      <c r="I2068" s="3">
        <v>24</v>
      </c>
      <c r="J2068" s="3" t="s">
        <v>3271</v>
      </c>
      <c r="K2068" s="3"/>
      <c r="L2068" t="str">
        <f t="shared" si="32"/>
        <v/>
      </c>
      <c r="M2068">
        <f>VLOOKUP(F2068,Sheet2!$B$1:$E$19,2,FALSE)</f>
        <v>1073</v>
      </c>
      <c r="N2068">
        <f>VLOOKUP(F2068,Sheet2!$B$1:$E$19,3,FALSE)</f>
        <v>1108963</v>
      </c>
      <c r="O2068" t="str">
        <f>IF(G2068="Not available","",VLOOKUP(F2068,Sheet2!$B$1:$E$19,4,FALSE)+(G2068-1))</f>
        <v/>
      </c>
    </row>
    <row r="2069" spans="1:15" s="1" customFormat="1" ht="15" customHeight="1" x14ac:dyDescent="0.25">
      <c r="A2069" s="18" t="s">
        <v>955</v>
      </c>
      <c r="B2069" s="18" t="s">
        <v>2137</v>
      </c>
      <c r="C2069" s="10" t="s">
        <v>2025</v>
      </c>
      <c r="D2069" s="3" t="s">
        <v>2423</v>
      </c>
      <c r="E2069" s="4" t="s">
        <v>2</v>
      </c>
      <c r="F2069" s="18">
        <v>2176</v>
      </c>
      <c r="G2069" s="18" t="s">
        <v>3271</v>
      </c>
      <c r="H2069" s="10" t="s">
        <v>2075</v>
      </c>
      <c r="I2069" s="3">
        <v>24</v>
      </c>
      <c r="J2069" s="3" t="s">
        <v>3271</v>
      </c>
      <c r="K2069" s="3"/>
      <c r="L2069" t="str">
        <f t="shared" si="32"/>
        <v/>
      </c>
      <c r="M2069">
        <f>VLOOKUP(F2069,Sheet2!$B$1:$E$19,2,FALSE)</f>
        <v>1073</v>
      </c>
      <c r="N2069">
        <f>VLOOKUP(F2069,Sheet2!$B$1:$E$19,3,FALSE)</f>
        <v>1108963</v>
      </c>
      <c r="O2069" t="str">
        <f>IF(G2069="Not available","",VLOOKUP(F2069,Sheet2!$B$1:$E$19,4,FALSE)+(G2069-1))</f>
        <v/>
      </c>
    </row>
    <row r="2070" spans="1:15" s="1" customFormat="1" ht="15" customHeight="1" x14ac:dyDescent="0.25">
      <c r="A2070" s="18" t="s">
        <v>955</v>
      </c>
      <c r="B2070" s="18" t="s">
        <v>809</v>
      </c>
      <c r="C2070" s="10" t="s">
        <v>2005</v>
      </c>
      <c r="D2070" s="3" t="s">
        <v>2423</v>
      </c>
      <c r="E2070" s="4" t="s">
        <v>2</v>
      </c>
      <c r="F2070" s="18">
        <v>2176</v>
      </c>
      <c r="G2070" s="18" t="s">
        <v>3271</v>
      </c>
      <c r="H2070" s="10" t="s">
        <v>1955</v>
      </c>
      <c r="I2070" s="3">
        <v>24</v>
      </c>
      <c r="J2070" s="3" t="s">
        <v>3271</v>
      </c>
      <c r="K2070" s="3"/>
      <c r="L2070" t="str">
        <f t="shared" si="32"/>
        <v/>
      </c>
      <c r="M2070">
        <f>VLOOKUP(F2070,Sheet2!$B$1:$E$19,2,FALSE)</f>
        <v>1073</v>
      </c>
      <c r="N2070">
        <f>VLOOKUP(F2070,Sheet2!$B$1:$E$19,3,FALSE)</f>
        <v>1108963</v>
      </c>
      <c r="O2070" t="str">
        <f>IF(G2070="Not available","",VLOOKUP(F2070,Sheet2!$B$1:$E$19,4,FALSE)+(G2070-1))</f>
        <v/>
      </c>
    </row>
    <row r="2071" spans="1:15" s="1" customFormat="1" ht="15" customHeight="1" x14ac:dyDescent="0.25">
      <c r="A2071" s="18" t="s">
        <v>955</v>
      </c>
      <c r="B2071" s="18" t="s">
        <v>1062</v>
      </c>
      <c r="C2071" s="10" t="s">
        <v>1987</v>
      </c>
      <c r="D2071" s="3" t="s">
        <v>2422</v>
      </c>
      <c r="E2071" s="4" t="s">
        <v>2</v>
      </c>
      <c r="F2071" s="18">
        <v>2176</v>
      </c>
      <c r="G2071" s="18" t="s">
        <v>3271</v>
      </c>
      <c r="H2071" s="10" t="s">
        <v>2009</v>
      </c>
      <c r="I2071" s="3">
        <v>24</v>
      </c>
      <c r="J2071" s="3" t="s">
        <v>3271</v>
      </c>
      <c r="L2071" t="str">
        <f t="shared" si="32"/>
        <v/>
      </c>
      <c r="M2071">
        <f>VLOOKUP(F2071,Sheet2!$B$1:$E$19,2,FALSE)</f>
        <v>1073</v>
      </c>
      <c r="N2071">
        <f>VLOOKUP(F2071,Sheet2!$B$1:$E$19,3,FALSE)</f>
        <v>1108963</v>
      </c>
      <c r="O2071" t="str">
        <f>IF(G2071="Not available","",VLOOKUP(F2071,Sheet2!$B$1:$E$19,4,FALSE)+(G2071-1))</f>
        <v/>
      </c>
    </row>
    <row r="2072" spans="1:15" s="1" customFormat="1" ht="15" customHeight="1" x14ac:dyDescent="0.25">
      <c r="A2072" s="18" t="s">
        <v>955</v>
      </c>
      <c r="B2072" s="18" t="s">
        <v>2425</v>
      </c>
      <c r="C2072" s="10" t="s">
        <v>2025</v>
      </c>
      <c r="D2072" s="3" t="s">
        <v>2426</v>
      </c>
      <c r="E2072" s="4" t="s">
        <v>2</v>
      </c>
      <c r="F2072" s="18">
        <v>2176</v>
      </c>
      <c r="G2072" s="18" t="s">
        <v>3271</v>
      </c>
      <c r="H2072" s="10" t="s">
        <v>1981</v>
      </c>
      <c r="I2072" s="3">
        <v>24</v>
      </c>
      <c r="J2072" s="3" t="s">
        <v>3271</v>
      </c>
      <c r="K2072" s="3"/>
      <c r="L2072" t="str">
        <f t="shared" si="32"/>
        <v/>
      </c>
      <c r="M2072">
        <f>VLOOKUP(F2072,Sheet2!$B$1:$E$19,2,FALSE)</f>
        <v>1073</v>
      </c>
      <c r="N2072">
        <f>VLOOKUP(F2072,Sheet2!$B$1:$E$19,3,FALSE)</f>
        <v>1108963</v>
      </c>
      <c r="O2072" t="str">
        <f>IF(G2072="Not available","",VLOOKUP(F2072,Sheet2!$B$1:$E$19,4,FALSE)+(G2072-1))</f>
        <v/>
      </c>
    </row>
    <row r="2073" spans="1:15" s="1" customFormat="1" ht="15" customHeight="1" x14ac:dyDescent="0.25">
      <c r="A2073" s="18" t="s">
        <v>955</v>
      </c>
      <c r="B2073" s="18" t="s">
        <v>593</v>
      </c>
      <c r="C2073" s="5">
        <v>1865</v>
      </c>
      <c r="E2073" s="1" t="s">
        <v>939</v>
      </c>
      <c r="F2073" s="18">
        <v>999</v>
      </c>
      <c r="G2073" s="18">
        <v>53</v>
      </c>
      <c r="H2073" s="5">
        <v>51</v>
      </c>
      <c r="I2073" s="1">
        <v>70</v>
      </c>
      <c r="J2073" s="1">
        <v>104</v>
      </c>
      <c r="L2073" t="str">
        <f t="shared" si="32"/>
        <v>http://www.badatelna.eu/reprodukce/?fondId=241&amp;zaznamId=1133739&amp;reproId=3885782</v>
      </c>
      <c r="M2073">
        <f>VLOOKUP(F2073,Sheet2!$B$1:$E$19,2,FALSE)</f>
        <v>241</v>
      </c>
      <c r="N2073">
        <f>VLOOKUP(F2073,Sheet2!$B$1:$E$19,3,FALSE)</f>
        <v>1133739</v>
      </c>
      <c r="O2073">
        <f>IF(G2073="Not available","",VLOOKUP(F2073,Sheet2!$B$1:$E$19,4,FALSE)+(G2073-1))</f>
        <v>3885782</v>
      </c>
    </row>
    <row r="2074" spans="1:15" s="1" customFormat="1" ht="15" customHeight="1" x14ac:dyDescent="0.25">
      <c r="A2074" s="18" t="s">
        <v>955</v>
      </c>
      <c r="B2074" s="18" t="s">
        <v>593</v>
      </c>
      <c r="C2074" s="5" t="s">
        <v>1458</v>
      </c>
      <c r="D2074" s="1" t="s">
        <v>219</v>
      </c>
      <c r="E2074" s="1" t="s">
        <v>2</v>
      </c>
      <c r="F2074" s="18">
        <v>2165</v>
      </c>
      <c r="G2074" s="18">
        <v>5</v>
      </c>
      <c r="H2074" s="5">
        <v>2</v>
      </c>
      <c r="I2074" s="1">
        <v>85</v>
      </c>
      <c r="J2074" s="1" t="s">
        <v>3271</v>
      </c>
      <c r="L2074" t="str">
        <f t="shared" si="32"/>
        <v>http://www.badatelna.eu/reprodukce/?fondId=1073&amp;zaznamId=1108952&amp;reproId=3778866</v>
      </c>
      <c r="M2074">
        <f>VLOOKUP(F2074,Sheet2!$B$1:$E$19,2,FALSE)</f>
        <v>1073</v>
      </c>
      <c r="N2074">
        <f>VLOOKUP(F2074,Sheet2!$B$1:$E$19,3,FALSE)</f>
        <v>1108952</v>
      </c>
      <c r="O2074">
        <f>IF(G2074="Not available","",VLOOKUP(F2074,Sheet2!$B$1:$E$19,4,FALSE)+(G2074-1))</f>
        <v>3778866</v>
      </c>
    </row>
    <row r="2075" spans="1:15" s="1" customFormat="1" ht="15" customHeight="1" x14ac:dyDescent="0.25">
      <c r="A2075" s="18" t="s">
        <v>955</v>
      </c>
      <c r="B2075" s="18" t="s">
        <v>58</v>
      </c>
      <c r="C2075" s="5" t="s">
        <v>1470</v>
      </c>
      <c r="D2075" s="1" t="s">
        <v>21</v>
      </c>
      <c r="E2075" s="1" t="s">
        <v>2</v>
      </c>
      <c r="F2075" s="18">
        <v>2165</v>
      </c>
      <c r="G2075" s="18">
        <v>64</v>
      </c>
      <c r="H2075" s="5">
        <v>61</v>
      </c>
      <c r="I2075" s="1">
        <v>85</v>
      </c>
      <c r="J2075" s="1" t="s">
        <v>3271</v>
      </c>
      <c r="L2075" t="str">
        <f t="shared" si="32"/>
        <v>http://www.badatelna.eu/reprodukce/?fondId=1073&amp;zaznamId=1108952&amp;reproId=3778925</v>
      </c>
      <c r="M2075">
        <f>VLOOKUP(F2075,Sheet2!$B$1:$E$19,2,FALSE)</f>
        <v>1073</v>
      </c>
      <c r="N2075">
        <f>VLOOKUP(F2075,Sheet2!$B$1:$E$19,3,FALSE)</f>
        <v>1108952</v>
      </c>
      <c r="O2075">
        <f>IF(G2075="Not available","",VLOOKUP(F2075,Sheet2!$B$1:$E$19,4,FALSE)+(G2075-1))</f>
        <v>3778925</v>
      </c>
    </row>
    <row r="2076" spans="1:15" s="1" customFormat="1" ht="15" customHeight="1" x14ac:dyDescent="0.25">
      <c r="A2076" s="18" t="s">
        <v>879</v>
      </c>
      <c r="B2076" s="18" t="s">
        <v>769</v>
      </c>
      <c r="C2076" s="5">
        <v>1856</v>
      </c>
      <c r="D2076" s="1" t="s">
        <v>495</v>
      </c>
      <c r="E2076" s="1" t="s">
        <v>2</v>
      </c>
      <c r="F2076" s="18">
        <v>2164</v>
      </c>
      <c r="G2076" s="18">
        <v>109</v>
      </c>
      <c r="H2076" s="5">
        <v>107</v>
      </c>
      <c r="I2076" s="1">
        <v>131</v>
      </c>
      <c r="J2076" s="3" t="s">
        <v>3271</v>
      </c>
      <c r="L2076" t="str">
        <f t="shared" si="32"/>
        <v>http://www.badatelna.eu/reprodukce/?fondId=1073&amp;zaznamId=1108951&amp;reproId=3778823</v>
      </c>
      <c r="M2076">
        <f>VLOOKUP(F2076,Sheet2!$B$1:$E$19,2,FALSE)</f>
        <v>1073</v>
      </c>
      <c r="N2076">
        <f>VLOOKUP(F2076,Sheet2!$B$1:$E$19,3,FALSE)</f>
        <v>1108951</v>
      </c>
      <c r="O2076">
        <f>IF(G2076="Not available","",VLOOKUP(F2076,Sheet2!$B$1:$E$19,4,FALSE)+(G2076-1))</f>
        <v>3778823</v>
      </c>
    </row>
    <row r="2077" spans="1:15" s="1" customFormat="1" ht="15" customHeight="1" x14ac:dyDescent="0.25">
      <c r="A2077" s="18" t="s">
        <v>879</v>
      </c>
      <c r="B2077" s="18" t="s">
        <v>437</v>
      </c>
      <c r="C2077" s="5">
        <v>1856</v>
      </c>
      <c r="D2077" s="1" t="s">
        <v>495</v>
      </c>
      <c r="E2077" s="1" t="s">
        <v>2</v>
      </c>
      <c r="F2077" s="18">
        <v>2164</v>
      </c>
      <c r="G2077" s="18">
        <v>117</v>
      </c>
      <c r="H2077" s="5">
        <v>115</v>
      </c>
      <c r="I2077" s="1">
        <v>131</v>
      </c>
      <c r="J2077" s="3" t="s">
        <v>3271</v>
      </c>
      <c r="L2077" t="str">
        <f t="shared" si="32"/>
        <v>http://www.badatelna.eu/reprodukce/?fondId=1073&amp;zaznamId=1108951&amp;reproId=3778831</v>
      </c>
      <c r="M2077">
        <f>VLOOKUP(F2077,Sheet2!$B$1:$E$19,2,FALSE)</f>
        <v>1073</v>
      </c>
      <c r="N2077">
        <f>VLOOKUP(F2077,Sheet2!$B$1:$E$19,3,FALSE)</f>
        <v>1108951</v>
      </c>
      <c r="O2077">
        <f>IF(G2077="Not available","",VLOOKUP(F2077,Sheet2!$B$1:$E$19,4,FALSE)+(G2077-1))</f>
        <v>3778831</v>
      </c>
    </row>
    <row r="2078" spans="1:15" s="1" customFormat="1" ht="15" customHeight="1" x14ac:dyDescent="0.25">
      <c r="A2078" s="18" t="s">
        <v>255</v>
      </c>
      <c r="B2078" s="18" t="s">
        <v>6</v>
      </c>
      <c r="C2078" s="5">
        <v>1844</v>
      </c>
      <c r="D2078" s="1" t="s">
        <v>50</v>
      </c>
      <c r="E2078" s="1" t="s">
        <v>2</v>
      </c>
      <c r="F2078" s="18">
        <v>2174</v>
      </c>
      <c r="G2078" s="18">
        <v>150</v>
      </c>
      <c r="H2078" s="6" t="s">
        <v>3217</v>
      </c>
      <c r="I2078" s="1">
        <v>190</v>
      </c>
      <c r="J2078" s="1">
        <v>221</v>
      </c>
      <c r="L2078" t="str">
        <f t="shared" si="32"/>
        <v>http://www.badatelna.eu/reprodukce/?fondId=1073&amp;zaznamId=1108960&amp;reproId=3780374</v>
      </c>
      <c r="M2078">
        <f>VLOOKUP(F2078,Sheet2!$B$1:$E$19,2,FALSE)</f>
        <v>1073</v>
      </c>
      <c r="N2078">
        <f>VLOOKUP(F2078,Sheet2!$B$1:$E$19,3,FALSE)</f>
        <v>1108960</v>
      </c>
      <c r="O2078">
        <f>IF(G2078="Not available","",VLOOKUP(F2078,Sheet2!$B$1:$E$19,4,FALSE)+(G2078-1))</f>
        <v>3780374</v>
      </c>
    </row>
    <row r="2079" spans="1:15" s="1" customFormat="1" ht="15" customHeight="1" x14ac:dyDescent="0.25">
      <c r="A2079" s="18" t="s">
        <v>255</v>
      </c>
      <c r="B2079" s="18" t="s">
        <v>562</v>
      </c>
      <c r="C2079" s="5">
        <v>1847</v>
      </c>
      <c r="D2079" s="1" t="s">
        <v>50</v>
      </c>
      <c r="E2079" s="1" t="s">
        <v>2</v>
      </c>
      <c r="F2079" s="18">
        <v>2174</v>
      </c>
      <c r="G2079" s="18">
        <v>171</v>
      </c>
      <c r="H2079" s="6" t="s">
        <v>3238</v>
      </c>
      <c r="I2079" s="1">
        <v>190</v>
      </c>
      <c r="J2079" s="1">
        <v>221</v>
      </c>
      <c r="L2079" t="str">
        <f t="shared" si="32"/>
        <v>http://www.badatelna.eu/reprodukce/?fondId=1073&amp;zaznamId=1108960&amp;reproId=3780395</v>
      </c>
      <c r="M2079">
        <f>VLOOKUP(F2079,Sheet2!$B$1:$E$19,2,FALSE)</f>
        <v>1073</v>
      </c>
      <c r="N2079">
        <f>VLOOKUP(F2079,Sheet2!$B$1:$E$19,3,FALSE)</f>
        <v>1108960</v>
      </c>
      <c r="O2079">
        <f>IF(G2079="Not available","",VLOOKUP(F2079,Sheet2!$B$1:$E$19,4,FALSE)+(G2079-1))</f>
        <v>3780395</v>
      </c>
    </row>
    <row r="2080" spans="1:15" s="1" customFormat="1" ht="15" customHeight="1" x14ac:dyDescent="0.25">
      <c r="A2080" s="18" t="s">
        <v>255</v>
      </c>
      <c r="B2080" s="18" t="s">
        <v>822</v>
      </c>
      <c r="C2080" s="5">
        <v>1853</v>
      </c>
      <c r="D2080" s="1" t="s">
        <v>50</v>
      </c>
      <c r="E2080" s="1" t="s">
        <v>2</v>
      </c>
      <c r="F2080" s="18">
        <v>2164</v>
      </c>
      <c r="G2080" s="18">
        <v>92</v>
      </c>
      <c r="H2080" s="5">
        <v>90</v>
      </c>
      <c r="I2080" s="1">
        <v>131</v>
      </c>
      <c r="J2080" s="3" t="s">
        <v>3271</v>
      </c>
      <c r="L2080" t="str">
        <f t="shared" si="32"/>
        <v>http://www.badatelna.eu/reprodukce/?fondId=1073&amp;zaznamId=1108951&amp;reproId=3778806</v>
      </c>
      <c r="M2080">
        <f>VLOOKUP(F2080,Sheet2!$B$1:$E$19,2,FALSE)</f>
        <v>1073</v>
      </c>
      <c r="N2080">
        <f>VLOOKUP(F2080,Sheet2!$B$1:$E$19,3,FALSE)</f>
        <v>1108951</v>
      </c>
      <c r="O2080">
        <f>IF(G2080="Not available","",VLOOKUP(F2080,Sheet2!$B$1:$E$19,4,FALSE)+(G2080-1))</f>
        <v>3778806</v>
      </c>
    </row>
    <row r="2081" spans="1:15" s="1" customFormat="1" ht="15" customHeight="1" x14ac:dyDescent="0.25">
      <c r="A2081" s="18" t="s">
        <v>255</v>
      </c>
      <c r="B2081" s="18" t="s">
        <v>135</v>
      </c>
      <c r="C2081" s="5">
        <v>1849</v>
      </c>
      <c r="D2081" s="1" t="s">
        <v>486</v>
      </c>
      <c r="E2081" s="1" t="s">
        <v>2</v>
      </c>
      <c r="F2081" s="18">
        <v>2164</v>
      </c>
      <c r="G2081" s="18">
        <v>51</v>
      </c>
      <c r="H2081" s="5">
        <v>49</v>
      </c>
      <c r="I2081" s="1">
        <v>131</v>
      </c>
      <c r="J2081" s="3" t="s">
        <v>3271</v>
      </c>
      <c r="L2081" t="str">
        <f t="shared" si="32"/>
        <v>http://www.badatelna.eu/reprodukce/?fondId=1073&amp;zaznamId=1108951&amp;reproId=3778765</v>
      </c>
      <c r="M2081">
        <f>VLOOKUP(F2081,Sheet2!$B$1:$E$19,2,FALSE)</f>
        <v>1073</v>
      </c>
      <c r="N2081">
        <f>VLOOKUP(F2081,Sheet2!$B$1:$E$19,3,FALSE)</f>
        <v>1108951</v>
      </c>
      <c r="O2081">
        <f>IF(G2081="Not available","",VLOOKUP(F2081,Sheet2!$B$1:$E$19,4,FALSE)+(G2081-1))</f>
        <v>3778765</v>
      </c>
    </row>
    <row r="2082" spans="1:15" s="1" customFormat="1" ht="15" customHeight="1" x14ac:dyDescent="0.25">
      <c r="A2082" s="18" t="s">
        <v>255</v>
      </c>
      <c r="B2082" s="19" t="s">
        <v>2883</v>
      </c>
      <c r="C2082" s="5">
        <v>1849</v>
      </c>
      <c r="D2082" s="1" t="s">
        <v>495</v>
      </c>
      <c r="E2082" s="1" t="s">
        <v>2</v>
      </c>
      <c r="F2082" s="18">
        <v>2164</v>
      </c>
      <c r="G2082" s="18">
        <v>64</v>
      </c>
      <c r="H2082" s="5">
        <v>62</v>
      </c>
      <c r="I2082" s="1">
        <v>131</v>
      </c>
      <c r="J2082" s="3" t="s">
        <v>3271</v>
      </c>
      <c r="L2082" t="str">
        <f t="shared" si="32"/>
        <v>http://www.badatelna.eu/reprodukce/?fondId=1073&amp;zaznamId=1108951&amp;reproId=3778778</v>
      </c>
      <c r="M2082">
        <f>VLOOKUP(F2082,Sheet2!$B$1:$E$19,2,FALSE)</f>
        <v>1073</v>
      </c>
      <c r="N2082">
        <f>VLOOKUP(F2082,Sheet2!$B$1:$E$19,3,FALSE)</f>
        <v>1108951</v>
      </c>
      <c r="O2082">
        <f>IF(G2082="Not available","",VLOOKUP(F2082,Sheet2!$B$1:$E$19,4,FALSE)+(G2082-1))</f>
        <v>3778778</v>
      </c>
    </row>
    <row r="2083" spans="1:15" s="1" customFormat="1" ht="15" customHeight="1" x14ac:dyDescent="0.25">
      <c r="A2083" s="18" t="s">
        <v>255</v>
      </c>
      <c r="B2083" s="18" t="s">
        <v>120</v>
      </c>
      <c r="C2083" s="5">
        <v>1826</v>
      </c>
      <c r="E2083" s="1" t="s">
        <v>2</v>
      </c>
      <c r="F2083" s="18">
        <v>2173</v>
      </c>
      <c r="G2083" s="18">
        <v>78</v>
      </c>
      <c r="H2083" s="5">
        <v>148</v>
      </c>
      <c r="I2083" s="1">
        <v>104</v>
      </c>
      <c r="J2083" s="1">
        <v>223</v>
      </c>
      <c r="L2083" t="str">
        <f t="shared" si="32"/>
        <v>http://www.badatelna.eu/reprodukce/?fondId=1073&amp;zaznamId=1108959&amp;reproId=3780071</v>
      </c>
      <c r="M2083">
        <f>VLOOKUP(F2083,Sheet2!$B$1:$E$19,2,FALSE)</f>
        <v>1073</v>
      </c>
      <c r="N2083">
        <f>VLOOKUP(F2083,Sheet2!$B$1:$E$19,3,FALSE)</f>
        <v>1108959</v>
      </c>
      <c r="O2083">
        <f>IF(G2083="Not available","",VLOOKUP(F2083,Sheet2!$B$1:$E$19,4,FALSE)+(G2083-1))</f>
        <v>3780071</v>
      </c>
    </row>
    <row r="2084" spans="1:15" s="1" customFormat="1" ht="15" customHeight="1" x14ac:dyDescent="0.25">
      <c r="A2084" s="18" t="s">
        <v>255</v>
      </c>
      <c r="B2084" s="18" t="s">
        <v>870</v>
      </c>
      <c r="C2084" s="5">
        <v>1848</v>
      </c>
      <c r="D2084" s="1" t="s">
        <v>495</v>
      </c>
      <c r="E2084" s="1" t="s">
        <v>2</v>
      </c>
      <c r="F2084" s="18">
        <v>2164</v>
      </c>
      <c r="G2084" s="18">
        <v>37</v>
      </c>
      <c r="H2084" s="5">
        <v>35</v>
      </c>
      <c r="I2084" s="1">
        <v>131</v>
      </c>
      <c r="J2084" s="3" t="s">
        <v>3271</v>
      </c>
      <c r="L2084" t="str">
        <f t="shared" si="32"/>
        <v>http://www.badatelna.eu/reprodukce/?fondId=1073&amp;zaznamId=1108951&amp;reproId=3778751</v>
      </c>
      <c r="M2084">
        <f>VLOOKUP(F2084,Sheet2!$B$1:$E$19,2,FALSE)</f>
        <v>1073</v>
      </c>
      <c r="N2084">
        <f>VLOOKUP(F2084,Sheet2!$B$1:$E$19,3,FALSE)</f>
        <v>1108951</v>
      </c>
      <c r="O2084">
        <f>IF(G2084="Not available","",VLOOKUP(F2084,Sheet2!$B$1:$E$19,4,FALSE)+(G2084-1))</f>
        <v>3778751</v>
      </c>
    </row>
    <row r="2085" spans="1:15" s="1" customFormat="1" ht="15" customHeight="1" x14ac:dyDescent="0.25">
      <c r="A2085" s="18" t="s">
        <v>255</v>
      </c>
      <c r="B2085" s="18" t="s">
        <v>602</v>
      </c>
      <c r="C2085" s="5">
        <v>1858</v>
      </c>
      <c r="E2085" s="1" t="s">
        <v>939</v>
      </c>
      <c r="F2085" s="18">
        <v>999</v>
      </c>
      <c r="G2085" s="18">
        <v>8</v>
      </c>
      <c r="H2085" s="5">
        <v>6</v>
      </c>
      <c r="I2085" s="1">
        <v>70</v>
      </c>
      <c r="J2085" s="1">
        <v>104</v>
      </c>
      <c r="L2085" t="str">
        <f t="shared" si="32"/>
        <v>http://www.badatelna.eu/reprodukce/?fondId=241&amp;zaznamId=1133739&amp;reproId=3885737</v>
      </c>
      <c r="M2085">
        <f>VLOOKUP(F2085,Sheet2!$B$1:$E$19,2,FALSE)</f>
        <v>241</v>
      </c>
      <c r="N2085">
        <f>VLOOKUP(F2085,Sheet2!$B$1:$E$19,3,FALSE)</f>
        <v>1133739</v>
      </c>
      <c r="O2085">
        <f>IF(G2085="Not available","",VLOOKUP(F2085,Sheet2!$B$1:$E$19,4,FALSE)+(G2085-1))</f>
        <v>3885737</v>
      </c>
    </row>
    <row r="2086" spans="1:15" s="1" customFormat="1" ht="15" customHeight="1" x14ac:dyDescent="0.25">
      <c r="A2086" s="18" t="s">
        <v>255</v>
      </c>
      <c r="B2086" s="18" t="s">
        <v>233</v>
      </c>
      <c r="C2086" s="5">
        <v>1846</v>
      </c>
      <c r="D2086" s="1" t="s">
        <v>432</v>
      </c>
      <c r="E2086" s="1" t="s">
        <v>2</v>
      </c>
      <c r="F2086" s="18">
        <v>2174</v>
      </c>
      <c r="G2086" s="18">
        <v>165</v>
      </c>
      <c r="H2086" s="6" t="s">
        <v>3233</v>
      </c>
      <c r="I2086" s="1">
        <v>190</v>
      </c>
      <c r="J2086" s="1">
        <v>221</v>
      </c>
      <c r="L2086" t="str">
        <f t="shared" si="32"/>
        <v>http://www.badatelna.eu/reprodukce/?fondId=1073&amp;zaznamId=1108960&amp;reproId=3780389</v>
      </c>
      <c r="M2086">
        <f>VLOOKUP(F2086,Sheet2!$B$1:$E$19,2,FALSE)</f>
        <v>1073</v>
      </c>
      <c r="N2086">
        <f>VLOOKUP(F2086,Sheet2!$B$1:$E$19,3,FALSE)</f>
        <v>1108960</v>
      </c>
      <c r="O2086">
        <f>IF(G2086="Not available","",VLOOKUP(F2086,Sheet2!$B$1:$E$19,4,FALSE)+(G2086-1))</f>
        <v>3780389</v>
      </c>
    </row>
    <row r="2087" spans="1:15" s="1" customFormat="1" ht="15" customHeight="1" x14ac:dyDescent="0.25">
      <c r="A2087" s="18" t="s">
        <v>255</v>
      </c>
      <c r="B2087" s="18" t="s">
        <v>432</v>
      </c>
      <c r="C2087" s="5">
        <v>1860</v>
      </c>
      <c r="E2087" s="1" t="s">
        <v>939</v>
      </c>
      <c r="F2087" s="18">
        <v>999</v>
      </c>
      <c r="G2087" s="18">
        <v>21</v>
      </c>
      <c r="H2087" s="5">
        <v>19</v>
      </c>
      <c r="I2087" s="1">
        <v>70</v>
      </c>
      <c r="J2087" s="1">
        <v>104</v>
      </c>
      <c r="L2087" t="str">
        <f t="shared" si="32"/>
        <v>http://www.badatelna.eu/reprodukce/?fondId=241&amp;zaznamId=1133739&amp;reproId=3885750</v>
      </c>
      <c r="M2087">
        <f>VLOOKUP(F2087,Sheet2!$B$1:$E$19,2,FALSE)</f>
        <v>241</v>
      </c>
      <c r="N2087">
        <f>VLOOKUP(F2087,Sheet2!$B$1:$E$19,3,FALSE)</f>
        <v>1133739</v>
      </c>
      <c r="O2087">
        <f>IF(G2087="Not available","",VLOOKUP(F2087,Sheet2!$B$1:$E$19,4,FALSE)+(G2087-1))</f>
        <v>3885750</v>
      </c>
    </row>
    <row r="2088" spans="1:15" s="1" customFormat="1" ht="15" customHeight="1" x14ac:dyDescent="0.25">
      <c r="A2088" s="18" t="s">
        <v>255</v>
      </c>
      <c r="B2088" s="19" t="s">
        <v>3071</v>
      </c>
      <c r="C2088" s="5">
        <v>1786</v>
      </c>
      <c r="D2088" s="1" t="s">
        <v>122</v>
      </c>
      <c r="E2088" s="1" t="s">
        <v>2</v>
      </c>
      <c r="F2088" s="18">
        <v>2173</v>
      </c>
      <c r="G2088" s="18">
        <v>11</v>
      </c>
      <c r="H2088" s="5">
        <v>16</v>
      </c>
      <c r="I2088" s="1">
        <v>103</v>
      </c>
      <c r="J2088" s="1">
        <v>221</v>
      </c>
      <c r="L2088" t="str">
        <f t="shared" si="32"/>
        <v>http://www.badatelna.eu/reprodukce/?fondId=1073&amp;zaznamId=1108959&amp;reproId=3780004</v>
      </c>
      <c r="M2088">
        <f>VLOOKUP(F2088,Sheet2!$B$1:$E$19,2,FALSE)</f>
        <v>1073</v>
      </c>
      <c r="N2088">
        <f>VLOOKUP(F2088,Sheet2!$B$1:$E$19,3,FALSE)</f>
        <v>1108959</v>
      </c>
      <c r="O2088">
        <f>IF(G2088="Not available","",VLOOKUP(F2088,Sheet2!$B$1:$E$19,4,FALSE)+(G2088-1))</f>
        <v>3780004</v>
      </c>
    </row>
    <row r="2089" spans="1:15" s="1" customFormat="1" ht="15" customHeight="1" x14ac:dyDescent="0.25">
      <c r="A2089" s="18" t="s">
        <v>255</v>
      </c>
      <c r="B2089" s="18" t="s">
        <v>476</v>
      </c>
      <c r="C2089" s="5">
        <v>1839</v>
      </c>
      <c r="D2089" s="1" t="s">
        <v>432</v>
      </c>
      <c r="E2089" s="1" t="s">
        <v>2</v>
      </c>
      <c r="F2089" s="18">
        <v>2174</v>
      </c>
      <c r="G2089" s="18">
        <v>107</v>
      </c>
      <c r="H2089" s="6" t="s">
        <v>3177</v>
      </c>
      <c r="I2089" s="1">
        <v>189</v>
      </c>
      <c r="J2089" s="1">
        <v>220</v>
      </c>
      <c r="L2089" t="str">
        <f t="shared" si="32"/>
        <v>http://www.badatelna.eu/reprodukce/?fondId=1073&amp;zaznamId=1108960&amp;reproId=3780331</v>
      </c>
      <c r="M2089">
        <f>VLOOKUP(F2089,Sheet2!$B$1:$E$19,2,FALSE)</f>
        <v>1073</v>
      </c>
      <c r="N2089">
        <f>VLOOKUP(F2089,Sheet2!$B$1:$E$19,3,FALSE)</f>
        <v>1108960</v>
      </c>
      <c r="O2089">
        <f>IF(G2089="Not available","",VLOOKUP(F2089,Sheet2!$B$1:$E$19,4,FALSE)+(G2089-1))</f>
        <v>3780331</v>
      </c>
    </row>
    <row r="2090" spans="1:15" s="1" customFormat="1" ht="15" customHeight="1" x14ac:dyDescent="0.25">
      <c r="A2090" s="18" t="s">
        <v>255</v>
      </c>
      <c r="B2090" s="18" t="s">
        <v>740</v>
      </c>
      <c r="C2090" s="5">
        <v>1850</v>
      </c>
      <c r="D2090" s="1" t="s">
        <v>50</v>
      </c>
      <c r="E2090" s="1" t="s">
        <v>2</v>
      </c>
      <c r="F2090" s="18">
        <v>2164</v>
      </c>
      <c r="G2090" s="18">
        <v>74</v>
      </c>
      <c r="H2090" s="5">
        <v>72</v>
      </c>
      <c r="I2090" s="1">
        <v>131</v>
      </c>
      <c r="J2090" s="3" t="s">
        <v>3271</v>
      </c>
      <c r="L2090" t="str">
        <f t="shared" si="32"/>
        <v>http://www.badatelna.eu/reprodukce/?fondId=1073&amp;zaznamId=1108951&amp;reproId=3778788</v>
      </c>
      <c r="M2090">
        <f>VLOOKUP(F2090,Sheet2!$B$1:$E$19,2,FALSE)</f>
        <v>1073</v>
      </c>
      <c r="N2090">
        <f>VLOOKUP(F2090,Sheet2!$B$1:$E$19,3,FALSE)</f>
        <v>1108951</v>
      </c>
      <c r="O2090">
        <f>IF(G2090="Not available","",VLOOKUP(F2090,Sheet2!$B$1:$E$19,4,FALSE)+(G2090-1))</f>
        <v>3778788</v>
      </c>
    </row>
    <row r="2091" spans="1:15" s="1" customFormat="1" ht="15" customHeight="1" x14ac:dyDescent="0.25">
      <c r="A2091" s="18" t="s">
        <v>261</v>
      </c>
      <c r="B2091" s="18" t="s">
        <v>50</v>
      </c>
      <c r="C2091" s="5">
        <v>1815</v>
      </c>
      <c r="E2091" s="1" t="s">
        <v>2</v>
      </c>
      <c r="F2091" s="18">
        <v>2173</v>
      </c>
      <c r="G2091" s="18">
        <v>64</v>
      </c>
      <c r="H2091" s="5">
        <v>122</v>
      </c>
      <c r="I2091" s="1">
        <v>104</v>
      </c>
      <c r="J2091" s="1">
        <v>222</v>
      </c>
      <c r="L2091" t="str">
        <f t="shared" si="32"/>
        <v>http://www.badatelna.eu/reprodukce/?fondId=1073&amp;zaznamId=1108959&amp;reproId=3780057</v>
      </c>
      <c r="M2091">
        <f>VLOOKUP(F2091,Sheet2!$B$1:$E$19,2,FALSE)</f>
        <v>1073</v>
      </c>
      <c r="N2091">
        <f>VLOOKUP(F2091,Sheet2!$B$1:$E$19,3,FALSE)</f>
        <v>1108959</v>
      </c>
      <c r="O2091">
        <f>IF(G2091="Not available","",VLOOKUP(F2091,Sheet2!$B$1:$E$19,4,FALSE)+(G2091-1))</f>
        <v>3780057</v>
      </c>
    </row>
    <row r="2092" spans="1:15" s="1" customFormat="1" ht="15" customHeight="1" x14ac:dyDescent="0.25">
      <c r="A2092" s="18" t="s">
        <v>261</v>
      </c>
      <c r="B2092" s="18" t="s">
        <v>546</v>
      </c>
      <c r="C2092" s="5">
        <v>1845</v>
      </c>
      <c r="D2092" s="1" t="s">
        <v>432</v>
      </c>
      <c r="E2092" s="1" t="s">
        <v>2</v>
      </c>
      <c r="F2092" s="18">
        <v>2174</v>
      </c>
      <c r="G2092" s="18">
        <v>154</v>
      </c>
      <c r="H2092" s="14" t="s">
        <v>3220</v>
      </c>
      <c r="I2092" s="1">
        <v>190</v>
      </c>
      <c r="J2092" s="1">
        <v>221</v>
      </c>
      <c r="L2092" t="str">
        <f t="shared" si="32"/>
        <v>http://www.badatelna.eu/reprodukce/?fondId=1073&amp;zaznamId=1108960&amp;reproId=3780378</v>
      </c>
      <c r="M2092">
        <f>VLOOKUP(F2092,Sheet2!$B$1:$E$19,2,FALSE)</f>
        <v>1073</v>
      </c>
      <c r="N2092">
        <f>VLOOKUP(F2092,Sheet2!$B$1:$E$19,3,FALSE)</f>
        <v>1108960</v>
      </c>
      <c r="O2092">
        <f>IF(G2092="Not available","",VLOOKUP(F2092,Sheet2!$B$1:$E$19,4,FALSE)+(G2092-1))</f>
        <v>3780378</v>
      </c>
    </row>
    <row r="2093" spans="1:15" s="1" customFormat="1" ht="15" customHeight="1" x14ac:dyDescent="0.25">
      <c r="A2093" s="18" t="s">
        <v>261</v>
      </c>
      <c r="B2093" s="18" t="s">
        <v>122</v>
      </c>
      <c r="C2093" s="5">
        <v>1820</v>
      </c>
      <c r="E2093" s="1" t="s">
        <v>2</v>
      </c>
      <c r="F2093" s="18">
        <v>2173</v>
      </c>
      <c r="G2093" s="18">
        <v>71</v>
      </c>
      <c r="H2093" s="5">
        <v>134</v>
      </c>
      <c r="I2093" s="1">
        <v>104</v>
      </c>
      <c r="J2093" s="1">
        <v>222</v>
      </c>
      <c r="L2093" t="str">
        <f t="shared" si="32"/>
        <v>http://www.badatelna.eu/reprodukce/?fondId=1073&amp;zaznamId=1108959&amp;reproId=3780064</v>
      </c>
      <c r="M2093">
        <f>VLOOKUP(F2093,Sheet2!$B$1:$E$19,2,FALSE)</f>
        <v>1073</v>
      </c>
      <c r="N2093">
        <f>VLOOKUP(F2093,Sheet2!$B$1:$E$19,3,FALSE)</f>
        <v>1108959</v>
      </c>
      <c r="O2093">
        <f>IF(G2093="Not available","",VLOOKUP(F2093,Sheet2!$B$1:$E$19,4,FALSE)+(G2093-1))</f>
        <v>3780064</v>
      </c>
    </row>
    <row r="2094" spans="1:15" s="1" customFormat="1" ht="15" customHeight="1" x14ac:dyDescent="0.25">
      <c r="A2094" s="18" t="s">
        <v>261</v>
      </c>
      <c r="B2094" s="18" t="s">
        <v>87</v>
      </c>
      <c r="C2094" s="5">
        <v>1809</v>
      </c>
      <c r="E2094" s="1" t="s">
        <v>2</v>
      </c>
      <c r="F2094" s="18">
        <v>2173</v>
      </c>
      <c r="G2094" s="18">
        <v>55</v>
      </c>
      <c r="H2094" s="5">
        <v>105</v>
      </c>
      <c r="I2094" s="1">
        <v>104</v>
      </c>
      <c r="J2094" s="1">
        <v>222</v>
      </c>
      <c r="L2094" t="str">
        <f t="shared" si="32"/>
        <v>http://www.badatelna.eu/reprodukce/?fondId=1073&amp;zaznamId=1108959&amp;reproId=3780048</v>
      </c>
      <c r="M2094">
        <f>VLOOKUP(F2094,Sheet2!$B$1:$E$19,2,FALSE)</f>
        <v>1073</v>
      </c>
      <c r="N2094">
        <f>VLOOKUP(F2094,Sheet2!$B$1:$E$19,3,FALSE)</f>
        <v>1108959</v>
      </c>
      <c r="O2094">
        <f>IF(G2094="Not available","",VLOOKUP(F2094,Sheet2!$B$1:$E$19,4,FALSE)+(G2094-1))</f>
        <v>3780048</v>
      </c>
    </row>
    <row r="2095" spans="1:15" s="1" customFormat="1" ht="15" customHeight="1" x14ac:dyDescent="0.25">
      <c r="A2095" s="18" t="s">
        <v>261</v>
      </c>
      <c r="B2095" s="18" t="s">
        <v>64</v>
      </c>
      <c r="C2095" s="5">
        <v>1819</v>
      </c>
      <c r="E2095" s="1" t="s">
        <v>2</v>
      </c>
      <c r="F2095" s="18">
        <v>2173</v>
      </c>
      <c r="G2095" s="18">
        <v>69</v>
      </c>
      <c r="H2095" s="5">
        <v>130</v>
      </c>
      <c r="I2095" s="1">
        <v>104</v>
      </c>
      <c r="J2095" s="1">
        <v>222</v>
      </c>
      <c r="L2095" t="str">
        <f t="shared" si="32"/>
        <v>http://www.badatelna.eu/reprodukce/?fondId=1073&amp;zaznamId=1108959&amp;reproId=3780062</v>
      </c>
      <c r="M2095">
        <f>VLOOKUP(F2095,Sheet2!$B$1:$E$19,2,FALSE)</f>
        <v>1073</v>
      </c>
      <c r="N2095">
        <f>VLOOKUP(F2095,Sheet2!$B$1:$E$19,3,FALSE)</f>
        <v>1108959</v>
      </c>
      <c r="O2095">
        <f>IF(G2095="Not available","",VLOOKUP(F2095,Sheet2!$B$1:$E$19,4,FALSE)+(G2095-1))</f>
        <v>3780062</v>
      </c>
    </row>
    <row r="2096" spans="1:15" s="1" customFormat="1" ht="15" customHeight="1" x14ac:dyDescent="0.25">
      <c r="A2096" s="18" t="s">
        <v>261</v>
      </c>
      <c r="B2096" s="18" t="s">
        <v>494</v>
      </c>
      <c r="C2096" s="5">
        <v>1841</v>
      </c>
      <c r="D2096" s="1" t="s">
        <v>432</v>
      </c>
      <c r="E2096" s="1" t="s">
        <v>2</v>
      </c>
      <c r="F2096" s="18">
        <v>2174</v>
      </c>
      <c r="G2096" s="18">
        <v>115</v>
      </c>
      <c r="H2096" s="6" t="s">
        <v>3184</v>
      </c>
      <c r="I2096" s="1">
        <v>189</v>
      </c>
      <c r="J2096" s="1">
        <v>220</v>
      </c>
      <c r="L2096" t="str">
        <f t="shared" si="32"/>
        <v>http://www.badatelna.eu/reprodukce/?fondId=1073&amp;zaznamId=1108960&amp;reproId=3780339</v>
      </c>
      <c r="M2096">
        <f>VLOOKUP(F2096,Sheet2!$B$1:$E$19,2,FALSE)</f>
        <v>1073</v>
      </c>
      <c r="N2096">
        <f>VLOOKUP(F2096,Sheet2!$B$1:$E$19,3,FALSE)</f>
        <v>1108960</v>
      </c>
      <c r="O2096">
        <f>IF(G2096="Not available","",VLOOKUP(F2096,Sheet2!$B$1:$E$19,4,FALSE)+(G2096-1))</f>
        <v>3780339</v>
      </c>
    </row>
    <row r="2097" spans="1:15" s="1" customFormat="1" ht="15" customHeight="1" x14ac:dyDescent="0.25">
      <c r="A2097" s="18" t="s">
        <v>261</v>
      </c>
      <c r="B2097" s="18" t="s">
        <v>180</v>
      </c>
      <c r="C2097" s="5">
        <v>1817</v>
      </c>
      <c r="E2097" s="1" t="s">
        <v>2</v>
      </c>
      <c r="F2097" s="18">
        <v>2173</v>
      </c>
      <c r="G2097" s="18">
        <v>67</v>
      </c>
      <c r="H2097" s="6" t="s">
        <v>338</v>
      </c>
      <c r="I2097" s="1">
        <v>104</v>
      </c>
      <c r="J2097" s="1">
        <v>222</v>
      </c>
      <c r="L2097" t="str">
        <f t="shared" si="32"/>
        <v>http://www.badatelna.eu/reprodukce/?fondId=1073&amp;zaznamId=1108959&amp;reproId=3780060</v>
      </c>
      <c r="M2097">
        <f>VLOOKUP(F2097,Sheet2!$B$1:$E$19,2,FALSE)</f>
        <v>1073</v>
      </c>
      <c r="N2097">
        <f>VLOOKUP(F2097,Sheet2!$B$1:$E$19,3,FALSE)</f>
        <v>1108959</v>
      </c>
      <c r="O2097">
        <f>IF(G2097="Not available","",VLOOKUP(F2097,Sheet2!$B$1:$E$19,4,FALSE)+(G2097-1))</f>
        <v>3780060</v>
      </c>
    </row>
    <row r="2098" spans="1:15" s="1" customFormat="1" ht="15" customHeight="1" x14ac:dyDescent="0.25">
      <c r="A2098" s="18" t="s">
        <v>261</v>
      </c>
      <c r="B2098" s="18" t="s">
        <v>12</v>
      </c>
      <c r="C2098" s="5">
        <v>1824</v>
      </c>
      <c r="E2098" s="1" t="s">
        <v>2</v>
      </c>
      <c r="F2098" s="18">
        <v>2173</v>
      </c>
      <c r="G2098" s="18">
        <v>76</v>
      </c>
      <c r="H2098" s="5">
        <v>144</v>
      </c>
      <c r="I2098" s="1">
        <v>104</v>
      </c>
      <c r="J2098" s="1">
        <v>222</v>
      </c>
      <c r="L2098" t="str">
        <f t="shared" si="32"/>
        <v>http://www.badatelna.eu/reprodukce/?fondId=1073&amp;zaznamId=1108959&amp;reproId=3780069</v>
      </c>
      <c r="M2098">
        <f>VLOOKUP(F2098,Sheet2!$B$1:$E$19,2,FALSE)</f>
        <v>1073</v>
      </c>
      <c r="N2098">
        <f>VLOOKUP(F2098,Sheet2!$B$1:$E$19,3,FALSE)</f>
        <v>1108959</v>
      </c>
      <c r="O2098">
        <f>IF(G2098="Not available","",VLOOKUP(F2098,Sheet2!$B$1:$E$19,4,FALSE)+(G2098-1))</f>
        <v>3780069</v>
      </c>
    </row>
    <row r="2099" spans="1:15" s="1" customFormat="1" ht="15" customHeight="1" x14ac:dyDescent="0.25">
      <c r="A2099" s="18" t="s">
        <v>261</v>
      </c>
      <c r="B2099" s="18" t="s">
        <v>120</v>
      </c>
      <c r="C2099" s="5">
        <v>1816</v>
      </c>
      <c r="E2099" s="1" t="s">
        <v>2</v>
      </c>
      <c r="F2099" s="18">
        <v>2173</v>
      </c>
      <c r="G2099" s="18">
        <v>66</v>
      </c>
      <c r="H2099" s="5">
        <v>126</v>
      </c>
      <c r="I2099" s="1">
        <v>104</v>
      </c>
      <c r="J2099" s="1">
        <v>222</v>
      </c>
      <c r="L2099" t="str">
        <f t="shared" si="32"/>
        <v>http://www.badatelna.eu/reprodukce/?fondId=1073&amp;zaznamId=1108959&amp;reproId=3780059</v>
      </c>
      <c r="M2099">
        <f>VLOOKUP(F2099,Sheet2!$B$1:$E$19,2,FALSE)</f>
        <v>1073</v>
      </c>
      <c r="N2099">
        <f>VLOOKUP(F2099,Sheet2!$B$1:$E$19,3,FALSE)</f>
        <v>1108959</v>
      </c>
      <c r="O2099">
        <f>IF(G2099="Not available","",VLOOKUP(F2099,Sheet2!$B$1:$E$19,4,FALSE)+(G2099-1))</f>
        <v>3780059</v>
      </c>
    </row>
    <row r="2100" spans="1:15" s="1" customFormat="1" ht="15" customHeight="1" x14ac:dyDescent="0.25">
      <c r="A2100" s="18" t="s">
        <v>261</v>
      </c>
      <c r="B2100" s="18" t="s">
        <v>287</v>
      </c>
      <c r="C2100" s="5">
        <v>1821</v>
      </c>
      <c r="E2100" s="1" t="s">
        <v>2</v>
      </c>
      <c r="F2100" s="18">
        <v>2173</v>
      </c>
      <c r="G2100" s="18">
        <v>72</v>
      </c>
      <c r="H2100" s="5">
        <v>136</v>
      </c>
      <c r="I2100" s="1">
        <v>104</v>
      </c>
      <c r="J2100" s="1">
        <v>222</v>
      </c>
      <c r="L2100" t="str">
        <f t="shared" si="32"/>
        <v>http://www.badatelna.eu/reprodukce/?fondId=1073&amp;zaznamId=1108959&amp;reproId=3780065</v>
      </c>
      <c r="M2100">
        <f>VLOOKUP(F2100,Sheet2!$B$1:$E$19,2,FALSE)</f>
        <v>1073</v>
      </c>
      <c r="N2100">
        <f>VLOOKUP(F2100,Sheet2!$B$1:$E$19,3,FALSE)</f>
        <v>1108959</v>
      </c>
      <c r="O2100">
        <f>IF(G2100="Not available","",VLOOKUP(F2100,Sheet2!$B$1:$E$19,4,FALSE)+(G2100-1))</f>
        <v>3780065</v>
      </c>
    </row>
    <row r="2101" spans="1:15" s="1" customFormat="1" ht="15" customHeight="1" x14ac:dyDescent="0.25">
      <c r="A2101" s="18" t="s">
        <v>261</v>
      </c>
      <c r="B2101" s="18" t="s">
        <v>292</v>
      </c>
      <c r="C2101" s="5">
        <v>1828</v>
      </c>
      <c r="E2101" s="1" t="s">
        <v>2</v>
      </c>
      <c r="F2101" s="18">
        <v>2173</v>
      </c>
      <c r="G2101" s="18">
        <v>81</v>
      </c>
      <c r="H2101" s="5">
        <v>154</v>
      </c>
      <c r="I2101" s="1">
        <v>104</v>
      </c>
      <c r="J2101" s="1">
        <v>223</v>
      </c>
      <c r="L2101" t="str">
        <f t="shared" si="32"/>
        <v>http://www.badatelna.eu/reprodukce/?fondId=1073&amp;zaznamId=1108959&amp;reproId=3780074</v>
      </c>
      <c r="M2101">
        <f>VLOOKUP(F2101,Sheet2!$B$1:$E$19,2,FALSE)</f>
        <v>1073</v>
      </c>
      <c r="N2101">
        <f>VLOOKUP(F2101,Sheet2!$B$1:$E$19,3,FALSE)</f>
        <v>1108959</v>
      </c>
      <c r="O2101">
        <f>IF(G2101="Not available","",VLOOKUP(F2101,Sheet2!$B$1:$E$19,4,FALSE)+(G2101-1))</f>
        <v>3780074</v>
      </c>
    </row>
    <row r="2102" spans="1:15" s="1" customFormat="1" ht="15" customHeight="1" x14ac:dyDescent="0.25">
      <c r="A2102" s="18" t="s">
        <v>261</v>
      </c>
      <c r="B2102" s="18" t="s">
        <v>282</v>
      </c>
      <c r="C2102" s="5">
        <v>1810</v>
      </c>
      <c r="E2102" s="1" t="s">
        <v>2</v>
      </c>
      <c r="F2102" s="18">
        <v>2173</v>
      </c>
      <c r="G2102" s="18">
        <v>57</v>
      </c>
      <c r="H2102" s="5">
        <v>108</v>
      </c>
      <c r="I2102" s="1">
        <v>104</v>
      </c>
      <c r="J2102" s="1">
        <v>222</v>
      </c>
      <c r="L2102" t="str">
        <f t="shared" si="32"/>
        <v>http://www.badatelna.eu/reprodukce/?fondId=1073&amp;zaznamId=1108959&amp;reproId=3780050</v>
      </c>
      <c r="M2102">
        <f>VLOOKUP(F2102,Sheet2!$B$1:$E$19,2,FALSE)</f>
        <v>1073</v>
      </c>
      <c r="N2102">
        <f>VLOOKUP(F2102,Sheet2!$B$1:$E$19,3,FALSE)</f>
        <v>1108959</v>
      </c>
      <c r="O2102">
        <f>IF(G2102="Not available","",VLOOKUP(F2102,Sheet2!$B$1:$E$19,4,FALSE)+(G2102-1))</f>
        <v>3780050</v>
      </c>
    </row>
    <row r="2103" spans="1:15" s="1" customFormat="1" ht="15" customHeight="1" x14ac:dyDescent="0.25">
      <c r="A2103" s="18" t="s">
        <v>261</v>
      </c>
      <c r="B2103" s="18" t="s">
        <v>19</v>
      </c>
      <c r="C2103" s="5">
        <v>1812</v>
      </c>
      <c r="E2103" s="1" t="s">
        <v>2</v>
      </c>
      <c r="F2103" s="18">
        <v>2173</v>
      </c>
      <c r="G2103" s="18">
        <v>60</v>
      </c>
      <c r="H2103" s="5">
        <v>112</v>
      </c>
      <c r="I2103" s="1">
        <v>104</v>
      </c>
      <c r="J2103" s="1">
        <v>222</v>
      </c>
      <c r="L2103" t="str">
        <f t="shared" si="32"/>
        <v>http://www.badatelna.eu/reprodukce/?fondId=1073&amp;zaznamId=1108959&amp;reproId=3780053</v>
      </c>
      <c r="M2103">
        <f>VLOOKUP(F2103,Sheet2!$B$1:$E$19,2,FALSE)</f>
        <v>1073</v>
      </c>
      <c r="N2103">
        <f>VLOOKUP(F2103,Sheet2!$B$1:$E$19,3,FALSE)</f>
        <v>1108959</v>
      </c>
      <c r="O2103">
        <f>IF(G2103="Not available","",VLOOKUP(F2103,Sheet2!$B$1:$E$19,4,FALSE)+(G2103-1))</f>
        <v>3780053</v>
      </c>
    </row>
    <row r="2104" spans="1:15" s="1" customFormat="1" ht="15" customHeight="1" x14ac:dyDescent="0.25">
      <c r="A2104" s="18" t="s">
        <v>261</v>
      </c>
      <c r="B2104" s="18" t="s">
        <v>143</v>
      </c>
      <c r="C2104" s="5">
        <v>1813</v>
      </c>
      <c r="E2104" s="1" t="s">
        <v>2</v>
      </c>
      <c r="F2104" s="18">
        <v>2173</v>
      </c>
      <c r="G2104" s="18">
        <v>63</v>
      </c>
      <c r="H2104" s="5">
        <v>118</v>
      </c>
      <c r="I2104" s="1">
        <v>104</v>
      </c>
      <c r="J2104" s="1">
        <v>222</v>
      </c>
      <c r="L2104" t="str">
        <f t="shared" si="32"/>
        <v>http://www.badatelna.eu/reprodukce/?fondId=1073&amp;zaznamId=1108959&amp;reproId=3780056</v>
      </c>
      <c r="M2104">
        <f>VLOOKUP(F2104,Sheet2!$B$1:$E$19,2,FALSE)</f>
        <v>1073</v>
      </c>
      <c r="N2104">
        <f>VLOOKUP(F2104,Sheet2!$B$1:$E$19,3,FALSE)</f>
        <v>1108959</v>
      </c>
      <c r="O2104">
        <f>IF(G2104="Not available","",VLOOKUP(F2104,Sheet2!$B$1:$E$19,4,FALSE)+(G2104-1))</f>
        <v>3780056</v>
      </c>
    </row>
    <row r="2105" spans="1:15" s="1" customFormat="1" ht="15" customHeight="1" x14ac:dyDescent="0.25">
      <c r="A2105" s="18" t="s">
        <v>261</v>
      </c>
      <c r="B2105" s="18" t="s">
        <v>96</v>
      </c>
      <c r="C2105" s="5">
        <v>1817</v>
      </c>
      <c r="E2105" s="1" t="s">
        <v>2</v>
      </c>
      <c r="F2105" s="18">
        <v>2173</v>
      </c>
      <c r="G2105" s="18">
        <v>67</v>
      </c>
      <c r="H2105" s="6" t="s">
        <v>2999</v>
      </c>
      <c r="I2105" s="1">
        <v>104</v>
      </c>
      <c r="J2105" s="1">
        <v>222</v>
      </c>
      <c r="L2105" t="str">
        <f t="shared" si="32"/>
        <v>http://www.badatelna.eu/reprodukce/?fondId=1073&amp;zaznamId=1108959&amp;reproId=3780060</v>
      </c>
      <c r="M2105">
        <f>VLOOKUP(F2105,Sheet2!$B$1:$E$19,2,FALSE)</f>
        <v>1073</v>
      </c>
      <c r="N2105">
        <f>VLOOKUP(F2105,Sheet2!$B$1:$E$19,3,FALSE)</f>
        <v>1108959</v>
      </c>
      <c r="O2105">
        <f>IF(G2105="Not available","",VLOOKUP(F2105,Sheet2!$B$1:$E$19,4,FALSE)+(G2105-1))</f>
        <v>3780060</v>
      </c>
    </row>
    <row r="2106" spans="1:15" s="1" customFormat="1" ht="15" customHeight="1" x14ac:dyDescent="0.25">
      <c r="A2106" s="18" t="s">
        <v>261</v>
      </c>
      <c r="B2106" s="18" t="s">
        <v>11</v>
      </c>
      <c r="C2106" s="5">
        <v>1815</v>
      </c>
      <c r="E2106" s="1" t="s">
        <v>2</v>
      </c>
      <c r="F2106" s="18">
        <v>2173</v>
      </c>
      <c r="G2106" s="18">
        <v>64</v>
      </c>
      <c r="H2106" s="5">
        <v>123</v>
      </c>
      <c r="I2106" s="1">
        <v>104</v>
      </c>
      <c r="J2106" s="1">
        <v>222</v>
      </c>
      <c r="L2106" t="str">
        <f t="shared" si="32"/>
        <v>http://www.badatelna.eu/reprodukce/?fondId=1073&amp;zaznamId=1108959&amp;reproId=3780057</v>
      </c>
      <c r="M2106">
        <f>VLOOKUP(F2106,Sheet2!$B$1:$E$19,2,FALSE)</f>
        <v>1073</v>
      </c>
      <c r="N2106">
        <f>VLOOKUP(F2106,Sheet2!$B$1:$E$19,3,FALSE)</f>
        <v>1108959</v>
      </c>
      <c r="O2106">
        <f>IF(G2106="Not available","",VLOOKUP(F2106,Sheet2!$B$1:$E$19,4,FALSE)+(G2106-1))</f>
        <v>3780057</v>
      </c>
    </row>
    <row r="2107" spans="1:15" s="1" customFormat="1" ht="15" customHeight="1" x14ac:dyDescent="0.25">
      <c r="A2107" s="18" t="s">
        <v>261</v>
      </c>
      <c r="B2107" s="18" t="s">
        <v>224</v>
      </c>
      <c r="C2107" s="5">
        <v>1788</v>
      </c>
      <c r="D2107" s="1" t="s">
        <v>122</v>
      </c>
      <c r="E2107" s="1" t="s">
        <v>2</v>
      </c>
      <c r="F2107" s="18">
        <v>2173</v>
      </c>
      <c r="G2107" s="18">
        <v>18</v>
      </c>
      <c r="H2107" s="5">
        <v>30</v>
      </c>
      <c r="I2107" s="1">
        <v>103</v>
      </c>
      <c r="J2107" s="12">
        <v>221</v>
      </c>
      <c r="L2107" t="str">
        <f t="shared" si="32"/>
        <v>http://www.badatelna.eu/reprodukce/?fondId=1073&amp;zaznamId=1108959&amp;reproId=3780011</v>
      </c>
      <c r="M2107">
        <f>VLOOKUP(F2107,Sheet2!$B$1:$E$19,2,FALSE)</f>
        <v>1073</v>
      </c>
      <c r="N2107">
        <f>VLOOKUP(F2107,Sheet2!$B$1:$E$19,3,FALSE)</f>
        <v>1108959</v>
      </c>
      <c r="O2107">
        <f>IF(G2107="Not available","",VLOOKUP(F2107,Sheet2!$B$1:$E$19,4,FALSE)+(G2107-1))</f>
        <v>3780011</v>
      </c>
    </row>
    <row r="2108" spans="1:15" s="1" customFormat="1" ht="15" customHeight="1" x14ac:dyDescent="0.25">
      <c r="A2108" s="18" t="s">
        <v>261</v>
      </c>
      <c r="B2108" s="18" t="s">
        <v>680</v>
      </c>
      <c r="C2108" s="5">
        <v>1842</v>
      </c>
      <c r="D2108" s="1" t="s">
        <v>432</v>
      </c>
      <c r="E2108" s="1" t="s">
        <v>2</v>
      </c>
      <c r="F2108" s="18">
        <v>2174</v>
      </c>
      <c r="G2108" s="18">
        <v>125</v>
      </c>
      <c r="H2108" s="6" t="s">
        <v>3197</v>
      </c>
      <c r="I2108" s="1">
        <v>190</v>
      </c>
      <c r="J2108" s="1">
        <v>221</v>
      </c>
      <c r="K2108" s="4" t="s">
        <v>363</v>
      </c>
      <c r="L2108" t="str">
        <f t="shared" si="32"/>
        <v>http://www.badatelna.eu/reprodukce/?fondId=1073&amp;zaznamId=1108960&amp;reproId=3780349</v>
      </c>
      <c r="M2108">
        <f>VLOOKUP(F2108,Sheet2!$B$1:$E$19,2,FALSE)</f>
        <v>1073</v>
      </c>
      <c r="N2108">
        <f>VLOOKUP(F2108,Sheet2!$B$1:$E$19,3,FALSE)</f>
        <v>1108960</v>
      </c>
      <c r="O2108">
        <f>IF(G2108="Not available","",VLOOKUP(F2108,Sheet2!$B$1:$E$19,4,FALSE)+(G2108-1))</f>
        <v>3780349</v>
      </c>
    </row>
    <row r="2109" spans="1:15" s="1" customFormat="1" ht="15" customHeight="1" x14ac:dyDescent="0.25">
      <c r="A2109" s="18" t="s">
        <v>261</v>
      </c>
      <c r="B2109" s="18" t="s">
        <v>286</v>
      </c>
      <c r="C2109" s="5">
        <v>1816</v>
      </c>
      <c r="E2109" s="1" t="s">
        <v>2</v>
      </c>
      <c r="F2109" s="18">
        <v>2173</v>
      </c>
      <c r="G2109" s="18">
        <v>66</v>
      </c>
      <c r="H2109" s="5">
        <v>126</v>
      </c>
      <c r="I2109" s="1">
        <v>104</v>
      </c>
      <c r="J2109" s="1">
        <v>222</v>
      </c>
      <c r="L2109" t="str">
        <f t="shared" si="32"/>
        <v>http://www.badatelna.eu/reprodukce/?fondId=1073&amp;zaznamId=1108959&amp;reproId=3780059</v>
      </c>
      <c r="M2109">
        <f>VLOOKUP(F2109,Sheet2!$B$1:$E$19,2,FALSE)</f>
        <v>1073</v>
      </c>
      <c r="N2109">
        <f>VLOOKUP(F2109,Sheet2!$B$1:$E$19,3,FALSE)</f>
        <v>1108959</v>
      </c>
      <c r="O2109">
        <f>IF(G2109="Not available","",VLOOKUP(F2109,Sheet2!$B$1:$E$19,4,FALSE)+(G2109-1))</f>
        <v>3780059</v>
      </c>
    </row>
    <row r="2110" spans="1:15" s="1" customFormat="1" ht="15" customHeight="1" x14ac:dyDescent="0.25">
      <c r="A2110" s="18" t="s">
        <v>261</v>
      </c>
      <c r="B2110" s="18" t="s">
        <v>24</v>
      </c>
      <c r="C2110" s="5">
        <v>1838</v>
      </c>
      <c r="D2110" s="1" t="s">
        <v>432</v>
      </c>
      <c r="E2110" s="1" t="s">
        <v>2</v>
      </c>
      <c r="F2110" s="18">
        <v>2174</v>
      </c>
      <c r="G2110" s="18">
        <v>99</v>
      </c>
      <c r="H2110" s="6" t="s">
        <v>3169</v>
      </c>
      <c r="I2110" s="1">
        <v>189</v>
      </c>
      <c r="J2110" s="1">
        <v>220</v>
      </c>
      <c r="L2110" t="str">
        <f t="shared" si="32"/>
        <v>http://www.badatelna.eu/reprodukce/?fondId=1073&amp;zaznamId=1108960&amp;reproId=3780323</v>
      </c>
      <c r="M2110">
        <f>VLOOKUP(F2110,Sheet2!$B$1:$E$19,2,FALSE)</f>
        <v>1073</v>
      </c>
      <c r="N2110">
        <f>VLOOKUP(F2110,Sheet2!$B$1:$E$19,3,FALSE)</f>
        <v>1108960</v>
      </c>
      <c r="O2110">
        <f>IF(G2110="Not available","",VLOOKUP(F2110,Sheet2!$B$1:$E$19,4,FALSE)+(G2110-1))</f>
        <v>3780323</v>
      </c>
    </row>
    <row r="2111" spans="1:15" s="1" customFormat="1" ht="15" customHeight="1" x14ac:dyDescent="0.25">
      <c r="A2111" s="18" t="s">
        <v>261</v>
      </c>
      <c r="B2111" s="18" t="s">
        <v>288</v>
      </c>
      <c r="C2111" s="5">
        <v>1823</v>
      </c>
      <c r="E2111" s="1" t="s">
        <v>2</v>
      </c>
      <c r="F2111" s="18">
        <v>2173</v>
      </c>
      <c r="G2111" s="18">
        <v>74</v>
      </c>
      <c r="H2111" s="5">
        <v>141</v>
      </c>
      <c r="I2111" s="1">
        <v>104</v>
      </c>
      <c r="J2111" s="1">
        <v>222</v>
      </c>
      <c r="L2111" t="str">
        <f t="shared" si="32"/>
        <v>http://www.badatelna.eu/reprodukce/?fondId=1073&amp;zaznamId=1108959&amp;reproId=3780067</v>
      </c>
      <c r="M2111">
        <f>VLOOKUP(F2111,Sheet2!$B$1:$E$19,2,FALSE)</f>
        <v>1073</v>
      </c>
      <c r="N2111">
        <f>VLOOKUP(F2111,Sheet2!$B$1:$E$19,3,FALSE)</f>
        <v>1108959</v>
      </c>
      <c r="O2111">
        <f>IF(G2111="Not available","",VLOOKUP(F2111,Sheet2!$B$1:$E$19,4,FALSE)+(G2111-1))</f>
        <v>3780067</v>
      </c>
    </row>
    <row r="2112" spans="1:15" s="1" customFormat="1" ht="15" customHeight="1" x14ac:dyDescent="0.25">
      <c r="A2112" s="18" t="s">
        <v>1038</v>
      </c>
      <c r="B2112" s="18"/>
      <c r="C2112" s="5"/>
      <c r="D2112" s="4" t="s">
        <v>3340</v>
      </c>
      <c r="F2112" s="18"/>
      <c r="G2112" s="18"/>
      <c r="H2112" s="5"/>
      <c r="L2112" t="e">
        <f t="shared" si="32"/>
        <v>#N/A</v>
      </c>
      <c r="M2112" t="e">
        <f>VLOOKUP(F2112,Sheet2!$B$1:$E$19,2,FALSE)</f>
        <v>#N/A</v>
      </c>
      <c r="N2112" t="e">
        <f>VLOOKUP(F2112,Sheet2!$B$1:$E$19,3,FALSE)</f>
        <v>#N/A</v>
      </c>
      <c r="O2112" t="e">
        <f>IF(G2112="Not available","",VLOOKUP(F2112,Sheet2!$B$1:$E$19,4,FALSE)+(G2112-1))</f>
        <v>#N/A</v>
      </c>
    </row>
    <row r="2113" spans="1:15" s="1" customFormat="1" ht="15" customHeight="1" x14ac:dyDescent="0.25">
      <c r="A2113" s="18" t="s">
        <v>954</v>
      </c>
      <c r="B2113" s="18" t="s">
        <v>520</v>
      </c>
      <c r="C2113" s="5">
        <v>1861</v>
      </c>
      <c r="E2113" s="1" t="s">
        <v>939</v>
      </c>
      <c r="F2113" s="18">
        <v>999</v>
      </c>
      <c r="G2113" s="18">
        <v>29</v>
      </c>
      <c r="H2113" s="5">
        <v>27</v>
      </c>
      <c r="I2113" s="1">
        <v>70</v>
      </c>
      <c r="J2113" s="1">
        <v>104</v>
      </c>
      <c r="L2113" t="str">
        <f t="shared" si="32"/>
        <v>http://www.badatelna.eu/reprodukce/?fondId=241&amp;zaznamId=1133739&amp;reproId=3885758</v>
      </c>
      <c r="M2113">
        <f>VLOOKUP(F2113,Sheet2!$B$1:$E$19,2,FALSE)</f>
        <v>241</v>
      </c>
      <c r="N2113">
        <f>VLOOKUP(F2113,Sheet2!$B$1:$E$19,3,FALSE)</f>
        <v>1133739</v>
      </c>
      <c r="O2113">
        <f>IF(G2113="Not available","",VLOOKUP(F2113,Sheet2!$B$1:$E$19,4,FALSE)+(G2113-1))</f>
        <v>3885758</v>
      </c>
    </row>
    <row r="2114" spans="1:15" s="1" customFormat="1" ht="15" customHeight="1" x14ac:dyDescent="0.25">
      <c r="A2114" s="18" t="s">
        <v>954</v>
      </c>
      <c r="B2114" s="18" t="s">
        <v>6</v>
      </c>
      <c r="C2114" s="5">
        <v>1864</v>
      </c>
      <c r="E2114" s="1" t="s">
        <v>939</v>
      </c>
      <c r="F2114" s="18">
        <v>999</v>
      </c>
      <c r="G2114" s="18">
        <v>51</v>
      </c>
      <c r="H2114" s="5">
        <v>49</v>
      </c>
      <c r="I2114" s="1">
        <v>70</v>
      </c>
      <c r="J2114" s="1">
        <v>104</v>
      </c>
      <c r="L2114" t="str">
        <f t="shared" si="32"/>
        <v>http://www.badatelna.eu/reprodukce/?fondId=241&amp;zaznamId=1133739&amp;reproId=3885780</v>
      </c>
      <c r="M2114">
        <f>VLOOKUP(F2114,Sheet2!$B$1:$E$19,2,FALSE)</f>
        <v>241</v>
      </c>
      <c r="N2114">
        <f>VLOOKUP(F2114,Sheet2!$B$1:$E$19,3,FALSE)</f>
        <v>1133739</v>
      </c>
      <c r="O2114">
        <f>IF(G2114="Not available","",VLOOKUP(F2114,Sheet2!$B$1:$E$19,4,FALSE)+(G2114-1))</f>
        <v>3885780</v>
      </c>
    </row>
    <row r="2115" spans="1:15" s="1" customFormat="1" ht="15" customHeight="1" x14ac:dyDescent="0.25">
      <c r="A2115" s="18" t="s">
        <v>954</v>
      </c>
      <c r="B2115" s="18" t="s">
        <v>12</v>
      </c>
      <c r="C2115" s="5" t="s">
        <v>1466</v>
      </c>
      <c r="D2115" s="1" t="s">
        <v>21</v>
      </c>
      <c r="E2115" s="1" t="s">
        <v>2</v>
      </c>
      <c r="F2115" s="18">
        <v>2165</v>
      </c>
      <c r="G2115" s="18">
        <v>53</v>
      </c>
      <c r="H2115" s="5">
        <v>50</v>
      </c>
      <c r="I2115" s="1">
        <v>85</v>
      </c>
      <c r="J2115" s="1" t="s">
        <v>3271</v>
      </c>
      <c r="L2115" t="str">
        <f t="shared" ref="L2115:L2178" si="33">IF(G2115="Not available","","http://www.badatelna.eu/reprodukce/?fondId="&amp;M2115&amp;"&amp;zaznamId="&amp;N2115&amp;"&amp;reproId="&amp;O2115)</f>
        <v>http://www.badatelna.eu/reprodukce/?fondId=1073&amp;zaznamId=1108952&amp;reproId=3778914</v>
      </c>
      <c r="M2115">
        <f>VLOOKUP(F2115,Sheet2!$B$1:$E$19,2,FALSE)</f>
        <v>1073</v>
      </c>
      <c r="N2115">
        <f>VLOOKUP(F2115,Sheet2!$B$1:$E$19,3,FALSE)</f>
        <v>1108952</v>
      </c>
      <c r="O2115">
        <f>IF(G2115="Not available","",VLOOKUP(F2115,Sheet2!$B$1:$E$19,4,FALSE)+(G2115-1))</f>
        <v>3778914</v>
      </c>
    </row>
    <row r="2116" spans="1:15" s="1" customFormat="1" ht="15" customHeight="1" x14ac:dyDescent="0.25">
      <c r="A2116" s="18" t="s">
        <v>954</v>
      </c>
      <c r="B2116" s="18" t="s">
        <v>138</v>
      </c>
      <c r="C2116" s="5">
        <v>1858</v>
      </c>
      <c r="E2116" s="1" t="s">
        <v>939</v>
      </c>
      <c r="F2116" s="18">
        <v>999</v>
      </c>
      <c r="G2116" s="18">
        <v>8</v>
      </c>
      <c r="H2116" s="5">
        <v>6</v>
      </c>
      <c r="I2116" s="1">
        <v>70</v>
      </c>
      <c r="J2116" s="1">
        <v>104</v>
      </c>
      <c r="L2116" t="str">
        <f t="shared" si="33"/>
        <v>http://www.badatelna.eu/reprodukce/?fondId=241&amp;zaznamId=1133739&amp;reproId=3885737</v>
      </c>
      <c r="M2116">
        <f>VLOOKUP(F2116,Sheet2!$B$1:$E$19,2,FALSE)</f>
        <v>241</v>
      </c>
      <c r="N2116">
        <f>VLOOKUP(F2116,Sheet2!$B$1:$E$19,3,FALSE)</f>
        <v>1133739</v>
      </c>
      <c r="O2116">
        <f>IF(G2116="Not available","",VLOOKUP(F2116,Sheet2!$B$1:$E$19,4,FALSE)+(G2116-1))</f>
        <v>3885737</v>
      </c>
    </row>
    <row r="2117" spans="1:15" s="1" customFormat="1" ht="15" customHeight="1" x14ac:dyDescent="0.25">
      <c r="A2117" s="18" t="s">
        <v>954</v>
      </c>
      <c r="B2117" s="18" t="s">
        <v>197</v>
      </c>
      <c r="C2117" s="5">
        <v>1865</v>
      </c>
      <c r="E2117" s="1" t="s">
        <v>939</v>
      </c>
      <c r="F2117" s="18">
        <v>999</v>
      </c>
      <c r="G2117" s="18">
        <v>55</v>
      </c>
      <c r="H2117" s="5">
        <v>53</v>
      </c>
      <c r="I2117" s="1">
        <v>70</v>
      </c>
      <c r="J2117" s="1">
        <v>104</v>
      </c>
      <c r="L2117" t="str">
        <f t="shared" si="33"/>
        <v>http://www.badatelna.eu/reprodukce/?fondId=241&amp;zaznamId=1133739&amp;reproId=3885784</v>
      </c>
      <c r="M2117">
        <f>VLOOKUP(F2117,Sheet2!$B$1:$E$19,2,FALSE)</f>
        <v>241</v>
      </c>
      <c r="N2117">
        <f>VLOOKUP(F2117,Sheet2!$B$1:$E$19,3,FALSE)</f>
        <v>1133739</v>
      </c>
      <c r="O2117">
        <f>IF(G2117="Not available","",VLOOKUP(F2117,Sheet2!$B$1:$E$19,4,FALSE)+(G2117-1))</f>
        <v>3885784</v>
      </c>
    </row>
    <row r="2118" spans="1:15" s="1" customFormat="1" ht="15" customHeight="1" x14ac:dyDescent="0.25">
      <c r="A2118" s="18" t="s">
        <v>954</v>
      </c>
      <c r="B2118" s="18" t="s">
        <v>197</v>
      </c>
      <c r="C2118" s="5" t="s">
        <v>1459</v>
      </c>
      <c r="D2118" s="1" t="s">
        <v>50</v>
      </c>
      <c r="E2118" s="1" t="s">
        <v>2</v>
      </c>
      <c r="F2118" s="18">
        <v>2165</v>
      </c>
      <c r="G2118" s="18">
        <v>7</v>
      </c>
      <c r="H2118" s="5">
        <v>4</v>
      </c>
      <c r="I2118" s="1">
        <v>85</v>
      </c>
      <c r="J2118" s="1" t="s">
        <v>3271</v>
      </c>
      <c r="L2118" t="str">
        <f t="shared" si="33"/>
        <v>http://www.badatelna.eu/reprodukce/?fondId=1073&amp;zaznamId=1108952&amp;reproId=3778868</v>
      </c>
      <c r="M2118">
        <f>VLOOKUP(F2118,Sheet2!$B$1:$E$19,2,FALSE)</f>
        <v>1073</v>
      </c>
      <c r="N2118">
        <f>VLOOKUP(F2118,Sheet2!$B$1:$E$19,3,FALSE)</f>
        <v>1108952</v>
      </c>
      <c r="O2118">
        <f>IF(G2118="Not available","",VLOOKUP(F2118,Sheet2!$B$1:$E$19,4,FALSE)+(G2118-1))</f>
        <v>3778868</v>
      </c>
    </row>
    <row r="2119" spans="1:15" s="1" customFormat="1" ht="15" customHeight="1" x14ac:dyDescent="0.25">
      <c r="A2119" s="18" t="s">
        <v>954</v>
      </c>
      <c r="B2119" s="18" t="s">
        <v>506</v>
      </c>
      <c r="C2119" s="5">
        <v>1859</v>
      </c>
      <c r="D2119" s="4" t="s">
        <v>3295</v>
      </c>
      <c r="E2119" s="1" t="s">
        <v>939</v>
      </c>
      <c r="F2119" s="18">
        <v>999</v>
      </c>
      <c r="G2119" s="18">
        <v>14</v>
      </c>
      <c r="H2119" s="5">
        <v>12</v>
      </c>
      <c r="I2119" s="1">
        <v>70</v>
      </c>
      <c r="J2119" s="1">
        <v>104</v>
      </c>
      <c r="L2119" t="str">
        <f t="shared" si="33"/>
        <v>http://www.badatelna.eu/reprodukce/?fondId=241&amp;zaznamId=1133739&amp;reproId=3885743</v>
      </c>
      <c r="M2119">
        <f>VLOOKUP(F2119,Sheet2!$B$1:$E$19,2,FALSE)</f>
        <v>241</v>
      </c>
      <c r="N2119">
        <f>VLOOKUP(F2119,Sheet2!$B$1:$E$19,3,FALSE)</f>
        <v>1133739</v>
      </c>
      <c r="O2119">
        <f>IF(G2119="Not available","",VLOOKUP(F2119,Sheet2!$B$1:$E$19,4,FALSE)+(G2119-1))</f>
        <v>3885743</v>
      </c>
    </row>
    <row r="2120" spans="1:15" s="1" customFormat="1" ht="15" customHeight="1" x14ac:dyDescent="0.25">
      <c r="A2120" s="18" t="s">
        <v>954</v>
      </c>
      <c r="B2120" s="18" t="s">
        <v>506</v>
      </c>
      <c r="C2120" s="5">
        <v>1859</v>
      </c>
      <c r="D2120" s="4" t="s">
        <v>3296</v>
      </c>
      <c r="E2120" s="1" t="s">
        <v>939</v>
      </c>
      <c r="F2120" s="18">
        <v>999</v>
      </c>
      <c r="G2120" s="18">
        <v>17</v>
      </c>
      <c r="H2120" s="5">
        <v>15</v>
      </c>
      <c r="I2120" s="1">
        <v>70</v>
      </c>
      <c r="J2120" s="1">
        <v>104</v>
      </c>
      <c r="L2120" t="str">
        <f t="shared" si="33"/>
        <v>http://www.badatelna.eu/reprodukce/?fondId=241&amp;zaznamId=1133739&amp;reproId=3885746</v>
      </c>
      <c r="M2120">
        <f>VLOOKUP(F2120,Sheet2!$B$1:$E$19,2,FALSE)</f>
        <v>241</v>
      </c>
      <c r="N2120">
        <f>VLOOKUP(F2120,Sheet2!$B$1:$E$19,3,FALSE)</f>
        <v>1133739</v>
      </c>
      <c r="O2120">
        <f>IF(G2120="Not available","",VLOOKUP(F2120,Sheet2!$B$1:$E$19,4,FALSE)+(G2120-1))</f>
        <v>3885746</v>
      </c>
    </row>
    <row r="2121" spans="1:15" s="1" customFormat="1" ht="15" customHeight="1" x14ac:dyDescent="0.25">
      <c r="A2121" s="18" t="s">
        <v>954</v>
      </c>
      <c r="B2121" s="18" t="s">
        <v>625</v>
      </c>
      <c r="C2121" s="5">
        <v>1861</v>
      </c>
      <c r="D2121" s="4" t="s">
        <v>3296</v>
      </c>
      <c r="E2121" s="1" t="s">
        <v>939</v>
      </c>
      <c r="F2121" s="18">
        <v>999</v>
      </c>
      <c r="G2121" s="18">
        <v>28</v>
      </c>
      <c r="H2121" s="5">
        <v>26</v>
      </c>
      <c r="I2121" s="1">
        <v>70</v>
      </c>
      <c r="J2121" s="1">
        <v>104</v>
      </c>
      <c r="L2121" t="str">
        <f t="shared" si="33"/>
        <v>http://www.badatelna.eu/reprodukce/?fondId=241&amp;zaznamId=1133739&amp;reproId=3885757</v>
      </c>
      <c r="M2121">
        <f>VLOOKUP(F2121,Sheet2!$B$1:$E$19,2,FALSE)</f>
        <v>241</v>
      </c>
      <c r="N2121">
        <f>VLOOKUP(F2121,Sheet2!$B$1:$E$19,3,FALSE)</f>
        <v>1133739</v>
      </c>
      <c r="O2121">
        <f>IF(G2121="Not available","",VLOOKUP(F2121,Sheet2!$B$1:$E$19,4,FALSE)+(G2121-1))</f>
        <v>3885757</v>
      </c>
    </row>
    <row r="2122" spans="1:15" s="1" customFormat="1" ht="15" customHeight="1" x14ac:dyDescent="0.25">
      <c r="A2122" s="18" t="s">
        <v>954</v>
      </c>
      <c r="B2122" s="18" t="s">
        <v>625</v>
      </c>
      <c r="C2122" s="5">
        <v>1862</v>
      </c>
      <c r="D2122" s="4" t="s">
        <v>3296</v>
      </c>
      <c r="E2122" s="1" t="s">
        <v>939</v>
      </c>
      <c r="F2122" s="18">
        <v>999</v>
      </c>
      <c r="G2122" s="18">
        <v>39</v>
      </c>
      <c r="H2122" s="5">
        <v>37</v>
      </c>
      <c r="I2122" s="1">
        <v>70</v>
      </c>
      <c r="J2122" s="1">
        <v>104</v>
      </c>
      <c r="L2122" t="str">
        <f t="shared" si="33"/>
        <v>http://www.badatelna.eu/reprodukce/?fondId=241&amp;zaznamId=1133739&amp;reproId=3885768</v>
      </c>
      <c r="M2122">
        <f>VLOOKUP(F2122,Sheet2!$B$1:$E$19,2,FALSE)</f>
        <v>241</v>
      </c>
      <c r="N2122">
        <f>VLOOKUP(F2122,Sheet2!$B$1:$E$19,3,FALSE)</f>
        <v>1133739</v>
      </c>
      <c r="O2122">
        <f>IF(G2122="Not available","",VLOOKUP(F2122,Sheet2!$B$1:$E$19,4,FALSE)+(G2122-1))</f>
        <v>3885768</v>
      </c>
    </row>
    <row r="2123" spans="1:15" s="1" customFormat="1" ht="15" customHeight="1" x14ac:dyDescent="0.25">
      <c r="A2123" s="18" t="s">
        <v>954</v>
      </c>
      <c r="B2123" s="18" t="s">
        <v>143</v>
      </c>
      <c r="C2123" s="5">
        <v>1863</v>
      </c>
      <c r="E2123" s="1" t="s">
        <v>939</v>
      </c>
      <c r="F2123" s="18">
        <v>999</v>
      </c>
      <c r="G2123" s="18">
        <v>42</v>
      </c>
      <c r="H2123" s="5">
        <v>40</v>
      </c>
      <c r="I2123" s="1">
        <v>70</v>
      </c>
      <c r="J2123" s="1">
        <v>104</v>
      </c>
      <c r="L2123" t="str">
        <f t="shared" si="33"/>
        <v>http://www.badatelna.eu/reprodukce/?fondId=241&amp;zaznamId=1133739&amp;reproId=3885771</v>
      </c>
      <c r="M2123">
        <f>VLOOKUP(F2123,Sheet2!$B$1:$E$19,2,FALSE)</f>
        <v>241</v>
      </c>
      <c r="N2123">
        <f>VLOOKUP(F2123,Sheet2!$B$1:$E$19,3,FALSE)</f>
        <v>1133739</v>
      </c>
      <c r="O2123">
        <f>IF(G2123="Not available","",VLOOKUP(F2123,Sheet2!$B$1:$E$19,4,FALSE)+(G2123-1))</f>
        <v>3885771</v>
      </c>
    </row>
    <row r="2124" spans="1:15" s="1" customFormat="1" ht="15" customHeight="1" x14ac:dyDescent="0.25">
      <c r="A2124" s="18" t="s">
        <v>2868</v>
      </c>
      <c r="B2124" s="18" t="s">
        <v>834</v>
      </c>
      <c r="C2124" s="5">
        <v>1859</v>
      </c>
      <c r="E2124" s="1" t="s">
        <v>939</v>
      </c>
      <c r="F2124" s="18">
        <v>999</v>
      </c>
      <c r="G2124" s="18">
        <v>18</v>
      </c>
      <c r="H2124" s="5">
        <v>16</v>
      </c>
      <c r="I2124" s="1">
        <v>70</v>
      </c>
      <c r="J2124" s="1">
        <v>104</v>
      </c>
      <c r="L2124" t="str">
        <f t="shared" si="33"/>
        <v>http://www.badatelna.eu/reprodukce/?fondId=241&amp;zaznamId=1133739&amp;reproId=3885747</v>
      </c>
      <c r="M2124">
        <f>VLOOKUP(F2124,Sheet2!$B$1:$E$19,2,FALSE)</f>
        <v>241</v>
      </c>
      <c r="N2124">
        <f>VLOOKUP(F2124,Sheet2!$B$1:$E$19,3,FALSE)</f>
        <v>1133739</v>
      </c>
      <c r="O2124">
        <f>IF(G2124="Not available","",VLOOKUP(F2124,Sheet2!$B$1:$E$19,4,FALSE)+(G2124-1))</f>
        <v>3885747</v>
      </c>
    </row>
    <row r="2125" spans="1:15" s="1" customFormat="1" ht="15" customHeight="1" x14ac:dyDescent="0.25">
      <c r="A2125" s="18" t="s">
        <v>261</v>
      </c>
      <c r="B2125" s="18" t="s">
        <v>3284</v>
      </c>
      <c r="C2125" s="5"/>
      <c r="F2125" s="18"/>
      <c r="G2125" s="18"/>
      <c r="H2125" s="5"/>
      <c r="L2125" t="e">
        <f t="shared" si="33"/>
        <v>#N/A</v>
      </c>
      <c r="M2125" t="e">
        <f>VLOOKUP(F2125,Sheet2!$B$1:$E$19,2,FALSE)</f>
        <v>#N/A</v>
      </c>
      <c r="N2125" t="e">
        <f>VLOOKUP(F2125,Sheet2!$B$1:$E$19,3,FALSE)</f>
        <v>#N/A</v>
      </c>
      <c r="O2125" t="e">
        <f>IF(G2125="Not available","",VLOOKUP(F2125,Sheet2!$B$1:$E$19,4,FALSE)+(G2125-1))</f>
        <v>#N/A</v>
      </c>
    </row>
    <row r="2126" spans="1:15" s="1" customFormat="1" ht="15" customHeight="1" x14ac:dyDescent="0.25">
      <c r="A2126" s="18" t="s">
        <v>2455</v>
      </c>
      <c r="B2126" s="18" t="s">
        <v>2456</v>
      </c>
      <c r="C2126" s="10" t="s">
        <v>2115</v>
      </c>
      <c r="D2126" s="3" t="s">
        <v>2457</v>
      </c>
      <c r="E2126" s="4" t="s">
        <v>2</v>
      </c>
      <c r="F2126" s="18">
        <v>2176</v>
      </c>
      <c r="G2126" s="18" t="s">
        <v>3271</v>
      </c>
      <c r="H2126" s="10" t="s">
        <v>2351</v>
      </c>
      <c r="I2126" s="3">
        <v>25</v>
      </c>
      <c r="J2126" s="3" t="s">
        <v>3271</v>
      </c>
      <c r="K2126" s="3"/>
      <c r="L2126" t="str">
        <f t="shared" si="33"/>
        <v/>
      </c>
      <c r="M2126">
        <f>VLOOKUP(F2126,Sheet2!$B$1:$E$19,2,FALSE)</f>
        <v>1073</v>
      </c>
      <c r="N2126">
        <f>VLOOKUP(F2126,Sheet2!$B$1:$E$19,3,FALSE)</f>
        <v>1108963</v>
      </c>
      <c r="O2126" t="str">
        <f>IF(G2126="Not available","",VLOOKUP(F2126,Sheet2!$B$1:$E$19,4,FALSE)+(G2126-1))</f>
        <v/>
      </c>
    </row>
    <row r="2127" spans="1:15" s="1" customFormat="1" ht="15" customHeight="1" x14ac:dyDescent="0.25">
      <c r="A2127" s="18" t="s">
        <v>679</v>
      </c>
      <c r="B2127" s="18" t="s">
        <v>434</v>
      </c>
      <c r="C2127" s="5">
        <v>1841</v>
      </c>
      <c r="D2127" s="1" t="s">
        <v>93</v>
      </c>
      <c r="E2127" s="1" t="s">
        <v>2</v>
      </c>
      <c r="F2127" s="18">
        <v>2174</v>
      </c>
      <c r="G2127" s="18">
        <v>116</v>
      </c>
      <c r="H2127" s="6" t="s">
        <v>3186</v>
      </c>
      <c r="I2127" s="1">
        <v>189</v>
      </c>
      <c r="J2127" s="1">
        <v>220</v>
      </c>
      <c r="L2127" t="str">
        <f t="shared" si="33"/>
        <v>http://www.badatelna.eu/reprodukce/?fondId=1073&amp;zaznamId=1108960&amp;reproId=3780340</v>
      </c>
      <c r="M2127">
        <f>VLOOKUP(F2127,Sheet2!$B$1:$E$19,2,FALSE)</f>
        <v>1073</v>
      </c>
      <c r="N2127">
        <f>VLOOKUP(F2127,Sheet2!$B$1:$E$19,3,FALSE)</f>
        <v>1108960</v>
      </c>
      <c r="O2127">
        <f>IF(G2127="Not available","",VLOOKUP(F2127,Sheet2!$B$1:$E$19,4,FALSE)+(G2127-1))</f>
        <v>3780340</v>
      </c>
    </row>
    <row r="2128" spans="1:15" s="1" customFormat="1" ht="15" customHeight="1" x14ac:dyDescent="0.25">
      <c r="A2128" s="18" t="s">
        <v>673</v>
      </c>
      <c r="B2128" s="18" t="s">
        <v>233</v>
      </c>
      <c r="C2128" s="5">
        <v>1831</v>
      </c>
      <c r="E2128" s="1" t="s">
        <v>2</v>
      </c>
      <c r="F2128" s="18">
        <v>2174</v>
      </c>
      <c r="G2128" s="18">
        <v>64</v>
      </c>
      <c r="H2128" s="6" t="s">
        <v>3108</v>
      </c>
      <c r="I2128" s="1">
        <v>189</v>
      </c>
      <c r="J2128" s="1">
        <v>220</v>
      </c>
      <c r="L2128" t="str">
        <f t="shared" si="33"/>
        <v>http://www.badatelna.eu/reprodukce/?fondId=1073&amp;zaznamId=1108960&amp;reproId=3780288</v>
      </c>
      <c r="M2128">
        <f>VLOOKUP(F2128,Sheet2!$B$1:$E$19,2,FALSE)</f>
        <v>1073</v>
      </c>
      <c r="N2128">
        <f>VLOOKUP(F2128,Sheet2!$B$1:$E$19,3,FALSE)</f>
        <v>1108960</v>
      </c>
      <c r="O2128">
        <f>IF(G2128="Not available","",VLOOKUP(F2128,Sheet2!$B$1:$E$19,4,FALSE)+(G2128-1))</f>
        <v>3780288</v>
      </c>
    </row>
    <row r="2129" spans="1:15" s="1" customFormat="1" ht="15" customHeight="1" x14ac:dyDescent="0.25">
      <c r="A2129" s="18" t="s">
        <v>1038</v>
      </c>
      <c r="B2129" s="18" t="s">
        <v>25</v>
      </c>
      <c r="C2129" s="5" t="s">
        <v>1468</v>
      </c>
      <c r="D2129" s="12" t="s">
        <v>422</v>
      </c>
      <c r="E2129" s="1" t="s">
        <v>2</v>
      </c>
      <c r="F2129" s="18">
        <v>2165</v>
      </c>
      <c r="G2129" s="18">
        <v>62</v>
      </c>
      <c r="H2129" s="5">
        <v>59</v>
      </c>
      <c r="I2129" s="1">
        <v>85</v>
      </c>
      <c r="J2129" s="1" t="s">
        <v>3271</v>
      </c>
      <c r="L2129" t="str">
        <f t="shared" si="33"/>
        <v>http://www.badatelna.eu/reprodukce/?fondId=1073&amp;zaznamId=1108952&amp;reproId=3778923</v>
      </c>
      <c r="M2129">
        <f>VLOOKUP(F2129,Sheet2!$B$1:$E$19,2,FALSE)</f>
        <v>1073</v>
      </c>
      <c r="N2129">
        <f>VLOOKUP(F2129,Sheet2!$B$1:$E$19,3,FALSE)</f>
        <v>1108952</v>
      </c>
      <c r="O2129">
        <f>IF(G2129="Not available","",VLOOKUP(F2129,Sheet2!$B$1:$E$19,4,FALSE)+(G2129-1))</f>
        <v>3778923</v>
      </c>
    </row>
    <row r="2130" spans="1:15" s="1" customFormat="1" ht="15" customHeight="1" x14ac:dyDescent="0.25">
      <c r="A2130" s="18" t="s">
        <v>1038</v>
      </c>
      <c r="B2130" s="18" t="s">
        <v>937</v>
      </c>
      <c r="C2130" s="5" t="s">
        <v>1464</v>
      </c>
      <c r="D2130" s="1" t="s">
        <v>422</v>
      </c>
      <c r="E2130" s="1" t="s">
        <v>2</v>
      </c>
      <c r="F2130" s="18">
        <v>2165</v>
      </c>
      <c r="G2130" s="18">
        <v>23</v>
      </c>
      <c r="H2130" s="5">
        <v>20</v>
      </c>
      <c r="I2130" s="1">
        <v>85</v>
      </c>
      <c r="J2130" s="1" t="s">
        <v>3271</v>
      </c>
      <c r="L2130" t="str">
        <f t="shared" si="33"/>
        <v>http://www.badatelna.eu/reprodukce/?fondId=1073&amp;zaznamId=1108952&amp;reproId=3778884</v>
      </c>
      <c r="M2130">
        <f>VLOOKUP(F2130,Sheet2!$B$1:$E$19,2,FALSE)</f>
        <v>1073</v>
      </c>
      <c r="N2130">
        <f>VLOOKUP(F2130,Sheet2!$B$1:$E$19,3,FALSE)</f>
        <v>1108952</v>
      </c>
      <c r="O2130">
        <f>IF(G2130="Not available","",VLOOKUP(F2130,Sheet2!$B$1:$E$19,4,FALSE)+(G2130-1))</f>
        <v>3778884</v>
      </c>
    </row>
    <row r="2131" spans="1:15" s="1" customFormat="1" ht="15" customHeight="1" x14ac:dyDescent="0.25">
      <c r="A2131" s="18" t="s">
        <v>1038</v>
      </c>
      <c r="B2131" s="18" t="s">
        <v>432</v>
      </c>
      <c r="C2131" s="5" t="s">
        <v>1460</v>
      </c>
      <c r="D2131" s="1" t="s">
        <v>1039</v>
      </c>
      <c r="E2131" s="1" t="s">
        <v>2</v>
      </c>
      <c r="F2131" s="18">
        <v>2165</v>
      </c>
      <c r="G2131" s="18">
        <v>8</v>
      </c>
      <c r="H2131" s="5">
        <v>5</v>
      </c>
      <c r="I2131" s="1">
        <v>85</v>
      </c>
      <c r="J2131" s="1" t="s">
        <v>3271</v>
      </c>
      <c r="L2131" t="str">
        <f t="shared" si="33"/>
        <v>http://www.badatelna.eu/reprodukce/?fondId=1073&amp;zaznamId=1108952&amp;reproId=3778869</v>
      </c>
      <c r="M2131">
        <f>VLOOKUP(F2131,Sheet2!$B$1:$E$19,2,FALSE)</f>
        <v>1073</v>
      </c>
      <c r="N2131">
        <f>VLOOKUP(F2131,Sheet2!$B$1:$E$19,3,FALSE)</f>
        <v>1108952</v>
      </c>
      <c r="O2131">
        <f>IF(G2131="Not available","",VLOOKUP(F2131,Sheet2!$B$1:$E$19,4,FALSE)+(G2131-1))</f>
        <v>3778869</v>
      </c>
    </row>
    <row r="2132" spans="1:15" s="1" customFormat="1" ht="15" customHeight="1" x14ac:dyDescent="0.25">
      <c r="A2132" s="18" t="s">
        <v>290</v>
      </c>
      <c r="B2132" s="18" t="s">
        <v>50</v>
      </c>
      <c r="C2132" s="5">
        <v>1828</v>
      </c>
      <c r="E2132" s="1" t="s">
        <v>2</v>
      </c>
      <c r="F2132" s="18">
        <v>2173</v>
      </c>
      <c r="G2132" s="18">
        <v>81</v>
      </c>
      <c r="H2132" s="5">
        <v>154</v>
      </c>
      <c r="I2132" s="1">
        <v>104</v>
      </c>
      <c r="J2132" s="1">
        <v>223</v>
      </c>
      <c r="L2132" t="str">
        <f t="shared" si="33"/>
        <v>http://www.badatelna.eu/reprodukce/?fondId=1073&amp;zaznamId=1108959&amp;reproId=3780074</v>
      </c>
      <c r="M2132">
        <f>VLOOKUP(F2132,Sheet2!$B$1:$E$19,2,FALSE)</f>
        <v>1073</v>
      </c>
      <c r="N2132">
        <f>VLOOKUP(F2132,Sheet2!$B$1:$E$19,3,FALSE)</f>
        <v>1108959</v>
      </c>
      <c r="O2132">
        <f>IF(G2132="Not available","",VLOOKUP(F2132,Sheet2!$B$1:$E$19,4,FALSE)+(G2132-1))</f>
        <v>3780074</v>
      </c>
    </row>
    <row r="2133" spans="1:15" s="1" customFormat="1" ht="15" customHeight="1" x14ac:dyDescent="0.25">
      <c r="A2133" s="18" t="s">
        <v>290</v>
      </c>
      <c r="B2133" s="18" t="s">
        <v>477</v>
      </c>
      <c r="C2133" s="5">
        <v>1847</v>
      </c>
      <c r="D2133" s="1" t="s">
        <v>44</v>
      </c>
      <c r="E2133" s="1" t="s">
        <v>2</v>
      </c>
      <c r="F2133" s="18">
        <v>2164</v>
      </c>
      <c r="G2133" s="18">
        <v>8</v>
      </c>
      <c r="H2133" s="5">
        <v>6</v>
      </c>
      <c r="I2133" s="1">
        <v>131</v>
      </c>
      <c r="J2133" s="3" t="s">
        <v>3271</v>
      </c>
      <c r="L2133" t="str">
        <f t="shared" si="33"/>
        <v>http://www.badatelna.eu/reprodukce/?fondId=1073&amp;zaznamId=1108951&amp;reproId=3778722</v>
      </c>
      <c r="M2133">
        <f>VLOOKUP(F2133,Sheet2!$B$1:$E$19,2,FALSE)</f>
        <v>1073</v>
      </c>
      <c r="N2133">
        <f>VLOOKUP(F2133,Sheet2!$B$1:$E$19,3,FALSE)</f>
        <v>1108951</v>
      </c>
      <c r="O2133">
        <f>IF(G2133="Not available","",VLOOKUP(F2133,Sheet2!$B$1:$E$19,4,FALSE)+(G2133-1))</f>
        <v>3778722</v>
      </c>
    </row>
    <row r="2134" spans="1:15" s="1" customFormat="1" ht="15" customHeight="1" x14ac:dyDescent="0.25">
      <c r="A2134" s="18" t="s">
        <v>290</v>
      </c>
      <c r="B2134" s="18" t="s">
        <v>632</v>
      </c>
      <c r="C2134" s="5">
        <v>1860</v>
      </c>
      <c r="E2134" s="1" t="s">
        <v>939</v>
      </c>
      <c r="F2134" s="18">
        <v>999</v>
      </c>
      <c r="G2134" s="18">
        <v>23</v>
      </c>
      <c r="H2134" s="5">
        <v>21</v>
      </c>
      <c r="I2134" s="1">
        <v>70</v>
      </c>
      <c r="J2134" s="1">
        <v>104</v>
      </c>
      <c r="L2134" t="str">
        <f t="shared" si="33"/>
        <v>http://www.badatelna.eu/reprodukce/?fondId=241&amp;zaznamId=1133739&amp;reproId=3885752</v>
      </c>
      <c r="M2134">
        <f>VLOOKUP(F2134,Sheet2!$B$1:$E$19,2,FALSE)</f>
        <v>241</v>
      </c>
      <c r="N2134">
        <f>VLOOKUP(F2134,Sheet2!$B$1:$E$19,3,FALSE)</f>
        <v>1133739</v>
      </c>
      <c r="O2134">
        <f>IF(G2134="Not available","",VLOOKUP(F2134,Sheet2!$B$1:$E$19,4,FALSE)+(G2134-1))</f>
        <v>3885752</v>
      </c>
    </row>
    <row r="2135" spans="1:15" s="1" customFormat="1" ht="15" customHeight="1" x14ac:dyDescent="0.25">
      <c r="A2135" s="18" t="s">
        <v>290</v>
      </c>
      <c r="B2135" s="18" t="s">
        <v>92</v>
      </c>
      <c r="C2135" s="5">
        <v>1862</v>
      </c>
      <c r="E2135" s="1" t="s">
        <v>939</v>
      </c>
      <c r="F2135" s="18">
        <v>999</v>
      </c>
      <c r="G2135" s="18">
        <v>33</v>
      </c>
      <c r="H2135" s="5">
        <v>31</v>
      </c>
      <c r="I2135" s="1">
        <v>70</v>
      </c>
      <c r="J2135" s="1">
        <v>104</v>
      </c>
      <c r="L2135" t="str">
        <f t="shared" si="33"/>
        <v>http://www.badatelna.eu/reprodukce/?fondId=241&amp;zaznamId=1133739&amp;reproId=3885762</v>
      </c>
      <c r="M2135">
        <f>VLOOKUP(F2135,Sheet2!$B$1:$E$19,2,FALSE)</f>
        <v>241</v>
      </c>
      <c r="N2135">
        <f>VLOOKUP(F2135,Sheet2!$B$1:$E$19,3,FALSE)</f>
        <v>1133739</v>
      </c>
      <c r="O2135">
        <f>IF(G2135="Not available","",VLOOKUP(F2135,Sheet2!$B$1:$E$19,4,FALSE)+(G2135-1))</f>
        <v>3885762</v>
      </c>
    </row>
    <row r="2136" spans="1:15" s="1" customFormat="1" ht="15" customHeight="1" x14ac:dyDescent="0.25">
      <c r="A2136" s="18" t="s">
        <v>290</v>
      </c>
      <c r="B2136" s="18" t="s">
        <v>637</v>
      </c>
      <c r="C2136" s="5">
        <v>1848</v>
      </c>
      <c r="D2136" s="1" t="s">
        <v>93</v>
      </c>
      <c r="E2136" s="1" t="s">
        <v>2</v>
      </c>
      <c r="F2136" s="18">
        <v>2164</v>
      </c>
      <c r="G2136" s="18">
        <v>26</v>
      </c>
      <c r="H2136" s="5">
        <v>24</v>
      </c>
      <c r="I2136" s="1">
        <v>131</v>
      </c>
      <c r="J2136" s="3" t="s">
        <v>3271</v>
      </c>
      <c r="L2136" t="str">
        <f t="shared" si="33"/>
        <v>http://www.badatelna.eu/reprodukce/?fondId=1073&amp;zaznamId=1108951&amp;reproId=3778740</v>
      </c>
      <c r="M2136">
        <f>VLOOKUP(F2136,Sheet2!$B$1:$E$19,2,FALSE)</f>
        <v>1073</v>
      </c>
      <c r="N2136">
        <f>VLOOKUP(F2136,Sheet2!$B$1:$E$19,3,FALSE)</f>
        <v>1108951</v>
      </c>
      <c r="O2136">
        <f>IF(G2136="Not available","",VLOOKUP(F2136,Sheet2!$B$1:$E$19,4,FALSE)+(G2136-1))</f>
        <v>3778740</v>
      </c>
    </row>
    <row r="2137" spans="1:15" s="1" customFormat="1" ht="15" customHeight="1" x14ac:dyDescent="0.25">
      <c r="A2137" s="18" t="s">
        <v>290</v>
      </c>
      <c r="B2137" s="18" t="s">
        <v>28</v>
      </c>
      <c r="C2137" s="5">
        <v>1841</v>
      </c>
      <c r="D2137" s="1" t="s">
        <v>44</v>
      </c>
      <c r="E2137" s="1" t="s">
        <v>2</v>
      </c>
      <c r="F2137" s="18">
        <v>2174</v>
      </c>
      <c r="G2137" s="18">
        <v>118</v>
      </c>
      <c r="H2137" s="6" t="s">
        <v>3187</v>
      </c>
      <c r="I2137" s="1">
        <v>189</v>
      </c>
      <c r="J2137" s="1">
        <v>220</v>
      </c>
      <c r="L2137" t="str">
        <f t="shared" si="33"/>
        <v>http://www.badatelna.eu/reprodukce/?fondId=1073&amp;zaznamId=1108960&amp;reproId=3780342</v>
      </c>
      <c r="M2137">
        <f>VLOOKUP(F2137,Sheet2!$B$1:$E$19,2,FALSE)</f>
        <v>1073</v>
      </c>
      <c r="N2137">
        <f>VLOOKUP(F2137,Sheet2!$B$1:$E$19,3,FALSE)</f>
        <v>1108960</v>
      </c>
      <c r="O2137">
        <f>IF(G2137="Not available","",VLOOKUP(F2137,Sheet2!$B$1:$E$19,4,FALSE)+(G2137-1))</f>
        <v>3780342</v>
      </c>
    </row>
    <row r="2138" spans="1:15" s="1" customFormat="1" ht="15" customHeight="1" x14ac:dyDescent="0.25">
      <c r="A2138" s="18" t="s">
        <v>290</v>
      </c>
      <c r="B2138" s="18" t="s">
        <v>849</v>
      </c>
      <c r="C2138" s="5">
        <v>1860</v>
      </c>
      <c r="E2138" s="1" t="s">
        <v>939</v>
      </c>
      <c r="F2138" s="18">
        <v>999</v>
      </c>
      <c r="G2138" s="18">
        <v>21</v>
      </c>
      <c r="H2138" s="5">
        <v>19</v>
      </c>
      <c r="I2138" s="1">
        <v>70</v>
      </c>
      <c r="J2138" s="1">
        <v>104</v>
      </c>
      <c r="L2138" t="str">
        <f t="shared" si="33"/>
        <v>http://www.badatelna.eu/reprodukce/?fondId=241&amp;zaznamId=1133739&amp;reproId=3885750</v>
      </c>
      <c r="M2138">
        <f>VLOOKUP(F2138,Sheet2!$B$1:$E$19,2,FALSE)</f>
        <v>241</v>
      </c>
      <c r="N2138">
        <f>VLOOKUP(F2138,Sheet2!$B$1:$E$19,3,FALSE)</f>
        <v>1133739</v>
      </c>
      <c r="O2138">
        <f>IF(G2138="Not available","",VLOOKUP(F2138,Sheet2!$B$1:$E$19,4,FALSE)+(G2138-1))</f>
        <v>3885750</v>
      </c>
    </row>
    <row r="2139" spans="1:15" s="1" customFormat="1" ht="15" customHeight="1" x14ac:dyDescent="0.25">
      <c r="A2139" s="18" t="s">
        <v>290</v>
      </c>
      <c r="B2139" s="18" t="s">
        <v>293</v>
      </c>
      <c r="C2139" s="5">
        <v>1830</v>
      </c>
      <c r="E2139" s="1" t="s">
        <v>2</v>
      </c>
      <c r="F2139" s="18">
        <v>2173</v>
      </c>
      <c r="G2139" s="18">
        <v>87</v>
      </c>
      <c r="H2139" s="5">
        <v>160</v>
      </c>
      <c r="I2139" s="1">
        <v>104</v>
      </c>
      <c r="J2139" s="1">
        <v>223</v>
      </c>
      <c r="L2139" t="str">
        <f t="shared" si="33"/>
        <v>http://www.badatelna.eu/reprodukce/?fondId=1073&amp;zaznamId=1108959&amp;reproId=3780080</v>
      </c>
      <c r="M2139">
        <f>VLOOKUP(F2139,Sheet2!$B$1:$E$19,2,FALSE)</f>
        <v>1073</v>
      </c>
      <c r="N2139">
        <f>VLOOKUP(F2139,Sheet2!$B$1:$E$19,3,FALSE)</f>
        <v>1108959</v>
      </c>
      <c r="O2139">
        <f>IF(G2139="Not available","",VLOOKUP(F2139,Sheet2!$B$1:$E$19,4,FALSE)+(G2139-1))</f>
        <v>3780080</v>
      </c>
    </row>
    <row r="2140" spans="1:15" s="1" customFormat="1" ht="15" customHeight="1" x14ac:dyDescent="0.25">
      <c r="A2140" s="18" t="s">
        <v>290</v>
      </c>
      <c r="B2140" s="18" t="s">
        <v>674</v>
      </c>
      <c r="C2140" s="5">
        <v>1832</v>
      </c>
      <c r="D2140" s="1" t="s">
        <v>74</v>
      </c>
      <c r="E2140" s="1" t="s">
        <v>2</v>
      </c>
      <c r="F2140" s="18">
        <v>2174</v>
      </c>
      <c r="G2140" s="18">
        <v>66</v>
      </c>
      <c r="H2140" s="6" t="s">
        <v>3133</v>
      </c>
      <c r="I2140" s="1">
        <v>189</v>
      </c>
      <c r="J2140" s="1">
        <v>220</v>
      </c>
      <c r="L2140" t="str">
        <f t="shared" si="33"/>
        <v>http://www.badatelna.eu/reprodukce/?fondId=1073&amp;zaznamId=1108960&amp;reproId=3780290</v>
      </c>
      <c r="M2140">
        <f>VLOOKUP(F2140,Sheet2!$B$1:$E$19,2,FALSE)</f>
        <v>1073</v>
      </c>
      <c r="N2140">
        <f>VLOOKUP(F2140,Sheet2!$B$1:$E$19,3,FALSE)</f>
        <v>1108960</v>
      </c>
      <c r="O2140">
        <f>IF(G2140="Not available","",VLOOKUP(F2140,Sheet2!$B$1:$E$19,4,FALSE)+(G2140-1))</f>
        <v>3780290</v>
      </c>
    </row>
    <row r="2141" spans="1:15" s="1" customFormat="1" ht="15" customHeight="1" x14ac:dyDescent="0.25">
      <c r="A2141" s="19" t="s">
        <v>290</v>
      </c>
      <c r="B2141" s="18" t="s">
        <v>6</v>
      </c>
      <c r="C2141" s="5">
        <v>1826</v>
      </c>
      <c r="E2141" s="1" t="s">
        <v>2</v>
      </c>
      <c r="F2141" s="18">
        <v>2173</v>
      </c>
      <c r="G2141" s="18">
        <v>78</v>
      </c>
      <c r="H2141" s="5">
        <v>148</v>
      </c>
      <c r="I2141" s="1">
        <v>104</v>
      </c>
      <c r="J2141" s="1">
        <v>223</v>
      </c>
      <c r="L2141" t="str">
        <f t="shared" si="33"/>
        <v>http://www.badatelna.eu/reprodukce/?fondId=1073&amp;zaznamId=1108959&amp;reproId=3780071</v>
      </c>
      <c r="M2141">
        <f>VLOOKUP(F2141,Sheet2!$B$1:$E$19,2,FALSE)</f>
        <v>1073</v>
      </c>
      <c r="N2141">
        <f>VLOOKUP(F2141,Sheet2!$B$1:$E$19,3,FALSE)</f>
        <v>1108959</v>
      </c>
      <c r="O2141">
        <f>IF(G2141="Not available","",VLOOKUP(F2141,Sheet2!$B$1:$E$19,4,FALSE)+(G2141-1))</f>
        <v>3780071</v>
      </c>
    </row>
    <row r="2142" spans="1:15" s="1" customFormat="1" ht="15" customHeight="1" x14ac:dyDescent="0.25">
      <c r="A2142" s="18" t="s">
        <v>290</v>
      </c>
      <c r="B2142" s="18" t="s">
        <v>676</v>
      </c>
      <c r="C2142" s="5">
        <v>1835</v>
      </c>
      <c r="D2142" s="1" t="s">
        <v>93</v>
      </c>
      <c r="E2142" s="1" t="s">
        <v>2</v>
      </c>
      <c r="F2142" s="18">
        <v>2174</v>
      </c>
      <c r="G2142" s="18">
        <v>81</v>
      </c>
      <c r="H2142" s="6" t="s">
        <v>3148</v>
      </c>
      <c r="I2142" s="1">
        <v>189</v>
      </c>
      <c r="J2142" s="1">
        <v>220</v>
      </c>
      <c r="L2142" t="str">
        <f t="shared" si="33"/>
        <v>http://www.badatelna.eu/reprodukce/?fondId=1073&amp;zaznamId=1108960&amp;reproId=3780305</v>
      </c>
      <c r="M2142">
        <f>VLOOKUP(F2142,Sheet2!$B$1:$E$19,2,FALSE)</f>
        <v>1073</v>
      </c>
      <c r="N2142">
        <f>VLOOKUP(F2142,Sheet2!$B$1:$E$19,3,FALSE)</f>
        <v>1108960</v>
      </c>
      <c r="O2142">
        <f>IF(G2142="Not available","",VLOOKUP(F2142,Sheet2!$B$1:$E$19,4,FALSE)+(G2142-1))</f>
        <v>3780305</v>
      </c>
    </row>
    <row r="2143" spans="1:15" s="1" customFormat="1" ht="15" customHeight="1" x14ac:dyDescent="0.25">
      <c r="A2143" s="18" t="s">
        <v>290</v>
      </c>
      <c r="B2143" s="18" t="s">
        <v>9</v>
      </c>
      <c r="C2143" s="5">
        <v>1845</v>
      </c>
      <c r="D2143" s="1" t="s">
        <v>44</v>
      </c>
      <c r="E2143" s="1" t="s">
        <v>2</v>
      </c>
      <c r="F2143" s="18">
        <v>2174</v>
      </c>
      <c r="G2143" s="18">
        <v>159</v>
      </c>
      <c r="H2143" s="6" t="s">
        <v>3225</v>
      </c>
      <c r="I2143" s="1">
        <v>190</v>
      </c>
      <c r="J2143" s="1">
        <v>221</v>
      </c>
      <c r="L2143" t="str">
        <f t="shared" si="33"/>
        <v>http://www.badatelna.eu/reprodukce/?fondId=1073&amp;zaznamId=1108960&amp;reproId=3780383</v>
      </c>
      <c r="M2143">
        <f>VLOOKUP(F2143,Sheet2!$B$1:$E$19,2,FALSE)</f>
        <v>1073</v>
      </c>
      <c r="N2143">
        <f>VLOOKUP(F2143,Sheet2!$B$1:$E$19,3,FALSE)</f>
        <v>1108960</v>
      </c>
      <c r="O2143">
        <f>IF(G2143="Not available","",VLOOKUP(F2143,Sheet2!$B$1:$E$19,4,FALSE)+(G2143-1))</f>
        <v>3780383</v>
      </c>
    </row>
    <row r="2144" spans="1:15" s="1" customFormat="1" ht="15" customHeight="1" x14ac:dyDescent="0.25">
      <c r="A2144" s="18" t="s">
        <v>290</v>
      </c>
      <c r="B2144" s="18" t="s">
        <v>769</v>
      </c>
      <c r="C2144" s="5">
        <v>1850</v>
      </c>
      <c r="D2144" s="1" t="s">
        <v>422</v>
      </c>
      <c r="E2144" s="1" t="s">
        <v>2</v>
      </c>
      <c r="F2144" s="18">
        <v>2164</v>
      </c>
      <c r="G2144" s="18">
        <v>69</v>
      </c>
      <c r="H2144" s="5">
        <v>67</v>
      </c>
      <c r="I2144" s="1">
        <v>131</v>
      </c>
      <c r="J2144" s="3" t="s">
        <v>3271</v>
      </c>
      <c r="L2144" t="str">
        <f t="shared" si="33"/>
        <v>http://www.badatelna.eu/reprodukce/?fondId=1073&amp;zaznamId=1108951&amp;reproId=3778783</v>
      </c>
      <c r="M2144">
        <f>VLOOKUP(F2144,Sheet2!$B$1:$E$19,2,FALSE)</f>
        <v>1073</v>
      </c>
      <c r="N2144">
        <f>VLOOKUP(F2144,Sheet2!$B$1:$E$19,3,FALSE)</f>
        <v>1108951</v>
      </c>
      <c r="O2144">
        <f>IF(G2144="Not available","",VLOOKUP(F2144,Sheet2!$B$1:$E$19,4,FALSE)+(G2144-1))</f>
        <v>3778783</v>
      </c>
    </row>
    <row r="2145" spans="1:15" s="1" customFormat="1" ht="15" customHeight="1" x14ac:dyDescent="0.25">
      <c r="A2145" s="18" t="s">
        <v>290</v>
      </c>
      <c r="B2145" s="18" t="s">
        <v>155</v>
      </c>
      <c r="C2145" s="5">
        <v>1830</v>
      </c>
      <c r="E2145" s="1" t="s">
        <v>2</v>
      </c>
      <c r="F2145" s="18">
        <v>2173</v>
      </c>
      <c r="G2145" s="18">
        <v>83</v>
      </c>
      <c r="H2145" s="5">
        <v>158</v>
      </c>
      <c r="I2145" s="1">
        <v>104</v>
      </c>
      <c r="J2145" s="1">
        <v>223</v>
      </c>
      <c r="L2145" t="str">
        <f t="shared" si="33"/>
        <v>http://www.badatelna.eu/reprodukce/?fondId=1073&amp;zaznamId=1108959&amp;reproId=3780076</v>
      </c>
      <c r="M2145">
        <f>VLOOKUP(F2145,Sheet2!$B$1:$E$19,2,FALSE)</f>
        <v>1073</v>
      </c>
      <c r="N2145">
        <f>VLOOKUP(F2145,Sheet2!$B$1:$E$19,3,FALSE)</f>
        <v>1108959</v>
      </c>
      <c r="O2145">
        <f>IF(G2145="Not available","",VLOOKUP(F2145,Sheet2!$B$1:$E$19,4,FALSE)+(G2145-1))</f>
        <v>3780076</v>
      </c>
    </row>
    <row r="2146" spans="1:15" s="1" customFormat="1" ht="15" customHeight="1" x14ac:dyDescent="0.25">
      <c r="A2146" s="18" t="s">
        <v>290</v>
      </c>
      <c r="B2146" s="18" t="s">
        <v>548</v>
      </c>
      <c r="C2146" s="5">
        <v>1840</v>
      </c>
      <c r="D2146" s="1" t="s">
        <v>93</v>
      </c>
      <c r="E2146" s="1" t="s">
        <v>2</v>
      </c>
      <c r="F2146" s="18">
        <v>2174</v>
      </c>
      <c r="G2146" s="18">
        <v>107</v>
      </c>
      <c r="H2146" s="6" t="s">
        <v>3177</v>
      </c>
      <c r="I2146" s="1">
        <v>189</v>
      </c>
      <c r="J2146" s="1">
        <v>220</v>
      </c>
      <c r="L2146" t="str">
        <f t="shared" si="33"/>
        <v>http://www.badatelna.eu/reprodukce/?fondId=1073&amp;zaznamId=1108960&amp;reproId=3780331</v>
      </c>
      <c r="M2146">
        <f>VLOOKUP(F2146,Sheet2!$B$1:$E$19,2,FALSE)</f>
        <v>1073</v>
      </c>
      <c r="N2146">
        <f>VLOOKUP(F2146,Sheet2!$B$1:$E$19,3,FALSE)</f>
        <v>1108960</v>
      </c>
      <c r="O2146">
        <f>IF(G2146="Not available","",VLOOKUP(F2146,Sheet2!$B$1:$E$19,4,FALSE)+(G2146-1))</f>
        <v>3780331</v>
      </c>
    </row>
    <row r="2147" spans="1:15" s="1" customFormat="1" ht="15" customHeight="1" x14ac:dyDescent="0.25">
      <c r="A2147" s="18" t="s">
        <v>290</v>
      </c>
      <c r="B2147" s="18" t="s">
        <v>494</v>
      </c>
      <c r="C2147" s="5">
        <v>1839</v>
      </c>
      <c r="D2147" s="1" t="s">
        <v>678</v>
      </c>
      <c r="E2147" s="1" t="s">
        <v>2</v>
      </c>
      <c r="F2147" s="18">
        <v>2174</v>
      </c>
      <c r="G2147" s="18">
        <v>104</v>
      </c>
      <c r="H2147" s="6" t="s">
        <v>3174</v>
      </c>
      <c r="I2147" s="1">
        <v>189</v>
      </c>
      <c r="J2147" s="1">
        <v>220</v>
      </c>
      <c r="L2147" t="str">
        <f t="shared" si="33"/>
        <v>http://www.badatelna.eu/reprodukce/?fondId=1073&amp;zaznamId=1108960&amp;reproId=3780328</v>
      </c>
      <c r="M2147">
        <f>VLOOKUP(F2147,Sheet2!$B$1:$E$19,2,FALSE)</f>
        <v>1073</v>
      </c>
      <c r="N2147">
        <f>VLOOKUP(F2147,Sheet2!$B$1:$E$19,3,FALSE)</f>
        <v>1108960</v>
      </c>
      <c r="O2147">
        <f>IF(G2147="Not available","",VLOOKUP(F2147,Sheet2!$B$1:$E$19,4,FALSE)+(G2147-1))</f>
        <v>3780328</v>
      </c>
    </row>
    <row r="2148" spans="1:15" s="1" customFormat="1" ht="15" customHeight="1" x14ac:dyDescent="0.25">
      <c r="A2148" s="18" t="s">
        <v>290</v>
      </c>
      <c r="B2148" s="18" t="s">
        <v>484</v>
      </c>
      <c r="C2148" s="5">
        <v>1844</v>
      </c>
      <c r="D2148" s="1" t="s">
        <v>93</v>
      </c>
      <c r="E2148" s="1" t="s">
        <v>2</v>
      </c>
      <c r="F2148" s="18">
        <v>2174</v>
      </c>
      <c r="G2148" s="18">
        <v>149</v>
      </c>
      <c r="H2148" s="6" t="s">
        <v>3216</v>
      </c>
      <c r="I2148" s="1">
        <v>190</v>
      </c>
      <c r="J2148" s="1">
        <v>221</v>
      </c>
      <c r="L2148" t="str">
        <f t="shared" si="33"/>
        <v>http://www.badatelna.eu/reprodukce/?fondId=1073&amp;zaznamId=1108960&amp;reproId=3780373</v>
      </c>
      <c r="M2148">
        <f>VLOOKUP(F2148,Sheet2!$B$1:$E$19,2,FALSE)</f>
        <v>1073</v>
      </c>
      <c r="N2148">
        <f>VLOOKUP(F2148,Sheet2!$B$1:$E$19,3,FALSE)</f>
        <v>1108960</v>
      </c>
      <c r="O2148">
        <f>IF(G2148="Not available","",VLOOKUP(F2148,Sheet2!$B$1:$E$19,4,FALSE)+(G2148-1))</f>
        <v>3780373</v>
      </c>
    </row>
    <row r="2149" spans="1:15" s="1" customFormat="1" ht="15" customHeight="1" x14ac:dyDescent="0.25">
      <c r="A2149" s="18" t="s">
        <v>290</v>
      </c>
      <c r="B2149" s="18" t="s">
        <v>495</v>
      </c>
      <c r="C2149" s="5">
        <v>1843</v>
      </c>
      <c r="D2149" s="1" t="s">
        <v>44</v>
      </c>
      <c r="E2149" s="1" t="s">
        <v>2</v>
      </c>
      <c r="F2149" s="18">
        <v>2174</v>
      </c>
      <c r="G2149" s="18">
        <v>132</v>
      </c>
      <c r="H2149" s="6" t="s">
        <v>3200</v>
      </c>
      <c r="I2149" s="1">
        <v>190</v>
      </c>
      <c r="J2149" s="1">
        <v>221</v>
      </c>
      <c r="L2149" t="str">
        <f t="shared" si="33"/>
        <v>http://www.badatelna.eu/reprodukce/?fondId=1073&amp;zaznamId=1108960&amp;reproId=3780356</v>
      </c>
      <c r="M2149">
        <f>VLOOKUP(F2149,Sheet2!$B$1:$E$19,2,FALSE)</f>
        <v>1073</v>
      </c>
      <c r="N2149">
        <f>VLOOKUP(F2149,Sheet2!$B$1:$E$19,3,FALSE)</f>
        <v>1108960</v>
      </c>
      <c r="O2149">
        <f>IF(G2149="Not available","",VLOOKUP(F2149,Sheet2!$B$1:$E$19,4,FALSE)+(G2149-1))</f>
        <v>3780356</v>
      </c>
    </row>
    <row r="2150" spans="1:15" s="1" customFormat="1" ht="15" customHeight="1" x14ac:dyDescent="0.25">
      <c r="A2150" s="18" t="s">
        <v>290</v>
      </c>
      <c r="B2150" s="18" t="s">
        <v>495</v>
      </c>
      <c r="C2150" s="5">
        <v>1843</v>
      </c>
      <c r="D2150" s="1" t="s">
        <v>93</v>
      </c>
      <c r="E2150" s="1" t="s">
        <v>2</v>
      </c>
      <c r="F2150" s="18">
        <v>2174</v>
      </c>
      <c r="G2150" s="18">
        <v>131</v>
      </c>
      <c r="H2150" s="6" t="s">
        <v>3193</v>
      </c>
      <c r="I2150" s="1">
        <v>190</v>
      </c>
      <c r="J2150" s="1">
        <v>221</v>
      </c>
      <c r="L2150" t="str">
        <f t="shared" si="33"/>
        <v>http://www.badatelna.eu/reprodukce/?fondId=1073&amp;zaznamId=1108960&amp;reproId=3780355</v>
      </c>
      <c r="M2150">
        <f>VLOOKUP(F2150,Sheet2!$B$1:$E$19,2,FALSE)</f>
        <v>1073</v>
      </c>
      <c r="N2150">
        <f>VLOOKUP(F2150,Sheet2!$B$1:$E$19,3,FALSE)</f>
        <v>1108960</v>
      </c>
      <c r="O2150">
        <f>IF(G2150="Not available","",VLOOKUP(F2150,Sheet2!$B$1:$E$19,4,FALSE)+(G2150-1))</f>
        <v>3780355</v>
      </c>
    </row>
    <row r="2151" spans="1:15" s="1" customFormat="1" ht="15" customHeight="1" x14ac:dyDescent="0.25">
      <c r="A2151" s="18" t="s">
        <v>290</v>
      </c>
      <c r="B2151" s="18" t="s">
        <v>495</v>
      </c>
      <c r="C2151" s="5">
        <v>1859</v>
      </c>
      <c r="E2151" s="1" t="s">
        <v>939</v>
      </c>
      <c r="F2151" s="18">
        <v>999</v>
      </c>
      <c r="G2151" s="18">
        <v>14</v>
      </c>
      <c r="H2151" s="5">
        <v>12</v>
      </c>
      <c r="I2151" s="1">
        <v>70</v>
      </c>
      <c r="J2151" s="1">
        <v>104</v>
      </c>
      <c r="L2151" t="str">
        <f t="shared" si="33"/>
        <v>http://www.badatelna.eu/reprodukce/?fondId=241&amp;zaznamId=1133739&amp;reproId=3885743</v>
      </c>
      <c r="M2151">
        <f>VLOOKUP(F2151,Sheet2!$B$1:$E$19,2,FALSE)</f>
        <v>241</v>
      </c>
      <c r="N2151">
        <f>VLOOKUP(F2151,Sheet2!$B$1:$E$19,3,FALSE)</f>
        <v>1133739</v>
      </c>
      <c r="O2151">
        <f>IF(G2151="Not available","",VLOOKUP(F2151,Sheet2!$B$1:$E$19,4,FALSE)+(G2151-1))</f>
        <v>3885743</v>
      </c>
    </row>
    <row r="2152" spans="1:15" s="1" customFormat="1" ht="15" customHeight="1" x14ac:dyDescent="0.25">
      <c r="A2152" s="18" t="s">
        <v>290</v>
      </c>
      <c r="B2152" s="18" t="s">
        <v>472</v>
      </c>
      <c r="C2152" s="5">
        <v>1837</v>
      </c>
      <c r="D2152" s="1" t="s">
        <v>74</v>
      </c>
      <c r="E2152" s="1" t="s">
        <v>2</v>
      </c>
      <c r="F2152" s="18">
        <v>2174</v>
      </c>
      <c r="G2152" s="18">
        <v>92</v>
      </c>
      <c r="H2152" s="6" t="s">
        <v>3160</v>
      </c>
      <c r="I2152" s="1">
        <v>189</v>
      </c>
      <c r="J2152" s="1">
        <v>220</v>
      </c>
      <c r="L2152" t="str">
        <f t="shared" si="33"/>
        <v>http://www.badatelna.eu/reprodukce/?fondId=1073&amp;zaznamId=1108960&amp;reproId=3780316</v>
      </c>
      <c r="M2152">
        <f>VLOOKUP(F2152,Sheet2!$B$1:$E$19,2,FALSE)</f>
        <v>1073</v>
      </c>
      <c r="N2152">
        <f>VLOOKUP(F2152,Sheet2!$B$1:$E$19,3,FALSE)</f>
        <v>1108960</v>
      </c>
      <c r="O2152">
        <f>IF(G2152="Not available","",VLOOKUP(F2152,Sheet2!$B$1:$E$19,4,FALSE)+(G2152-1))</f>
        <v>3780316</v>
      </c>
    </row>
    <row r="2153" spans="1:15" s="1" customFormat="1" ht="15" customHeight="1" x14ac:dyDescent="0.25">
      <c r="A2153" s="18" t="s">
        <v>290</v>
      </c>
      <c r="B2153" s="18" t="s">
        <v>881</v>
      </c>
      <c r="C2153" s="5">
        <v>1856</v>
      </c>
      <c r="D2153" s="1" t="s">
        <v>422</v>
      </c>
      <c r="E2153" s="1" t="s">
        <v>2</v>
      </c>
      <c r="F2153" s="18">
        <v>2164</v>
      </c>
      <c r="G2153" s="18">
        <v>114</v>
      </c>
      <c r="H2153" s="5">
        <v>112</v>
      </c>
      <c r="I2153" s="1">
        <v>131</v>
      </c>
      <c r="J2153" s="3" t="s">
        <v>3271</v>
      </c>
      <c r="L2153" t="str">
        <f t="shared" si="33"/>
        <v>http://www.badatelna.eu/reprodukce/?fondId=1073&amp;zaznamId=1108951&amp;reproId=3778828</v>
      </c>
      <c r="M2153">
        <f>VLOOKUP(F2153,Sheet2!$B$1:$E$19,2,FALSE)</f>
        <v>1073</v>
      </c>
      <c r="N2153">
        <f>VLOOKUP(F2153,Sheet2!$B$1:$E$19,3,FALSE)</f>
        <v>1108951</v>
      </c>
      <c r="O2153">
        <f>IF(G2153="Not available","",VLOOKUP(F2153,Sheet2!$B$1:$E$19,4,FALSE)+(G2153-1))</f>
        <v>3778828</v>
      </c>
    </row>
    <row r="2154" spans="1:15" s="1" customFormat="1" ht="15" customHeight="1" x14ac:dyDescent="0.25">
      <c r="A2154" s="18" t="s">
        <v>290</v>
      </c>
      <c r="B2154" s="18" t="s">
        <v>137</v>
      </c>
      <c r="C2154" s="5">
        <v>1826</v>
      </c>
      <c r="E2154" s="1" t="s">
        <v>2</v>
      </c>
      <c r="F2154" s="18">
        <v>2173</v>
      </c>
      <c r="G2154" s="18">
        <v>79</v>
      </c>
      <c r="H2154" s="5">
        <v>150</v>
      </c>
      <c r="I2154" s="1">
        <v>104</v>
      </c>
      <c r="J2154" s="1">
        <v>223</v>
      </c>
      <c r="L2154" t="str">
        <f t="shared" si="33"/>
        <v>http://www.badatelna.eu/reprodukce/?fondId=1073&amp;zaznamId=1108959&amp;reproId=3780072</v>
      </c>
      <c r="M2154">
        <f>VLOOKUP(F2154,Sheet2!$B$1:$E$19,2,FALSE)</f>
        <v>1073</v>
      </c>
      <c r="N2154">
        <f>VLOOKUP(F2154,Sheet2!$B$1:$E$19,3,FALSE)</f>
        <v>1108959</v>
      </c>
      <c r="O2154">
        <f>IF(G2154="Not available","",VLOOKUP(F2154,Sheet2!$B$1:$E$19,4,FALSE)+(G2154-1))</f>
        <v>3780072</v>
      </c>
    </row>
    <row r="2155" spans="1:15" s="1" customFormat="1" ht="15" customHeight="1" x14ac:dyDescent="0.25">
      <c r="A2155" s="18" t="s">
        <v>290</v>
      </c>
      <c r="B2155" s="18" t="s">
        <v>602</v>
      </c>
      <c r="C2155" s="5">
        <v>1863</v>
      </c>
      <c r="E2155" s="1" t="s">
        <v>939</v>
      </c>
      <c r="F2155" s="18">
        <v>999</v>
      </c>
      <c r="G2155" s="18">
        <v>42</v>
      </c>
      <c r="H2155" s="5">
        <v>40</v>
      </c>
      <c r="I2155" s="1">
        <v>70</v>
      </c>
      <c r="J2155" s="1">
        <v>104</v>
      </c>
      <c r="L2155" t="str">
        <f t="shared" si="33"/>
        <v>http://www.badatelna.eu/reprodukce/?fondId=241&amp;zaznamId=1133739&amp;reproId=3885771</v>
      </c>
      <c r="M2155">
        <f>VLOOKUP(F2155,Sheet2!$B$1:$E$19,2,FALSE)</f>
        <v>241</v>
      </c>
      <c r="N2155">
        <f>VLOOKUP(F2155,Sheet2!$B$1:$E$19,3,FALSE)</f>
        <v>1133739</v>
      </c>
      <c r="O2155">
        <f>IF(G2155="Not available","",VLOOKUP(F2155,Sheet2!$B$1:$E$19,4,FALSE)+(G2155-1))</f>
        <v>3885771</v>
      </c>
    </row>
    <row r="2156" spans="1:15" s="1" customFormat="1" ht="15" customHeight="1" x14ac:dyDescent="0.25">
      <c r="A2156" s="18" t="s">
        <v>290</v>
      </c>
      <c r="B2156" s="18" t="s">
        <v>540</v>
      </c>
      <c r="C2156" s="5">
        <v>1863</v>
      </c>
      <c r="E2156" s="1" t="s">
        <v>939</v>
      </c>
      <c r="F2156" s="18">
        <v>999</v>
      </c>
      <c r="G2156" s="18">
        <v>41</v>
      </c>
      <c r="H2156" s="5">
        <v>39</v>
      </c>
      <c r="I2156" s="1">
        <v>70</v>
      </c>
      <c r="J2156" s="1">
        <v>104</v>
      </c>
      <c r="L2156" t="str">
        <f t="shared" si="33"/>
        <v>http://www.badatelna.eu/reprodukce/?fondId=241&amp;zaznamId=1133739&amp;reproId=3885770</v>
      </c>
      <c r="M2156">
        <f>VLOOKUP(F2156,Sheet2!$B$1:$E$19,2,FALSE)</f>
        <v>241</v>
      </c>
      <c r="N2156">
        <f>VLOOKUP(F2156,Sheet2!$B$1:$E$19,3,FALSE)</f>
        <v>1133739</v>
      </c>
      <c r="O2156">
        <f>IF(G2156="Not available","",VLOOKUP(F2156,Sheet2!$B$1:$E$19,4,FALSE)+(G2156-1))</f>
        <v>3885770</v>
      </c>
    </row>
    <row r="2157" spans="1:15" s="1" customFormat="1" ht="15" customHeight="1" x14ac:dyDescent="0.25">
      <c r="A2157" s="18" t="s">
        <v>290</v>
      </c>
      <c r="B2157" s="18" t="s">
        <v>233</v>
      </c>
      <c r="C2157" s="5">
        <v>1833</v>
      </c>
      <c r="D2157" s="1" t="s">
        <v>74</v>
      </c>
      <c r="E2157" s="1" t="s">
        <v>2</v>
      </c>
      <c r="F2157" s="18">
        <v>2174</v>
      </c>
      <c r="G2157" s="18">
        <v>73</v>
      </c>
      <c r="H2157" s="6" t="s">
        <v>3138</v>
      </c>
      <c r="I2157" s="1">
        <v>189</v>
      </c>
      <c r="J2157" s="1">
        <v>220</v>
      </c>
      <c r="L2157" t="str">
        <f t="shared" si="33"/>
        <v>http://www.badatelna.eu/reprodukce/?fondId=1073&amp;zaznamId=1108960&amp;reproId=3780297</v>
      </c>
      <c r="M2157">
        <f>VLOOKUP(F2157,Sheet2!$B$1:$E$19,2,FALSE)</f>
        <v>1073</v>
      </c>
      <c r="N2157">
        <f>VLOOKUP(F2157,Sheet2!$B$1:$E$19,3,FALSE)</f>
        <v>1108960</v>
      </c>
      <c r="O2157">
        <f>IF(G2157="Not available","",VLOOKUP(F2157,Sheet2!$B$1:$E$19,4,FALSE)+(G2157-1))</f>
        <v>3780297</v>
      </c>
    </row>
    <row r="2158" spans="1:15" s="1" customFormat="1" ht="15" customHeight="1" x14ac:dyDescent="0.25">
      <c r="A2158" s="18" t="s">
        <v>290</v>
      </c>
      <c r="B2158" s="18" t="s">
        <v>233</v>
      </c>
      <c r="C2158" s="5">
        <v>1838</v>
      </c>
      <c r="D2158" s="1" t="s">
        <v>93</v>
      </c>
      <c r="E2158" s="1" t="s">
        <v>2</v>
      </c>
      <c r="F2158" s="18">
        <v>2174</v>
      </c>
      <c r="G2158" s="18">
        <v>96</v>
      </c>
      <c r="H2158" s="6" t="s">
        <v>3164</v>
      </c>
      <c r="I2158" s="1">
        <v>189</v>
      </c>
      <c r="J2158" s="1">
        <v>220</v>
      </c>
      <c r="L2158" t="str">
        <f t="shared" si="33"/>
        <v>http://www.badatelna.eu/reprodukce/?fondId=1073&amp;zaznamId=1108960&amp;reproId=3780320</v>
      </c>
      <c r="M2158">
        <f>VLOOKUP(F2158,Sheet2!$B$1:$E$19,2,FALSE)</f>
        <v>1073</v>
      </c>
      <c r="N2158">
        <f>VLOOKUP(F2158,Sheet2!$B$1:$E$19,3,FALSE)</f>
        <v>1108960</v>
      </c>
      <c r="O2158">
        <f>IF(G2158="Not available","",VLOOKUP(F2158,Sheet2!$B$1:$E$19,4,FALSE)+(G2158-1))</f>
        <v>3780320</v>
      </c>
    </row>
    <row r="2159" spans="1:15" s="1" customFormat="1" ht="15" customHeight="1" x14ac:dyDescent="0.25">
      <c r="A2159" s="18" t="s">
        <v>290</v>
      </c>
      <c r="B2159" s="18" t="s">
        <v>873</v>
      </c>
      <c r="C2159" s="5">
        <v>1850</v>
      </c>
      <c r="D2159" s="1" t="s">
        <v>422</v>
      </c>
      <c r="E2159" s="1" t="s">
        <v>2</v>
      </c>
      <c r="F2159" s="18">
        <v>2164</v>
      </c>
      <c r="G2159" s="18">
        <v>78</v>
      </c>
      <c r="H2159" s="5">
        <v>76</v>
      </c>
      <c r="I2159" s="1">
        <v>131</v>
      </c>
      <c r="J2159" s="3" t="s">
        <v>3271</v>
      </c>
      <c r="L2159" t="str">
        <f t="shared" si="33"/>
        <v>http://www.badatelna.eu/reprodukce/?fondId=1073&amp;zaznamId=1108951&amp;reproId=3778792</v>
      </c>
      <c r="M2159">
        <f>VLOOKUP(F2159,Sheet2!$B$1:$E$19,2,FALSE)</f>
        <v>1073</v>
      </c>
      <c r="N2159">
        <f>VLOOKUP(F2159,Sheet2!$B$1:$E$19,3,FALSE)</f>
        <v>1108951</v>
      </c>
      <c r="O2159">
        <f>IF(G2159="Not available","",VLOOKUP(F2159,Sheet2!$B$1:$E$19,4,FALSE)+(G2159-1))</f>
        <v>3778792</v>
      </c>
    </row>
    <row r="2160" spans="1:15" s="1" customFormat="1" ht="15" customHeight="1" x14ac:dyDescent="0.25">
      <c r="A2160" s="18" t="s">
        <v>290</v>
      </c>
      <c r="B2160" s="18" t="s">
        <v>432</v>
      </c>
      <c r="C2160" s="5">
        <v>1835</v>
      </c>
      <c r="D2160" s="1" t="s">
        <v>74</v>
      </c>
      <c r="E2160" s="1" t="s">
        <v>2</v>
      </c>
      <c r="F2160" s="18">
        <v>2174</v>
      </c>
      <c r="G2160" s="18">
        <v>82</v>
      </c>
      <c r="H2160" s="6" t="s">
        <v>3149</v>
      </c>
      <c r="I2160" s="1">
        <v>189</v>
      </c>
      <c r="J2160" s="1">
        <v>220</v>
      </c>
      <c r="L2160" t="str">
        <f t="shared" si="33"/>
        <v>http://www.badatelna.eu/reprodukce/?fondId=1073&amp;zaznamId=1108960&amp;reproId=3780306</v>
      </c>
      <c r="M2160">
        <f>VLOOKUP(F2160,Sheet2!$B$1:$E$19,2,FALSE)</f>
        <v>1073</v>
      </c>
      <c r="N2160">
        <f>VLOOKUP(F2160,Sheet2!$B$1:$E$19,3,FALSE)</f>
        <v>1108960</v>
      </c>
      <c r="O2160">
        <f>IF(G2160="Not available","",VLOOKUP(F2160,Sheet2!$B$1:$E$19,4,FALSE)+(G2160-1))</f>
        <v>3780306</v>
      </c>
    </row>
    <row r="2161" spans="1:15" s="1" customFormat="1" ht="15" customHeight="1" x14ac:dyDescent="0.25">
      <c r="A2161" s="18" t="s">
        <v>290</v>
      </c>
      <c r="B2161" s="18" t="s">
        <v>432</v>
      </c>
      <c r="C2161" s="5">
        <v>1865</v>
      </c>
      <c r="E2161" s="1" t="s">
        <v>939</v>
      </c>
      <c r="F2161" s="18">
        <v>999</v>
      </c>
      <c r="G2161" s="18">
        <v>55</v>
      </c>
      <c r="H2161" s="5">
        <v>53</v>
      </c>
      <c r="I2161" s="1">
        <v>70</v>
      </c>
      <c r="J2161" s="1">
        <v>104</v>
      </c>
      <c r="L2161" t="str">
        <f t="shared" si="33"/>
        <v>http://www.badatelna.eu/reprodukce/?fondId=241&amp;zaznamId=1133739&amp;reproId=3885784</v>
      </c>
      <c r="M2161">
        <f>VLOOKUP(F2161,Sheet2!$B$1:$E$19,2,FALSE)</f>
        <v>241</v>
      </c>
      <c r="N2161">
        <f>VLOOKUP(F2161,Sheet2!$B$1:$E$19,3,FALSE)</f>
        <v>1133739</v>
      </c>
      <c r="O2161">
        <f>IF(G2161="Not available","",VLOOKUP(F2161,Sheet2!$B$1:$E$19,4,FALSE)+(G2161-1))</f>
        <v>3885784</v>
      </c>
    </row>
    <row r="2162" spans="1:15" s="1" customFormat="1" ht="15" customHeight="1" x14ac:dyDescent="0.25">
      <c r="A2162" s="18" t="s">
        <v>290</v>
      </c>
      <c r="B2162" s="18" t="s">
        <v>544</v>
      </c>
      <c r="C2162" s="5">
        <v>1833</v>
      </c>
      <c r="D2162" s="1" t="s">
        <v>166</v>
      </c>
      <c r="E2162" s="1" t="s">
        <v>2</v>
      </c>
      <c r="F2162" s="18">
        <v>2174</v>
      </c>
      <c r="G2162" s="18">
        <v>72</v>
      </c>
      <c r="H2162" s="6" t="s">
        <v>3137</v>
      </c>
      <c r="I2162" s="1">
        <v>189</v>
      </c>
      <c r="J2162" s="1">
        <v>220</v>
      </c>
      <c r="L2162" t="str">
        <f t="shared" si="33"/>
        <v>http://www.badatelna.eu/reprodukce/?fondId=1073&amp;zaznamId=1108960&amp;reproId=3780296</v>
      </c>
      <c r="M2162">
        <f>VLOOKUP(F2162,Sheet2!$B$1:$E$19,2,FALSE)</f>
        <v>1073</v>
      </c>
      <c r="N2162">
        <f>VLOOKUP(F2162,Sheet2!$B$1:$E$19,3,FALSE)</f>
        <v>1108960</v>
      </c>
      <c r="O2162">
        <f>IF(G2162="Not available","",VLOOKUP(F2162,Sheet2!$B$1:$E$19,4,FALSE)+(G2162-1))</f>
        <v>3780296</v>
      </c>
    </row>
    <row r="2163" spans="1:15" s="1" customFormat="1" ht="15" customHeight="1" x14ac:dyDescent="0.25">
      <c r="A2163" s="18" t="s">
        <v>290</v>
      </c>
      <c r="B2163" s="18" t="s">
        <v>143</v>
      </c>
      <c r="C2163" s="5">
        <v>1825</v>
      </c>
      <c r="E2163" s="1" t="s">
        <v>2</v>
      </c>
      <c r="F2163" s="18">
        <v>2173</v>
      </c>
      <c r="G2163" s="18">
        <v>76</v>
      </c>
      <c r="H2163" s="5">
        <v>145</v>
      </c>
      <c r="I2163" s="1">
        <v>104</v>
      </c>
      <c r="J2163" s="1">
        <v>222</v>
      </c>
      <c r="L2163" t="str">
        <f t="shared" si="33"/>
        <v>http://www.badatelna.eu/reprodukce/?fondId=1073&amp;zaznamId=1108959&amp;reproId=3780069</v>
      </c>
      <c r="M2163">
        <f>VLOOKUP(F2163,Sheet2!$B$1:$E$19,2,FALSE)</f>
        <v>1073</v>
      </c>
      <c r="N2163">
        <f>VLOOKUP(F2163,Sheet2!$B$1:$E$19,3,FALSE)</f>
        <v>1108959</v>
      </c>
      <c r="O2163">
        <f>IF(G2163="Not available","",VLOOKUP(F2163,Sheet2!$B$1:$E$19,4,FALSE)+(G2163-1))</f>
        <v>3780069</v>
      </c>
    </row>
    <row r="2164" spans="1:15" s="1" customFormat="1" ht="15" customHeight="1" x14ac:dyDescent="0.25">
      <c r="A2164" s="18" t="s">
        <v>290</v>
      </c>
      <c r="B2164" s="18" t="s">
        <v>427</v>
      </c>
      <c r="C2164" s="5">
        <v>1834</v>
      </c>
      <c r="D2164" s="1" t="s">
        <v>93</v>
      </c>
      <c r="E2164" s="1" t="s">
        <v>2</v>
      </c>
      <c r="F2164" s="18">
        <v>2174</v>
      </c>
      <c r="G2164" s="18">
        <v>76</v>
      </c>
      <c r="H2164" s="6" t="s">
        <v>3142</v>
      </c>
      <c r="I2164" s="1">
        <v>189</v>
      </c>
      <c r="J2164" s="1">
        <v>220</v>
      </c>
      <c r="L2164" t="str">
        <f t="shared" si="33"/>
        <v>http://www.badatelna.eu/reprodukce/?fondId=1073&amp;zaznamId=1108960&amp;reproId=3780300</v>
      </c>
      <c r="M2164">
        <f>VLOOKUP(F2164,Sheet2!$B$1:$E$19,2,FALSE)</f>
        <v>1073</v>
      </c>
      <c r="N2164">
        <f>VLOOKUP(F2164,Sheet2!$B$1:$E$19,3,FALSE)</f>
        <v>1108960</v>
      </c>
      <c r="O2164">
        <f>IF(G2164="Not available","",VLOOKUP(F2164,Sheet2!$B$1:$E$19,4,FALSE)+(G2164-1))</f>
        <v>3780300</v>
      </c>
    </row>
    <row r="2165" spans="1:15" s="1" customFormat="1" ht="15" customHeight="1" x14ac:dyDescent="0.25">
      <c r="A2165" s="18" t="s">
        <v>290</v>
      </c>
      <c r="B2165" s="18" t="s">
        <v>398</v>
      </c>
      <c r="C2165" s="5">
        <v>1864</v>
      </c>
      <c r="E2165" s="1" t="s">
        <v>939</v>
      </c>
      <c r="F2165" s="18">
        <v>999</v>
      </c>
      <c r="G2165" s="18">
        <v>49</v>
      </c>
      <c r="H2165" s="5">
        <v>47</v>
      </c>
      <c r="I2165" s="1">
        <v>70</v>
      </c>
      <c r="J2165" s="1">
        <v>104</v>
      </c>
      <c r="L2165" t="str">
        <f t="shared" si="33"/>
        <v>http://www.badatelna.eu/reprodukce/?fondId=241&amp;zaznamId=1133739&amp;reproId=3885778</v>
      </c>
      <c r="M2165">
        <f>VLOOKUP(F2165,Sheet2!$B$1:$E$19,2,FALSE)</f>
        <v>241</v>
      </c>
      <c r="N2165">
        <f>VLOOKUP(F2165,Sheet2!$B$1:$E$19,3,FALSE)</f>
        <v>1133739</v>
      </c>
      <c r="O2165">
        <f>IF(G2165="Not available","",VLOOKUP(F2165,Sheet2!$B$1:$E$19,4,FALSE)+(G2165-1))</f>
        <v>3885778</v>
      </c>
    </row>
    <row r="2166" spans="1:15" s="1" customFormat="1" ht="15" customHeight="1" x14ac:dyDescent="0.25">
      <c r="A2166" s="18" t="s">
        <v>290</v>
      </c>
      <c r="B2166" s="18" t="s">
        <v>593</v>
      </c>
      <c r="C2166" s="5">
        <v>1836</v>
      </c>
      <c r="D2166" s="1" t="s">
        <v>93</v>
      </c>
      <c r="E2166" s="1" t="s">
        <v>2</v>
      </c>
      <c r="F2166" s="18">
        <v>2174</v>
      </c>
      <c r="G2166" s="18">
        <v>87</v>
      </c>
      <c r="H2166" s="6" t="s">
        <v>3151</v>
      </c>
      <c r="I2166" s="1">
        <v>189</v>
      </c>
      <c r="J2166" s="1">
        <v>220</v>
      </c>
      <c r="L2166" t="str">
        <f t="shared" si="33"/>
        <v>http://www.badatelna.eu/reprodukce/?fondId=1073&amp;zaznamId=1108960&amp;reproId=3780311</v>
      </c>
      <c r="M2166">
        <f>VLOOKUP(F2166,Sheet2!$B$1:$E$19,2,FALSE)</f>
        <v>1073</v>
      </c>
      <c r="N2166">
        <f>VLOOKUP(F2166,Sheet2!$B$1:$E$19,3,FALSE)</f>
        <v>1108960</v>
      </c>
      <c r="O2166">
        <f>IF(G2166="Not available","",VLOOKUP(F2166,Sheet2!$B$1:$E$19,4,FALSE)+(G2166-1))</f>
        <v>3780311</v>
      </c>
    </row>
    <row r="2167" spans="1:15" s="1" customFormat="1" ht="15" customHeight="1" x14ac:dyDescent="0.25">
      <c r="A2167" s="18" t="s">
        <v>290</v>
      </c>
      <c r="B2167" s="18" t="s">
        <v>145</v>
      </c>
      <c r="C2167" s="5">
        <v>1825</v>
      </c>
      <c r="E2167" s="1" t="s">
        <v>2</v>
      </c>
      <c r="F2167" s="18">
        <v>2173</v>
      </c>
      <c r="G2167" s="18">
        <v>77</v>
      </c>
      <c r="H2167" s="5">
        <v>145</v>
      </c>
      <c r="I2167" s="1">
        <v>104</v>
      </c>
      <c r="J2167" s="1">
        <v>222</v>
      </c>
      <c r="L2167" t="str">
        <f t="shared" si="33"/>
        <v>http://www.badatelna.eu/reprodukce/?fondId=1073&amp;zaznamId=1108959&amp;reproId=3780070</v>
      </c>
      <c r="M2167">
        <f>VLOOKUP(F2167,Sheet2!$B$1:$E$19,2,FALSE)</f>
        <v>1073</v>
      </c>
      <c r="N2167">
        <f>VLOOKUP(F2167,Sheet2!$B$1:$E$19,3,FALSE)</f>
        <v>1108959</v>
      </c>
      <c r="O2167">
        <f>IF(G2167="Not available","",VLOOKUP(F2167,Sheet2!$B$1:$E$19,4,FALSE)+(G2167-1))</f>
        <v>3780070</v>
      </c>
    </row>
    <row r="2168" spans="1:15" s="1" customFormat="1" ht="15" customHeight="1" x14ac:dyDescent="0.25">
      <c r="A2168" s="18" t="s">
        <v>290</v>
      </c>
      <c r="B2168" s="18" t="s">
        <v>76</v>
      </c>
      <c r="C2168" s="5">
        <v>1858</v>
      </c>
      <c r="E2168" s="1" t="s">
        <v>939</v>
      </c>
      <c r="F2168" s="18">
        <v>999</v>
      </c>
      <c r="G2168" s="18">
        <v>9</v>
      </c>
      <c r="H2168" s="5">
        <v>7</v>
      </c>
      <c r="I2168" s="1">
        <v>70</v>
      </c>
      <c r="J2168" s="1">
        <v>104</v>
      </c>
      <c r="L2168" t="str">
        <f t="shared" si="33"/>
        <v>http://www.badatelna.eu/reprodukce/?fondId=241&amp;zaznamId=1133739&amp;reproId=3885738</v>
      </c>
      <c r="M2168">
        <f>VLOOKUP(F2168,Sheet2!$B$1:$E$19,2,FALSE)</f>
        <v>241</v>
      </c>
      <c r="N2168">
        <f>VLOOKUP(F2168,Sheet2!$B$1:$E$19,3,FALSE)</f>
        <v>1133739</v>
      </c>
      <c r="O2168">
        <f>IF(G2168="Not available","",VLOOKUP(F2168,Sheet2!$B$1:$E$19,4,FALSE)+(G2168-1))</f>
        <v>3885738</v>
      </c>
    </row>
    <row r="2169" spans="1:15" s="1" customFormat="1" ht="15" customHeight="1" x14ac:dyDescent="0.25">
      <c r="A2169" s="18" t="s">
        <v>256</v>
      </c>
      <c r="B2169" s="18" t="s">
        <v>50</v>
      </c>
      <c r="C2169" s="5">
        <v>1818</v>
      </c>
      <c r="E2169" s="1" t="s">
        <v>2</v>
      </c>
      <c r="F2169" s="18">
        <v>2173</v>
      </c>
      <c r="G2169" s="18">
        <v>68</v>
      </c>
      <c r="H2169" s="5">
        <v>128</v>
      </c>
      <c r="I2169" s="1">
        <v>104</v>
      </c>
      <c r="J2169" s="1">
        <v>222</v>
      </c>
      <c r="L2169" t="str">
        <f t="shared" si="33"/>
        <v>http://www.badatelna.eu/reprodukce/?fondId=1073&amp;zaznamId=1108959&amp;reproId=3780061</v>
      </c>
      <c r="M2169">
        <f>VLOOKUP(F2169,Sheet2!$B$1:$E$19,2,FALSE)</f>
        <v>1073</v>
      </c>
      <c r="N2169">
        <f>VLOOKUP(F2169,Sheet2!$B$1:$E$19,3,FALSE)</f>
        <v>1108959</v>
      </c>
      <c r="O2169">
        <f>IF(G2169="Not available","",VLOOKUP(F2169,Sheet2!$B$1:$E$19,4,FALSE)+(G2169-1))</f>
        <v>3780061</v>
      </c>
    </row>
    <row r="2170" spans="1:15" s="1" customFormat="1" ht="15" customHeight="1" x14ac:dyDescent="0.25">
      <c r="A2170" s="18" t="s">
        <v>256</v>
      </c>
      <c r="B2170" s="18" t="s">
        <v>50</v>
      </c>
      <c r="C2170" s="5">
        <v>1821</v>
      </c>
      <c r="E2170" s="1" t="s">
        <v>2</v>
      </c>
      <c r="F2170" s="18">
        <v>2173</v>
      </c>
      <c r="G2170" s="18">
        <v>72</v>
      </c>
      <c r="H2170" s="5">
        <v>136</v>
      </c>
      <c r="I2170" s="1">
        <v>104</v>
      </c>
      <c r="J2170" s="1">
        <v>222</v>
      </c>
      <c r="L2170" t="str">
        <f t="shared" si="33"/>
        <v>http://www.badatelna.eu/reprodukce/?fondId=1073&amp;zaznamId=1108959&amp;reproId=3780065</v>
      </c>
      <c r="M2170">
        <f>VLOOKUP(F2170,Sheet2!$B$1:$E$19,2,FALSE)</f>
        <v>1073</v>
      </c>
      <c r="N2170">
        <f>VLOOKUP(F2170,Sheet2!$B$1:$E$19,3,FALSE)</f>
        <v>1108959</v>
      </c>
      <c r="O2170">
        <f>IF(G2170="Not available","",VLOOKUP(F2170,Sheet2!$B$1:$E$19,4,FALSE)+(G2170-1))</f>
        <v>3780065</v>
      </c>
    </row>
    <row r="2171" spans="1:15" s="1" customFormat="1" ht="15" customHeight="1" x14ac:dyDescent="0.25">
      <c r="A2171" s="18" t="s">
        <v>256</v>
      </c>
      <c r="B2171" s="18" t="s">
        <v>50</v>
      </c>
      <c r="C2171" s="5">
        <v>1821</v>
      </c>
      <c r="E2171" s="1" t="s">
        <v>2</v>
      </c>
      <c r="F2171" s="18">
        <v>2173</v>
      </c>
      <c r="G2171" s="18">
        <v>72</v>
      </c>
      <c r="H2171" s="5">
        <v>137</v>
      </c>
      <c r="I2171" s="1">
        <v>104</v>
      </c>
      <c r="J2171" s="1">
        <v>222</v>
      </c>
      <c r="L2171" t="str">
        <f t="shared" si="33"/>
        <v>http://www.badatelna.eu/reprodukce/?fondId=1073&amp;zaznamId=1108959&amp;reproId=3780065</v>
      </c>
      <c r="M2171">
        <f>VLOOKUP(F2171,Sheet2!$B$1:$E$19,2,FALSE)</f>
        <v>1073</v>
      </c>
      <c r="N2171">
        <f>VLOOKUP(F2171,Sheet2!$B$1:$E$19,3,FALSE)</f>
        <v>1108959</v>
      </c>
      <c r="O2171">
        <f>IF(G2171="Not available","",VLOOKUP(F2171,Sheet2!$B$1:$E$19,4,FALSE)+(G2171-1))</f>
        <v>3780065</v>
      </c>
    </row>
    <row r="2172" spans="1:15" s="1" customFormat="1" ht="15" customHeight="1" x14ac:dyDescent="0.25">
      <c r="A2172" s="18" t="s">
        <v>256</v>
      </c>
      <c r="B2172" s="18" t="s">
        <v>266</v>
      </c>
      <c r="C2172" s="5">
        <v>1795</v>
      </c>
      <c r="D2172" s="1" t="s">
        <v>4</v>
      </c>
      <c r="E2172" s="1" t="s">
        <v>2</v>
      </c>
      <c r="F2172" s="18">
        <v>2173</v>
      </c>
      <c r="G2172" s="18">
        <v>31</v>
      </c>
      <c r="H2172" s="5">
        <v>59</v>
      </c>
      <c r="I2172" s="1">
        <v>103</v>
      </c>
      <c r="J2172" s="1">
        <v>221</v>
      </c>
      <c r="L2172" t="str">
        <f t="shared" si="33"/>
        <v>http://www.badatelna.eu/reprodukce/?fondId=1073&amp;zaznamId=1108959&amp;reproId=3780024</v>
      </c>
      <c r="M2172">
        <f>VLOOKUP(F2172,Sheet2!$B$1:$E$19,2,FALSE)</f>
        <v>1073</v>
      </c>
      <c r="N2172">
        <f>VLOOKUP(F2172,Sheet2!$B$1:$E$19,3,FALSE)</f>
        <v>1108959</v>
      </c>
      <c r="O2172">
        <f>IF(G2172="Not available","",VLOOKUP(F2172,Sheet2!$B$1:$E$19,4,FALSE)+(G2172-1))</f>
        <v>3780024</v>
      </c>
    </row>
    <row r="2173" spans="1:15" s="1" customFormat="1" ht="15" customHeight="1" x14ac:dyDescent="0.25">
      <c r="A2173" s="18" t="s">
        <v>256</v>
      </c>
      <c r="B2173" s="18" t="s">
        <v>269</v>
      </c>
      <c r="C2173" s="5">
        <v>1796</v>
      </c>
      <c r="E2173" s="1" t="s">
        <v>2</v>
      </c>
      <c r="F2173" s="18">
        <v>2173</v>
      </c>
      <c r="G2173" s="18">
        <v>35</v>
      </c>
      <c r="H2173" s="5">
        <v>64</v>
      </c>
      <c r="I2173" s="1">
        <v>103</v>
      </c>
      <c r="J2173" s="1">
        <v>221</v>
      </c>
      <c r="L2173" t="str">
        <f t="shared" si="33"/>
        <v>http://www.badatelna.eu/reprodukce/?fondId=1073&amp;zaznamId=1108959&amp;reproId=3780028</v>
      </c>
      <c r="M2173">
        <f>VLOOKUP(F2173,Sheet2!$B$1:$E$19,2,FALSE)</f>
        <v>1073</v>
      </c>
      <c r="N2173">
        <f>VLOOKUP(F2173,Sheet2!$B$1:$E$19,3,FALSE)</f>
        <v>1108959</v>
      </c>
      <c r="O2173">
        <f>IF(G2173="Not available","",VLOOKUP(F2173,Sheet2!$B$1:$E$19,4,FALSE)+(G2173-1))</f>
        <v>3780028</v>
      </c>
    </row>
    <row r="2174" spans="1:15" s="1" customFormat="1" ht="15" customHeight="1" x14ac:dyDescent="0.25">
      <c r="A2174" s="18" t="s">
        <v>256</v>
      </c>
      <c r="B2174" s="18" t="s">
        <v>116</v>
      </c>
      <c r="C2174" s="5">
        <v>1789</v>
      </c>
      <c r="D2174" s="1" t="s">
        <v>4</v>
      </c>
      <c r="E2174" s="1" t="s">
        <v>2</v>
      </c>
      <c r="F2174" s="18">
        <v>2173</v>
      </c>
      <c r="G2174" s="18">
        <v>20</v>
      </c>
      <c r="H2174" s="5">
        <v>35</v>
      </c>
      <c r="I2174" s="1">
        <v>103</v>
      </c>
      <c r="J2174" s="12">
        <v>221</v>
      </c>
      <c r="L2174" t="str">
        <f t="shared" si="33"/>
        <v>http://www.badatelna.eu/reprodukce/?fondId=1073&amp;zaznamId=1108959&amp;reproId=3780013</v>
      </c>
      <c r="M2174">
        <f>VLOOKUP(F2174,Sheet2!$B$1:$E$19,2,FALSE)</f>
        <v>1073</v>
      </c>
      <c r="N2174">
        <f>VLOOKUP(F2174,Sheet2!$B$1:$E$19,3,FALSE)</f>
        <v>1108959</v>
      </c>
      <c r="O2174">
        <f>IF(G2174="Not available","",VLOOKUP(F2174,Sheet2!$B$1:$E$19,4,FALSE)+(G2174-1))</f>
        <v>3780013</v>
      </c>
    </row>
    <row r="2175" spans="1:15" s="1" customFormat="1" ht="15" customHeight="1" x14ac:dyDescent="0.25">
      <c r="A2175" s="18" t="s">
        <v>256</v>
      </c>
      <c r="B2175" s="18" t="s">
        <v>166</v>
      </c>
      <c r="C2175" s="5">
        <v>1821</v>
      </c>
      <c r="E2175" s="1" t="s">
        <v>2</v>
      </c>
      <c r="F2175" s="18">
        <v>2173</v>
      </c>
      <c r="G2175" s="18">
        <v>72</v>
      </c>
      <c r="H2175" s="5">
        <v>136</v>
      </c>
      <c r="I2175" s="1">
        <v>104</v>
      </c>
      <c r="J2175" s="1">
        <v>222</v>
      </c>
      <c r="L2175" t="str">
        <f t="shared" si="33"/>
        <v>http://www.badatelna.eu/reprodukce/?fondId=1073&amp;zaznamId=1108959&amp;reproId=3780065</v>
      </c>
      <c r="M2175">
        <f>VLOOKUP(F2175,Sheet2!$B$1:$E$19,2,FALSE)</f>
        <v>1073</v>
      </c>
      <c r="N2175">
        <f>VLOOKUP(F2175,Sheet2!$B$1:$E$19,3,FALSE)</f>
        <v>1108959</v>
      </c>
      <c r="O2175">
        <f>IF(G2175="Not available","",VLOOKUP(F2175,Sheet2!$B$1:$E$19,4,FALSE)+(G2175-1))</f>
        <v>3780065</v>
      </c>
    </row>
    <row r="2176" spans="1:15" s="1" customFormat="1" ht="15" customHeight="1" x14ac:dyDescent="0.25">
      <c r="A2176" s="18" t="s">
        <v>256</v>
      </c>
      <c r="B2176" s="19" t="s">
        <v>232</v>
      </c>
      <c r="C2176" s="5">
        <v>1790</v>
      </c>
      <c r="D2176" s="1" t="s">
        <v>4</v>
      </c>
      <c r="E2176" s="1" t="s">
        <v>2</v>
      </c>
      <c r="F2176" s="18">
        <v>2173</v>
      </c>
      <c r="G2176" s="18">
        <v>24</v>
      </c>
      <c r="H2176" s="5">
        <v>42</v>
      </c>
      <c r="I2176" s="1">
        <v>103</v>
      </c>
      <c r="J2176" s="12">
        <v>221</v>
      </c>
      <c r="L2176" t="str">
        <f t="shared" si="33"/>
        <v>http://www.badatelna.eu/reprodukce/?fondId=1073&amp;zaznamId=1108959&amp;reproId=3780017</v>
      </c>
      <c r="M2176">
        <f>VLOOKUP(F2176,Sheet2!$B$1:$E$19,2,FALSE)</f>
        <v>1073</v>
      </c>
      <c r="N2176">
        <f>VLOOKUP(F2176,Sheet2!$B$1:$E$19,3,FALSE)</f>
        <v>1108959</v>
      </c>
      <c r="O2176">
        <f>IF(G2176="Not available","",VLOOKUP(F2176,Sheet2!$B$1:$E$19,4,FALSE)+(G2176-1))</f>
        <v>3780017</v>
      </c>
    </row>
    <row r="2177" spans="1:15" s="1" customFormat="1" ht="15" customHeight="1" x14ac:dyDescent="0.25">
      <c r="A2177" s="18" t="s">
        <v>256</v>
      </c>
      <c r="B2177" s="18" t="s">
        <v>40</v>
      </c>
      <c r="C2177" s="5">
        <v>1799</v>
      </c>
      <c r="D2177" s="1" t="s">
        <v>180</v>
      </c>
      <c r="E2177" s="1" t="s">
        <v>2</v>
      </c>
      <c r="F2177" s="18">
        <v>2173</v>
      </c>
      <c r="G2177" s="18">
        <v>39</v>
      </c>
      <c r="H2177" s="5">
        <v>73</v>
      </c>
      <c r="I2177" s="1">
        <v>103</v>
      </c>
      <c r="J2177" s="1">
        <v>221</v>
      </c>
      <c r="L2177" t="str">
        <f t="shared" si="33"/>
        <v>http://www.badatelna.eu/reprodukce/?fondId=1073&amp;zaznamId=1108959&amp;reproId=3780032</v>
      </c>
      <c r="M2177">
        <f>VLOOKUP(F2177,Sheet2!$B$1:$E$19,2,FALSE)</f>
        <v>1073</v>
      </c>
      <c r="N2177">
        <f>VLOOKUP(F2177,Sheet2!$B$1:$E$19,3,FALSE)</f>
        <v>1108959</v>
      </c>
      <c r="O2177">
        <f>IF(G2177="Not available","",VLOOKUP(F2177,Sheet2!$B$1:$E$19,4,FALSE)+(G2177-1))</f>
        <v>3780032</v>
      </c>
    </row>
    <row r="2178" spans="1:15" s="1" customFormat="1" ht="15" customHeight="1" x14ac:dyDescent="0.25">
      <c r="A2178" s="18" t="s">
        <v>256</v>
      </c>
      <c r="B2178" s="18" t="s">
        <v>289</v>
      </c>
      <c r="C2178" s="5">
        <v>1823</v>
      </c>
      <c r="D2178" s="4" t="s">
        <v>3298</v>
      </c>
      <c r="E2178" s="1" t="s">
        <v>2</v>
      </c>
      <c r="F2178" s="18">
        <v>2173</v>
      </c>
      <c r="G2178" s="18">
        <v>75</v>
      </c>
      <c r="H2178" s="5">
        <v>142</v>
      </c>
      <c r="I2178" s="1">
        <v>104</v>
      </c>
      <c r="J2178" s="1">
        <v>222</v>
      </c>
      <c r="L2178" t="str">
        <f t="shared" si="33"/>
        <v>http://www.badatelna.eu/reprodukce/?fondId=1073&amp;zaznamId=1108959&amp;reproId=3780068</v>
      </c>
      <c r="M2178">
        <f>VLOOKUP(F2178,Sheet2!$B$1:$E$19,2,FALSE)</f>
        <v>1073</v>
      </c>
      <c r="N2178">
        <f>VLOOKUP(F2178,Sheet2!$B$1:$E$19,3,FALSE)</f>
        <v>1108959</v>
      </c>
      <c r="O2178">
        <f>IF(G2178="Not available","",VLOOKUP(F2178,Sheet2!$B$1:$E$19,4,FALSE)+(G2178-1))</f>
        <v>3780068</v>
      </c>
    </row>
    <row r="2179" spans="1:15" s="1" customFormat="1" ht="15" customHeight="1" x14ac:dyDescent="0.25">
      <c r="A2179" s="18" t="s">
        <v>256</v>
      </c>
      <c r="B2179" s="18" t="s">
        <v>120</v>
      </c>
      <c r="C2179" s="5">
        <v>1787</v>
      </c>
      <c r="D2179" s="1" t="s">
        <v>4</v>
      </c>
      <c r="E2179" s="1" t="s">
        <v>2</v>
      </c>
      <c r="F2179" s="18">
        <v>2173</v>
      </c>
      <c r="G2179" s="18">
        <v>15</v>
      </c>
      <c r="H2179" s="5">
        <v>25</v>
      </c>
      <c r="I2179" s="1">
        <v>103</v>
      </c>
      <c r="J2179" s="12">
        <v>221</v>
      </c>
      <c r="L2179" t="str">
        <f t="shared" ref="L2179:L2242" si="34">IF(G2179="Not available","","http://www.badatelna.eu/reprodukce/?fondId="&amp;M2179&amp;"&amp;zaznamId="&amp;N2179&amp;"&amp;reproId="&amp;O2179)</f>
        <v>http://www.badatelna.eu/reprodukce/?fondId=1073&amp;zaznamId=1108959&amp;reproId=3780008</v>
      </c>
      <c r="M2179">
        <f>VLOOKUP(F2179,Sheet2!$B$1:$E$19,2,FALSE)</f>
        <v>1073</v>
      </c>
      <c r="N2179">
        <f>VLOOKUP(F2179,Sheet2!$B$1:$E$19,3,FALSE)</f>
        <v>1108959</v>
      </c>
      <c r="O2179">
        <f>IF(G2179="Not available","",VLOOKUP(F2179,Sheet2!$B$1:$E$19,4,FALSE)+(G2179-1))</f>
        <v>3780008</v>
      </c>
    </row>
    <row r="2180" spans="1:15" s="1" customFormat="1" ht="15" customHeight="1" x14ac:dyDescent="0.25">
      <c r="A2180" s="18" t="s">
        <v>256</v>
      </c>
      <c r="B2180" s="18" t="s">
        <v>120</v>
      </c>
      <c r="C2180" s="5">
        <v>1823</v>
      </c>
      <c r="D2180" s="4" t="s">
        <v>3297</v>
      </c>
      <c r="E2180" s="1" t="s">
        <v>2</v>
      </c>
      <c r="F2180" s="18">
        <v>2173</v>
      </c>
      <c r="G2180" s="18">
        <v>74</v>
      </c>
      <c r="H2180" s="5">
        <v>140</v>
      </c>
      <c r="I2180" s="1">
        <v>104</v>
      </c>
      <c r="J2180" s="1">
        <v>222</v>
      </c>
      <c r="L2180" t="str">
        <f t="shared" si="34"/>
        <v>http://www.badatelna.eu/reprodukce/?fondId=1073&amp;zaznamId=1108959&amp;reproId=3780067</v>
      </c>
      <c r="M2180">
        <f>VLOOKUP(F2180,Sheet2!$B$1:$E$19,2,FALSE)</f>
        <v>1073</v>
      </c>
      <c r="N2180">
        <f>VLOOKUP(F2180,Sheet2!$B$1:$E$19,3,FALSE)</f>
        <v>1108959</v>
      </c>
      <c r="O2180">
        <f>IF(G2180="Not available","",VLOOKUP(F2180,Sheet2!$B$1:$E$19,4,FALSE)+(G2180-1))</f>
        <v>3780067</v>
      </c>
    </row>
    <row r="2181" spans="1:15" s="1" customFormat="1" ht="15" customHeight="1" x14ac:dyDescent="0.25">
      <c r="A2181" s="18" t="s">
        <v>256</v>
      </c>
      <c r="B2181" s="18" t="s">
        <v>137</v>
      </c>
      <c r="C2181" s="5">
        <v>1820</v>
      </c>
      <c r="E2181" s="1" t="s">
        <v>2</v>
      </c>
      <c r="F2181" s="18">
        <v>2173</v>
      </c>
      <c r="G2181" s="18">
        <v>70</v>
      </c>
      <c r="H2181" s="5">
        <v>133</v>
      </c>
      <c r="I2181" s="1">
        <v>104</v>
      </c>
      <c r="J2181" s="1">
        <v>222</v>
      </c>
      <c r="L2181" t="str">
        <f t="shared" si="34"/>
        <v>http://www.badatelna.eu/reprodukce/?fondId=1073&amp;zaznamId=1108959&amp;reproId=3780063</v>
      </c>
      <c r="M2181">
        <f>VLOOKUP(F2181,Sheet2!$B$1:$E$19,2,FALSE)</f>
        <v>1073</v>
      </c>
      <c r="N2181">
        <f>VLOOKUP(F2181,Sheet2!$B$1:$E$19,3,FALSE)</f>
        <v>1108959</v>
      </c>
      <c r="O2181">
        <f>IF(G2181="Not available","",VLOOKUP(F2181,Sheet2!$B$1:$E$19,4,FALSE)+(G2181-1))</f>
        <v>3780063</v>
      </c>
    </row>
    <row r="2182" spans="1:15" s="1" customFormat="1" ht="15" customHeight="1" x14ac:dyDescent="0.25">
      <c r="A2182" s="18" t="s">
        <v>256</v>
      </c>
      <c r="B2182" s="18" t="s">
        <v>279</v>
      </c>
      <c r="C2182" s="5">
        <v>1805</v>
      </c>
      <c r="E2182" s="1" t="s">
        <v>2</v>
      </c>
      <c r="F2182" s="18">
        <v>2173</v>
      </c>
      <c r="G2182" s="18">
        <v>49</v>
      </c>
      <c r="H2182" s="5">
        <v>93</v>
      </c>
      <c r="I2182" s="1">
        <v>104</v>
      </c>
      <c r="J2182" s="1">
        <v>222</v>
      </c>
      <c r="L2182" t="str">
        <f t="shared" si="34"/>
        <v>http://www.badatelna.eu/reprodukce/?fondId=1073&amp;zaznamId=1108959&amp;reproId=3780042</v>
      </c>
      <c r="M2182">
        <f>VLOOKUP(F2182,Sheet2!$B$1:$E$19,2,FALSE)</f>
        <v>1073</v>
      </c>
      <c r="N2182">
        <f>VLOOKUP(F2182,Sheet2!$B$1:$E$19,3,FALSE)</f>
        <v>1108959</v>
      </c>
      <c r="O2182">
        <f>IF(G2182="Not available","",VLOOKUP(F2182,Sheet2!$B$1:$E$19,4,FALSE)+(G2182-1))</f>
        <v>3780042</v>
      </c>
    </row>
    <row r="2183" spans="1:15" s="1" customFormat="1" ht="15" customHeight="1" x14ac:dyDescent="0.25">
      <c r="A2183" s="18" t="s">
        <v>256</v>
      </c>
      <c r="B2183" s="18" t="s">
        <v>265</v>
      </c>
      <c r="C2183" s="5">
        <v>1793</v>
      </c>
      <c r="E2183" s="1" t="s">
        <v>2</v>
      </c>
      <c r="F2183" s="18">
        <v>2173</v>
      </c>
      <c r="G2183" s="18">
        <v>31</v>
      </c>
      <c r="H2183" s="5">
        <v>57</v>
      </c>
      <c r="I2183" s="1">
        <v>103</v>
      </c>
      <c r="J2183" s="1">
        <v>221</v>
      </c>
      <c r="L2183" t="str">
        <f t="shared" si="34"/>
        <v>http://www.badatelna.eu/reprodukce/?fondId=1073&amp;zaznamId=1108959&amp;reproId=3780024</v>
      </c>
      <c r="M2183">
        <f>VLOOKUP(F2183,Sheet2!$B$1:$E$19,2,FALSE)</f>
        <v>1073</v>
      </c>
      <c r="N2183">
        <f>VLOOKUP(F2183,Sheet2!$B$1:$E$19,3,FALSE)</f>
        <v>1108959</v>
      </c>
      <c r="O2183">
        <f>IF(G2183="Not available","",VLOOKUP(F2183,Sheet2!$B$1:$E$19,4,FALSE)+(G2183-1))</f>
        <v>3780024</v>
      </c>
    </row>
    <row r="2184" spans="1:15" s="1" customFormat="1" ht="15" customHeight="1" x14ac:dyDescent="0.25">
      <c r="A2184" s="18" t="s">
        <v>256</v>
      </c>
      <c r="B2184" s="18" t="s">
        <v>19</v>
      </c>
      <c r="C2184" s="5">
        <v>1819</v>
      </c>
      <c r="E2184" s="1" t="s">
        <v>2</v>
      </c>
      <c r="F2184" s="18">
        <v>2173</v>
      </c>
      <c r="G2184" s="18">
        <v>69</v>
      </c>
      <c r="H2184" s="5">
        <v>131</v>
      </c>
      <c r="I2184" s="1">
        <v>104</v>
      </c>
      <c r="J2184" s="1">
        <v>222</v>
      </c>
      <c r="L2184" t="str">
        <f t="shared" si="34"/>
        <v>http://www.badatelna.eu/reprodukce/?fondId=1073&amp;zaznamId=1108959&amp;reproId=3780062</v>
      </c>
      <c r="M2184">
        <f>VLOOKUP(F2184,Sheet2!$B$1:$E$19,2,FALSE)</f>
        <v>1073</v>
      </c>
      <c r="N2184">
        <f>VLOOKUP(F2184,Sheet2!$B$1:$E$19,3,FALSE)</f>
        <v>1108959</v>
      </c>
      <c r="O2184">
        <f>IF(G2184="Not available","",VLOOKUP(F2184,Sheet2!$B$1:$E$19,4,FALSE)+(G2184-1))</f>
        <v>3780062</v>
      </c>
    </row>
    <row r="2185" spans="1:15" s="1" customFormat="1" ht="15" customHeight="1" x14ac:dyDescent="0.25">
      <c r="A2185" s="18" t="s">
        <v>256</v>
      </c>
      <c r="B2185" s="18" t="s">
        <v>21</v>
      </c>
      <c r="C2185" s="5">
        <v>1822</v>
      </c>
      <c r="E2185" s="1" t="s">
        <v>2</v>
      </c>
      <c r="F2185" s="18">
        <v>2173</v>
      </c>
      <c r="G2185" s="18">
        <v>73</v>
      </c>
      <c r="H2185" s="5">
        <v>138</v>
      </c>
      <c r="I2185" s="1">
        <v>104</v>
      </c>
      <c r="J2185" s="1">
        <v>222</v>
      </c>
      <c r="L2185" t="str">
        <f t="shared" si="34"/>
        <v>http://www.badatelna.eu/reprodukce/?fondId=1073&amp;zaznamId=1108959&amp;reproId=3780066</v>
      </c>
      <c r="M2185">
        <f>VLOOKUP(F2185,Sheet2!$B$1:$E$19,2,FALSE)</f>
        <v>1073</v>
      </c>
      <c r="N2185">
        <f>VLOOKUP(F2185,Sheet2!$B$1:$E$19,3,FALSE)</f>
        <v>1108959</v>
      </c>
      <c r="O2185">
        <f>IF(G2185="Not available","",VLOOKUP(F2185,Sheet2!$B$1:$E$19,4,FALSE)+(G2185-1))</f>
        <v>3780066</v>
      </c>
    </row>
    <row r="2186" spans="1:15" s="1" customFormat="1" ht="15" customHeight="1" x14ac:dyDescent="0.25">
      <c r="A2186" s="18" t="s">
        <v>256</v>
      </c>
      <c r="B2186" s="18" t="s">
        <v>13</v>
      </c>
      <c r="C2186" s="5">
        <v>1816</v>
      </c>
      <c r="E2186" s="1" t="s">
        <v>2</v>
      </c>
      <c r="F2186" s="18">
        <v>2173</v>
      </c>
      <c r="G2186" s="18">
        <v>66</v>
      </c>
      <c r="H2186" s="5">
        <v>126</v>
      </c>
      <c r="I2186" s="1">
        <v>104</v>
      </c>
      <c r="J2186" s="1">
        <v>222</v>
      </c>
      <c r="L2186" t="str">
        <f t="shared" si="34"/>
        <v>http://www.badatelna.eu/reprodukce/?fondId=1073&amp;zaznamId=1108959&amp;reproId=3780059</v>
      </c>
      <c r="M2186">
        <f>VLOOKUP(F2186,Sheet2!$B$1:$E$19,2,FALSE)</f>
        <v>1073</v>
      </c>
      <c r="N2186">
        <f>VLOOKUP(F2186,Sheet2!$B$1:$E$19,3,FALSE)</f>
        <v>1108959</v>
      </c>
      <c r="O2186">
        <f>IF(G2186="Not available","",VLOOKUP(F2186,Sheet2!$B$1:$E$19,4,FALSE)+(G2186-1))</f>
        <v>3780059</v>
      </c>
    </row>
    <row r="2187" spans="1:15" s="1" customFormat="1" ht="15" customHeight="1" x14ac:dyDescent="0.25">
      <c r="A2187" s="18" t="s">
        <v>256</v>
      </c>
      <c r="B2187" s="18" t="s">
        <v>18</v>
      </c>
      <c r="C2187" s="5">
        <v>1791</v>
      </c>
      <c r="D2187" s="1" t="s">
        <v>180</v>
      </c>
      <c r="E2187" s="1" t="s">
        <v>2</v>
      </c>
      <c r="F2187" s="18">
        <v>2173</v>
      </c>
      <c r="G2187" s="18">
        <v>25</v>
      </c>
      <c r="H2187" s="5">
        <v>45</v>
      </c>
      <c r="I2187" s="1">
        <v>103</v>
      </c>
      <c r="J2187" s="12">
        <v>221</v>
      </c>
      <c r="L2187" t="str">
        <f t="shared" si="34"/>
        <v>http://www.badatelna.eu/reprodukce/?fondId=1073&amp;zaznamId=1108959&amp;reproId=3780018</v>
      </c>
      <c r="M2187">
        <f>VLOOKUP(F2187,Sheet2!$B$1:$E$19,2,FALSE)</f>
        <v>1073</v>
      </c>
      <c r="N2187">
        <f>VLOOKUP(F2187,Sheet2!$B$1:$E$19,3,FALSE)</f>
        <v>1108959</v>
      </c>
      <c r="O2187">
        <f>IF(G2187="Not available","",VLOOKUP(F2187,Sheet2!$B$1:$E$19,4,FALSE)+(G2187-1))</f>
        <v>3780018</v>
      </c>
    </row>
    <row r="2188" spans="1:15" s="1" customFormat="1" ht="15" customHeight="1" x14ac:dyDescent="0.25">
      <c r="A2188" s="18" t="s">
        <v>256</v>
      </c>
      <c r="B2188" s="18" t="s">
        <v>18</v>
      </c>
      <c r="C2188" s="5">
        <v>1793</v>
      </c>
      <c r="D2188" s="1" t="s">
        <v>264</v>
      </c>
      <c r="E2188" s="1" t="s">
        <v>2</v>
      </c>
      <c r="F2188" s="18">
        <v>2173</v>
      </c>
      <c r="G2188" s="18">
        <v>29</v>
      </c>
      <c r="H2188" s="5">
        <v>52</v>
      </c>
      <c r="I2188" s="1">
        <v>103</v>
      </c>
      <c r="J2188" s="1">
        <v>221</v>
      </c>
      <c r="L2188" t="str">
        <f t="shared" si="34"/>
        <v>http://www.badatelna.eu/reprodukce/?fondId=1073&amp;zaznamId=1108959&amp;reproId=3780022</v>
      </c>
      <c r="M2188">
        <f>VLOOKUP(F2188,Sheet2!$B$1:$E$19,2,FALSE)</f>
        <v>1073</v>
      </c>
      <c r="N2188">
        <f>VLOOKUP(F2188,Sheet2!$B$1:$E$19,3,FALSE)</f>
        <v>1108959</v>
      </c>
      <c r="O2188">
        <f>IF(G2188="Not available","",VLOOKUP(F2188,Sheet2!$B$1:$E$19,4,FALSE)+(G2188-1))</f>
        <v>3780022</v>
      </c>
    </row>
    <row r="2189" spans="1:15" s="1" customFormat="1" ht="15" customHeight="1" x14ac:dyDescent="0.25">
      <c r="A2189" s="18" t="s">
        <v>256</v>
      </c>
      <c r="B2189" s="18" t="s">
        <v>145</v>
      </c>
      <c r="C2189" s="5">
        <v>1828</v>
      </c>
      <c r="E2189" s="1" t="s">
        <v>2</v>
      </c>
      <c r="F2189" s="18">
        <v>2173</v>
      </c>
      <c r="G2189" s="18">
        <v>81</v>
      </c>
      <c r="H2189" s="5">
        <v>154</v>
      </c>
      <c r="I2189" s="1">
        <v>104</v>
      </c>
      <c r="J2189" s="1">
        <v>223</v>
      </c>
      <c r="L2189" t="str">
        <f t="shared" si="34"/>
        <v>http://www.badatelna.eu/reprodukce/?fondId=1073&amp;zaznamId=1108959&amp;reproId=3780074</v>
      </c>
      <c r="M2189">
        <f>VLOOKUP(F2189,Sheet2!$B$1:$E$19,2,FALSE)</f>
        <v>1073</v>
      </c>
      <c r="N2189">
        <f>VLOOKUP(F2189,Sheet2!$B$1:$E$19,3,FALSE)</f>
        <v>1108959</v>
      </c>
      <c r="O2189">
        <f>IF(G2189="Not available","",VLOOKUP(F2189,Sheet2!$B$1:$E$19,4,FALSE)+(G2189-1))</f>
        <v>3780074</v>
      </c>
    </row>
    <row r="2190" spans="1:15" s="1" customFormat="1" ht="15" customHeight="1" x14ac:dyDescent="0.25">
      <c r="A2190" s="18" t="s">
        <v>256</v>
      </c>
      <c r="B2190" s="18" t="s">
        <v>44</v>
      </c>
      <c r="C2190" s="5">
        <v>1807</v>
      </c>
      <c r="E2190" s="1" t="s">
        <v>2</v>
      </c>
      <c r="F2190" s="18">
        <v>2173</v>
      </c>
      <c r="G2190" s="18">
        <v>52</v>
      </c>
      <c r="H2190" s="5">
        <v>98</v>
      </c>
      <c r="I2190" s="1">
        <v>104</v>
      </c>
      <c r="J2190" s="1">
        <v>222</v>
      </c>
      <c r="L2190" t="str">
        <f t="shared" si="34"/>
        <v>http://www.badatelna.eu/reprodukce/?fondId=1073&amp;zaznamId=1108959&amp;reproId=3780045</v>
      </c>
      <c r="M2190">
        <f>VLOOKUP(F2190,Sheet2!$B$1:$E$19,2,FALSE)</f>
        <v>1073</v>
      </c>
      <c r="N2190">
        <f>VLOOKUP(F2190,Sheet2!$B$1:$E$19,3,FALSE)</f>
        <v>1108959</v>
      </c>
      <c r="O2190">
        <f>IF(G2190="Not available","",VLOOKUP(F2190,Sheet2!$B$1:$E$19,4,FALSE)+(G2190-1))</f>
        <v>3780045</v>
      </c>
    </row>
    <row r="2191" spans="1:15" s="1" customFormat="1" ht="15" customHeight="1" x14ac:dyDescent="0.25">
      <c r="A2191" s="18" t="s">
        <v>256</v>
      </c>
      <c r="B2191" s="18" t="s">
        <v>229</v>
      </c>
      <c r="C2191" s="5">
        <v>1792</v>
      </c>
      <c r="D2191" s="1" t="s">
        <v>4</v>
      </c>
      <c r="E2191" s="1" t="s">
        <v>2</v>
      </c>
      <c r="F2191" s="18">
        <v>2173</v>
      </c>
      <c r="G2191" s="18">
        <v>28</v>
      </c>
      <c r="H2191" s="5">
        <v>51</v>
      </c>
      <c r="I2191" s="1">
        <v>103</v>
      </c>
      <c r="J2191" s="1">
        <v>221</v>
      </c>
      <c r="L2191" t="str">
        <f t="shared" si="34"/>
        <v>http://www.badatelna.eu/reprodukce/?fondId=1073&amp;zaznamId=1108959&amp;reproId=3780021</v>
      </c>
      <c r="M2191">
        <f>VLOOKUP(F2191,Sheet2!$B$1:$E$19,2,FALSE)</f>
        <v>1073</v>
      </c>
      <c r="N2191">
        <f>VLOOKUP(F2191,Sheet2!$B$1:$E$19,3,FALSE)</f>
        <v>1108959</v>
      </c>
      <c r="O2191">
        <f>IF(G2191="Not available","",VLOOKUP(F2191,Sheet2!$B$1:$E$19,4,FALSE)+(G2191-1))</f>
        <v>3780021</v>
      </c>
    </row>
    <row r="2192" spans="1:15" s="1" customFormat="1" ht="15" customHeight="1" x14ac:dyDescent="0.25">
      <c r="A2192" s="19" t="s">
        <v>256</v>
      </c>
      <c r="B2192" s="18" t="s">
        <v>10</v>
      </c>
      <c r="C2192" s="5">
        <v>1823</v>
      </c>
      <c r="E2192" s="1" t="s">
        <v>2</v>
      </c>
      <c r="F2192" s="18">
        <v>2173</v>
      </c>
      <c r="G2192" s="18">
        <v>75</v>
      </c>
      <c r="H2192" s="5">
        <v>142</v>
      </c>
      <c r="I2192" s="1">
        <v>104</v>
      </c>
      <c r="J2192" s="1">
        <v>222</v>
      </c>
      <c r="L2192" t="str">
        <f t="shared" si="34"/>
        <v>http://www.badatelna.eu/reprodukce/?fondId=1073&amp;zaznamId=1108959&amp;reproId=3780068</v>
      </c>
      <c r="M2192">
        <f>VLOOKUP(F2192,Sheet2!$B$1:$E$19,2,FALSE)</f>
        <v>1073</v>
      </c>
      <c r="N2192">
        <f>VLOOKUP(F2192,Sheet2!$B$1:$E$19,3,FALSE)</f>
        <v>1108959</v>
      </c>
      <c r="O2192">
        <f>IF(G2192="Not available","",VLOOKUP(F2192,Sheet2!$B$1:$E$19,4,FALSE)+(G2192-1))</f>
        <v>3780068</v>
      </c>
    </row>
    <row r="2193" spans="1:15" s="1" customFormat="1" ht="15" customHeight="1" x14ac:dyDescent="0.25">
      <c r="A2193" s="18" t="s">
        <v>256</v>
      </c>
      <c r="B2193" s="18" t="s">
        <v>93</v>
      </c>
      <c r="C2193" s="5">
        <v>1798</v>
      </c>
      <c r="D2193" s="1" t="s">
        <v>4</v>
      </c>
      <c r="E2193" s="1" t="s">
        <v>2</v>
      </c>
      <c r="F2193" s="18">
        <v>2173</v>
      </c>
      <c r="G2193" s="18">
        <v>36</v>
      </c>
      <c r="H2193" s="5">
        <v>67</v>
      </c>
      <c r="I2193" s="1">
        <v>103</v>
      </c>
      <c r="J2193" s="1">
        <v>221</v>
      </c>
      <c r="L2193" t="str">
        <f t="shared" si="34"/>
        <v>http://www.badatelna.eu/reprodukce/?fondId=1073&amp;zaznamId=1108959&amp;reproId=3780029</v>
      </c>
      <c r="M2193">
        <f>VLOOKUP(F2193,Sheet2!$B$1:$E$19,2,FALSE)</f>
        <v>1073</v>
      </c>
      <c r="N2193">
        <f>VLOOKUP(F2193,Sheet2!$B$1:$E$19,3,FALSE)</f>
        <v>1108959</v>
      </c>
      <c r="O2193">
        <f>IF(G2193="Not available","",VLOOKUP(F2193,Sheet2!$B$1:$E$19,4,FALSE)+(G2193-1))</f>
        <v>3780029</v>
      </c>
    </row>
    <row r="2194" spans="1:15" s="1" customFormat="1" ht="15" customHeight="1" x14ac:dyDescent="0.25">
      <c r="A2194" s="18" t="s">
        <v>256</v>
      </c>
      <c r="B2194" s="18" t="s">
        <v>62</v>
      </c>
      <c r="C2194" s="5">
        <v>1789</v>
      </c>
      <c r="D2194" s="1" t="s">
        <v>180</v>
      </c>
      <c r="E2194" s="1" t="s">
        <v>2</v>
      </c>
      <c r="F2194" s="18">
        <v>2173</v>
      </c>
      <c r="G2194" s="18">
        <v>22</v>
      </c>
      <c r="H2194" s="5">
        <v>38</v>
      </c>
      <c r="I2194" s="1">
        <v>103</v>
      </c>
      <c r="J2194" s="12">
        <v>221</v>
      </c>
      <c r="L2194" t="str">
        <f t="shared" si="34"/>
        <v>http://www.badatelna.eu/reprodukce/?fondId=1073&amp;zaznamId=1108959&amp;reproId=3780015</v>
      </c>
      <c r="M2194">
        <f>VLOOKUP(F2194,Sheet2!$B$1:$E$19,2,FALSE)</f>
        <v>1073</v>
      </c>
      <c r="N2194">
        <f>VLOOKUP(F2194,Sheet2!$B$1:$E$19,3,FALSE)</f>
        <v>1108959</v>
      </c>
      <c r="O2194">
        <f>IF(G2194="Not available","",VLOOKUP(F2194,Sheet2!$B$1:$E$19,4,FALSE)+(G2194-1))</f>
        <v>3780015</v>
      </c>
    </row>
    <row r="2195" spans="1:15" s="1" customFormat="1" ht="15" customHeight="1" x14ac:dyDescent="0.25">
      <c r="A2195" s="19" t="s">
        <v>270</v>
      </c>
      <c r="B2195" s="18" t="s">
        <v>92</v>
      </c>
      <c r="C2195" s="5">
        <v>1790</v>
      </c>
      <c r="D2195" s="1" t="s">
        <v>34</v>
      </c>
      <c r="E2195" s="1" t="s">
        <v>2</v>
      </c>
      <c r="F2195" s="18">
        <v>2173</v>
      </c>
      <c r="G2195" s="18">
        <v>22</v>
      </c>
      <c r="H2195" s="5">
        <v>39</v>
      </c>
      <c r="I2195" s="1">
        <v>103</v>
      </c>
      <c r="J2195" s="12">
        <v>221</v>
      </c>
      <c r="L2195" t="str">
        <f t="shared" si="34"/>
        <v>http://www.badatelna.eu/reprodukce/?fondId=1073&amp;zaznamId=1108959&amp;reproId=3780015</v>
      </c>
      <c r="M2195">
        <f>VLOOKUP(F2195,Sheet2!$B$1:$E$19,2,FALSE)</f>
        <v>1073</v>
      </c>
      <c r="N2195">
        <f>VLOOKUP(F2195,Sheet2!$B$1:$E$19,3,FALSE)</f>
        <v>1108959</v>
      </c>
      <c r="O2195">
        <f>IF(G2195="Not available","",VLOOKUP(F2195,Sheet2!$B$1:$E$19,4,FALSE)+(G2195-1))</f>
        <v>3780015</v>
      </c>
    </row>
    <row r="2196" spans="1:15" s="1" customFormat="1" ht="15" customHeight="1" x14ac:dyDescent="0.25">
      <c r="A2196" s="18" t="s">
        <v>270</v>
      </c>
      <c r="B2196" s="18" t="s">
        <v>136</v>
      </c>
      <c r="C2196" s="5">
        <v>1809</v>
      </c>
      <c r="E2196" s="1" t="s">
        <v>2</v>
      </c>
      <c r="F2196" s="18">
        <v>2173</v>
      </c>
      <c r="G2196" s="18">
        <v>55</v>
      </c>
      <c r="H2196" s="5">
        <v>104</v>
      </c>
      <c r="I2196" s="1">
        <v>104</v>
      </c>
      <c r="J2196" s="1">
        <v>222</v>
      </c>
      <c r="L2196" t="str">
        <f t="shared" si="34"/>
        <v>http://www.badatelna.eu/reprodukce/?fondId=1073&amp;zaznamId=1108959&amp;reproId=3780048</v>
      </c>
      <c r="M2196">
        <f>VLOOKUP(F2196,Sheet2!$B$1:$E$19,2,FALSE)</f>
        <v>1073</v>
      </c>
      <c r="N2196">
        <f>VLOOKUP(F2196,Sheet2!$B$1:$E$19,3,FALSE)</f>
        <v>1108959</v>
      </c>
      <c r="O2196">
        <f>IF(G2196="Not available","",VLOOKUP(F2196,Sheet2!$B$1:$E$19,4,FALSE)+(G2196-1))</f>
        <v>3780048</v>
      </c>
    </row>
    <row r="2197" spans="1:15" s="1" customFormat="1" ht="15" customHeight="1" x14ac:dyDescent="0.25">
      <c r="A2197" s="18" t="s">
        <v>270</v>
      </c>
      <c r="B2197" s="18" t="s">
        <v>14</v>
      </c>
      <c r="C2197" s="5">
        <v>1801</v>
      </c>
      <c r="E2197" s="1" t="s">
        <v>2</v>
      </c>
      <c r="F2197" s="18">
        <v>2173</v>
      </c>
      <c r="G2197" s="18">
        <v>44</v>
      </c>
      <c r="H2197" s="5">
        <v>82</v>
      </c>
      <c r="I2197" s="1">
        <v>103</v>
      </c>
      <c r="J2197" s="1">
        <v>221</v>
      </c>
      <c r="L2197" t="str">
        <f t="shared" si="34"/>
        <v>http://www.badatelna.eu/reprodukce/?fondId=1073&amp;zaznamId=1108959&amp;reproId=3780037</v>
      </c>
      <c r="M2197">
        <f>VLOOKUP(F2197,Sheet2!$B$1:$E$19,2,FALSE)</f>
        <v>1073</v>
      </c>
      <c r="N2197">
        <f>VLOOKUP(F2197,Sheet2!$B$1:$E$19,3,FALSE)</f>
        <v>1108959</v>
      </c>
      <c r="O2197">
        <f>IF(G2197="Not available","",VLOOKUP(F2197,Sheet2!$B$1:$E$19,4,FALSE)+(G2197-1))</f>
        <v>3780037</v>
      </c>
    </row>
    <row r="2198" spans="1:15" s="1" customFormat="1" ht="15" customHeight="1" x14ac:dyDescent="0.25">
      <c r="A2198" s="18" t="s">
        <v>270</v>
      </c>
      <c r="B2198" s="18" t="s">
        <v>568</v>
      </c>
      <c r="C2198" s="5">
        <v>1834</v>
      </c>
      <c r="D2198" s="1" t="s">
        <v>21</v>
      </c>
      <c r="E2198" s="1" t="s">
        <v>2</v>
      </c>
      <c r="F2198" s="18">
        <v>2174</v>
      </c>
      <c r="G2198" s="18">
        <v>78</v>
      </c>
      <c r="H2198" s="6" t="s">
        <v>3144</v>
      </c>
      <c r="I2198" s="1">
        <v>189</v>
      </c>
      <c r="J2198" s="1">
        <v>220</v>
      </c>
      <c r="L2198" t="str">
        <f t="shared" si="34"/>
        <v>http://www.badatelna.eu/reprodukce/?fondId=1073&amp;zaznamId=1108960&amp;reproId=3780302</v>
      </c>
      <c r="M2198">
        <f>VLOOKUP(F2198,Sheet2!$B$1:$E$19,2,FALSE)</f>
        <v>1073</v>
      </c>
      <c r="N2198">
        <f>VLOOKUP(F2198,Sheet2!$B$1:$E$19,3,FALSE)</f>
        <v>1108960</v>
      </c>
      <c r="O2198">
        <f>IF(G2198="Not available","",VLOOKUP(F2198,Sheet2!$B$1:$E$19,4,FALSE)+(G2198-1))</f>
        <v>3780302</v>
      </c>
    </row>
    <row r="2199" spans="1:15" s="1" customFormat="1" ht="15" customHeight="1" x14ac:dyDescent="0.25">
      <c r="A2199" s="18" t="s">
        <v>270</v>
      </c>
      <c r="B2199" s="18" t="s">
        <v>122</v>
      </c>
      <c r="C2199" s="5">
        <v>1803</v>
      </c>
      <c r="E2199" s="1" t="s">
        <v>2</v>
      </c>
      <c r="F2199" s="18">
        <v>2173</v>
      </c>
      <c r="G2199" s="18">
        <v>47</v>
      </c>
      <c r="H2199" s="5">
        <v>89</v>
      </c>
      <c r="I2199" s="1">
        <v>104</v>
      </c>
      <c r="J2199" s="1">
        <v>222</v>
      </c>
      <c r="L2199" t="str">
        <f t="shared" si="34"/>
        <v>http://www.badatelna.eu/reprodukce/?fondId=1073&amp;zaznamId=1108959&amp;reproId=3780040</v>
      </c>
      <c r="M2199">
        <f>VLOOKUP(F2199,Sheet2!$B$1:$E$19,2,FALSE)</f>
        <v>1073</v>
      </c>
      <c r="N2199">
        <f>VLOOKUP(F2199,Sheet2!$B$1:$E$19,3,FALSE)</f>
        <v>1108959</v>
      </c>
      <c r="O2199">
        <f>IF(G2199="Not available","",VLOOKUP(F2199,Sheet2!$B$1:$E$19,4,FALSE)+(G2199-1))</f>
        <v>3780040</v>
      </c>
    </row>
    <row r="2200" spans="1:15" s="1" customFormat="1" ht="15" customHeight="1" x14ac:dyDescent="0.25">
      <c r="A2200" s="18" t="s">
        <v>270</v>
      </c>
      <c r="B2200" s="18" t="s">
        <v>276</v>
      </c>
      <c r="C2200" s="5">
        <v>1802</v>
      </c>
      <c r="E2200" s="1" t="s">
        <v>2</v>
      </c>
      <c r="F2200" s="18">
        <v>2173</v>
      </c>
      <c r="G2200" s="18">
        <v>45</v>
      </c>
      <c r="H2200" s="5">
        <v>84</v>
      </c>
      <c r="I2200" s="1">
        <v>103</v>
      </c>
      <c r="J2200" s="1">
        <v>221</v>
      </c>
      <c r="L2200" t="str">
        <f t="shared" si="34"/>
        <v>http://www.badatelna.eu/reprodukce/?fondId=1073&amp;zaznamId=1108959&amp;reproId=3780038</v>
      </c>
      <c r="M2200">
        <f>VLOOKUP(F2200,Sheet2!$B$1:$E$19,2,FALSE)</f>
        <v>1073</v>
      </c>
      <c r="N2200">
        <f>VLOOKUP(F2200,Sheet2!$B$1:$E$19,3,FALSE)</f>
        <v>1108959</v>
      </c>
      <c r="O2200">
        <f>IF(G2200="Not available","",VLOOKUP(F2200,Sheet2!$B$1:$E$19,4,FALSE)+(G2200-1))</f>
        <v>3780038</v>
      </c>
    </row>
    <row r="2201" spans="1:15" s="1" customFormat="1" ht="15" customHeight="1" x14ac:dyDescent="0.25">
      <c r="A2201" s="18" t="s">
        <v>270</v>
      </c>
      <c r="B2201" s="18" t="s">
        <v>65</v>
      </c>
      <c r="C2201" s="5">
        <v>1812</v>
      </c>
      <c r="E2201" s="1" t="s">
        <v>2</v>
      </c>
      <c r="F2201" s="18">
        <v>2173</v>
      </c>
      <c r="G2201" s="18">
        <v>59</v>
      </c>
      <c r="H2201" s="5">
        <v>112</v>
      </c>
      <c r="I2201" s="1">
        <v>104</v>
      </c>
      <c r="J2201" s="1">
        <v>222</v>
      </c>
      <c r="L2201" t="str">
        <f t="shared" si="34"/>
        <v>http://www.badatelna.eu/reprodukce/?fondId=1073&amp;zaznamId=1108959&amp;reproId=3780052</v>
      </c>
      <c r="M2201">
        <f>VLOOKUP(F2201,Sheet2!$B$1:$E$19,2,FALSE)</f>
        <v>1073</v>
      </c>
      <c r="N2201">
        <f>VLOOKUP(F2201,Sheet2!$B$1:$E$19,3,FALSE)</f>
        <v>1108959</v>
      </c>
      <c r="O2201">
        <f>IF(G2201="Not available","",VLOOKUP(F2201,Sheet2!$B$1:$E$19,4,FALSE)+(G2201-1))</f>
        <v>3780052</v>
      </c>
    </row>
    <row r="2202" spans="1:15" s="1" customFormat="1" ht="15" customHeight="1" x14ac:dyDescent="0.25">
      <c r="A2202" s="18" t="s">
        <v>270</v>
      </c>
      <c r="B2202" s="18" t="s">
        <v>280</v>
      </c>
      <c r="C2202" s="5">
        <v>1807</v>
      </c>
      <c r="E2202" s="1" t="s">
        <v>2</v>
      </c>
      <c r="F2202" s="18">
        <v>2173</v>
      </c>
      <c r="G2202" s="18">
        <v>52</v>
      </c>
      <c r="H2202" s="5">
        <v>99</v>
      </c>
      <c r="I2202" s="1">
        <v>104</v>
      </c>
      <c r="J2202" s="1">
        <v>222</v>
      </c>
      <c r="L2202" t="str">
        <f t="shared" si="34"/>
        <v>http://www.badatelna.eu/reprodukce/?fondId=1073&amp;zaznamId=1108959&amp;reproId=3780045</v>
      </c>
      <c r="M2202">
        <f>VLOOKUP(F2202,Sheet2!$B$1:$E$19,2,FALSE)</f>
        <v>1073</v>
      </c>
      <c r="N2202">
        <f>VLOOKUP(F2202,Sheet2!$B$1:$E$19,3,FALSE)</f>
        <v>1108959</v>
      </c>
      <c r="O2202">
        <f>IF(G2202="Not available","",VLOOKUP(F2202,Sheet2!$B$1:$E$19,4,FALSE)+(G2202-1))</f>
        <v>3780045</v>
      </c>
    </row>
    <row r="2203" spans="1:15" s="1" customFormat="1" ht="15" customHeight="1" x14ac:dyDescent="0.25">
      <c r="A2203" s="18" t="s">
        <v>270</v>
      </c>
      <c r="B2203" s="18" t="s">
        <v>689</v>
      </c>
      <c r="C2203" s="5">
        <v>1845</v>
      </c>
      <c r="D2203" s="1" t="s">
        <v>690</v>
      </c>
      <c r="E2203" s="1" t="s">
        <v>2</v>
      </c>
      <c r="F2203" s="18">
        <v>2174</v>
      </c>
      <c r="G2203" s="18">
        <v>157</v>
      </c>
      <c r="H2203" s="6" t="s">
        <v>3222</v>
      </c>
      <c r="I2203" s="1">
        <v>190</v>
      </c>
      <c r="J2203" s="1">
        <v>221</v>
      </c>
      <c r="L2203" t="str">
        <f t="shared" si="34"/>
        <v>http://www.badatelna.eu/reprodukce/?fondId=1073&amp;zaznamId=1108960&amp;reproId=3780381</v>
      </c>
      <c r="M2203">
        <f>VLOOKUP(F2203,Sheet2!$B$1:$E$19,2,FALSE)</f>
        <v>1073</v>
      </c>
      <c r="N2203">
        <f>VLOOKUP(F2203,Sheet2!$B$1:$E$19,3,FALSE)</f>
        <v>1108960</v>
      </c>
      <c r="O2203">
        <f>IF(G2203="Not available","",VLOOKUP(F2203,Sheet2!$B$1:$E$19,4,FALSE)+(G2203-1))</f>
        <v>3780381</v>
      </c>
    </row>
    <row r="2204" spans="1:15" s="1" customFormat="1" ht="15" customHeight="1" x14ac:dyDescent="0.25">
      <c r="A2204" s="18" t="s">
        <v>270</v>
      </c>
      <c r="B2204" s="18" t="s">
        <v>310</v>
      </c>
      <c r="C2204" s="5">
        <v>1833</v>
      </c>
      <c r="D2204" s="1" t="s">
        <v>122</v>
      </c>
      <c r="E2204" s="1" t="s">
        <v>2</v>
      </c>
      <c r="F2204" s="18">
        <v>2174</v>
      </c>
      <c r="G2204" s="18">
        <v>73</v>
      </c>
      <c r="H2204" s="6" t="s">
        <v>3138</v>
      </c>
      <c r="I2204" s="1">
        <v>189</v>
      </c>
      <c r="J2204" s="1">
        <v>220</v>
      </c>
      <c r="L2204" t="str">
        <f t="shared" si="34"/>
        <v>http://www.badatelna.eu/reprodukce/?fondId=1073&amp;zaznamId=1108960&amp;reproId=3780297</v>
      </c>
      <c r="M2204">
        <f>VLOOKUP(F2204,Sheet2!$B$1:$E$19,2,FALSE)</f>
        <v>1073</v>
      </c>
      <c r="N2204">
        <f>VLOOKUP(F2204,Sheet2!$B$1:$E$19,3,FALSE)</f>
        <v>1108960</v>
      </c>
      <c r="O2204">
        <f>IF(G2204="Not available","",VLOOKUP(F2204,Sheet2!$B$1:$E$19,4,FALSE)+(G2204-1))</f>
        <v>3780297</v>
      </c>
    </row>
    <row r="2205" spans="1:15" s="1" customFormat="1" ht="15" customHeight="1" x14ac:dyDescent="0.25">
      <c r="A2205" s="18" t="s">
        <v>270</v>
      </c>
      <c r="B2205" s="18" t="s">
        <v>310</v>
      </c>
      <c r="C2205" s="5">
        <v>1839</v>
      </c>
      <c r="D2205" s="1" t="s">
        <v>122</v>
      </c>
      <c r="E2205" s="1" t="s">
        <v>2</v>
      </c>
      <c r="F2205" s="18">
        <v>2174</v>
      </c>
      <c r="G2205" s="18">
        <v>107</v>
      </c>
      <c r="H2205" s="6" t="s">
        <v>3177</v>
      </c>
      <c r="I2205" s="1">
        <v>189</v>
      </c>
      <c r="J2205" s="1">
        <v>220</v>
      </c>
      <c r="L2205" t="str">
        <f t="shared" si="34"/>
        <v>http://www.badatelna.eu/reprodukce/?fondId=1073&amp;zaznamId=1108960&amp;reproId=3780331</v>
      </c>
      <c r="M2205">
        <f>VLOOKUP(F2205,Sheet2!$B$1:$E$19,2,FALSE)</f>
        <v>1073</v>
      </c>
      <c r="N2205">
        <f>VLOOKUP(F2205,Sheet2!$B$1:$E$19,3,FALSE)</f>
        <v>1108960</v>
      </c>
      <c r="O2205">
        <f>IF(G2205="Not available","",VLOOKUP(F2205,Sheet2!$B$1:$E$19,4,FALSE)+(G2205-1))</f>
        <v>3780331</v>
      </c>
    </row>
    <row r="2206" spans="1:15" s="1" customFormat="1" ht="15" customHeight="1" x14ac:dyDescent="0.25">
      <c r="A2206" s="18" t="s">
        <v>270</v>
      </c>
      <c r="B2206" s="18" t="s">
        <v>25</v>
      </c>
      <c r="C2206" s="5">
        <v>1857</v>
      </c>
      <c r="D2206" s="1" t="s">
        <v>40</v>
      </c>
      <c r="E2206" s="1" t="s">
        <v>2</v>
      </c>
      <c r="F2206" s="18">
        <v>2164</v>
      </c>
      <c r="G2206" s="18">
        <v>117</v>
      </c>
      <c r="H2206" s="5">
        <v>115</v>
      </c>
      <c r="I2206" s="1">
        <v>131</v>
      </c>
      <c r="J2206" s="3" t="s">
        <v>3271</v>
      </c>
      <c r="L2206" t="str">
        <f t="shared" si="34"/>
        <v>http://www.badatelna.eu/reprodukce/?fondId=1073&amp;zaznamId=1108951&amp;reproId=3778831</v>
      </c>
      <c r="M2206">
        <f>VLOOKUP(F2206,Sheet2!$B$1:$E$19,2,FALSE)</f>
        <v>1073</v>
      </c>
      <c r="N2206">
        <f>VLOOKUP(F2206,Sheet2!$B$1:$E$19,3,FALSE)</f>
        <v>1108951</v>
      </c>
      <c r="O2206">
        <f>IF(G2206="Not available","",VLOOKUP(F2206,Sheet2!$B$1:$E$19,4,FALSE)+(G2206-1))</f>
        <v>3778831</v>
      </c>
    </row>
    <row r="2207" spans="1:15" s="1" customFormat="1" ht="15" customHeight="1" x14ac:dyDescent="0.25">
      <c r="A2207" s="18" t="s">
        <v>270</v>
      </c>
      <c r="B2207" s="18" t="s">
        <v>115</v>
      </c>
      <c r="C2207" s="5">
        <v>1805</v>
      </c>
      <c r="E2207" s="1" t="s">
        <v>2</v>
      </c>
      <c r="F2207" s="18">
        <v>2173</v>
      </c>
      <c r="G2207" s="18">
        <v>49</v>
      </c>
      <c r="H2207" s="5">
        <v>93</v>
      </c>
      <c r="I2207" s="1">
        <v>104</v>
      </c>
      <c r="J2207" s="1">
        <v>222</v>
      </c>
      <c r="L2207" t="str">
        <f t="shared" si="34"/>
        <v>http://www.badatelna.eu/reprodukce/?fondId=1073&amp;zaznamId=1108959&amp;reproId=3780042</v>
      </c>
      <c r="M2207">
        <f>VLOOKUP(F2207,Sheet2!$B$1:$E$19,2,FALSE)</f>
        <v>1073</v>
      </c>
      <c r="N2207">
        <f>VLOOKUP(F2207,Sheet2!$B$1:$E$19,3,FALSE)</f>
        <v>1108959</v>
      </c>
      <c r="O2207">
        <f>IF(G2207="Not available","",VLOOKUP(F2207,Sheet2!$B$1:$E$19,4,FALSE)+(G2207-1))</f>
        <v>3780042</v>
      </c>
    </row>
    <row r="2208" spans="1:15" s="1" customFormat="1" ht="15" customHeight="1" x14ac:dyDescent="0.25">
      <c r="A2208" s="18" t="s">
        <v>270</v>
      </c>
      <c r="B2208" s="18" t="s">
        <v>536</v>
      </c>
      <c r="C2208" s="5">
        <v>1851</v>
      </c>
      <c r="D2208" s="1" t="s">
        <v>40</v>
      </c>
      <c r="E2208" s="1" t="s">
        <v>2</v>
      </c>
      <c r="F2208" s="18">
        <v>2164</v>
      </c>
      <c r="G2208" s="18">
        <v>71</v>
      </c>
      <c r="H2208" s="5">
        <v>69</v>
      </c>
      <c r="I2208" s="1">
        <v>131</v>
      </c>
      <c r="J2208" s="3" t="s">
        <v>3271</v>
      </c>
      <c r="L2208" t="str">
        <f t="shared" si="34"/>
        <v>http://www.badatelna.eu/reprodukce/?fondId=1073&amp;zaznamId=1108951&amp;reproId=3778785</v>
      </c>
      <c r="M2208">
        <f>VLOOKUP(F2208,Sheet2!$B$1:$E$19,2,FALSE)</f>
        <v>1073</v>
      </c>
      <c r="N2208">
        <f>VLOOKUP(F2208,Sheet2!$B$1:$E$19,3,FALSE)</f>
        <v>1108951</v>
      </c>
      <c r="O2208">
        <f>IF(G2208="Not available","",VLOOKUP(F2208,Sheet2!$B$1:$E$19,4,FALSE)+(G2208-1))</f>
        <v>3778785</v>
      </c>
    </row>
    <row r="2209" spans="1:15" s="1" customFormat="1" ht="15" customHeight="1" x14ac:dyDescent="0.25">
      <c r="A2209" s="18" t="s">
        <v>270</v>
      </c>
      <c r="B2209" s="18" t="s">
        <v>145</v>
      </c>
      <c r="C2209" s="5">
        <v>1849</v>
      </c>
      <c r="D2209" s="1" t="s">
        <v>690</v>
      </c>
      <c r="E2209" s="1" t="s">
        <v>2</v>
      </c>
      <c r="F2209" s="18">
        <v>2164</v>
      </c>
      <c r="G2209" s="18">
        <v>43</v>
      </c>
      <c r="H2209" s="5">
        <v>41</v>
      </c>
      <c r="I2209" s="1">
        <v>131</v>
      </c>
      <c r="J2209" s="3" t="s">
        <v>3271</v>
      </c>
      <c r="L2209" t="str">
        <f t="shared" si="34"/>
        <v>http://www.badatelna.eu/reprodukce/?fondId=1073&amp;zaznamId=1108951&amp;reproId=3778757</v>
      </c>
      <c r="M2209">
        <f>VLOOKUP(F2209,Sheet2!$B$1:$E$19,2,FALSE)</f>
        <v>1073</v>
      </c>
      <c r="N2209">
        <f>VLOOKUP(F2209,Sheet2!$B$1:$E$19,3,FALSE)</f>
        <v>1108951</v>
      </c>
      <c r="O2209">
        <f>IF(G2209="Not available","",VLOOKUP(F2209,Sheet2!$B$1:$E$19,4,FALSE)+(G2209-1))</f>
        <v>3778757</v>
      </c>
    </row>
    <row r="2210" spans="1:15" s="1" customFormat="1" ht="15" customHeight="1" x14ac:dyDescent="0.25">
      <c r="A2210" s="18" t="s">
        <v>270</v>
      </c>
      <c r="B2210" s="18" t="s">
        <v>229</v>
      </c>
      <c r="C2210" s="5">
        <v>1797</v>
      </c>
      <c r="D2210" s="1" t="s">
        <v>50</v>
      </c>
      <c r="E2210" s="1" t="s">
        <v>2</v>
      </c>
      <c r="F2210" s="18">
        <v>2173</v>
      </c>
      <c r="G2210" s="18">
        <v>36</v>
      </c>
      <c r="H2210" s="5">
        <v>66</v>
      </c>
      <c r="I2210" s="1">
        <v>103</v>
      </c>
      <c r="J2210" s="1">
        <v>221</v>
      </c>
      <c r="L2210" t="str">
        <f t="shared" si="34"/>
        <v>http://www.badatelna.eu/reprodukce/?fondId=1073&amp;zaznamId=1108959&amp;reproId=3780029</v>
      </c>
      <c r="M2210">
        <f>VLOOKUP(F2210,Sheet2!$B$1:$E$19,2,FALSE)</f>
        <v>1073</v>
      </c>
      <c r="N2210">
        <f>VLOOKUP(F2210,Sheet2!$B$1:$E$19,3,FALSE)</f>
        <v>1108959</v>
      </c>
      <c r="O2210">
        <f>IF(G2210="Not available","",VLOOKUP(F2210,Sheet2!$B$1:$E$19,4,FALSE)+(G2210-1))</f>
        <v>3780029</v>
      </c>
    </row>
    <row r="2211" spans="1:15" s="1" customFormat="1" ht="15" customHeight="1" x14ac:dyDescent="0.25">
      <c r="A2211" s="18" t="s">
        <v>270</v>
      </c>
      <c r="B2211" s="18" t="s">
        <v>677</v>
      </c>
      <c r="C2211" s="5">
        <v>1837</v>
      </c>
      <c r="D2211" s="1" t="s">
        <v>122</v>
      </c>
      <c r="E2211" s="1" t="s">
        <v>2</v>
      </c>
      <c r="F2211" s="18">
        <v>2174</v>
      </c>
      <c r="G2211" s="18">
        <v>91</v>
      </c>
      <c r="H2211" s="6" t="s">
        <v>3157</v>
      </c>
      <c r="I2211" s="1">
        <v>189</v>
      </c>
      <c r="J2211" s="1">
        <v>220</v>
      </c>
      <c r="L2211" t="str">
        <f t="shared" si="34"/>
        <v>http://www.badatelna.eu/reprodukce/?fondId=1073&amp;zaznamId=1108960&amp;reproId=3780315</v>
      </c>
      <c r="M2211">
        <f>VLOOKUP(F2211,Sheet2!$B$1:$E$19,2,FALSE)</f>
        <v>1073</v>
      </c>
      <c r="N2211">
        <f>VLOOKUP(F2211,Sheet2!$B$1:$E$19,3,FALSE)</f>
        <v>1108960</v>
      </c>
      <c r="O2211">
        <f>IF(G2211="Not available","",VLOOKUP(F2211,Sheet2!$B$1:$E$19,4,FALSE)+(G2211-1))</f>
        <v>3780315</v>
      </c>
    </row>
    <row r="2212" spans="1:15" s="1" customFormat="1" ht="15" customHeight="1" x14ac:dyDescent="0.25">
      <c r="A2212" s="18" t="s">
        <v>270</v>
      </c>
      <c r="B2212" s="25"/>
      <c r="C2212" s="6" t="s">
        <v>3336</v>
      </c>
      <c r="D2212" s="4" t="s">
        <v>3299</v>
      </c>
      <c r="E2212" s="1" t="s">
        <v>2</v>
      </c>
      <c r="F2212" s="18">
        <v>2173</v>
      </c>
      <c r="G2212" s="18">
        <v>82</v>
      </c>
      <c r="H2212" s="5">
        <v>156</v>
      </c>
      <c r="I2212" s="1">
        <v>104</v>
      </c>
      <c r="J2212" s="1">
        <v>223</v>
      </c>
      <c r="L2212" t="str">
        <f t="shared" si="34"/>
        <v>http://www.badatelna.eu/reprodukce/?fondId=1073&amp;zaznamId=1108959&amp;reproId=3780075</v>
      </c>
      <c r="M2212">
        <f>VLOOKUP(F2212,Sheet2!$B$1:$E$19,2,FALSE)</f>
        <v>1073</v>
      </c>
      <c r="N2212">
        <f>VLOOKUP(F2212,Sheet2!$B$1:$E$19,3,FALSE)</f>
        <v>1108959</v>
      </c>
      <c r="O2212">
        <f>IF(G2212="Not available","",VLOOKUP(F2212,Sheet2!$B$1:$E$19,4,FALSE)+(G2212-1))</f>
        <v>3780075</v>
      </c>
    </row>
    <row r="2213" spans="1:15" s="1" customFormat="1" ht="15" customHeight="1" x14ac:dyDescent="0.25">
      <c r="A2213" s="18" t="s">
        <v>262</v>
      </c>
      <c r="B2213" s="18" t="s">
        <v>274</v>
      </c>
      <c r="C2213" s="5">
        <v>1801</v>
      </c>
      <c r="E2213" s="1" t="s">
        <v>2</v>
      </c>
      <c r="F2213" s="18">
        <v>2173</v>
      </c>
      <c r="G2213" s="18">
        <v>41</v>
      </c>
      <c r="H2213" s="5">
        <v>77</v>
      </c>
      <c r="I2213" s="1">
        <v>103</v>
      </c>
      <c r="J2213" s="1">
        <v>221</v>
      </c>
      <c r="L2213" t="str">
        <f t="shared" si="34"/>
        <v>http://www.badatelna.eu/reprodukce/?fondId=1073&amp;zaznamId=1108959&amp;reproId=3780034</v>
      </c>
      <c r="M2213">
        <f>VLOOKUP(F2213,Sheet2!$B$1:$E$19,2,FALSE)</f>
        <v>1073</v>
      </c>
      <c r="N2213">
        <f>VLOOKUP(F2213,Sheet2!$B$1:$E$19,3,FALSE)</f>
        <v>1108959</v>
      </c>
      <c r="O2213">
        <f>IF(G2213="Not available","",VLOOKUP(F2213,Sheet2!$B$1:$E$19,4,FALSE)+(G2213-1))</f>
        <v>3780034</v>
      </c>
    </row>
    <row r="2214" spans="1:15" s="1" customFormat="1" ht="15" customHeight="1" x14ac:dyDescent="0.25">
      <c r="A2214" s="19" t="s">
        <v>262</v>
      </c>
      <c r="B2214" s="18" t="s">
        <v>12</v>
      </c>
      <c r="C2214" s="5">
        <v>1821</v>
      </c>
      <c r="E2214" s="1" t="s">
        <v>2</v>
      </c>
      <c r="F2214" s="18">
        <v>2173</v>
      </c>
      <c r="G2214" s="18">
        <v>71</v>
      </c>
      <c r="H2214" s="5">
        <v>135</v>
      </c>
      <c r="I2214" s="1">
        <v>104</v>
      </c>
      <c r="J2214" s="1">
        <v>222</v>
      </c>
      <c r="L2214" t="str">
        <f t="shared" si="34"/>
        <v>http://www.badatelna.eu/reprodukce/?fondId=1073&amp;zaznamId=1108959&amp;reproId=3780064</v>
      </c>
      <c r="M2214">
        <f>VLOOKUP(F2214,Sheet2!$B$1:$E$19,2,FALSE)</f>
        <v>1073</v>
      </c>
      <c r="N2214">
        <f>VLOOKUP(F2214,Sheet2!$B$1:$E$19,3,FALSE)</f>
        <v>1108959</v>
      </c>
      <c r="O2214">
        <f>IF(G2214="Not available","",VLOOKUP(F2214,Sheet2!$B$1:$E$19,4,FALSE)+(G2214-1))</f>
        <v>3780064</v>
      </c>
    </row>
    <row r="2215" spans="1:15" s="1" customFormat="1" ht="15" customHeight="1" x14ac:dyDescent="0.25">
      <c r="A2215" s="18" t="s">
        <v>262</v>
      </c>
      <c r="B2215" s="18" t="s">
        <v>229</v>
      </c>
      <c r="C2215" s="5">
        <v>1792</v>
      </c>
      <c r="D2215" s="1" t="s">
        <v>34</v>
      </c>
      <c r="E2215" s="1" t="s">
        <v>2</v>
      </c>
      <c r="F2215" s="18">
        <v>2173</v>
      </c>
      <c r="G2215" s="18">
        <v>26</v>
      </c>
      <c r="H2215" s="5">
        <v>46</v>
      </c>
      <c r="I2215" s="1">
        <v>103</v>
      </c>
      <c r="J2215" s="1">
        <v>221</v>
      </c>
      <c r="L2215" t="str">
        <f t="shared" si="34"/>
        <v>http://www.badatelna.eu/reprodukce/?fondId=1073&amp;zaznamId=1108959&amp;reproId=3780019</v>
      </c>
      <c r="M2215">
        <f>VLOOKUP(F2215,Sheet2!$B$1:$E$19,2,FALSE)</f>
        <v>1073</v>
      </c>
      <c r="N2215">
        <f>VLOOKUP(F2215,Sheet2!$B$1:$E$19,3,FALSE)</f>
        <v>1108959</v>
      </c>
      <c r="O2215">
        <f>IF(G2215="Not available","",VLOOKUP(F2215,Sheet2!$B$1:$E$19,4,FALSE)+(G2215-1))</f>
        <v>3780019</v>
      </c>
    </row>
    <row r="2216" spans="1:15" s="1" customFormat="1" ht="15" customHeight="1" x14ac:dyDescent="0.25">
      <c r="A2216" s="18" t="s">
        <v>275</v>
      </c>
      <c r="B2216" s="18" t="s">
        <v>21</v>
      </c>
      <c r="C2216" s="5">
        <v>1802</v>
      </c>
      <c r="E2216" s="1" t="s">
        <v>2</v>
      </c>
      <c r="F2216" s="18">
        <v>2173</v>
      </c>
      <c r="G2216" s="18">
        <v>45</v>
      </c>
      <c r="H2216" s="5">
        <v>84</v>
      </c>
      <c r="I2216" s="1">
        <v>103</v>
      </c>
      <c r="J2216" s="1">
        <v>221</v>
      </c>
      <c r="L2216" t="str">
        <f t="shared" si="34"/>
        <v>http://www.badatelna.eu/reprodukce/?fondId=1073&amp;zaznamId=1108959&amp;reproId=3780038</v>
      </c>
      <c r="M2216">
        <f>VLOOKUP(F2216,Sheet2!$B$1:$E$19,2,FALSE)</f>
        <v>1073</v>
      </c>
      <c r="N2216">
        <f>VLOOKUP(F2216,Sheet2!$B$1:$E$19,3,FALSE)</f>
        <v>1108959</v>
      </c>
      <c r="O2216">
        <f>IF(G2216="Not available","",VLOOKUP(F2216,Sheet2!$B$1:$E$19,4,FALSE)+(G2216-1))</f>
        <v>3780038</v>
      </c>
    </row>
    <row r="2217" spans="1:15" s="1" customFormat="1" ht="15" customHeight="1" x14ac:dyDescent="0.25">
      <c r="A2217" s="18" t="s">
        <v>254</v>
      </c>
      <c r="B2217" s="18" t="s">
        <v>547</v>
      </c>
      <c r="C2217" s="5">
        <v>1836</v>
      </c>
      <c r="D2217" s="1" t="s">
        <v>21</v>
      </c>
      <c r="E2217" s="1" t="s">
        <v>2</v>
      </c>
      <c r="F2217" s="18">
        <v>2174</v>
      </c>
      <c r="G2217" s="18">
        <v>87</v>
      </c>
      <c r="H2217" s="6" t="s">
        <v>3151</v>
      </c>
      <c r="I2217" s="1">
        <v>189</v>
      </c>
      <c r="J2217" s="1">
        <v>220</v>
      </c>
      <c r="L2217" t="str">
        <f t="shared" si="34"/>
        <v>http://www.badatelna.eu/reprodukce/?fondId=1073&amp;zaznamId=1108960&amp;reproId=3780311</v>
      </c>
      <c r="M2217">
        <f>VLOOKUP(F2217,Sheet2!$B$1:$E$19,2,FALSE)</f>
        <v>1073</v>
      </c>
      <c r="N2217">
        <f>VLOOKUP(F2217,Sheet2!$B$1:$E$19,3,FALSE)</f>
        <v>1108960</v>
      </c>
      <c r="O2217">
        <f>IF(G2217="Not available","",VLOOKUP(F2217,Sheet2!$B$1:$E$19,4,FALSE)+(G2217-1))</f>
        <v>3780311</v>
      </c>
    </row>
    <row r="2218" spans="1:15" s="1" customFormat="1" ht="15" customHeight="1" x14ac:dyDescent="0.25">
      <c r="A2218" s="18" t="s">
        <v>254</v>
      </c>
      <c r="B2218" s="18" t="s">
        <v>87</v>
      </c>
      <c r="C2218" s="5">
        <v>1805</v>
      </c>
      <c r="E2218" s="1" t="s">
        <v>2</v>
      </c>
      <c r="F2218" s="18">
        <v>2173</v>
      </c>
      <c r="G2218" s="18">
        <v>49</v>
      </c>
      <c r="H2218" s="5">
        <v>93</v>
      </c>
      <c r="I2218" s="1">
        <v>104</v>
      </c>
      <c r="J2218" s="1">
        <v>222</v>
      </c>
      <c r="L2218" t="str">
        <f t="shared" si="34"/>
        <v>http://www.badatelna.eu/reprodukce/?fondId=1073&amp;zaznamId=1108959&amp;reproId=3780042</v>
      </c>
      <c r="M2218">
        <f>VLOOKUP(F2218,Sheet2!$B$1:$E$19,2,FALSE)</f>
        <v>1073</v>
      </c>
      <c r="N2218">
        <f>VLOOKUP(F2218,Sheet2!$B$1:$E$19,3,FALSE)</f>
        <v>1108959</v>
      </c>
      <c r="O2218">
        <f>IF(G2218="Not available","",VLOOKUP(F2218,Sheet2!$B$1:$E$19,4,FALSE)+(G2218-1))</f>
        <v>3780042</v>
      </c>
    </row>
    <row r="2219" spans="1:15" s="1" customFormat="1" ht="15" customHeight="1" x14ac:dyDescent="0.25">
      <c r="A2219" s="18" t="s">
        <v>254</v>
      </c>
      <c r="B2219" s="18" t="s">
        <v>65</v>
      </c>
      <c r="C2219" s="5">
        <v>1823</v>
      </c>
      <c r="E2219" s="1" t="s">
        <v>2</v>
      </c>
      <c r="F2219" s="18">
        <v>2173</v>
      </c>
      <c r="G2219" s="18">
        <v>74</v>
      </c>
      <c r="H2219" s="5">
        <v>140</v>
      </c>
      <c r="I2219" s="1">
        <v>104</v>
      </c>
      <c r="J2219" s="1">
        <v>222</v>
      </c>
      <c r="L2219" t="str">
        <f t="shared" si="34"/>
        <v>http://www.badatelna.eu/reprodukce/?fondId=1073&amp;zaznamId=1108959&amp;reproId=3780067</v>
      </c>
      <c r="M2219">
        <f>VLOOKUP(F2219,Sheet2!$B$1:$E$19,2,FALSE)</f>
        <v>1073</v>
      </c>
      <c r="N2219">
        <f>VLOOKUP(F2219,Sheet2!$B$1:$E$19,3,FALSE)</f>
        <v>1108959</v>
      </c>
      <c r="O2219">
        <f>IF(G2219="Not available","",VLOOKUP(F2219,Sheet2!$B$1:$E$19,4,FALSE)+(G2219-1))</f>
        <v>3780067</v>
      </c>
    </row>
    <row r="2220" spans="1:15" s="1" customFormat="1" ht="15" customHeight="1" x14ac:dyDescent="0.25">
      <c r="A2220" s="18" t="s">
        <v>254</v>
      </c>
      <c r="B2220" s="18" t="s">
        <v>4</v>
      </c>
      <c r="C2220" s="5">
        <v>1819</v>
      </c>
      <c r="E2220" s="1" t="s">
        <v>2</v>
      </c>
      <c r="F2220" s="18">
        <v>2173</v>
      </c>
      <c r="G2220" s="18">
        <v>69</v>
      </c>
      <c r="H2220" s="5">
        <v>131</v>
      </c>
      <c r="I2220" s="1">
        <v>104</v>
      </c>
      <c r="J2220" s="1">
        <v>222</v>
      </c>
      <c r="L2220" t="str">
        <f t="shared" si="34"/>
        <v>http://www.badatelna.eu/reprodukce/?fondId=1073&amp;zaznamId=1108959&amp;reproId=3780062</v>
      </c>
      <c r="M2220">
        <f>VLOOKUP(F2220,Sheet2!$B$1:$E$19,2,FALSE)</f>
        <v>1073</v>
      </c>
      <c r="N2220">
        <f>VLOOKUP(F2220,Sheet2!$B$1:$E$19,3,FALSE)</f>
        <v>1108959</v>
      </c>
      <c r="O2220">
        <f>IF(G2220="Not available","",VLOOKUP(F2220,Sheet2!$B$1:$E$19,4,FALSE)+(G2220-1))</f>
        <v>3780062</v>
      </c>
    </row>
    <row r="2221" spans="1:15" s="1" customFormat="1" ht="15" customHeight="1" x14ac:dyDescent="0.25">
      <c r="A2221" s="18" t="s">
        <v>254</v>
      </c>
      <c r="B2221" s="18" t="s">
        <v>624</v>
      </c>
      <c r="C2221" s="5">
        <v>1839</v>
      </c>
      <c r="D2221" s="1" t="s">
        <v>21</v>
      </c>
      <c r="E2221" s="1" t="s">
        <v>2</v>
      </c>
      <c r="F2221" s="18">
        <v>2174</v>
      </c>
      <c r="G2221" s="18">
        <v>103</v>
      </c>
      <c r="H2221" s="6" t="s">
        <v>3172</v>
      </c>
      <c r="I2221" s="1">
        <v>189</v>
      </c>
      <c r="J2221" s="1">
        <v>220</v>
      </c>
      <c r="L2221" t="str">
        <f t="shared" si="34"/>
        <v>http://www.badatelna.eu/reprodukce/?fondId=1073&amp;zaznamId=1108960&amp;reproId=3780327</v>
      </c>
      <c r="M2221">
        <f>VLOOKUP(F2221,Sheet2!$B$1:$E$19,2,FALSE)</f>
        <v>1073</v>
      </c>
      <c r="N2221">
        <f>VLOOKUP(F2221,Sheet2!$B$1:$E$19,3,FALSE)</f>
        <v>1108960</v>
      </c>
      <c r="O2221">
        <f>IF(G2221="Not available","",VLOOKUP(F2221,Sheet2!$B$1:$E$19,4,FALSE)+(G2221-1))</f>
        <v>3780327</v>
      </c>
    </row>
    <row r="2222" spans="1:15" s="1" customFormat="1" ht="15" customHeight="1" x14ac:dyDescent="0.25">
      <c r="A2222" s="18" t="s">
        <v>254</v>
      </c>
      <c r="B2222" s="18" t="s">
        <v>19</v>
      </c>
      <c r="C2222" s="5">
        <v>1802</v>
      </c>
      <c r="E2222" s="1" t="s">
        <v>2</v>
      </c>
      <c r="F2222" s="18">
        <v>2173</v>
      </c>
      <c r="G2222" s="18">
        <v>45</v>
      </c>
      <c r="H2222" s="5">
        <v>84</v>
      </c>
      <c r="I2222" s="1">
        <v>103</v>
      </c>
      <c r="J2222" s="1">
        <v>221</v>
      </c>
      <c r="L2222" t="str">
        <f t="shared" si="34"/>
        <v>http://www.badatelna.eu/reprodukce/?fondId=1073&amp;zaznamId=1108959&amp;reproId=3780038</v>
      </c>
      <c r="M2222">
        <f>VLOOKUP(F2222,Sheet2!$B$1:$E$19,2,FALSE)</f>
        <v>1073</v>
      </c>
      <c r="N2222">
        <f>VLOOKUP(F2222,Sheet2!$B$1:$E$19,3,FALSE)</f>
        <v>1108959</v>
      </c>
      <c r="O2222">
        <f>IF(G2222="Not available","",VLOOKUP(F2222,Sheet2!$B$1:$E$19,4,FALSE)+(G2222-1))</f>
        <v>3780038</v>
      </c>
    </row>
    <row r="2223" spans="1:15" s="1" customFormat="1" ht="15" customHeight="1" x14ac:dyDescent="0.25">
      <c r="A2223" s="18" t="s">
        <v>254</v>
      </c>
      <c r="B2223" s="18" t="s">
        <v>476</v>
      </c>
      <c r="C2223" s="5">
        <v>1837</v>
      </c>
      <c r="D2223" s="1" t="s">
        <v>21</v>
      </c>
      <c r="E2223" s="1" t="s">
        <v>2</v>
      </c>
      <c r="F2223" s="18">
        <v>2174</v>
      </c>
      <c r="G2223" s="18">
        <v>96</v>
      </c>
      <c r="H2223" s="6" t="s">
        <v>3164</v>
      </c>
      <c r="I2223" s="1">
        <v>189</v>
      </c>
      <c r="J2223" s="1">
        <v>220</v>
      </c>
      <c r="L2223" t="str">
        <f t="shared" si="34"/>
        <v>http://www.badatelna.eu/reprodukce/?fondId=1073&amp;zaznamId=1108960&amp;reproId=3780320</v>
      </c>
      <c r="M2223">
        <f>VLOOKUP(F2223,Sheet2!$B$1:$E$19,2,FALSE)</f>
        <v>1073</v>
      </c>
      <c r="N2223">
        <f>VLOOKUP(F2223,Sheet2!$B$1:$E$19,3,FALSE)</f>
        <v>1108960</v>
      </c>
      <c r="O2223">
        <f>IF(G2223="Not available","",VLOOKUP(F2223,Sheet2!$B$1:$E$19,4,FALSE)+(G2223-1))</f>
        <v>3780320</v>
      </c>
    </row>
    <row r="2224" spans="1:15" s="1" customFormat="1" ht="15" customHeight="1" x14ac:dyDescent="0.25">
      <c r="A2224" s="18" t="s">
        <v>254</v>
      </c>
      <c r="B2224" s="18" t="s">
        <v>476</v>
      </c>
      <c r="C2224" s="5">
        <v>1840</v>
      </c>
      <c r="D2224" s="1" t="s">
        <v>21</v>
      </c>
      <c r="E2224" s="1" t="s">
        <v>2</v>
      </c>
      <c r="F2224" s="18">
        <v>2174</v>
      </c>
      <c r="G2224" s="18">
        <v>112</v>
      </c>
      <c r="H2224" s="6" t="s">
        <v>3182</v>
      </c>
      <c r="I2224" s="1">
        <v>189</v>
      </c>
      <c r="J2224" s="1">
        <v>220</v>
      </c>
      <c r="L2224" t="str">
        <f t="shared" si="34"/>
        <v>http://www.badatelna.eu/reprodukce/?fondId=1073&amp;zaznamId=1108960&amp;reproId=3780336</v>
      </c>
      <c r="M2224">
        <f>VLOOKUP(F2224,Sheet2!$B$1:$E$19,2,FALSE)</f>
        <v>1073</v>
      </c>
      <c r="N2224">
        <f>VLOOKUP(F2224,Sheet2!$B$1:$E$19,3,FALSE)</f>
        <v>1108960</v>
      </c>
      <c r="O2224">
        <f>IF(G2224="Not available","",VLOOKUP(F2224,Sheet2!$B$1:$E$19,4,FALSE)+(G2224-1))</f>
        <v>3780336</v>
      </c>
    </row>
    <row r="2225" spans="1:15" s="1" customFormat="1" ht="15" customHeight="1" x14ac:dyDescent="0.25">
      <c r="A2225" s="18" t="s">
        <v>254</v>
      </c>
      <c r="B2225" s="18" t="s">
        <v>58</v>
      </c>
      <c r="C2225" s="5">
        <v>1785</v>
      </c>
      <c r="D2225" s="1" t="s">
        <v>34</v>
      </c>
      <c r="E2225" s="1" t="s">
        <v>2</v>
      </c>
      <c r="F2225" s="18">
        <v>2173</v>
      </c>
      <c r="G2225" s="18">
        <v>6</v>
      </c>
      <c r="H2225" s="5">
        <v>6</v>
      </c>
      <c r="I2225" s="1">
        <v>103</v>
      </c>
      <c r="J2225" s="1" t="s">
        <v>284</v>
      </c>
      <c r="L2225" t="str">
        <f t="shared" si="34"/>
        <v>http://www.badatelna.eu/reprodukce/?fondId=1073&amp;zaznamId=1108959&amp;reproId=3779999</v>
      </c>
      <c r="M2225">
        <f>VLOOKUP(F2225,Sheet2!$B$1:$E$19,2,FALSE)</f>
        <v>1073</v>
      </c>
      <c r="N2225">
        <f>VLOOKUP(F2225,Sheet2!$B$1:$E$19,3,FALSE)</f>
        <v>1108959</v>
      </c>
      <c r="O2225">
        <f>IF(G2225="Not available","",VLOOKUP(F2225,Sheet2!$B$1:$E$19,4,FALSE)+(G2225-1))</f>
        <v>3779999</v>
      </c>
    </row>
    <row r="2226" spans="1:15" s="1" customFormat="1" ht="15" customHeight="1" x14ac:dyDescent="0.25">
      <c r="A2226" s="18" t="s">
        <v>254</v>
      </c>
      <c r="B2226" s="18" t="s">
        <v>193</v>
      </c>
      <c r="C2226" s="5">
        <v>1825</v>
      </c>
      <c r="E2226" s="1" t="s">
        <v>2</v>
      </c>
      <c r="F2226" s="18">
        <v>2173</v>
      </c>
      <c r="G2226" s="18">
        <v>77</v>
      </c>
      <c r="H2226" s="5">
        <v>146</v>
      </c>
      <c r="I2226" s="1">
        <v>104</v>
      </c>
      <c r="J2226" s="1">
        <v>222</v>
      </c>
      <c r="L2226" t="str">
        <f t="shared" si="34"/>
        <v>http://www.badatelna.eu/reprodukce/?fondId=1073&amp;zaznamId=1108959&amp;reproId=3780070</v>
      </c>
      <c r="M2226">
        <f>VLOOKUP(F2226,Sheet2!$B$1:$E$19,2,FALSE)</f>
        <v>1073</v>
      </c>
      <c r="N2226">
        <f>VLOOKUP(F2226,Sheet2!$B$1:$E$19,3,FALSE)</f>
        <v>1108959</v>
      </c>
      <c r="O2226">
        <f>IF(G2226="Not available","",VLOOKUP(F2226,Sheet2!$B$1:$E$19,4,FALSE)+(G2226-1))</f>
        <v>3780070</v>
      </c>
    </row>
    <row r="2227" spans="1:15" s="1" customFormat="1" ht="15" customHeight="1" x14ac:dyDescent="0.25">
      <c r="A2227" s="18" t="s">
        <v>685</v>
      </c>
      <c r="B2227" s="18" t="s">
        <v>50</v>
      </c>
      <c r="C2227" s="5">
        <v>1846</v>
      </c>
      <c r="D2227" s="1" t="s">
        <v>21</v>
      </c>
      <c r="E2227" s="1" t="s">
        <v>2</v>
      </c>
      <c r="F2227" s="18">
        <v>2174</v>
      </c>
      <c r="G2227" s="18">
        <v>162</v>
      </c>
      <c r="H2227" s="6" t="s">
        <v>3232</v>
      </c>
      <c r="I2227" s="1">
        <v>190</v>
      </c>
      <c r="J2227" s="1">
        <v>221</v>
      </c>
      <c r="L2227" t="str">
        <f t="shared" si="34"/>
        <v>http://www.badatelna.eu/reprodukce/?fondId=1073&amp;zaznamId=1108960&amp;reproId=3780386</v>
      </c>
      <c r="M2227">
        <f>VLOOKUP(F2227,Sheet2!$B$1:$E$19,2,FALSE)</f>
        <v>1073</v>
      </c>
      <c r="N2227">
        <f>VLOOKUP(F2227,Sheet2!$B$1:$E$19,3,FALSE)</f>
        <v>1108960</v>
      </c>
      <c r="O2227">
        <f>IF(G2227="Not available","",VLOOKUP(F2227,Sheet2!$B$1:$E$19,4,FALSE)+(G2227-1))</f>
        <v>3780386</v>
      </c>
    </row>
    <row r="2228" spans="1:15" s="1" customFormat="1" ht="15" customHeight="1" x14ac:dyDescent="0.25">
      <c r="A2228" s="18" t="s">
        <v>685</v>
      </c>
      <c r="B2228" s="18" t="s">
        <v>482</v>
      </c>
      <c r="C2228" s="5">
        <v>1844</v>
      </c>
      <c r="D2228" s="1" t="s">
        <v>21</v>
      </c>
      <c r="E2228" s="1" t="s">
        <v>2</v>
      </c>
      <c r="F2228" s="18">
        <v>2174</v>
      </c>
      <c r="G2228" s="18">
        <v>150</v>
      </c>
      <c r="H2228" s="6" t="s">
        <v>3217</v>
      </c>
      <c r="I2228" s="1">
        <v>190</v>
      </c>
      <c r="J2228" s="1">
        <v>221</v>
      </c>
      <c r="L2228" t="str">
        <f t="shared" si="34"/>
        <v>http://www.badatelna.eu/reprodukce/?fondId=1073&amp;zaznamId=1108960&amp;reproId=3780374</v>
      </c>
      <c r="M2228">
        <f>VLOOKUP(F2228,Sheet2!$B$1:$E$19,2,FALSE)</f>
        <v>1073</v>
      </c>
      <c r="N2228">
        <f>VLOOKUP(F2228,Sheet2!$B$1:$E$19,3,FALSE)</f>
        <v>1108960</v>
      </c>
      <c r="O2228">
        <f>IF(G2228="Not available","",VLOOKUP(F2228,Sheet2!$B$1:$E$19,4,FALSE)+(G2228-1))</f>
        <v>3780374</v>
      </c>
    </row>
    <row r="2229" spans="1:15" s="1" customFormat="1" ht="15" customHeight="1" x14ac:dyDescent="0.25">
      <c r="A2229" s="18" t="s">
        <v>260</v>
      </c>
      <c r="B2229" s="18" t="s">
        <v>50</v>
      </c>
      <c r="C2229" s="5">
        <v>1818</v>
      </c>
      <c r="E2229" s="1" t="s">
        <v>2</v>
      </c>
      <c r="F2229" s="18">
        <v>2173</v>
      </c>
      <c r="G2229" s="18">
        <v>68</v>
      </c>
      <c r="H2229" s="5">
        <v>128</v>
      </c>
      <c r="I2229" s="1">
        <v>104</v>
      </c>
      <c r="J2229" s="1">
        <v>222</v>
      </c>
      <c r="L2229" t="str">
        <f t="shared" si="34"/>
        <v>http://www.badatelna.eu/reprodukce/?fondId=1073&amp;zaznamId=1108959&amp;reproId=3780061</v>
      </c>
      <c r="M2229">
        <f>VLOOKUP(F2229,Sheet2!$B$1:$E$19,2,FALSE)</f>
        <v>1073</v>
      </c>
      <c r="N2229">
        <f>VLOOKUP(F2229,Sheet2!$B$1:$E$19,3,FALSE)</f>
        <v>1108959</v>
      </c>
      <c r="O2229">
        <f>IF(G2229="Not available","",VLOOKUP(F2229,Sheet2!$B$1:$E$19,4,FALSE)+(G2229-1))</f>
        <v>3780061</v>
      </c>
    </row>
    <row r="2230" spans="1:15" s="1" customFormat="1" ht="15" customHeight="1" x14ac:dyDescent="0.25">
      <c r="A2230" s="18" t="s">
        <v>260</v>
      </c>
      <c r="B2230" s="18" t="s">
        <v>477</v>
      </c>
      <c r="C2230" s="5">
        <v>1855</v>
      </c>
      <c r="D2230" s="1" t="s">
        <v>495</v>
      </c>
      <c r="E2230" s="1" t="s">
        <v>2</v>
      </c>
      <c r="F2230" s="18">
        <v>2164</v>
      </c>
      <c r="G2230" s="18">
        <v>102</v>
      </c>
      <c r="H2230" s="5">
        <v>100</v>
      </c>
      <c r="I2230" s="1">
        <v>131</v>
      </c>
      <c r="J2230" s="3" t="s">
        <v>3271</v>
      </c>
      <c r="L2230" t="str">
        <f t="shared" si="34"/>
        <v>http://www.badatelna.eu/reprodukce/?fondId=1073&amp;zaznamId=1108951&amp;reproId=3778816</v>
      </c>
      <c r="M2230">
        <f>VLOOKUP(F2230,Sheet2!$B$1:$E$19,2,FALSE)</f>
        <v>1073</v>
      </c>
      <c r="N2230">
        <f>VLOOKUP(F2230,Sheet2!$B$1:$E$19,3,FALSE)</f>
        <v>1108951</v>
      </c>
      <c r="O2230">
        <f>IF(G2230="Not available","",VLOOKUP(F2230,Sheet2!$B$1:$E$19,4,FALSE)+(G2230-1))</f>
        <v>3778816</v>
      </c>
    </row>
    <row r="2231" spans="1:15" s="1" customFormat="1" ht="15" customHeight="1" x14ac:dyDescent="0.25">
      <c r="A2231" s="18" t="s">
        <v>260</v>
      </c>
      <c r="B2231" s="18" t="s">
        <v>477</v>
      </c>
      <c r="C2231" s="5">
        <v>1855</v>
      </c>
      <c r="D2231" s="1" t="s">
        <v>21</v>
      </c>
      <c r="E2231" s="1" t="s">
        <v>2</v>
      </c>
      <c r="F2231" s="18">
        <v>2164</v>
      </c>
      <c r="G2231" s="18">
        <v>103</v>
      </c>
      <c r="H2231" s="5">
        <v>101</v>
      </c>
      <c r="I2231" s="1">
        <v>131</v>
      </c>
      <c r="J2231" s="3" t="s">
        <v>3271</v>
      </c>
      <c r="L2231" t="str">
        <f t="shared" si="34"/>
        <v>http://www.badatelna.eu/reprodukce/?fondId=1073&amp;zaznamId=1108951&amp;reproId=3778817</v>
      </c>
      <c r="M2231">
        <f>VLOOKUP(F2231,Sheet2!$B$1:$E$19,2,FALSE)</f>
        <v>1073</v>
      </c>
      <c r="N2231">
        <f>VLOOKUP(F2231,Sheet2!$B$1:$E$19,3,FALSE)</f>
        <v>1108951</v>
      </c>
      <c r="O2231">
        <f>IF(G2231="Not available","",VLOOKUP(F2231,Sheet2!$B$1:$E$19,4,FALSE)+(G2231-1))</f>
        <v>3778817</v>
      </c>
    </row>
    <row r="2232" spans="1:15" s="1" customFormat="1" ht="15" customHeight="1" x14ac:dyDescent="0.25">
      <c r="A2232" s="18" t="s">
        <v>260</v>
      </c>
      <c r="B2232" s="18" t="s">
        <v>2437</v>
      </c>
      <c r="C2232" s="10" t="s">
        <v>2079</v>
      </c>
      <c r="D2232" s="3" t="s">
        <v>2431</v>
      </c>
      <c r="E2232" s="4" t="s">
        <v>2</v>
      </c>
      <c r="F2232" s="18">
        <v>2176</v>
      </c>
      <c r="G2232" s="18" t="s">
        <v>3271</v>
      </c>
      <c r="H2232" s="10" t="s">
        <v>2016</v>
      </c>
      <c r="I2232" s="3">
        <v>24</v>
      </c>
      <c r="J2232" s="3" t="s">
        <v>3271</v>
      </c>
      <c r="K2232" s="3"/>
      <c r="L2232" t="str">
        <f t="shared" si="34"/>
        <v/>
      </c>
      <c r="M2232">
        <f>VLOOKUP(F2232,Sheet2!$B$1:$E$19,2,FALSE)</f>
        <v>1073</v>
      </c>
      <c r="N2232">
        <f>VLOOKUP(F2232,Sheet2!$B$1:$E$19,3,FALSE)</f>
        <v>1108963</v>
      </c>
      <c r="O2232" t="str">
        <f>IF(G2232="Not available","",VLOOKUP(F2232,Sheet2!$B$1:$E$19,4,FALSE)+(G2232-1))</f>
        <v/>
      </c>
    </row>
    <row r="2233" spans="1:15" s="1" customFormat="1" ht="15" customHeight="1" x14ac:dyDescent="0.25">
      <c r="A2233" s="18" t="s">
        <v>260</v>
      </c>
      <c r="B2233" s="18" t="s">
        <v>1968</v>
      </c>
      <c r="C2233" s="10" t="s">
        <v>1949</v>
      </c>
      <c r="D2233" s="3" t="s">
        <v>2431</v>
      </c>
      <c r="E2233" s="4" t="s">
        <v>2</v>
      </c>
      <c r="F2233" s="18">
        <v>2176</v>
      </c>
      <c r="G2233" s="18" t="s">
        <v>3271</v>
      </c>
      <c r="H2233" s="10" t="s">
        <v>1979</v>
      </c>
      <c r="I2233" s="3">
        <v>24</v>
      </c>
      <c r="J2233" s="3" t="s">
        <v>3271</v>
      </c>
      <c r="K2233" s="3"/>
      <c r="L2233" t="str">
        <f t="shared" si="34"/>
        <v/>
      </c>
      <c r="M2233">
        <f>VLOOKUP(F2233,Sheet2!$B$1:$E$19,2,FALSE)</f>
        <v>1073</v>
      </c>
      <c r="N2233">
        <f>VLOOKUP(F2233,Sheet2!$B$1:$E$19,3,FALSE)</f>
        <v>1108963</v>
      </c>
      <c r="O2233" t="str">
        <f>IF(G2233="Not available","",VLOOKUP(F2233,Sheet2!$B$1:$E$19,4,FALSE)+(G2233-1))</f>
        <v/>
      </c>
    </row>
    <row r="2234" spans="1:15" s="1" customFormat="1" ht="15" customHeight="1" x14ac:dyDescent="0.25">
      <c r="A2234" s="18" t="s">
        <v>260</v>
      </c>
      <c r="B2234" s="18" t="s">
        <v>985</v>
      </c>
      <c r="C2234" s="5" t="s">
        <v>1846</v>
      </c>
      <c r="D2234" s="1" t="s">
        <v>6</v>
      </c>
      <c r="E2234" s="1" t="s">
        <v>2</v>
      </c>
      <c r="F2234" s="18">
        <v>2165</v>
      </c>
      <c r="G2234" s="18">
        <v>256</v>
      </c>
      <c r="H2234" s="5">
        <v>3</v>
      </c>
      <c r="I2234" s="1">
        <v>252</v>
      </c>
      <c r="J2234" s="1">
        <v>228</v>
      </c>
      <c r="L2234" t="str">
        <f t="shared" si="34"/>
        <v>http://www.badatelna.eu/reprodukce/?fondId=1073&amp;zaznamId=1108952&amp;reproId=3779117</v>
      </c>
      <c r="M2234">
        <f>VLOOKUP(F2234,Sheet2!$B$1:$E$19,2,FALSE)</f>
        <v>1073</v>
      </c>
      <c r="N2234">
        <f>VLOOKUP(F2234,Sheet2!$B$1:$E$19,3,FALSE)</f>
        <v>1108952</v>
      </c>
      <c r="O2234">
        <f>IF(G2234="Not available","",VLOOKUP(F2234,Sheet2!$B$1:$E$19,4,FALSE)+(G2234-1))</f>
        <v>3779117</v>
      </c>
    </row>
    <row r="2235" spans="1:15" s="1" customFormat="1" ht="15" customHeight="1" x14ac:dyDescent="0.25">
      <c r="A2235" s="18" t="s">
        <v>260</v>
      </c>
      <c r="B2235" s="18" t="s">
        <v>2154</v>
      </c>
      <c r="C2235" s="10" t="s">
        <v>1952</v>
      </c>
      <c r="D2235" s="3" t="s">
        <v>2435</v>
      </c>
      <c r="E2235" s="4" t="s">
        <v>2</v>
      </c>
      <c r="F2235" s="18">
        <v>2176</v>
      </c>
      <c r="G2235" s="18" t="s">
        <v>3271</v>
      </c>
      <c r="H2235" s="10" t="s">
        <v>2230</v>
      </c>
      <c r="I2235" s="3">
        <v>25</v>
      </c>
      <c r="J2235" s="3" t="s">
        <v>3271</v>
      </c>
      <c r="K2235" s="3"/>
      <c r="L2235" t="str">
        <f t="shared" si="34"/>
        <v/>
      </c>
      <c r="M2235">
        <f>VLOOKUP(F2235,Sheet2!$B$1:$E$19,2,FALSE)</f>
        <v>1073</v>
      </c>
      <c r="N2235">
        <f>VLOOKUP(F2235,Sheet2!$B$1:$E$19,3,FALSE)</f>
        <v>1108963</v>
      </c>
      <c r="O2235" t="str">
        <f>IF(G2235="Not available","",VLOOKUP(F2235,Sheet2!$B$1:$E$19,4,FALSE)+(G2235-1))</f>
        <v/>
      </c>
    </row>
    <row r="2236" spans="1:15" s="1" customFormat="1" ht="15" customHeight="1" x14ac:dyDescent="0.25">
      <c r="A2236" s="18" t="s">
        <v>260</v>
      </c>
      <c r="B2236" s="18" t="s">
        <v>6</v>
      </c>
      <c r="C2236" s="5">
        <v>1856</v>
      </c>
      <c r="D2236" s="1" t="s">
        <v>21</v>
      </c>
      <c r="E2236" s="1" t="s">
        <v>2</v>
      </c>
      <c r="F2236" s="18">
        <v>2164</v>
      </c>
      <c r="G2236" s="18">
        <v>114</v>
      </c>
      <c r="H2236" s="5">
        <v>112</v>
      </c>
      <c r="I2236" s="1">
        <v>131</v>
      </c>
      <c r="J2236" s="3" t="s">
        <v>3271</v>
      </c>
      <c r="L2236" t="str">
        <f t="shared" si="34"/>
        <v>http://www.badatelna.eu/reprodukce/?fondId=1073&amp;zaznamId=1108951&amp;reproId=3778828</v>
      </c>
      <c r="M2236">
        <f>VLOOKUP(F2236,Sheet2!$B$1:$E$19,2,FALSE)</f>
        <v>1073</v>
      </c>
      <c r="N2236">
        <f>VLOOKUP(F2236,Sheet2!$B$1:$E$19,3,FALSE)</f>
        <v>1108951</v>
      </c>
      <c r="O2236">
        <f>IF(G2236="Not available","",VLOOKUP(F2236,Sheet2!$B$1:$E$19,4,FALSE)+(G2236-1))</f>
        <v>3778828</v>
      </c>
    </row>
    <row r="2237" spans="1:15" s="1" customFormat="1" ht="15" customHeight="1" x14ac:dyDescent="0.25">
      <c r="A2237" s="18" t="s">
        <v>260</v>
      </c>
      <c r="B2237" s="18" t="s">
        <v>191</v>
      </c>
      <c r="C2237" s="5" t="s">
        <v>1800</v>
      </c>
      <c r="D2237" s="1" t="s">
        <v>712</v>
      </c>
      <c r="E2237" s="1" t="s">
        <v>2</v>
      </c>
      <c r="F2237" s="18">
        <v>2165</v>
      </c>
      <c r="G2237" s="18">
        <v>242</v>
      </c>
      <c r="H2237" s="5">
        <v>2</v>
      </c>
      <c r="I2237" s="1">
        <v>244</v>
      </c>
      <c r="J2237" s="1">
        <v>220</v>
      </c>
      <c r="L2237" t="str">
        <f t="shared" si="34"/>
        <v>http://www.badatelna.eu/reprodukce/?fondId=1073&amp;zaznamId=1108952&amp;reproId=3779103</v>
      </c>
      <c r="M2237">
        <f>VLOOKUP(F2237,Sheet2!$B$1:$E$19,2,FALSE)</f>
        <v>1073</v>
      </c>
      <c r="N2237">
        <f>VLOOKUP(F2237,Sheet2!$B$1:$E$19,3,FALSE)</f>
        <v>1108952</v>
      </c>
      <c r="O2237">
        <f>IF(G2237="Not available","",VLOOKUP(F2237,Sheet2!$B$1:$E$19,4,FALSE)+(G2237-1))</f>
        <v>3779103</v>
      </c>
    </row>
    <row r="2238" spans="1:15" s="1" customFormat="1" ht="15" customHeight="1" x14ac:dyDescent="0.25">
      <c r="A2238" s="18" t="s">
        <v>260</v>
      </c>
      <c r="B2238" s="18" t="s">
        <v>59</v>
      </c>
      <c r="C2238" s="5">
        <v>1813</v>
      </c>
      <c r="E2238" s="1" t="s">
        <v>2</v>
      </c>
      <c r="F2238" s="18">
        <v>2173</v>
      </c>
      <c r="G2238" s="18">
        <v>62</v>
      </c>
      <c r="H2238" s="5">
        <v>119</v>
      </c>
      <c r="I2238" s="1">
        <v>104</v>
      </c>
      <c r="J2238" s="1">
        <v>222</v>
      </c>
      <c r="L2238" t="str">
        <f t="shared" si="34"/>
        <v>http://www.badatelna.eu/reprodukce/?fondId=1073&amp;zaznamId=1108959&amp;reproId=3780055</v>
      </c>
      <c r="M2238">
        <f>VLOOKUP(F2238,Sheet2!$B$1:$E$19,2,FALSE)</f>
        <v>1073</v>
      </c>
      <c r="N2238">
        <f>VLOOKUP(F2238,Sheet2!$B$1:$E$19,3,FALSE)</f>
        <v>1108959</v>
      </c>
      <c r="O2238">
        <f>IF(G2238="Not available","",VLOOKUP(F2238,Sheet2!$B$1:$E$19,4,FALSE)+(G2238-1))</f>
        <v>3780055</v>
      </c>
    </row>
    <row r="2239" spans="1:15" s="1" customFormat="1" ht="15" customHeight="1" x14ac:dyDescent="0.25">
      <c r="A2239" s="19" t="s">
        <v>260</v>
      </c>
      <c r="B2239" s="18" t="s">
        <v>682</v>
      </c>
      <c r="C2239" s="5">
        <v>1843</v>
      </c>
      <c r="D2239" s="1" t="s">
        <v>495</v>
      </c>
      <c r="E2239" s="1" t="s">
        <v>2</v>
      </c>
      <c r="F2239" s="18">
        <v>2174</v>
      </c>
      <c r="G2239" s="18">
        <v>138</v>
      </c>
      <c r="H2239" s="6" t="s">
        <v>3207</v>
      </c>
      <c r="I2239" s="1">
        <v>190</v>
      </c>
      <c r="J2239" s="1">
        <v>221</v>
      </c>
      <c r="L2239" t="str">
        <f t="shared" si="34"/>
        <v>http://www.badatelna.eu/reprodukce/?fondId=1073&amp;zaznamId=1108960&amp;reproId=3780362</v>
      </c>
      <c r="M2239">
        <f>VLOOKUP(F2239,Sheet2!$B$1:$E$19,2,FALSE)</f>
        <v>1073</v>
      </c>
      <c r="N2239">
        <f>VLOOKUP(F2239,Sheet2!$B$1:$E$19,3,FALSE)</f>
        <v>1108960</v>
      </c>
      <c r="O2239">
        <f>IF(G2239="Not available","",VLOOKUP(F2239,Sheet2!$B$1:$E$19,4,FALSE)+(G2239-1))</f>
        <v>3780362</v>
      </c>
    </row>
    <row r="2240" spans="1:15" s="1" customFormat="1" ht="15" customHeight="1" x14ac:dyDescent="0.25">
      <c r="A2240" s="18" t="s">
        <v>260</v>
      </c>
      <c r="B2240" s="18" t="s">
        <v>129</v>
      </c>
      <c r="C2240" s="5">
        <v>1853</v>
      </c>
      <c r="D2240" s="1" t="s">
        <v>50</v>
      </c>
      <c r="E2240" s="1" t="s">
        <v>2</v>
      </c>
      <c r="F2240" s="18">
        <v>2164</v>
      </c>
      <c r="G2240" s="18">
        <v>89</v>
      </c>
      <c r="H2240" s="5">
        <v>87</v>
      </c>
      <c r="I2240" s="1">
        <v>131</v>
      </c>
      <c r="J2240" s="3" t="s">
        <v>3271</v>
      </c>
      <c r="L2240" t="str">
        <f t="shared" si="34"/>
        <v>http://www.badatelna.eu/reprodukce/?fondId=1073&amp;zaznamId=1108951&amp;reproId=3778803</v>
      </c>
      <c r="M2240">
        <f>VLOOKUP(F2240,Sheet2!$B$1:$E$19,2,FALSE)</f>
        <v>1073</v>
      </c>
      <c r="N2240">
        <f>VLOOKUP(F2240,Sheet2!$B$1:$E$19,3,FALSE)</f>
        <v>1108951</v>
      </c>
      <c r="O2240">
        <f>IF(G2240="Not available","",VLOOKUP(F2240,Sheet2!$B$1:$E$19,4,FALSE)+(G2240-1))</f>
        <v>3778803</v>
      </c>
    </row>
    <row r="2241" spans="1:15" s="1" customFormat="1" ht="15" customHeight="1" x14ac:dyDescent="0.25">
      <c r="A2241" s="18" t="s">
        <v>260</v>
      </c>
      <c r="B2241" s="18" t="s">
        <v>285</v>
      </c>
      <c r="C2241" s="5">
        <v>1815</v>
      </c>
      <c r="E2241" s="1" t="s">
        <v>2</v>
      </c>
      <c r="F2241" s="18">
        <v>2173</v>
      </c>
      <c r="G2241" s="18">
        <v>65</v>
      </c>
      <c r="H2241" s="5">
        <v>124</v>
      </c>
      <c r="I2241" s="1">
        <v>104</v>
      </c>
      <c r="J2241" s="1">
        <v>222</v>
      </c>
      <c r="L2241" t="str">
        <f t="shared" si="34"/>
        <v>http://www.badatelna.eu/reprodukce/?fondId=1073&amp;zaznamId=1108959&amp;reproId=3780058</v>
      </c>
      <c r="M2241">
        <f>VLOOKUP(F2241,Sheet2!$B$1:$E$19,2,FALSE)</f>
        <v>1073</v>
      </c>
      <c r="N2241">
        <f>VLOOKUP(F2241,Sheet2!$B$1:$E$19,3,FALSE)</f>
        <v>1108959</v>
      </c>
      <c r="O2241">
        <f>IF(G2241="Not available","",VLOOKUP(F2241,Sheet2!$B$1:$E$19,4,FALSE)+(G2241-1))</f>
        <v>3780058</v>
      </c>
    </row>
    <row r="2242" spans="1:15" s="1" customFormat="1" ht="15" customHeight="1" x14ac:dyDescent="0.25">
      <c r="A2242" s="18" t="s">
        <v>260</v>
      </c>
      <c r="B2242" s="18" t="s">
        <v>1208</v>
      </c>
      <c r="C2242" s="10" t="s">
        <v>2087</v>
      </c>
      <c r="D2242" s="3" t="s">
        <v>2435</v>
      </c>
      <c r="E2242" s="4" t="s">
        <v>2</v>
      </c>
      <c r="F2242" s="18">
        <v>2176</v>
      </c>
      <c r="G2242" s="18" t="s">
        <v>3271</v>
      </c>
      <c r="H2242" s="10" t="s">
        <v>2421</v>
      </c>
      <c r="I2242" s="3">
        <v>25</v>
      </c>
      <c r="J2242" s="3" t="s">
        <v>3271</v>
      </c>
      <c r="K2242" s="3"/>
      <c r="L2242" t="str">
        <f t="shared" si="34"/>
        <v/>
      </c>
      <c r="M2242">
        <f>VLOOKUP(F2242,Sheet2!$B$1:$E$19,2,FALSE)</f>
        <v>1073</v>
      </c>
      <c r="N2242">
        <f>VLOOKUP(F2242,Sheet2!$B$1:$E$19,3,FALSE)</f>
        <v>1108963</v>
      </c>
      <c r="O2242" t="str">
        <f>IF(G2242="Not available","",VLOOKUP(F2242,Sheet2!$B$1:$E$19,4,FALSE)+(G2242-1))</f>
        <v/>
      </c>
    </row>
    <row r="2243" spans="1:15" s="1" customFormat="1" ht="15" customHeight="1" x14ac:dyDescent="0.25">
      <c r="A2243" s="18" t="s">
        <v>260</v>
      </c>
      <c r="B2243" s="18" t="s">
        <v>1233</v>
      </c>
      <c r="C2243" s="5" t="s">
        <v>1869</v>
      </c>
      <c r="D2243" s="1" t="s">
        <v>6</v>
      </c>
      <c r="E2243" s="1" t="s">
        <v>2</v>
      </c>
      <c r="F2243" s="18">
        <v>2165</v>
      </c>
      <c r="G2243" s="18">
        <v>263</v>
      </c>
      <c r="H2243" s="5">
        <v>4</v>
      </c>
      <c r="I2243" s="1">
        <v>265</v>
      </c>
      <c r="J2243" s="1">
        <v>239</v>
      </c>
      <c r="L2243" t="str">
        <f t="shared" ref="L2243:L2306" si="35">IF(G2243="Not available","","http://www.badatelna.eu/reprodukce/?fondId="&amp;M2243&amp;"&amp;zaznamId="&amp;N2243&amp;"&amp;reproId="&amp;O2243)</f>
        <v>http://www.badatelna.eu/reprodukce/?fondId=1073&amp;zaznamId=1108952&amp;reproId=3779124</v>
      </c>
      <c r="M2243">
        <f>VLOOKUP(F2243,Sheet2!$B$1:$E$19,2,FALSE)</f>
        <v>1073</v>
      </c>
      <c r="N2243">
        <f>VLOOKUP(F2243,Sheet2!$B$1:$E$19,3,FALSE)</f>
        <v>1108952</v>
      </c>
      <c r="O2243">
        <f>IF(G2243="Not available","",VLOOKUP(F2243,Sheet2!$B$1:$E$19,4,FALSE)+(G2243-1))</f>
        <v>3779124</v>
      </c>
    </row>
    <row r="2244" spans="1:15" s="1" customFormat="1" ht="15" customHeight="1" x14ac:dyDescent="0.25">
      <c r="A2244" s="18" t="s">
        <v>260</v>
      </c>
      <c r="B2244" s="18" t="s">
        <v>49</v>
      </c>
      <c r="C2244" s="5">
        <v>1788</v>
      </c>
      <c r="D2244" s="1" t="s">
        <v>180</v>
      </c>
      <c r="E2244" s="1" t="s">
        <v>2</v>
      </c>
      <c r="F2244" s="18">
        <v>2173</v>
      </c>
      <c r="G2244" s="18">
        <v>17</v>
      </c>
      <c r="H2244" s="5">
        <v>29</v>
      </c>
      <c r="I2244" s="1">
        <v>103</v>
      </c>
      <c r="J2244" s="12">
        <v>221</v>
      </c>
      <c r="L2244" t="str">
        <f t="shared" si="35"/>
        <v>http://www.badatelna.eu/reprodukce/?fondId=1073&amp;zaznamId=1108959&amp;reproId=3780010</v>
      </c>
      <c r="M2244">
        <f>VLOOKUP(F2244,Sheet2!$B$1:$E$19,2,FALSE)</f>
        <v>1073</v>
      </c>
      <c r="N2244">
        <f>VLOOKUP(F2244,Sheet2!$B$1:$E$19,3,FALSE)</f>
        <v>1108959</v>
      </c>
      <c r="O2244">
        <f>IF(G2244="Not available","",VLOOKUP(F2244,Sheet2!$B$1:$E$19,4,FALSE)+(G2244-1))</f>
        <v>3780010</v>
      </c>
    </row>
    <row r="2245" spans="1:15" s="1" customFormat="1" ht="15" customHeight="1" x14ac:dyDescent="0.25">
      <c r="A2245" s="18" t="s">
        <v>260</v>
      </c>
      <c r="B2245" s="18" t="s">
        <v>49</v>
      </c>
      <c r="C2245" s="5">
        <v>1847</v>
      </c>
      <c r="D2245" s="1" t="s">
        <v>495</v>
      </c>
      <c r="E2245" s="1" t="s">
        <v>2</v>
      </c>
      <c r="F2245" s="18">
        <v>2164</v>
      </c>
      <c r="G2245" s="18">
        <v>18</v>
      </c>
      <c r="H2245" s="5">
        <v>16</v>
      </c>
      <c r="I2245" s="1">
        <v>131</v>
      </c>
      <c r="J2245" s="3" t="s">
        <v>3271</v>
      </c>
      <c r="L2245" t="str">
        <f t="shared" si="35"/>
        <v>http://www.badatelna.eu/reprodukce/?fondId=1073&amp;zaznamId=1108951&amp;reproId=3778732</v>
      </c>
      <c r="M2245">
        <f>VLOOKUP(F2245,Sheet2!$B$1:$E$19,2,FALSE)</f>
        <v>1073</v>
      </c>
      <c r="N2245">
        <f>VLOOKUP(F2245,Sheet2!$B$1:$E$19,3,FALSE)</f>
        <v>1108951</v>
      </c>
      <c r="O2245">
        <f>IF(G2245="Not available","",VLOOKUP(F2245,Sheet2!$B$1:$E$19,4,FALSE)+(G2245-1))</f>
        <v>3778732</v>
      </c>
    </row>
    <row r="2246" spans="1:15" s="1" customFormat="1" ht="15" customHeight="1" x14ac:dyDescent="0.25">
      <c r="A2246" s="18" t="s">
        <v>260</v>
      </c>
      <c r="B2246" s="18" t="s">
        <v>1175</v>
      </c>
      <c r="C2246" s="10" t="s">
        <v>2074</v>
      </c>
      <c r="D2246" s="3" t="s">
        <v>2435</v>
      </c>
      <c r="E2246" s="4" t="s">
        <v>2</v>
      </c>
      <c r="F2246" s="18">
        <v>2176</v>
      </c>
      <c r="G2246" s="18" t="s">
        <v>3271</v>
      </c>
      <c r="H2246" s="10" t="s">
        <v>2436</v>
      </c>
      <c r="I2246" s="3">
        <v>24</v>
      </c>
      <c r="J2246" s="3" t="s">
        <v>3271</v>
      </c>
      <c r="K2246" s="3"/>
      <c r="L2246" t="str">
        <f t="shared" si="35"/>
        <v/>
      </c>
      <c r="M2246">
        <f>VLOOKUP(F2246,Sheet2!$B$1:$E$19,2,FALSE)</f>
        <v>1073</v>
      </c>
      <c r="N2246">
        <f>VLOOKUP(F2246,Sheet2!$B$1:$E$19,3,FALSE)</f>
        <v>1108963</v>
      </c>
      <c r="O2246" t="str">
        <f>IF(G2246="Not available","",VLOOKUP(F2246,Sheet2!$B$1:$E$19,4,FALSE)+(G2246-1))</f>
        <v/>
      </c>
    </row>
    <row r="2247" spans="1:15" s="1" customFormat="1" ht="15" customHeight="1" x14ac:dyDescent="0.25">
      <c r="A2247" s="18" t="s">
        <v>260</v>
      </c>
      <c r="B2247" s="18" t="s">
        <v>1175</v>
      </c>
      <c r="C2247" s="5" t="s">
        <v>1781</v>
      </c>
      <c r="D2247" s="1" t="s">
        <v>6</v>
      </c>
      <c r="E2247" s="1" t="s">
        <v>2</v>
      </c>
      <c r="F2247" s="18">
        <v>2165</v>
      </c>
      <c r="G2247" s="18">
        <v>236</v>
      </c>
      <c r="H2247" s="5">
        <v>3</v>
      </c>
      <c r="I2247" s="1">
        <v>237</v>
      </c>
      <c r="J2247" s="1">
        <v>213</v>
      </c>
      <c r="L2247" t="str">
        <f t="shared" si="35"/>
        <v>http://www.badatelna.eu/reprodukce/?fondId=1073&amp;zaznamId=1108952&amp;reproId=3779097</v>
      </c>
      <c r="M2247">
        <f>VLOOKUP(F2247,Sheet2!$B$1:$E$19,2,FALSE)</f>
        <v>1073</v>
      </c>
      <c r="N2247">
        <f>VLOOKUP(F2247,Sheet2!$B$1:$E$19,3,FALSE)</f>
        <v>1108952</v>
      </c>
      <c r="O2247">
        <f>IF(G2247="Not available","",VLOOKUP(F2247,Sheet2!$B$1:$E$19,4,FALSE)+(G2247-1))</f>
        <v>3779097</v>
      </c>
    </row>
    <row r="2248" spans="1:15" s="1" customFormat="1" ht="15" customHeight="1" x14ac:dyDescent="0.25">
      <c r="A2248" s="18" t="s">
        <v>260</v>
      </c>
      <c r="B2248" s="18" t="s">
        <v>625</v>
      </c>
      <c r="C2248" s="5">
        <v>1855</v>
      </c>
      <c r="D2248" s="1" t="s">
        <v>486</v>
      </c>
      <c r="E2248" s="1" t="s">
        <v>2</v>
      </c>
      <c r="F2248" s="18">
        <v>2164</v>
      </c>
      <c r="G2248" s="18">
        <v>102</v>
      </c>
      <c r="H2248" s="5">
        <v>100</v>
      </c>
      <c r="I2248" s="1">
        <v>131</v>
      </c>
      <c r="J2248" s="3" t="s">
        <v>3271</v>
      </c>
      <c r="L2248" t="str">
        <f t="shared" si="35"/>
        <v>http://www.badatelna.eu/reprodukce/?fondId=1073&amp;zaznamId=1108951&amp;reproId=3778816</v>
      </c>
      <c r="M2248">
        <f>VLOOKUP(F2248,Sheet2!$B$1:$E$19,2,FALSE)</f>
        <v>1073</v>
      </c>
      <c r="N2248">
        <f>VLOOKUP(F2248,Sheet2!$B$1:$E$19,3,FALSE)</f>
        <v>1108951</v>
      </c>
      <c r="O2248">
        <f>IF(G2248="Not available","",VLOOKUP(F2248,Sheet2!$B$1:$E$19,4,FALSE)+(G2248-1))</f>
        <v>3778816</v>
      </c>
    </row>
    <row r="2249" spans="1:15" s="1" customFormat="1" ht="15" customHeight="1" x14ac:dyDescent="0.25">
      <c r="A2249" s="18" t="s">
        <v>260</v>
      </c>
      <c r="B2249" s="18" t="s">
        <v>432</v>
      </c>
      <c r="C2249" s="10" t="s">
        <v>2079</v>
      </c>
      <c r="D2249" s="3" t="s">
        <v>2435</v>
      </c>
      <c r="E2249" s="4" t="s">
        <v>2</v>
      </c>
      <c r="F2249" s="18">
        <v>2176</v>
      </c>
      <c r="G2249" s="18" t="s">
        <v>3271</v>
      </c>
      <c r="H2249" s="10" t="s">
        <v>1981</v>
      </c>
      <c r="I2249" s="3">
        <v>24</v>
      </c>
      <c r="J2249" s="3" t="s">
        <v>3271</v>
      </c>
      <c r="K2249" s="3"/>
      <c r="L2249" t="str">
        <f t="shared" si="35"/>
        <v/>
      </c>
      <c r="M2249">
        <f>VLOOKUP(F2249,Sheet2!$B$1:$E$19,2,FALSE)</f>
        <v>1073</v>
      </c>
      <c r="N2249">
        <f>VLOOKUP(F2249,Sheet2!$B$1:$E$19,3,FALSE)</f>
        <v>1108963</v>
      </c>
      <c r="O2249" t="str">
        <f>IF(G2249="Not available","",VLOOKUP(F2249,Sheet2!$B$1:$E$19,4,FALSE)+(G2249-1))</f>
        <v/>
      </c>
    </row>
    <row r="2250" spans="1:15" s="1" customFormat="1" ht="15" customHeight="1" x14ac:dyDescent="0.25">
      <c r="A2250" s="18" t="s">
        <v>260</v>
      </c>
      <c r="B2250" s="18" t="s">
        <v>19</v>
      </c>
      <c r="C2250" s="5">
        <v>1823</v>
      </c>
      <c r="E2250" s="1" t="s">
        <v>2</v>
      </c>
      <c r="F2250" s="18">
        <v>2173</v>
      </c>
      <c r="G2250" s="18">
        <v>74</v>
      </c>
      <c r="H2250" s="5">
        <v>140</v>
      </c>
      <c r="I2250" s="1">
        <v>104</v>
      </c>
      <c r="J2250" s="1">
        <v>222</v>
      </c>
      <c r="L2250" t="str">
        <f t="shared" si="35"/>
        <v>http://www.badatelna.eu/reprodukce/?fondId=1073&amp;zaznamId=1108959&amp;reproId=3780067</v>
      </c>
      <c r="M2250">
        <f>VLOOKUP(F2250,Sheet2!$B$1:$E$19,2,FALSE)</f>
        <v>1073</v>
      </c>
      <c r="N2250">
        <f>VLOOKUP(F2250,Sheet2!$B$1:$E$19,3,FALSE)</f>
        <v>1108959</v>
      </c>
      <c r="O2250">
        <f>IF(G2250="Not available","",VLOOKUP(F2250,Sheet2!$B$1:$E$19,4,FALSE)+(G2250-1))</f>
        <v>3780067</v>
      </c>
    </row>
    <row r="2251" spans="1:15" s="1" customFormat="1" ht="15" customHeight="1" x14ac:dyDescent="0.25">
      <c r="A2251" s="18" t="s">
        <v>260</v>
      </c>
      <c r="B2251" s="18" t="s">
        <v>21</v>
      </c>
      <c r="C2251" s="5">
        <v>1820</v>
      </c>
      <c r="E2251" s="1" t="s">
        <v>2</v>
      </c>
      <c r="F2251" s="18">
        <v>2173</v>
      </c>
      <c r="G2251" s="18">
        <v>71</v>
      </c>
      <c r="H2251" s="5">
        <v>134</v>
      </c>
      <c r="I2251" s="1">
        <v>104</v>
      </c>
      <c r="J2251" s="1">
        <v>222</v>
      </c>
      <c r="L2251" t="str">
        <f t="shared" si="35"/>
        <v>http://www.badatelna.eu/reprodukce/?fondId=1073&amp;zaznamId=1108959&amp;reproId=3780064</v>
      </c>
      <c r="M2251">
        <f>VLOOKUP(F2251,Sheet2!$B$1:$E$19,2,FALSE)</f>
        <v>1073</v>
      </c>
      <c r="N2251">
        <f>VLOOKUP(F2251,Sheet2!$B$1:$E$19,3,FALSE)</f>
        <v>1108959</v>
      </c>
      <c r="O2251">
        <f>IF(G2251="Not available","",VLOOKUP(F2251,Sheet2!$B$1:$E$19,4,FALSE)+(G2251-1))</f>
        <v>3780064</v>
      </c>
    </row>
    <row r="2252" spans="1:15" s="1" customFormat="1" ht="15" customHeight="1" x14ac:dyDescent="0.25">
      <c r="A2252" s="18" t="s">
        <v>260</v>
      </c>
      <c r="B2252" s="18" t="s">
        <v>432</v>
      </c>
      <c r="C2252" s="5" t="s">
        <v>1801</v>
      </c>
      <c r="D2252" s="1" t="s">
        <v>6</v>
      </c>
      <c r="E2252" s="1" t="s">
        <v>2</v>
      </c>
      <c r="F2252" s="18">
        <v>2165</v>
      </c>
      <c r="G2252" s="18">
        <v>243</v>
      </c>
      <c r="H2252" s="5">
        <v>3</v>
      </c>
      <c r="I2252" s="1">
        <v>244</v>
      </c>
      <c r="J2252" s="1">
        <v>220</v>
      </c>
      <c r="L2252" t="str">
        <f t="shared" si="35"/>
        <v>http://www.badatelna.eu/reprodukce/?fondId=1073&amp;zaznamId=1108952&amp;reproId=3779104</v>
      </c>
      <c r="M2252">
        <f>VLOOKUP(F2252,Sheet2!$B$1:$E$19,2,FALSE)</f>
        <v>1073</v>
      </c>
      <c r="N2252">
        <f>VLOOKUP(F2252,Sheet2!$B$1:$E$19,3,FALSE)</f>
        <v>1108952</v>
      </c>
      <c r="O2252">
        <f>IF(G2252="Not available","",VLOOKUP(F2252,Sheet2!$B$1:$E$19,4,FALSE)+(G2252-1))</f>
        <v>3779104</v>
      </c>
    </row>
    <row r="2253" spans="1:15" s="1" customFormat="1" ht="15" customHeight="1" x14ac:dyDescent="0.25">
      <c r="A2253" s="18" t="s">
        <v>260</v>
      </c>
      <c r="B2253" s="18" t="s">
        <v>67</v>
      </c>
      <c r="C2253" s="5">
        <v>1889</v>
      </c>
      <c r="D2253" s="1" t="s">
        <v>24</v>
      </c>
      <c r="E2253" s="1" t="s">
        <v>2</v>
      </c>
      <c r="F2253" s="18">
        <v>2165</v>
      </c>
      <c r="G2253" s="18">
        <v>224</v>
      </c>
      <c r="H2253" s="5">
        <v>3</v>
      </c>
      <c r="I2253" s="1">
        <v>225</v>
      </c>
      <c r="J2253" s="1">
        <v>201</v>
      </c>
      <c r="L2253" t="str">
        <f t="shared" si="35"/>
        <v>http://www.badatelna.eu/reprodukce/?fondId=1073&amp;zaznamId=1108952&amp;reproId=3779085</v>
      </c>
      <c r="M2253">
        <f>VLOOKUP(F2253,Sheet2!$B$1:$E$19,2,FALSE)</f>
        <v>1073</v>
      </c>
      <c r="N2253">
        <f>VLOOKUP(F2253,Sheet2!$B$1:$E$19,3,FALSE)</f>
        <v>1108952</v>
      </c>
      <c r="O2253">
        <f>IF(G2253="Not available","",VLOOKUP(F2253,Sheet2!$B$1:$E$19,4,FALSE)+(G2253-1))</f>
        <v>3779085</v>
      </c>
    </row>
    <row r="2254" spans="1:15" s="1" customFormat="1" ht="15" customHeight="1" x14ac:dyDescent="0.25">
      <c r="A2254" s="18" t="s">
        <v>260</v>
      </c>
      <c r="B2254" s="18" t="s">
        <v>2430</v>
      </c>
      <c r="C2254" s="10" t="s">
        <v>2068</v>
      </c>
      <c r="D2254" s="3" t="s">
        <v>2431</v>
      </c>
      <c r="E2254" s="4" t="s">
        <v>2</v>
      </c>
      <c r="F2254" s="18">
        <v>2176</v>
      </c>
      <c r="G2254" s="18" t="s">
        <v>3271</v>
      </c>
      <c r="H2254" s="10" t="s">
        <v>2073</v>
      </c>
      <c r="I2254" s="3">
        <v>24</v>
      </c>
      <c r="J2254" s="3" t="s">
        <v>3271</v>
      </c>
      <c r="K2254" s="3"/>
      <c r="L2254" t="str">
        <f t="shared" si="35"/>
        <v/>
      </c>
      <c r="M2254">
        <f>VLOOKUP(F2254,Sheet2!$B$1:$E$19,2,FALSE)</f>
        <v>1073</v>
      </c>
      <c r="N2254">
        <f>VLOOKUP(F2254,Sheet2!$B$1:$E$19,3,FALSE)</f>
        <v>1108963</v>
      </c>
      <c r="O2254" t="str">
        <f>IF(G2254="Not available","",VLOOKUP(F2254,Sheet2!$B$1:$E$19,4,FALSE)+(G2254-1))</f>
        <v/>
      </c>
    </row>
    <row r="2255" spans="1:15" s="1" customFormat="1" ht="15" customHeight="1" x14ac:dyDescent="0.25">
      <c r="A2255" s="18" t="s">
        <v>260</v>
      </c>
      <c r="B2255" s="18" t="s">
        <v>24</v>
      </c>
      <c r="C2255" s="5">
        <v>1856</v>
      </c>
      <c r="D2255" s="1" t="s">
        <v>50</v>
      </c>
      <c r="E2255" s="1" t="s">
        <v>2</v>
      </c>
      <c r="F2255" s="18">
        <v>2164</v>
      </c>
      <c r="G2255" s="18">
        <v>116</v>
      </c>
      <c r="H2255" s="5">
        <v>114</v>
      </c>
      <c r="I2255" s="1">
        <v>131</v>
      </c>
      <c r="J2255" s="3" t="s">
        <v>3271</v>
      </c>
      <c r="L2255" t="str">
        <f t="shared" si="35"/>
        <v>http://www.badatelna.eu/reprodukce/?fondId=1073&amp;zaznamId=1108951&amp;reproId=3778830</v>
      </c>
      <c r="M2255">
        <f>VLOOKUP(F2255,Sheet2!$B$1:$E$19,2,FALSE)</f>
        <v>1073</v>
      </c>
      <c r="N2255">
        <f>VLOOKUP(F2255,Sheet2!$B$1:$E$19,3,FALSE)</f>
        <v>1108951</v>
      </c>
      <c r="O2255">
        <f>IF(G2255="Not available","",VLOOKUP(F2255,Sheet2!$B$1:$E$19,4,FALSE)+(G2255-1))</f>
        <v>3778830</v>
      </c>
    </row>
    <row r="2256" spans="1:15" s="1" customFormat="1" ht="15" customHeight="1" x14ac:dyDescent="0.25">
      <c r="A2256" s="18" t="s">
        <v>260</v>
      </c>
      <c r="B2256" s="18" t="s">
        <v>58</v>
      </c>
      <c r="C2256" s="5">
        <v>1852</v>
      </c>
      <c r="D2256" s="1" t="s">
        <v>495</v>
      </c>
      <c r="E2256" s="1" t="s">
        <v>2</v>
      </c>
      <c r="F2256" s="18">
        <v>2164</v>
      </c>
      <c r="G2256" s="18">
        <v>84</v>
      </c>
      <c r="H2256" s="5">
        <v>82</v>
      </c>
      <c r="I2256" s="1">
        <v>131</v>
      </c>
      <c r="J2256" s="3" t="s">
        <v>3271</v>
      </c>
      <c r="L2256" t="str">
        <f t="shared" si="35"/>
        <v>http://www.badatelna.eu/reprodukce/?fondId=1073&amp;zaznamId=1108951&amp;reproId=3778798</v>
      </c>
      <c r="M2256">
        <f>VLOOKUP(F2256,Sheet2!$B$1:$E$19,2,FALSE)</f>
        <v>1073</v>
      </c>
      <c r="N2256">
        <f>VLOOKUP(F2256,Sheet2!$B$1:$E$19,3,FALSE)</f>
        <v>1108951</v>
      </c>
      <c r="O2256">
        <f>IF(G2256="Not available","",VLOOKUP(F2256,Sheet2!$B$1:$E$19,4,FALSE)+(G2256-1))</f>
        <v>3778798</v>
      </c>
    </row>
    <row r="2257" spans="1:15" s="1" customFormat="1" ht="15" customHeight="1" x14ac:dyDescent="0.25">
      <c r="A2257" s="18" t="s">
        <v>260</v>
      </c>
      <c r="B2257" s="18" t="s">
        <v>542</v>
      </c>
      <c r="C2257" s="5">
        <v>1850</v>
      </c>
      <c r="D2257" s="1" t="s">
        <v>495</v>
      </c>
      <c r="E2257" s="1" t="s">
        <v>2</v>
      </c>
      <c r="F2257" s="18">
        <v>2164</v>
      </c>
      <c r="G2257" s="18">
        <v>75</v>
      </c>
      <c r="H2257" s="5">
        <v>73</v>
      </c>
      <c r="I2257" s="1">
        <v>131</v>
      </c>
      <c r="J2257" s="3" t="s">
        <v>3271</v>
      </c>
      <c r="L2257" t="str">
        <f t="shared" si="35"/>
        <v>http://www.badatelna.eu/reprodukce/?fondId=1073&amp;zaznamId=1108951&amp;reproId=3778789</v>
      </c>
      <c r="M2257">
        <f>VLOOKUP(F2257,Sheet2!$B$1:$E$19,2,FALSE)</f>
        <v>1073</v>
      </c>
      <c r="N2257">
        <f>VLOOKUP(F2257,Sheet2!$B$1:$E$19,3,FALSE)</f>
        <v>1108951</v>
      </c>
      <c r="O2257">
        <f>IF(G2257="Not available","",VLOOKUP(F2257,Sheet2!$B$1:$E$19,4,FALSE)+(G2257-1))</f>
        <v>3778789</v>
      </c>
    </row>
    <row r="2258" spans="1:15" s="1" customFormat="1" ht="15" customHeight="1" x14ac:dyDescent="0.25">
      <c r="A2258" s="18" t="s">
        <v>260</v>
      </c>
      <c r="B2258" s="18" t="s">
        <v>2165</v>
      </c>
      <c r="C2258" s="10" t="s">
        <v>2074</v>
      </c>
      <c r="D2258" s="3" t="s">
        <v>2431</v>
      </c>
      <c r="E2258" s="4" t="s">
        <v>2</v>
      </c>
      <c r="F2258" s="18">
        <v>2176</v>
      </c>
      <c r="G2258" s="18" t="s">
        <v>3271</v>
      </c>
      <c r="H2258" s="10" t="s">
        <v>2058</v>
      </c>
      <c r="I2258" s="3">
        <v>24</v>
      </c>
      <c r="J2258" s="3" t="s">
        <v>3271</v>
      </c>
      <c r="K2258" s="3"/>
      <c r="L2258" t="str">
        <f t="shared" si="35"/>
        <v/>
      </c>
      <c r="M2258">
        <f>VLOOKUP(F2258,Sheet2!$B$1:$E$19,2,FALSE)</f>
        <v>1073</v>
      </c>
      <c r="N2258">
        <f>VLOOKUP(F2258,Sheet2!$B$1:$E$19,3,FALSE)</f>
        <v>1108963</v>
      </c>
      <c r="O2258" t="str">
        <f>IF(G2258="Not available","",VLOOKUP(F2258,Sheet2!$B$1:$E$19,4,FALSE)+(G2258-1))</f>
        <v/>
      </c>
    </row>
    <row r="2259" spans="1:15" s="1" customFormat="1" ht="15" customHeight="1" x14ac:dyDescent="0.25">
      <c r="A2259" s="18" t="s">
        <v>260</v>
      </c>
      <c r="B2259" s="18" t="s">
        <v>545</v>
      </c>
      <c r="C2259" s="5" t="s">
        <v>1780</v>
      </c>
      <c r="D2259" s="1" t="s">
        <v>24</v>
      </c>
      <c r="E2259" s="1" t="s">
        <v>2</v>
      </c>
      <c r="F2259" s="18">
        <v>2165</v>
      </c>
      <c r="G2259" s="18">
        <v>235</v>
      </c>
      <c r="H2259" s="5">
        <v>2</v>
      </c>
      <c r="I2259" s="1">
        <v>237</v>
      </c>
      <c r="J2259" s="1">
        <v>213</v>
      </c>
      <c r="L2259" t="str">
        <f t="shared" si="35"/>
        <v>http://www.badatelna.eu/reprodukce/?fondId=1073&amp;zaznamId=1108952&amp;reproId=3779096</v>
      </c>
      <c r="M2259">
        <f>VLOOKUP(F2259,Sheet2!$B$1:$E$19,2,FALSE)</f>
        <v>1073</v>
      </c>
      <c r="N2259">
        <f>VLOOKUP(F2259,Sheet2!$B$1:$E$19,3,FALSE)</f>
        <v>1108952</v>
      </c>
      <c r="O2259">
        <f>IF(G2259="Not available","",VLOOKUP(F2259,Sheet2!$B$1:$E$19,4,FALSE)+(G2259-1))</f>
        <v>3779096</v>
      </c>
    </row>
    <row r="2260" spans="1:15" s="1" customFormat="1" ht="15" customHeight="1" x14ac:dyDescent="0.25">
      <c r="A2260" s="18" t="s">
        <v>260</v>
      </c>
      <c r="B2260" s="18" t="s">
        <v>874</v>
      </c>
      <c r="C2260" s="5">
        <v>1852</v>
      </c>
      <c r="D2260" s="1" t="s">
        <v>21</v>
      </c>
      <c r="E2260" s="1" t="s">
        <v>2</v>
      </c>
      <c r="F2260" s="18">
        <v>2164</v>
      </c>
      <c r="G2260" s="18">
        <v>83</v>
      </c>
      <c r="H2260" s="5">
        <v>81</v>
      </c>
      <c r="I2260" s="1">
        <v>131</v>
      </c>
      <c r="J2260" s="3" t="s">
        <v>3271</v>
      </c>
      <c r="L2260" t="str">
        <f t="shared" si="35"/>
        <v>http://www.badatelna.eu/reprodukce/?fondId=1073&amp;zaznamId=1108951&amp;reproId=3778797</v>
      </c>
      <c r="M2260">
        <f>VLOOKUP(F2260,Sheet2!$B$1:$E$19,2,FALSE)</f>
        <v>1073</v>
      </c>
      <c r="N2260">
        <f>VLOOKUP(F2260,Sheet2!$B$1:$E$19,3,FALSE)</f>
        <v>1108951</v>
      </c>
      <c r="O2260">
        <f>IF(G2260="Not available","",VLOOKUP(F2260,Sheet2!$B$1:$E$19,4,FALSE)+(G2260-1))</f>
        <v>3778797</v>
      </c>
    </row>
    <row r="2261" spans="1:15" s="1" customFormat="1" ht="15" customHeight="1" x14ac:dyDescent="0.25">
      <c r="A2261" s="18" t="s">
        <v>681</v>
      </c>
      <c r="B2261" s="18" t="s">
        <v>233</v>
      </c>
      <c r="C2261" s="5">
        <v>1850</v>
      </c>
      <c r="D2261" s="1" t="s">
        <v>495</v>
      </c>
      <c r="E2261" s="1" t="s">
        <v>2</v>
      </c>
      <c r="F2261" s="18">
        <v>2164</v>
      </c>
      <c r="G2261" s="18">
        <v>67</v>
      </c>
      <c r="H2261" s="5">
        <v>65</v>
      </c>
      <c r="I2261" s="1">
        <v>131</v>
      </c>
      <c r="J2261" s="3" t="s">
        <v>3271</v>
      </c>
      <c r="L2261" t="str">
        <f t="shared" si="35"/>
        <v>http://www.badatelna.eu/reprodukce/?fondId=1073&amp;zaznamId=1108951&amp;reproId=3778781</v>
      </c>
      <c r="M2261">
        <f>VLOOKUP(F2261,Sheet2!$B$1:$E$19,2,FALSE)</f>
        <v>1073</v>
      </c>
      <c r="N2261">
        <f>VLOOKUP(F2261,Sheet2!$B$1:$E$19,3,FALSE)</f>
        <v>1108951</v>
      </c>
      <c r="O2261">
        <f>IF(G2261="Not available","",VLOOKUP(F2261,Sheet2!$B$1:$E$19,4,FALSE)+(G2261-1))</f>
        <v>3778781</v>
      </c>
    </row>
    <row r="2262" spans="1:15" s="1" customFormat="1" ht="15" customHeight="1" x14ac:dyDescent="0.25">
      <c r="A2262" s="18" t="s">
        <v>686</v>
      </c>
      <c r="B2262" s="18" t="s">
        <v>687</v>
      </c>
      <c r="C2262" s="5">
        <v>1845</v>
      </c>
      <c r="D2262" s="1" t="s">
        <v>495</v>
      </c>
      <c r="E2262" s="1" t="s">
        <v>2</v>
      </c>
      <c r="F2262" s="18">
        <v>2174</v>
      </c>
      <c r="G2262" s="18">
        <v>158</v>
      </c>
      <c r="H2262" s="6" t="s">
        <v>3224</v>
      </c>
      <c r="I2262" s="1">
        <v>190</v>
      </c>
      <c r="J2262" s="1">
        <v>221</v>
      </c>
      <c r="L2262" t="str">
        <f t="shared" si="35"/>
        <v>http://www.badatelna.eu/reprodukce/?fondId=1073&amp;zaznamId=1108960&amp;reproId=3780382</v>
      </c>
      <c r="M2262">
        <f>VLOOKUP(F2262,Sheet2!$B$1:$E$19,2,FALSE)</f>
        <v>1073</v>
      </c>
      <c r="N2262">
        <f>VLOOKUP(F2262,Sheet2!$B$1:$E$19,3,FALSE)</f>
        <v>1108960</v>
      </c>
      <c r="O2262">
        <f>IF(G2262="Not available","",VLOOKUP(F2262,Sheet2!$B$1:$E$19,4,FALSE)+(G2262-1))</f>
        <v>3780382</v>
      </c>
    </row>
    <row r="2263" spans="1:15" s="1" customFormat="1" ht="15" customHeight="1" x14ac:dyDescent="0.25">
      <c r="A2263" s="18" t="s">
        <v>273</v>
      </c>
      <c r="B2263" s="18" t="s">
        <v>50</v>
      </c>
      <c r="C2263" s="5">
        <v>1806</v>
      </c>
      <c r="E2263" s="1" t="s">
        <v>2</v>
      </c>
      <c r="F2263" s="18">
        <v>2173</v>
      </c>
      <c r="G2263" s="18">
        <v>51</v>
      </c>
      <c r="H2263" s="5">
        <v>96</v>
      </c>
      <c r="I2263" s="1">
        <v>104</v>
      </c>
      <c r="J2263" s="1">
        <v>222</v>
      </c>
      <c r="L2263" t="str">
        <f t="shared" si="35"/>
        <v>http://www.badatelna.eu/reprodukce/?fondId=1073&amp;zaznamId=1108959&amp;reproId=3780044</v>
      </c>
      <c r="M2263">
        <f>VLOOKUP(F2263,Sheet2!$B$1:$E$19,2,FALSE)</f>
        <v>1073</v>
      </c>
      <c r="N2263">
        <f>VLOOKUP(F2263,Sheet2!$B$1:$E$19,3,FALSE)</f>
        <v>1108959</v>
      </c>
      <c r="O2263">
        <f>IF(G2263="Not available","",VLOOKUP(F2263,Sheet2!$B$1:$E$19,4,FALSE)+(G2263-1))</f>
        <v>3780044</v>
      </c>
    </row>
    <row r="2264" spans="1:15" s="1" customFormat="1" ht="15" customHeight="1" x14ac:dyDescent="0.25">
      <c r="A2264" s="18" t="s">
        <v>273</v>
      </c>
      <c r="B2264" s="18" t="s">
        <v>272</v>
      </c>
      <c r="C2264" s="5">
        <v>1799</v>
      </c>
      <c r="D2264" s="1" t="s">
        <v>133</v>
      </c>
      <c r="E2264" s="1" t="s">
        <v>2</v>
      </c>
      <c r="F2264" s="18">
        <v>2173</v>
      </c>
      <c r="G2264" s="18">
        <v>39</v>
      </c>
      <c r="H2264" s="5">
        <v>72</v>
      </c>
      <c r="I2264" s="1">
        <v>103</v>
      </c>
      <c r="J2264" s="1">
        <v>221</v>
      </c>
      <c r="L2264" t="str">
        <f t="shared" si="35"/>
        <v>http://www.badatelna.eu/reprodukce/?fondId=1073&amp;zaznamId=1108959&amp;reproId=3780032</v>
      </c>
      <c r="M2264">
        <f>VLOOKUP(F2264,Sheet2!$B$1:$E$19,2,FALSE)</f>
        <v>1073</v>
      </c>
      <c r="N2264">
        <f>VLOOKUP(F2264,Sheet2!$B$1:$E$19,3,FALSE)</f>
        <v>1108959</v>
      </c>
      <c r="O2264">
        <f>IF(G2264="Not available","",VLOOKUP(F2264,Sheet2!$B$1:$E$19,4,FALSE)+(G2264-1))</f>
        <v>3780032</v>
      </c>
    </row>
    <row r="2265" spans="1:15" s="1" customFormat="1" ht="15" customHeight="1" x14ac:dyDescent="0.25">
      <c r="A2265" s="19" t="s">
        <v>2951</v>
      </c>
      <c r="B2265" s="18" t="s">
        <v>12</v>
      </c>
      <c r="C2265" s="5">
        <v>1804</v>
      </c>
      <c r="E2265" s="1" t="s">
        <v>2</v>
      </c>
      <c r="F2265" s="18">
        <v>2173</v>
      </c>
      <c r="G2265" s="18">
        <v>48</v>
      </c>
      <c r="H2265" s="5">
        <v>91</v>
      </c>
      <c r="I2265" s="1">
        <v>104</v>
      </c>
      <c r="J2265" s="1">
        <v>222</v>
      </c>
      <c r="L2265" t="str">
        <f t="shared" si="35"/>
        <v>http://www.badatelna.eu/reprodukce/?fondId=1073&amp;zaznamId=1108959&amp;reproId=3780041</v>
      </c>
      <c r="M2265">
        <f>VLOOKUP(F2265,Sheet2!$B$1:$E$19,2,FALSE)</f>
        <v>1073</v>
      </c>
      <c r="N2265">
        <f>VLOOKUP(F2265,Sheet2!$B$1:$E$19,3,FALSE)</f>
        <v>1108959</v>
      </c>
      <c r="O2265">
        <f>IF(G2265="Not available","",VLOOKUP(F2265,Sheet2!$B$1:$E$19,4,FALSE)+(G2265-1))</f>
        <v>3780041</v>
      </c>
    </row>
    <row r="2266" spans="1:15" s="1" customFormat="1" ht="15" customHeight="1" x14ac:dyDescent="0.25">
      <c r="A2266" s="18" t="s">
        <v>2438</v>
      </c>
      <c r="B2266" s="18" t="s">
        <v>1968</v>
      </c>
      <c r="C2266" s="10" t="s">
        <v>2081</v>
      </c>
      <c r="D2266" s="3" t="s">
        <v>2439</v>
      </c>
      <c r="E2266" s="4" t="s">
        <v>2</v>
      </c>
      <c r="F2266" s="18">
        <v>2176</v>
      </c>
      <c r="G2266" s="18" t="s">
        <v>3271</v>
      </c>
      <c r="H2266" s="10" t="s">
        <v>2088</v>
      </c>
      <c r="I2266" s="3">
        <v>25</v>
      </c>
      <c r="J2266" s="3" t="s">
        <v>3271</v>
      </c>
      <c r="K2266" s="3"/>
      <c r="L2266" t="str">
        <f t="shared" si="35"/>
        <v/>
      </c>
      <c r="M2266">
        <f>VLOOKUP(F2266,Sheet2!$B$1:$E$19,2,FALSE)</f>
        <v>1073</v>
      </c>
      <c r="N2266">
        <f>VLOOKUP(F2266,Sheet2!$B$1:$E$19,3,FALSE)</f>
        <v>1108963</v>
      </c>
      <c r="O2266" t="str">
        <f>IF(G2266="Not available","",VLOOKUP(F2266,Sheet2!$B$1:$E$19,4,FALSE)+(G2266-1))</f>
        <v/>
      </c>
    </row>
    <row r="2267" spans="1:15" s="1" customFormat="1" ht="15" customHeight="1" x14ac:dyDescent="0.25">
      <c r="A2267" s="18" t="s">
        <v>2438</v>
      </c>
      <c r="B2267" s="18" t="s">
        <v>1126</v>
      </c>
      <c r="C2267" s="10" t="s">
        <v>2092</v>
      </c>
      <c r="D2267" s="3" t="s">
        <v>2439</v>
      </c>
      <c r="E2267" s="4" t="s">
        <v>2</v>
      </c>
      <c r="F2267" s="18">
        <v>2176</v>
      </c>
      <c r="G2267" s="18" t="s">
        <v>3271</v>
      </c>
      <c r="H2267" s="10" t="s">
        <v>2311</v>
      </c>
      <c r="I2267" s="3">
        <v>25</v>
      </c>
      <c r="J2267" s="3" t="s">
        <v>3271</v>
      </c>
      <c r="K2267" s="3"/>
      <c r="L2267" t="str">
        <f t="shared" si="35"/>
        <v/>
      </c>
      <c r="M2267">
        <f>VLOOKUP(F2267,Sheet2!$B$1:$E$19,2,FALSE)</f>
        <v>1073</v>
      </c>
      <c r="N2267">
        <f>VLOOKUP(F2267,Sheet2!$B$1:$E$19,3,FALSE)</f>
        <v>1108963</v>
      </c>
      <c r="O2267" t="str">
        <f>IF(G2267="Not available","",VLOOKUP(F2267,Sheet2!$B$1:$E$19,4,FALSE)+(G2267-1))</f>
        <v/>
      </c>
    </row>
    <row r="2268" spans="1:15" s="1" customFormat="1" ht="15" customHeight="1" x14ac:dyDescent="0.25">
      <c r="A2268" s="18" t="s">
        <v>1218</v>
      </c>
      <c r="B2268" s="18" t="s">
        <v>1051</v>
      </c>
      <c r="C2268" s="5" t="s">
        <v>1818</v>
      </c>
      <c r="D2268" s="1" t="s">
        <v>12</v>
      </c>
      <c r="E2268" s="1" t="s">
        <v>2</v>
      </c>
      <c r="F2268" s="18">
        <v>2165</v>
      </c>
      <c r="G2268" s="18">
        <v>247</v>
      </c>
      <c r="H2268" s="5">
        <v>1</v>
      </c>
      <c r="I2268" s="1">
        <v>250</v>
      </c>
      <c r="J2268" s="1">
        <v>226</v>
      </c>
      <c r="L2268" t="str">
        <f t="shared" si="35"/>
        <v>http://www.badatelna.eu/reprodukce/?fondId=1073&amp;zaznamId=1108952&amp;reproId=3779108</v>
      </c>
      <c r="M2268">
        <f>VLOOKUP(F2268,Sheet2!$B$1:$E$19,2,FALSE)</f>
        <v>1073</v>
      </c>
      <c r="N2268">
        <f>VLOOKUP(F2268,Sheet2!$B$1:$E$19,3,FALSE)</f>
        <v>1108952</v>
      </c>
      <c r="O2268">
        <f>IF(G2268="Not available","",VLOOKUP(F2268,Sheet2!$B$1:$E$19,4,FALSE)+(G2268-1))</f>
        <v>3779108</v>
      </c>
    </row>
    <row r="2269" spans="1:15" s="1" customFormat="1" ht="15" customHeight="1" x14ac:dyDescent="0.25">
      <c r="A2269" s="18" t="s">
        <v>3300</v>
      </c>
      <c r="B2269" s="18" t="s">
        <v>1224</v>
      </c>
      <c r="C2269" s="5" t="s">
        <v>1896</v>
      </c>
      <c r="D2269" s="1" t="s">
        <v>12</v>
      </c>
      <c r="E2269" s="1" t="s">
        <v>2</v>
      </c>
      <c r="F2269" s="18">
        <v>2165</v>
      </c>
      <c r="G2269" s="18">
        <v>271</v>
      </c>
      <c r="H2269" s="5">
        <v>3</v>
      </c>
      <c r="I2269" s="1">
        <v>272</v>
      </c>
      <c r="J2269" s="1">
        <v>246</v>
      </c>
      <c r="L2269" t="str">
        <f t="shared" si="35"/>
        <v>http://www.badatelna.eu/reprodukce/?fondId=1073&amp;zaznamId=1108952&amp;reproId=3779132</v>
      </c>
      <c r="M2269">
        <f>VLOOKUP(F2269,Sheet2!$B$1:$E$19,2,FALSE)</f>
        <v>1073</v>
      </c>
      <c r="N2269">
        <f>VLOOKUP(F2269,Sheet2!$B$1:$E$19,3,FALSE)</f>
        <v>1108952</v>
      </c>
      <c r="O2269">
        <f>IF(G2269="Not available","",VLOOKUP(F2269,Sheet2!$B$1:$E$19,4,FALSE)+(G2269-1))</f>
        <v>3779132</v>
      </c>
    </row>
    <row r="2270" spans="1:15" s="1" customFormat="1" ht="15" customHeight="1" x14ac:dyDescent="0.25">
      <c r="A2270" s="18" t="s">
        <v>2453</v>
      </c>
      <c r="B2270" s="18" t="s">
        <v>432</v>
      </c>
      <c r="C2270" s="10" t="s">
        <v>2452</v>
      </c>
      <c r="D2270" s="3" t="s">
        <v>2454</v>
      </c>
      <c r="E2270" s="4" t="s">
        <v>2</v>
      </c>
      <c r="F2270" s="18">
        <v>2176</v>
      </c>
      <c r="G2270" s="18" t="s">
        <v>3271</v>
      </c>
      <c r="H2270" s="10" t="s">
        <v>1955</v>
      </c>
      <c r="I2270" s="3">
        <v>25</v>
      </c>
      <c r="J2270" s="3" t="s">
        <v>3271</v>
      </c>
      <c r="K2270" s="3"/>
      <c r="L2270" t="str">
        <f t="shared" si="35"/>
        <v/>
      </c>
      <c r="M2270">
        <f>VLOOKUP(F2270,Sheet2!$B$1:$E$19,2,FALSE)</f>
        <v>1073</v>
      </c>
      <c r="N2270">
        <f>VLOOKUP(F2270,Sheet2!$B$1:$E$19,3,FALSE)</f>
        <v>1108963</v>
      </c>
      <c r="O2270" t="str">
        <f>IF(G2270="Not available","",VLOOKUP(F2270,Sheet2!$B$1:$E$19,4,FALSE)+(G2270-1))</f>
        <v/>
      </c>
    </row>
    <row r="2271" spans="1:15" s="1" customFormat="1" ht="15" customHeight="1" x14ac:dyDescent="0.25">
      <c r="A2271" s="18" t="s">
        <v>262</v>
      </c>
      <c r="B2271" s="18" t="s">
        <v>3282</v>
      </c>
      <c r="C2271" s="10"/>
      <c r="D2271" s="3"/>
      <c r="E2271" s="4"/>
      <c r="F2271" s="18"/>
      <c r="G2271" s="18"/>
      <c r="H2271" s="10"/>
      <c r="I2271" s="3"/>
      <c r="J2271" s="3"/>
      <c r="K2271" s="3"/>
      <c r="L2271" t="e">
        <f t="shared" si="35"/>
        <v>#N/A</v>
      </c>
      <c r="M2271" t="e">
        <f>VLOOKUP(F2271,Sheet2!$B$1:$E$19,2,FALSE)</f>
        <v>#N/A</v>
      </c>
      <c r="N2271" t="e">
        <f>VLOOKUP(F2271,Sheet2!$B$1:$E$19,3,FALSE)</f>
        <v>#N/A</v>
      </c>
      <c r="O2271" t="e">
        <f>IF(G2271="Not available","",VLOOKUP(F2271,Sheet2!$B$1:$E$19,4,FALSE)+(G2271-1))</f>
        <v>#N/A</v>
      </c>
    </row>
    <row r="2272" spans="1:15" s="1" customFormat="1" ht="15" customHeight="1" x14ac:dyDescent="0.25">
      <c r="A2272" s="18" t="s">
        <v>2955</v>
      </c>
      <c r="B2272" s="18" t="s">
        <v>293</v>
      </c>
      <c r="C2272" s="5">
        <v>1830</v>
      </c>
      <c r="E2272" s="1" t="s">
        <v>2</v>
      </c>
      <c r="F2272" s="18">
        <v>2173</v>
      </c>
      <c r="G2272" s="18">
        <v>86</v>
      </c>
      <c r="H2272" s="5">
        <v>162</v>
      </c>
      <c r="I2272" s="1">
        <v>104</v>
      </c>
      <c r="J2272" s="1">
        <v>223</v>
      </c>
      <c r="L2272" t="str">
        <f t="shared" si="35"/>
        <v>http://www.badatelna.eu/reprodukce/?fondId=1073&amp;zaznamId=1108959&amp;reproId=3780079</v>
      </c>
      <c r="M2272">
        <f>VLOOKUP(F2272,Sheet2!$B$1:$E$19,2,FALSE)</f>
        <v>1073</v>
      </c>
      <c r="N2272">
        <f>VLOOKUP(F2272,Sheet2!$B$1:$E$19,3,FALSE)</f>
        <v>1108959</v>
      </c>
      <c r="O2272">
        <f>IF(G2272="Not available","",VLOOKUP(F2272,Sheet2!$B$1:$E$19,4,FALSE)+(G2272-1))</f>
        <v>3780079</v>
      </c>
    </row>
    <row r="2273" spans="1:15" s="1" customFormat="1" ht="15" customHeight="1" x14ac:dyDescent="0.25">
      <c r="A2273" s="18" t="s">
        <v>267</v>
      </c>
      <c r="B2273" s="18" t="s">
        <v>92</v>
      </c>
      <c r="C2273" s="5">
        <v>1830</v>
      </c>
      <c r="E2273" s="1" t="s">
        <v>2</v>
      </c>
      <c r="F2273" s="18">
        <v>2173</v>
      </c>
      <c r="G2273" s="18">
        <v>85</v>
      </c>
      <c r="H2273" s="5">
        <v>160</v>
      </c>
      <c r="I2273" s="1">
        <v>104</v>
      </c>
      <c r="J2273" s="1">
        <v>223</v>
      </c>
      <c r="L2273" t="str">
        <f t="shared" si="35"/>
        <v>http://www.badatelna.eu/reprodukce/?fondId=1073&amp;zaznamId=1108959&amp;reproId=3780078</v>
      </c>
      <c r="M2273">
        <f>VLOOKUP(F2273,Sheet2!$B$1:$E$19,2,FALSE)</f>
        <v>1073</v>
      </c>
      <c r="N2273">
        <f>VLOOKUP(F2273,Sheet2!$B$1:$E$19,3,FALSE)</f>
        <v>1108959</v>
      </c>
      <c r="O2273">
        <f>IF(G2273="Not available","",VLOOKUP(F2273,Sheet2!$B$1:$E$19,4,FALSE)+(G2273-1))</f>
        <v>3780078</v>
      </c>
    </row>
    <row r="2274" spans="1:15" s="1" customFormat="1" ht="15" customHeight="1" x14ac:dyDescent="0.25">
      <c r="A2274" s="18" t="s">
        <v>267</v>
      </c>
      <c r="B2274" s="18" t="s">
        <v>6</v>
      </c>
      <c r="C2274" s="5">
        <v>1816</v>
      </c>
      <c r="E2274" s="1" t="s">
        <v>2</v>
      </c>
      <c r="F2274" s="18">
        <v>2173</v>
      </c>
      <c r="G2274" s="18">
        <v>65</v>
      </c>
      <c r="H2274" s="5">
        <v>124</v>
      </c>
      <c r="I2274" s="1">
        <v>104</v>
      </c>
      <c r="J2274" s="1">
        <v>222</v>
      </c>
      <c r="L2274" t="str">
        <f t="shared" si="35"/>
        <v>http://www.badatelna.eu/reprodukce/?fondId=1073&amp;zaznamId=1108959&amp;reproId=3780058</v>
      </c>
      <c r="M2274">
        <f>VLOOKUP(F2274,Sheet2!$B$1:$E$19,2,FALSE)</f>
        <v>1073</v>
      </c>
      <c r="N2274">
        <f>VLOOKUP(F2274,Sheet2!$B$1:$E$19,3,FALSE)</f>
        <v>1108959</v>
      </c>
      <c r="O2274">
        <f>IF(G2274="Not available","",VLOOKUP(F2274,Sheet2!$B$1:$E$19,4,FALSE)+(G2274-1))</f>
        <v>3780058</v>
      </c>
    </row>
    <row r="2275" spans="1:15" s="1" customFormat="1" ht="15" customHeight="1" x14ac:dyDescent="0.25">
      <c r="A2275" s="18" t="s">
        <v>267</v>
      </c>
      <c r="B2275" s="19" t="s">
        <v>59</v>
      </c>
      <c r="C2275" s="5">
        <v>1820</v>
      </c>
      <c r="E2275" s="1" t="s">
        <v>2</v>
      </c>
      <c r="F2275" s="18">
        <v>2173</v>
      </c>
      <c r="G2275" s="18">
        <v>70</v>
      </c>
      <c r="H2275" s="5">
        <v>133</v>
      </c>
      <c r="I2275" s="1">
        <v>104</v>
      </c>
      <c r="J2275" s="1">
        <v>222</v>
      </c>
      <c r="L2275" t="str">
        <f t="shared" si="35"/>
        <v>http://www.badatelna.eu/reprodukce/?fondId=1073&amp;zaznamId=1108959&amp;reproId=3780063</v>
      </c>
      <c r="M2275">
        <f>VLOOKUP(F2275,Sheet2!$B$1:$E$19,2,FALSE)</f>
        <v>1073</v>
      </c>
      <c r="N2275">
        <f>VLOOKUP(F2275,Sheet2!$B$1:$E$19,3,FALSE)</f>
        <v>1108959</v>
      </c>
      <c r="O2275">
        <f>IF(G2275="Not available","",VLOOKUP(F2275,Sheet2!$B$1:$E$19,4,FALSE)+(G2275-1))</f>
        <v>3780063</v>
      </c>
    </row>
    <row r="2276" spans="1:15" s="1" customFormat="1" ht="15" customHeight="1" x14ac:dyDescent="0.25">
      <c r="A2276" s="18" t="s">
        <v>3344</v>
      </c>
      <c r="B2276" s="18" t="s">
        <v>99</v>
      </c>
      <c r="C2276" s="5">
        <v>1817</v>
      </c>
      <c r="E2276" s="1" t="s">
        <v>2</v>
      </c>
      <c r="F2276" s="18">
        <v>2173</v>
      </c>
      <c r="G2276" s="18">
        <v>67</v>
      </c>
      <c r="H2276" s="6" t="s">
        <v>338</v>
      </c>
      <c r="I2276" s="1">
        <v>104</v>
      </c>
      <c r="J2276" s="1">
        <v>222</v>
      </c>
      <c r="L2276" t="str">
        <f t="shared" si="35"/>
        <v>http://www.badatelna.eu/reprodukce/?fondId=1073&amp;zaznamId=1108959&amp;reproId=3780060</v>
      </c>
      <c r="M2276">
        <f>VLOOKUP(F2276,Sheet2!$B$1:$E$19,2,FALSE)</f>
        <v>1073</v>
      </c>
      <c r="N2276">
        <f>VLOOKUP(F2276,Sheet2!$B$1:$E$19,3,FALSE)</f>
        <v>1108959</v>
      </c>
      <c r="O2276">
        <f>IF(G2276="Not available","",VLOOKUP(F2276,Sheet2!$B$1:$E$19,4,FALSE)+(G2276-1))</f>
        <v>3780060</v>
      </c>
    </row>
    <row r="2277" spans="1:15" s="1" customFormat="1" ht="15" customHeight="1" x14ac:dyDescent="0.25">
      <c r="A2277" s="18" t="s">
        <v>267</v>
      </c>
      <c r="B2277" s="18" t="s">
        <v>133</v>
      </c>
      <c r="C2277" s="5">
        <v>1826</v>
      </c>
      <c r="E2277" s="1" t="s">
        <v>2</v>
      </c>
      <c r="F2277" s="18">
        <v>2173</v>
      </c>
      <c r="G2277" s="18">
        <v>78</v>
      </c>
      <c r="H2277" s="5">
        <v>149</v>
      </c>
      <c r="I2277" s="1">
        <v>104</v>
      </c>
      <c r="J2277" s="1">
        <v>223</v>
      </c>
      <c r="L2277" t="str">
        <f t="shared" si="35"/>
        <v>http://www.badatelna.eu/reprodukce/?fondId=1073&amp;zaznamId=1108959&amp;reproId=3780071</v>
      </c>
      <c r="M2277">
        <f>VLOOKUP(F2277,Sheet2!$B$1:$E$19,2,FALSE)</f>
        <v>1073</v>
      </c>
      <c r="N2277">
        <f>VLOOKUP(F2277,Sheet2!$B$1:$E$19,3,FALSE)</f>
        <v>1108959</v>
      </c>
      <c r="O2277">
        <f>IF(G2277="Not available","",VLOOKUP(F2277,Sheet2!$B$1:$E$19,4,FALSE)+(G2277-1))</f>
        <v>3780071</v>
      </c>
    </row>
    <row r="2278" spans="1:15" s="1" customFormat="1" ht="15" customHeight="1" x14ac:dyDescent="0.25">
      <c r="A2278" s="18" t="s">
        <v>267</v>
      </c>
      <c r="B2278" s="18" t="s">
        <v>137</v>
      </c>
      <c r="C2278" s="5">
        <v>1822</v>
      </c>
      <c r="E2278" s="1" t="s">
        <v>2</v>
      </c>
      <c r="F2278" s="18">
        <v>2173</v>
      </c>
      <c r="G2278" s="18">
        <v>73</v>
      </c>
      <c r="H2278" s="5">
        <v>138</v>
      </c>
      <c r="I2278" s="1">
        <v>104</v>
      </c>
      <c r="J2278" s="1">
        <v>222</v>
      </c>
      <c r="L2278" t="str">
        <f t="shared" si="35"/>
        <v>http://www.badatelna.eu/reprodukce/?fondId=1073&amp;zaznamId=1108959&amp;reproId=3780066</v>
      </c>
      <c r="M2278">
        <f>VLOOKUP(F2278,Sheet2!$B$1:$E$19,2,FALSE)</f>
        <v>1073</v>
      </c>
      <c r="N2278">
        <f>VLOOKUP(F2278,Sheet2!$B$1:$E$19,3,FALSE)</f>
        <v>1108959</v>
      </c>
      <c r="O2278">
        <f>IF(G2278="Not available","",VLOOKUP(F2278,Sheet2!$B$1:$E$19,4,FALSE)+(G2278-1))</f>
        <v>3780066</v>
      </c>
    </row>
    <row r="2279" spans="1:15" s="1" customFormat="1" ht="15" customHeight="1" x14ac:dyDescent="0.25">
      <c r="A2279" s="18" t="s">
        <v>267</v>
      </c>
      <c r="B2279" s="18" t="s">
        <v>13</v>
      </c>
      <c r="C2279" s="5">
        <v>1818</v>
      </c>
      <c r="E2279" s="1" t="s">
        <v>2</v>
      </c>
      <c r="F2279" s="18">
        <v>2173</v>
      </c>
      <c r="G2279" s="18">
        <v>68</v>
      </c>
      <c r="H2279" s="5">
        <v>129</v>
      </c>
      <c r="I2279" s="1">
        <v>104</v>
      </c>
      <c r="J2279" s="1">
        <v>222</v>
      </c>
      <c r="L2279" t="str">
        <f t="shared" si="35"/>
        <v>http://www.badatelna.eu/reprodukce/?fondId=1073&amp;zaznamId=1108959&amp;reproId=3780061</v>
      </c>
      <c r="M2279">
        <f>VLOOKUP(F2279,Sheet2!$B$1:$E$19,2,FALSE)</f>
        <v>1073</v>
      </c>
      <c r="N2279">
        <f>VLOOKUP(F2279,Sheet2!$B$1:$E$19,3,FALSE)</f>
        <v>1108959</v>
      </c>
      <c r="O2279">
        <f>IF(G2279="Not available","",VLOOKUP(F2279,Sheet2!$B$1:$E$19,4,FALSE)+(G2279-1))</f>
        <v>3780061</v>
      </c>
    </row>
    <row r="2280" spans="1:15" s="1" customFormat="1" ht="15" customHeight="1" x14ac:dyDescent="0.25">
      <c r="A2280" s="18" t="s">
        <v>267</v>
      </c>
      <c r="B2280" s="18" t="s">
        <v>71</v>
      </c>
      <c r="C2280" s="5">
        <v>1791</v>
      </c>
      <c r="E2280" s="1" t="s">
        <v>2</v>
      </c>
      <c r="F2280" s="18">
        <v>2173</v>
      </c>
      <c r="G2280" s="18">
        <v>26</v>
      </c>
      <c r="H2280" s="5">
        <v>46</v>
      </c>
      <c r="I2280" s="1">
        <v>103</v>
      </c>
      <c r="J2280" s="12">
        <v>221</v>
      </c>
      <c r="L2280" t="str">
        <f t="shared" si="35"/>
        <v>http://www.badatelna.eu/reprodukce/?fondId=1073&amp;zaznamId=1108959&amp;reproId=3780019</v>
      </c>
      <c r="M2280">
        <f>VLOOKUP(F2280,Sheet2!$B$1:$E$19,2,FALSE)</f>
        <v>1073</v>
      </c>
      <c r="N2280">
        <f>VLOOKUP(F2280,Sheet2!$B$1:$E$19,3,FALSE)</f>
        <v>1108959</v>
      </c>
      <c r="O2280">
        <f>IF(G2280="Not available","",VLOOKUP(F2280,Sheet2!$B$1:$E$19,4,FALSE)+(G2280-1))</f>
        <v>3780019</v>
      </c>
    </row>
    <row r="2281" spans="1:15" s="1" customFormat="1" ht="15" customHeight="1" x14ac:dyDescent="0.25">
      <c r="A2281" s="18" t="s">
        <v>267</v>
      </c>
      <c r="B2281" s="18" t="s">
        <v>71</v>
      </c>
      <c r="C2281" s="5">
        <v>1796</v>
      </c>
      <c r="D2281" s="1" t="s">
        <v>268</v>
      </c>
      <c r="E2281" s="1" t="s">
        <v>2</v>
      </c>
      <c r="F2281" s="18">
        <v>2173</v>
      </c>
      <c r="G2281" s="18">
        <v>34</v>
      </c>
      <c r="H2281" s="5">
        <v>63</v>
      </c>
      <c r="I2281" s="1">
        <v>103</v>
      </c>
      <c r="J2281" s="1">
        <v>221</v>
      </c>
      <c r="L2281" t="str">
        <f t="shared" si="35"/>
        <v>http://www.badatelna.eu/reprodukce/?fondId=1073&amp;zaznamId=1108959&amp;reproId=3780027</v>
      </c>
      <c r="M2281">
        <f>VLOOKUP(F2281,Sheet2!$B$1:$E$19,2,FALSE)</f>
        <v>1073</v>
      </c>
      <c r="N2281">
        <f>VLOOKUP(F2281,Sheet2!$B$1:$E$19,3,FALSE)</f>
        <v>1108959</v>
      </c>
      <c r="O2281">
        <f>IF(G2281="Not available","",VLOOKUP(F2281,Sheet2!$B$1:$E$19,4,FALSE)+(G2281-1))</f>
        <v>3780027</v>
      </c>
    </row>
    <row r="2282" spans="1:15" s="1" customFormat="1" ht="15" customHeight="1" x14ac:dyDescent="0.25">
      <c r="A2282" s="18" t="s">
        <v>267</v>
      </c>
      <c r="B2282" s="18" t="s">
        <v>23</v>
      </c>
      <c r="C2282" s="5">
        <v>1824</v>
      </c>
      <c r="E2282" s="1" t="s">
        <v>2</v>
      </c>
      <c r="F2282" s="18">
        <v>2173</v>
      </c>
      <c r="G2282" s="18">
        <v>75</v>
      </c>
      <c r="H2282" s="5">
        <v>143</v>
      </c>
      <c r="I2282" s="1">
        <v>104</v>
      </c>
      <c r="J2282" s="1">
        <v>222</v>
      </c>
      <c r="L2282" t="str">
        <f t="shared" si="35"/>
        <v>http://www.badatelna.eu/reprodukce/?fondId=1073&amp;zaznamId=1108959&amp;reproId=3780068</v>
      </c>
      <c r="M2282">
        <f>VLOOKUP(F2282,Sheet2!$B$1:$E$19,2,FALSE)</f>
        <v>1073</v>
      </c>
      <c r="N2282">
        <f>VLOOKUP(F2282,Sheet2!$B$1:$E$19,3,FALSE)</f>
        <v>1108959</v>
      </c>
      <c r="O2282">
        <f>IF(G2282="Not available","",VLOOKUP(F2282,Sheet2!$B$1:$E$19,4,FALSE)+(G2282-1))</f>
        <v>3780068</v>
      </c>
    </row>
    <row r="2283" spans="1:15" s="1" customFormat="1" ht="15" customHeight="1" x14ac:dyDescent="0.25">
      <c r="A2283" s="18" t="s">
        <v>3345</v>
      </c>
      <c r="B2283" s="18" t="s">
        <v>99</v>
      </c>
      <c r="C2283" s="5">
        <v>1817</v>
      </c>
      <c r="E2283" s="1" t="s">
        <v>2</v>
      </c>
      <c r="F2283" s="18">
        <v>2173</v>
      </c>
      <c r="G2283" s="18">
        <v>67</v>
      </c>
      <c r="H2283" s="6" t="s">
        <v>338</v>
      </c>
      <c r="I2283" s="1">
        <v>104</v>
      </c>
      <c r="J2283" s="1">
        <v>222</v>
      </c>
      <c r="L2283" t="str">
        <f t="shared" si="35"/>
        <v>http://www.badatelna.eu/reprodukce/?fondId=1073&amp;zaznamId=1108959&amp;reproId=3780060</v>
      </c>
      <c r="M2283">
        <f>VLOOKUP(F2283,Sheet2!$B$1:$E$19,2,FALSE)</f>
        <v>1073</v>
      </c>
      <c r="N2283">
        <f>VLOOKUP(F2283,Sheet2!$B$1:$E$19,3,FALSE)</f>
        <v>1108959</v>
      </c>
      <c r="O2283">
        <f>IF(G2283="Not available","",VLOOKUP(F2283,Sheet2!$B$1:$E$19,4,FALSE)+(G2283-1))</f>
        <v>3780060</v>
      </c>
    </row>
    <row r="2284" spans="1:15" s="1" customFormat="1" ht="15" customHeight="1" x14ac:dyDescent="0.25">
      <c r="A2284" s="19" t="s">
        <v>291</v>
      </c>
      <c r="B2284" s="18" t="s">
        <v>6</v>
      </c>
      <c r="C2284" s="5">
        <v>1822</v>
      </c>
      <c r="E2284" s="1" t="s">
        <v>2</v>
      </c>
      <c r="F2284" s="18">
        <v>2173</v>
      </c>
      <c r="G2284" s="18">
        <v>73</v>
      </c>
      <c r="H2284" s="5">
        <v>138</v>
      </c>
      <c r="I2284" s="1">
        <v>104</v>
      </c>
      <c r="J2284" s="1">
        <v>222</v>
      </c>
      <c r="L2284" t="str">
        <f t="shared" si="35"/>
        <v>http://www.badatelna.eu/reprodukce/?fondId=1073&amp;zaznamId=1108959&amp;reproId=3780066</v>
      </c>
      <c r="M2284">
        <f>VLOOKUP(F2284,Sheet2!$B$1:$E$19,2,FALSE)</f>
        <v>1073</v>
      </c>
      <c r="N2284">
        <f>VLOOKUP(F2284,Sheet2!$B$1:$E$19,3,FALSE)</f>
        <v>1108959</v>
      </c>
      <c r="O2284">
        <f>IF(G2284="Not available","",VLOOKUP(F2284,Sheet2!$B$1:$E$19,4,FALSE)+(G2284-1))</f>
        <v>3780066</v>
      </c>
    </row>
    <row r="2285" spans="1:15" s="1" customFormat="1" ht="15" customHeight="1" x14ac:dyDescent="0.25">
      <c r="A2285" s="18" t="s">
        <v>291</v>
      </c>
      <c r="B2285" s="18" t="s">
        <v>6</v>
      </c>
      <c r="C2285" s="5">
        <v>1829</v>
      </c>
      <c r="E2285" s="1" t="s">
        <v>2</v>
      </c>
      <c r="F2285" s="18">
        <v>2173</v>
      </c>
      <c r="G2285" s="18">
        <v>82</v>
      </c>
      <c r="H2285" s="5">
        <v>157</v>
      </c>
      <c r="I2285" s="1">
        <v>104</v>
      </c>
      <c r="J2285" s="1">
        <v>223</v>
      </c>
      <c r="L2285" t="str">
        <f t="shared" si="35"/>
        <v>http://www.badatelna.eu/reprodukce/?fondId=1073&amp;zaznamId=1108959&amp;reproId=3780075</v>
      </c>
      <c r="M2285">
        <f>VLOOKUP(F2285,Sheet2!$B$1:$E$19,2,FALSE)</f>
        <v>1073</v>
      </c>
      <c r="N2285">
        <f>VLOOKUP(F2285,Sheet2!$B$1:$E$19,3,FALSE)</f>
        <v>1108959</v>
      </c>
      <c r="O2285">
        <f>IF(G2285="Not available","",VLOOKUP(F2285,Sheet2!$B$1:$E$19,4,FALSE)+(G2285-1))</f>
        <v>3780075</v>
      </c>
    </row>
    <row r="2286" spans="1:15" s="1" customFormat="1" ht="15" customHeight="1" x14ac:dyDescent="0.25">
      <c r="A2286" s="18" t="s">
        <v>291</v>
      </c>
      <c r="B2286" s="18" t="s">
        <v>18</v>
      </c>
      <c r="C2286" s="5">
        <v>1826</v>
      </c>
      <c r="E2286" s="1" t="s">
        <v>2</v>
      </c>
      <c r="F2286" s="18">
        <v>2173</v>
      </c>
      <c r="G2286" s="18">
        <v>78</v>
      </c>
      <c r="H2286" s="5">
        <v>148</v>
      </c>
      <c r="I2286" s="1">
        <v>104</v>
      </c>
      <c r="J2286" s="1">
        <v>223</v>
      </c>
      <c r="L2286" t="str">
        <f t="shared" si="35"/>
        <v>http://www.badatelna.eu/reprodukce/?fondId=1073&amp;zaznamId=1108959&amp;reproId=3780071</v>
      </c>
      <c r="M2286">
        <f>VLOOKUP(F2286,Sheet2!$B$1:$E$19,2,FALSE)</f>
        <v>1073</v>
      </c>
      <c r="N2286">
        <f>VLOOKUP(F2286,Sheet2!$B$1:$E$19,3,FALSE)</f>
        <v>1108959</v>
      </c>
      <c r="O2286">
        <f>IF(G2286="Not available","",VLOOKUP(F2286,Sheet2!$B$1:$E$19,4,FALSE)+(G2286-1))</f>
        <v>3780071</v>
      </c>
    </row>
    <row r="2287" spans="1:15" s="1" customFormat="1" ht="15" customHeight="1" x14ac:dyDescent="0.25">
      <c r="A2287" s="19" t="s">
        <v>3100</v>
      </c>
      <c r="B2287" s="18" t="s">
        <v>18</v>
      </c>
      <c r="C2287" s="5">
        <v>1824</v>
      </c>
      <c r="E2287" s="1" t="s">
        <v>2</v>
      </c>
      <c r="F2287" s="18">
        <v>2173</v>
      </c>
      <c r="G2287" s="18">
        <v>77</v>
      </c>
      <c r="H2287" s="5">
        <v>146</v>
      </c>
      <c r="I2287" s="1">
        <v>93</v>
      </c>
      <c r="J2287" s="1">
        <v>194</v>
      </c>
      <c r="L2287" t="str">
        <f t="shared" si="35"/>
        <v>http://www.badatelna.eu/reprodukce/?fondId=1073&amp;zaznamId=1108959&amp;reproId=3780070</v>
      </c>
      <c r="M2287">
        <f>VLOOKUP(F2287,Sheet2!$B$1:$E$19,2,FALSE)</f>
        <v>1073</v>
      </c>
      <c r="N2287">
        <f>VLOOKUP(F2287,Sheet2!$B$1:$E$19,3,FALSE)</f>
        <v>1108959</v>
      </c>
      <c r="O2287">
        <f>IF(G2287="Not available","",VLOOKUP(F2287,Sheet2!$B$1:$E$19,4,FALSE)+(G2287-1))</f>
        <v>3780070</v>
      </c>
    </row>
    <row r="2288" spans="1:15" s="1" customFormat="1" ht="15" customHeight="1" x14ac:dyDescent="0.25">
      <c r="A2288" s="19" t="s">
        <v>3080</v>
      </c>
      <c r="B2288" s="18" t="s">
        <v>87</v>
      </c>
      <c r="C2288" s="5">
        <v>1789</v>
      </c>
      <c r="D2288" s="1" t="s">
        <v>6</v>
      </c>
      <c r="E2288" s="1" t="s">
        <v>2</v>
      </c>
      <c r="F2288" s="18">
        <v>2173</v>
      </c>
      <c r="G2288" s="18">
        <v>21</v>
      </c>
      <c r="H2288" s="5">
        <v>36</v>
      </c>
      <c r="I2288" s="1">
        <v>103</v>
      </c>
      <c r="J2288" s="12">
        <v>221</v>
      </c>
      <c r="L2288" t="str">
        <f t="shared" si="35"/>
        <v>http://www.badatelna.eu/reprodukce/?fondId=1073&amp;zaznamId=1108959&amp;reproId=3780014</v>
      </c>
      <c r="M2288">
        <f>VLOOKUP(F2288,Sheet2!$B$1:$E$19,2,FALSE)</f>
        <v>1073</v>
      </c>
      <c r="N2288">
        <f>VLOOKUP(F2288,Sheet2!$B$1:$E$19,3,FALSE)</f>
        <v>1108959</v>
      </c>
      <c r="O2288">
        <f>IF(G2288="Not available","",VLOOKUP(F2288,Sheet2!$B$1:$E$19,4,FALSE)+(G2288-1))</f>
        <v>3780014</v>
      </c>
    </row>
    <row r="2289" spans="1:15" s="1" customFormat="1" ht="15" customHeight="1" x14ac:dyDescent="0.25">
      <c r="A2289" s="18" t="s">
        <v>258</v>
      </c>
      <c r="B2289" s="18" t="s">
        <v>18</v>
      </c>
      <c r="C2289" s="5">
        <v>1787</v>
      </c>
      <c r="D2289" s="1" t="s">
        <v>6</v>
      </c>
      <c r="E2289" s="1" t="s">
        <v>2</v>
      </c>
      <c r="F2289" s="18">
        <v>2173</v>
      </c>
      <c r="G2289" s="18">
        <v>16</v>
      </c>
      <c r="H2289" s="5">
        <v>26</v>
      </c>
      <c r="I2289" s="1">
        <v>103</v>
      </c>
      <c r="J2289" s="12">
        <v>221</v>
      </c>
      <c r="L2289" t="str">
        <f t="shared" si="35"/>
        <v>http://www.badatelna.eu/reprodukce/?fondId=1073&amp;zaznamId=1108959&amp;reproId=3780009</v>
      </c>
      <c r="M2289">
        <f>VLOOKUP(F2289,Sheet2!$B$1:$E$19,2,FALSE)</f>
        <v>1073</v>
      </c>
      <c r="N2289">
        <f>VLOOKUP(F2289,Sheet2!$B$1:$E$19,3,FALSE)</f>
        <v>1108959</v>
      </c>
      <c r="O2289">
        <f>IF(G2289="Not available","",VLOOKUP(F2289,Sheet2!$B$1:$E$19,4,FALSE)+(G2289-1))</f>
        <v>3780009</v>
      </c>
    </row>
    <row r="2290" spans="1:15" s="1" customFormat="1" ht="15" customHeight="1" x14ac:dyDescent="0.25">
      <c r="A2290" s="19" t="s">
        <v>2950</v>
      </c>
      <c r="B2290" s="18" t="s">
        <v>240</v>
      </c>
      <c r="C2290" s="5">
        <v>1795</v>
      </c>
      <c r="D2290" s="1" t="s">
        <v>6</v>
      </c>
      <c r="E2290" s="1" t="s">
        <v>2</v>
      </c>
      <c r="F2290" s="18">
        <v>2173</v>
      </c>
      <c r="G2290" s="18">
        <v>32</v>
      </c>
      <c r="H2290" s="5">
        <v>59</v>
      </c>
      <c r="I2290" s="1">
        <v>103</v>
      </c>
      <c r="J2290" s="1">
        <v>221</v>
      </c>
      <c r="L2290" t="str">
        <f t="shared" si="35"/>
        <v>http://www.badatelna.eu/reprodukce/?fondId=1073&amp;zaznamId=1108959&amp;reproId=3780025</v>
      </c>
      <c r="M2290">
        <f>VLOOKUP(F2290,Sheet2!$B$1:$E$19,2,FALSE)</f>
        <v>1073</v>
      </c>
      <c r="N2290">
        <f>VLOOKUP(F2290,Sheet2!$B$1:$E$19,3,FALSE)</f>
        <v>1108959</v>
      </c>
      <c r="O2290">
        <f>IF(G2290="Not available","",VLOOKUP(F2290,Sheet2!$B$1:$E$19,4,FALSE)+(G2290-1))</f>
        <v>3780025</v>
      </c>
    </row>
    <row r="2291" spans="1:15" s="1" customFormat="1" ht="15" customHeight="1" x14ac:dyDescent="0.25">
      <c r="A2291" s="19" t="s">
        <v>2950</v>
      </c>
      <c r="B2291" s="19" t="s">
        <v>18</v>
      </c>
      <c r="C2291" s="5">
        <v>1792</v>
      </c>
      <c r="D2291" s="1" t="s">
        <v>6</v>
      </c>
      <c r="E2291" s="1" t="s">
        <v>2</v>
      </c>
      <c r="F2291" s="18">
        <v>2173</v>
      </c>
      <c r="G2291" s="18">
        <v>28</v>
      </c>
      <c r="H2291" s="5">
        <v>51</v>
      </c>
      <c r="I2291" s="1">
        <v>103</v>
      </c>
      <c r="J2291" s="1">
        <v>221</v>
      </c>
      <c r="L2291" t="str">
        <f t="shared" si="35"/>
        <v>http://www.badatelna.eu/reprodukce/?fondId=1073&amp;zaznamId=1108959&amp;reproId=3780021</v>
      </c>
      <c r="M2291">
        <f>VLOOKUP(F2291,Sheet2!$B$1:$E$19,2,FALSE)</f>
        <v>1073</v>
      </c>
      <c r="N2291">
        <f>VLOOKUP(F2291,Sheet2!$B$1:$E$19,3,FALSE)</f>
        <v>1108959</v>
      </c>
      <c r="O2291">
        <f>IF(G2291="Not available","",VLOOKUP(F2291,Sheet2!$B$1:$E$19,4,FALSE)+(G2291-1))</f>
        <v>3780021</v>
      </c>
    </row>
    <row r="2292" spans="1:15" s="1" customFormat="1" ht="15" customHeight="1" x14ac:dyDescent="0.25">
      <c r="A2292" s="18" t="s">
        <v>257</v>
      </c>
      <c r="B2292" s="19" t="s">
        <v>3078</v>
      </c>
      <c r="C2292" s="5">
        <v>1787</v>
      </c>
      <c r="D2292" s="1" t="s">
        <v>34</v>
      </c>
      <c r="E2292" s="1" t="s">
        <v>2</v>
      </c>
      <c r="F2292" s="18">
        <v>2173</v>
      </c>
      <c r="G2292" s="18">
        <v>14</v>
      </c>
      <c r="H2292" s="5">
        <v>23</v>
      </c>
      <c r="I2292" s="1">
        <v>103</v>
      </c>
      <c r="J2292" s="12">
        <v>221</v>
      </c>
      <c r="L2292" t="str">
        <f t="shared" si="35"/>
        <v>http://www.badatelna.eu/reprodukce/?fondId=1073&amp;zaznamId=1108959&amp;reproId=3780007</v>
      </c>
      <c r="M2292">
        <f>VLOOKUP(F2292,Sheet2!$B$1:$E$19,2,FALSE)</f>
        <v>1073</v>
      </c>
      <c r="N2292">
        <f>VLOOKUP(F2292,Sheet2!$B$1:$E$19,3,FALSE)</f>
        <v>1108959</v>
      </c>
      <c r="O2292">
        <f>IF(G2292="Not available","",VLOOKUP(F2292,Sheet2!$B$1:$E$19,4,FALSE)+(G2292-1))</f>
        <v>3780007</v>
      </c>
    </row>
    <row r="2293" spans="1:15" s="1" customFormat="1" ht="15" customHeight="1" x14ac:dyDescent="0.25">
      <c r="A2293" s="18" t="s">
        <v>675</v>
      </c>
      <c r="B2293" s="18" t="s">
        <v>16</v>
      </c>
      <c r="C2293" s="5">
        <v>1832</v>
      </c>
      <c r="D2293" s="1" t="s">
        <v>64</v>
      </c>
      <c r="E2293" s="1" t="s">
        <v>2</v>
      </c>
      <c r="F2293" s="18">
        <v>2174</v>
      </c>
      <c r="G2293" s="18">
        <v>68</v>
      </c>
      <c r="H2293" s="6" t="s">
        <v>3112</v>
      </c>
      <c r="I2293" s="1">
        <v>189</v>
      </c>
      <c r="J2293" s="1">
        <v>220</v>
      </c>
      <c r="K2293" s="2"/>
      <c r="L2293" t="str">
        <f t="shared" si="35"/>
        <v>http://www.badatelna.eu/reprodukce/?fondId=1073&amp;zaznamId=1108960&amp;reproId=3780292</v>
      </c>
      <c r="M2293">
        <f>VLOOKUP(F2293,Sheet2!$B$1:$E$19,2,FALSE)</f>
        <v>1073</v>
      </c>
      <c r="N2293">
        <f>VLOOKUP(F2293,Sheet2!$B$1:$E$19,3,FALSE)</f>
        <v>1108960</v>
      </c>
      <c r="O2293">
        <f>IF(G2293="Not available","",VLOOKUP(F2293,Sheet2!$B$1:$E$19,4,FALSE)+(G2293-1))</f>
        <v>3780292</v>
      </c>
    </row>
    <row r="2294" spans="1:15" s="1" customFormat="1" ht="15" customHeight="1" x14ac:dyDescent="0.25">
      <c r="A2294" s="18" t="s">
        <v>2446</v>
      </c>
      <c r="B2294" s="18" t="s">
        <v>593</v>
      </c>
      <c r="C2294" s="10" t="s">
        <v>2106</v>
      </c>
      <c r="D2294" s="3" t="s">
        <v>2440</v>
      </c>
      <c r="E2294" s="4" t="s">
        <v>2</v>
      </c>
      <c r="F2294" s="18">
        <v>2176</v>
      </c>
      <c r="G2294" s="18" t="s">
        <v>3271</v>
      </c>
      <c r="H2294" s="10" t="s">
        <v>2451</v>
      </c>
      <c r="I2294" s="3">
        <v>25</v>
      </c>
      <c r="J2294" s="3" t="s">
        <v>3271</v>
      </c>
      <c r="K2294" s="3"/>
      <c r="L2294" t="str">
        <f t="shared" si="35"/>
        <v/>
      </c>
      <c r="M2294">
        <f>VLOOKUP(F2294,Sheet2!$B$1:$E$19,2,FALSE)</f>
        <v>1073</v>
      </c>
      <c r="N2294">
        <f>VLOOKUP(F2294,Sheet2!$B$1:$E$19,3,FALSE)</f>
        <v>1108963</v>
      </c>
      <c r="O2294" t="str">
        <f>IF(G2294="Not available","",VLOOKUP(F2294,Sheet2!$B$1:$E$19,4,FALSE)+(G2294-1))</f>
        <v/>
      </c>
    </row>
    <row r="2295" spans="1:15" s="1" customFormat="1" ht="15" customHeight="1" x14ac:dyDescent="0.25">
      <c r="A2295" s="18" t="s">
        <v>2447</v>
      </c>
      <c r="B2295" s="18" t="s">
        <v>1266</v>
      </c>
      <c r="C2295" s="10" t="s">
        <v>2244</v>
      </c>
      <c r="D2295" s="3" t="s">
        <v>2440</v>
      </c>
      <c r="E2295" s="4" t="s">
        <v>2</v>
      </c>
      <c r="F2295" s="18">
        <v>2176</v>
      </c>
      <c r="G2295" s="18" t="s">
        <v>3271</v>
      </c>
      <c r="H2295" s="10" t="s">
        <v>2175</v>
      </c>
      <c r="I2295" s="3">
        <v>25</v>
      </c>
      <c r="J2295" s="3" t="s">
        <v>3271</v>
      </c>
      <c r="K2295" s="3"/>
      <c r="L2295" t="str">
        <f t="shared" si="35"/>
        <v/>
      </c>
      <c r="M2295">
        <f>VLOOKUP(F2295,Sheet2!$B$1:$E$19,2,FALSE)</f>
        <v>1073</v>
      </c>
      <c r="N2295">
        <f>VLOOKUP(F2295,Sheet2!$B$1:$E$19,3,FALSE)</f>
        <v>1108963</v>
      </c>
      <c r="O2295" t="str">
        <f>IF(G2295="Not available","",VLOOKUP(F2295,Sheet2!$B$1:$E$19,4,FALSE)+(G2295-1))</f>
        <v/>
      </c>
    </row>
    <row r="2296" spans="1:15" s="1" customFormat="1" ht="15" customHeight="1" x14ac:dyDescent="0.25">
      <c r="A2296" s="18" t="s">
        <v>2447</v>
      </c>
      <c r="B2296" s="18" t="s">
        <v>2448</v>
      </c>
      <c r="C2296" s="10" t="s">
        <v>2098</v>
      </c>
      <c r="D2296" s="3" t="s">
        <v>2449</v>
      </c>
      <c r="E2296" s="4" t="s">
        <v>2</v>
      </c>
      <c r="F2296" s="18">
        <v>2176</v>
      </c>
      <c r="G2296" s="18" t="s">
        <v>3271</v>
      </c>
      <c r="H2296" s="10" t="s">
        <v>2061</v>
      </c>
      <c r="I2296" s="3">
        <v>25</v>
      </c>
      <c r="J2296" s="3" t="s">
        <v>3271</v>
      </c>
      <c r="K2296" s="3"/>
      <c r="L2296" t="str">
        <f t="shared" si="35"/>
        <v/>
      </c>
      <c r="M2296">
        <f>VLOOKUP(F2296,Sheet2!$B$1:$E$19,2,FALSE)</f>
        <v>1073</v>
      </c>
      <c r="N2296">
        <f>VLOOKUP(F2296,Sheet2!$B$1:$E$19,3,FALSE)</f>
        <v>1108963</v>
      </c>
      <c r="O2296" t="str">
        <f>IF(G2296="Not available","",VLOOKUP(F2296,Sheet2!$B$1:$E$19,4,FALSE)+(G2296-1))</f>
        <v/>
      </c>
    </row>
    <row r="2297" spans="1:15" s="1" customFormat="1" ht="15" customHeight="1" x14ac:dyDescent="0.25">
      <c r="A2297" s="18" t="s">
        <v>2450</v>
      </c>
      <c r="B2297" s="18" t="s">
        <v>1972</v>
      </c>
      <c r="C2297" s="10" t="s">
        <v>2158</v>
      </c>
      <c r="D2297" s="3" t="s">
        <v>2440</v>
      </c>
      <c r="E2297" s="4" t="s">
        <v>2</v>
      </c>
      <c r="F2297" s="18">
        <v>2176</v>
      </c>
      <c r="G2297" s="18" t="s">
        <v>3271</v>
      </c>
      <c r="H2297" s="10" t="s">
        <v>1955</v>
      </c>
      <c r="I2297" s="3">
        <v>25</v>
      </c>
      <c r="J2297" s="3" t="s">
        <v>3271</v>
      </c>
      <c r="K2297" s="3"/>
      <c r="L2297" t="str">
        <f t="shared" si="35"/>
        <v/>
      </c>
      <c r="M2297">
        <f>VLOOKUP(F2297,Sheet2!$B$1:$E$19,2,FALSE)</f>
        <v>1073</v>
      </c>
      <c r="N2297">
        <f>VLOOKUP(F2297,Sheet2!$B$1:$E$19,3,FALSE)</f>
        <v>1108963</v>
      </c>
      <c r="O2297" t="str">
        <f>IF(G2297="Not available","",VLOOKUP(F2297,Sheet2!$B$1:$E$19,4,FALSE)+(G2297-1))</f>
        <v/>
      </c>
    </row>
    <row r="2298" spans="1:15" s="1" customFormat="1" ht="15" customHeight="1" x14ac:dyDescent="0.25">
      <c r="A2298" s="18" t="s">
        <v>1201</v>
      </c>
      <c r="B2298" s="18" t="s">
        <v>2442</v>
      </c>
      <c r="C2298" s="10" t="s">
        <v>2087</v>
      </c>
      <c r="D2298" s="3" t="s">
        <v>2440</v>
      </c>
      <c r="E2298" s="4" t="s">
        <v>2</v>
      </c>
      <c r="F2298" s="18">
        <v>2176</v>
      </c>
      <c r="G2298" s="18" t="s">
        <v>3271</v>
      </c>
      <c r="H2298" s="10" t="s">
        <v>1981</v>
      </c>
      <c r="I2298" s="3">
        <v>25</v>
      </c>
      <c r="J2298" s="3" t="s">
        <v>3271</v>
      </c>
      <c r="K2298" s="3"/>
      <c r="L2298" t="str">
        <f t="shared" si="35"/>
        <v/>
      </c>
      <c r="M2298">
        <f>VLOOKUP(F2298,Sheet2!$B$1:$E$19,2,FALSE)</f>
        <v>1073</v>
      </c>
      <c r="N2298">
        <f>VLOOKUP(F2298,Sheet2!$B$1:$E$19,3,FALSE)</f>
        <v>1108963</v>
      </c>
      <c r="O2298" t="str">
        <f>IF(G2298="Not available","",VLOOKUP(F2298,Sheet2!$B$1:$E$19,4,FALSE)+(G2298-1))</f>
        <v/>
      </c>
    </row>
    <row r="2299" spans="1:15" s="1" customFormat="1" ht="15" customHeight="1" x14ac:dyDescent="0.25">
      <c r="A2299" s="18" t="s">
        <v>1201</v>
      </c>
      <c r="B2299" s="18" t="s">
        <v>1043</v>
      </c>
      <c r="C2299" s="10" t="s">
        <v>2093</v>
      </c>
      <c r="D2299" s="3" t="s">
        <v>2440</v>
      </c>
      <c r="E2299" s="4" t="s">
        <v>2</v>
      </c>
      <c r="F2299" s="18">
        <v>2176</v>
      </c>
      <c r="G2299" s="18" t="s">
        <v>3271</v>
      </c>
      <c r="H2299" s="10" t="s">
        <v>1971</v>
      </c>
      <c r="I2299" s="3">
        <v>25</v>
      </c>
      <c r="J2299" s="3" t="s">
        <v>3271</v>
      </c>
      <c r="K2299" s="3"/>
      <c r="L2299" t="str">
        <f t="shared" si="35"/>
        <v/>
      </c>
      <c r="M2299">
        <f>VLOOKUP(F2299,Sheet2!$B$1:$E$19,2,FALSE)</f>
        <v>1073</v>
      </c>
      <c r="N2299">
        <f>VLOOKUP(F2299,Sheet2!$B$1:$E$19,3,FALSE)</f>
        <v>1108963</v>
      </c>
      <c r="O2299" t="str">
        <f>IF(G2299="Not available","",VLOOKUP(F2299,Sheet2!$B$1:$E$19,4,FALSE)+(G2299-1))</f>
        <v/>
      </c>
    </row>
    <row r="2300" spans="1:15" s="1" customFormat="1" ht="15" customHeight="1" x14ac:dyDescent="0.25">
      <c r="A2300" s="18" t="s">
        <v>1201</v>
      </c>
      <c r="B2300" s="18" t="s">
        <v>1244</v>
      </c>
      <c r="C2300" s="5" t="s">
        <v>1912</v>
      </c>
      <c r="D2300" s="1" t="s">
        <v>1202</v>
      </c>
      <c r="E2300" s="1" t="s">
        <v>2</v>
      </c>
      <c r="F2300" s="18">
        <v>2165</v>
      </c>
      <c r="G2300" s="18">
        <v>275</v>
      </c>
      <c r="H2300" s="5">
        <v>1</v>
      </c>
      <c r="I2300" s="1">
        <v>278</v>
      </c>
      <c r="J2300" s="1">
        <v>252</v>
      </c>
      <c r="L2300" t="str">
        <f t="shared" si="35"/>
        <v>http://www.badatelna.eu/reprodukce/?fondId=1073&amp;zaznamId=1108952&amp;reproId=3779136</v>
      </c>
      <c r="M2300">
        <f>VLOOKUP(F2300,Sheet2!$B$1:$E$19,2,FALSE)</f>
        <v>1073</v>
      </c>
      <c r="N2300">
        <f>VLOOKUP(F2300,Sheet2!$B$1:$E$19,3,FALSE)</f>
        <v>1108952</v>
      </c>
      <c r="O2300">
        <f>IF(G2300="Not available","",VLOOKUP(F2300,Sheet2!$B$1:$E$19,4,FALSE)+(G2300-1))</f>
        <v>3779136</v>
      </c>
    </row>
    <row r="2301" spans="1:15" s="1" customFormat="1" ht="15" customHeight="1" x14ac:dyDescent="0.25">
      <c r="A2301" s="18" t="s">
        <v>1201</v>
      </c>
      <c r="B2301" s="18" t="s">
        <v>1017</v>
      </c>
      <c r="C2301" s="5" t="s">
        <v>1844</v>
      </c>
      <c r="D2301" s="1" t="s">
        <v>1202</v>
      </c>
      <c r="E2301" s="1" t="s">
        <v>2</v>
      </c>
      <c r="F2301" s="18">
        <v>2165</v>
      </c>
      <c r="G2301" s="18">
        <v>255</v>
      </c>
      <c r="H2301" s="5">
        <v>2</v>
      </c>
      <c r="I2301" s="1">
        <v>252</v>
      </c>
      <c r="J2301" s="1">
        <v>228</v>
      </c>
      <c r="L2301" t="str">
        <f t="shared" si="35"/>
        <v>http://www.badatelna.eu/reprodukce/?fondId=1073&amp;zaznamId=1108952&amp;reproId=3779116</v>
      </c>
      <c r="M2301">
        <f>VLOOKUP(F2301,Sheet2!$B$1:$E$19,2,FALSE)</f>
        <v>1073</v>
      </c>
      <c r="N2301">
        <f>VLOOKUP(F2301,Sheet2!$B$1:$E$19,3,FALSE)</f>
        <v>1108952</v>
      </c>
      <c r="O2301">
        <f>IF(G2301="Not available","",VLOOKUP(F2301,Sheet2!$B$1:$E$19,4,FALSE)+(G2301-1))</f>
        <v>3779116</v>
      </c>
    </row>
    <row r="2302" spans="1:15" s="1" customFormat="1" ht="15" customHeight="1" x14ac:dyDescent="0.25">
      <c r="A2302" s="18" t="s">
        <v>1201</v>
      </c>
      <c r="B2302" s="18" t="s">
        <v>983</v>
      </c>
      <c r="C2302" s="5" t="s">
        <v>1868</v>
      </c>
      <c r="D2302" s="1" t="s">
        <v>1202</v>
      </c>
      <c r="E2302" s="1" t="s">
        <v>2</v>
      </c>
      <c r="F2302" s="18">
        <v>2165</v>
      </c>
      <c r="G2302" s="18">
        <v>262</v>
      </c>
      <c r="H2302" s="5">
        <v>3</v>
      </c>
      <c r="I2302" s="1">
        <v>265</v>
      </c>
      <c r="J2302" s="1">
        <v>239</v>
      </c>
      <c r="L2302" t="str">
        <f t="shared" si="35"/>
        <v>http://www.badatelna.eu/reprodukce/?fondId=1073&amp;zaznamId=1108952&amp;reproId=3779123</v>
      </c>
      <c r="M2302">
        <f>VLOOKUP(F2302,Sheet2!$B$1:$E$19,2,FALSE)</f>
        <v>1073</v>
      </c>
      <c r="N2302">
        <f>VLOOKUP(F2302,Sheet2!$B$1:$E$19,3,FALSE)</f>
        <v>1108952</v>
      </c>
      <c r="O2302">
        <f>IF(G2302="Not available","",VLOOKUP(F2302,Sheet2!$B$1:$E$19,4,FALSE)+(G2302-1))</f>
        <v>3779123</v>
      </c>
    </row>
    <row r="2303" spans="1:15" s="1" customFormat="1" ht="15" customHeight="1" x14ac:dyDescent="0.25">
      <c r="A2303" s="18" t="s">
        <v>1201</v>
      </c>
      <c r="B2303" s="18" t="s">
        <v>2168</v>
      </c>
      <c r="C2303" s="10" t="s">
        <v>2097</v>
      </c>
      <c r="D2303" s="3" t="s">
        <v>2440</v>
      </c>
      <c r="E2303" s="4" t="s">
        <v>2</v>
      </c>
      <c r="F2303" s="18">
        <v>2176</v>
      </c>
      <c r="G2303" s="18" t="s">
        <v>3271</v>
      </c>
      <c r="H2303" s="10" t="s">
        <v>2142</v>
      </c>
      <c r="I2303" s="3">
        <v>25</v>
      </c>
      <c r="J2303" s="3" t="s">
        <v>3271</v>
      </c>
      <c r="K2303" s="3"/>
      <c r="L2303" t="str">
        <f t="shared" si="35"/>
        <v/>
      </c>
      <c r="M2303">
        <f>VLOOKUP(F2303,Sheet2!$B$1:$E$19,2,FALSE)</f>
        <v>1073</v>
      </c>
      <c r="N2303">
        <f>VLOOKUP(F2303,Sheet2!$B$1:$E$19,3,FALSE)</f>
        <v>1108963</v>
      </c>
      <c r="O2303" t="str">
        <f>IF(G2303="Not available","",VLOOKUP(F2303,Sheet2!$B$1:$E$19,4,FALSE)+(G2303-1))</f>
        <v/>
      </c>
    </row>
    <row r="2304" spans="1:15" s="1" customFormat="1" ht="15" customHeight="1" x14ac:dyDescent="0.25">
      <c r="A2304" s="18" t="s">
        <v>1201</v>
      </c>
      <c r="B2304" s="18" t="s">
        <v>377</v>
      </c>
      <c r="C2304" s="14" t="s">
        <v>2097</v>
      </c>
      <c r="D2304" s="4" t="s">
        <v>1202</v>
      </c>
      <c r="E2304" s="1" t="s">
        <v>2</v>
      </c>
      <c r="F2304" s="18">
        <v>2165</v>
      </c>
      <c r="G2304" s="18">
        <v>292</v>
      </c>
      <c r="H2304" s="5">
        <v>1</v>
      </c>
      <c r="I2304" s="1">
        <v>295</v>
      </c>
      <c r="J2304" s="1">
        <v>268</v>
      </c>
      <c r="L2304" t="str">
        <f t="shared" si="35"/>
        <v>http://www.badatelna.eu/reprodukce/?fondId=1073&amp;zaznamId=1108952&amp;reproId=3779153</v>
      </c>
      <c r="M2304">
        <f>VLOOKUP(F2304,Sheet2!$B$1:$E$19,2,FALSE)</f>
        <v>1073</v>
      </c>
      <c r="N2304">
        <f>VLOOKUP(F2304,Sheet2!$B$1:$E$19,3,FALSE)</f>
        <v>1108952</v>
      </c>
      <c r="O2304">
        <f>IF(G2304="Not available","",VLOOKUP(F2304,Sheet2!$B$1:$E$19,4,FALSE)+(G2304-1))</f>
        <v>3779153</v>
      </c>
    </row>
    <row r="2305" spans="1:15" s="1" customFormat="1" ht="15" customHeight="1" x14ac:dyDescent="0.25">
      <c r="A2305" s="18" t="s">
        <v>1201</v>
      </c>
      <c r="B2305" s="18" t="s">
        <v>463</v>
      </c>
      <c r="C2305" s="10" t="s">
        <v>1952</v>
      </c>
      <c r="D2305" s="3" t="s">
        <v>2440</v>
      </c>
      <c r="E2305" s="4" t="s">
        <v>2</v>
      </c>
      <c r="F2305" s="18">
        <v>2176</v>
      </c>
      <c r="G2305" s="18" t="s">
        <v>3271</v>
      </c>
      <c r="H2305" s="10" t="s">
        <v>2006</v>
      </c>
      <c r="I2305" s="3">
        <v>25</v>
      </c>
      <c r="J2305" s="3" t="s">
        <v>3271</v>
      </c>
      <c r="K2305" s="3"/>
      <c r="L2305" t="str">
        <f t="shared" si="35"/>
        <v/>
      </c>
      <c r="M2305">
        <f>VLOOKUP(F2305,Sheet2!$B$1:$E$19,2,FALSE)</f>
        <v>1073</v>
      </c>
      <c r="N2305">
        <f>VLOOKUP(F2305,Sheet2!$B$1:$E$19,3,FALSE)</f>
        <v>1108963</v>
      </c>
      <c r="O2305" t="str">
        <f>IF(G2305="Not available","",VLOOKUP(F2305,Sheet2!$B$1:$E$19,4,FALSE)+(G2305-1))</f>
        <v/>
      </c>
    </row>
    <row r="2306" spans="1:15" s="1" customFormat="1" ht="15" customHeight="1" x14ac:dyDescent="0.25">
      <c r="A2306" s="18" t="s">
        <v>1201</v>
      </c>
      <c r="B2306" s="18" t="s">
        <v>937</v>
      </c>
      <c r="C2306" s="5" t="s">
        <v>1806</v>
      </c>
      <c r="D2306" s="1" t="s">
        <v>1202</v>
      </c>
      <c r="E2306" s="1" t="s">
        <v>2</v>
      </c>
      <c r="F2306" s="18">
        <v>2165</v>
      </c>
      <c r="G2306" s="18">
        <v>242</v>
      </c>
      <c r="H2306" s="5">
        <v>2</v>
      </c>
      <c r="I2306" s="1">
        <v>250</v>
      </c>
      <c r="J2306" s="1">
        <v>226</v>
      </c>
      <c r="L2306" t="str">
        <f t="shared" si="35"/>
        <v>http://www.badatelna.eu/reprodukce/?fondId=1073&amp;zaznamId=1108952&amp;reproId=3779103</v>
      </c>
      <c r="M2306">
        <f>VLOOKUP(F2306,Sheet2!$B$1:$E$19,2,FALSE)</f>
        <v>1073</v>
      </c>
      <c r="N2306">
        <f>VLOOKUP(F2306,Sheet2!$B$1:$E$19,3,FALSE)</f>
        <v>1108952</v>
      </c>
      <c r="O2306">
        <f>IF(G2306="Not available","",VLOOKUP(F2306,Sheet2!$B$1:$E$19,4,FALSE)+(G2306-1))</f>
        <v>3779103</v>
      </c>
    </row>
    <row r="2307" spans="1:15" s="1" customFormat="1" ht="15" customHeight="1" x14ac:dyDescent="0.25">
      <c r="A2307" s="18" t="s">
        <v>1201</v>
      </c>
      <c r="B2307" s="18" t="s">
        <v>2204</v>
      </c>
      <c r="C2307" s="10" t="s">
        <v>2081</v>
      </c>
      <c r="D2307" s="3" t="s">
        <v>2440</v>
      </c>
      <c r="E2307" s="4" t="s">
        <v>2</v>
      </c>
      <c r="F2307" s="18">
        <v>2176</v>
      </c>
      <c r="G2307" s="18" t="s">
        <v>3271</v>
      </c>
      <c r="H2307" s="10" t="s">
        <v>1979</v>
      </c>
      <c r="I2307" s="3">
        <v>25</v>
      </c>
      <c r="J2307" s="3" t="s">
        <v>3271</v>
      </c>
      <c r="K2307" s="3"/>
      <c r="L2307" t="str">
        <f t="shared" ref="L2307:L2370" si="36">IF(G2307="Not available","","http://www.badatelna.eu/reprodukce/?fondId="&amp;M2307&amp;"&amp;zaznamId="&amp;N2307&amp;"&amp;reproId="&amp;O2307)</f>
        <v/>
      </c>
      <c r="M2307">
        <f>VLOOKUP(F2307,Sheet2!$B$1:$E$19,2,FALSE)</f>
        <v>1073</v>
      </c>
      <c r="N2307">
        <f>VLOOKUP(F2307,Sheet2!$B$1:$E$19,3,FALSE)</f>
        <v>1108963</v>
      </c>
      <c r="O2307" t="str">
        <f>IF(G2307="Not available","",VLOOKUP(F2307,Sheet2!$B$1:$E$19,4,FALSE)+(G2307-1))</f>
        <v/>
      </c>
    </row>
    <row r="2308" spans="1:15" s="1" customFormat="1" ht="15" customHeight="1" x14ac:dyDescent="0.25">
      <c r="A2308" s="18" t="s">
        <v>1201</v>
      </c>
      <c r="B2308" s="18" t="s">
        <v>924</v>
      </c>
      <c r="C2308" s="5" t="s">
        <v>1754</v>
      </c>
      <c r="D2308" s="1" t="s">
        <v>1202</v>
      </c>
      <c r="E2308" s="1" t="s">
        <v>2</v>
      </c>
      <c r="F2308" s="18">
        <v>2165</v>
      </c>
      <c r="G2308" s="18">
        <v>230</v>
      </c>
      <c r="H2308" s="5">
        <v>3</v>
      </c>
      <c r="I2308" s="1">
        <v>231</v>
      </c>
      <c r="J2308" s="1">
        <v>207</v>
      </c>
      <c r="L2308" t="str">
        <f t="shared" si="36"/>
        <v>http://www.badatelna.eu/reprodukce/?fondId=1073&amp;zaznamId=1108952&amp;reproId=3779091</v>
      </c>
      <c r="M2308">
        <f>VLOOKUP(F2308,Sheet2!$B$1:$E$19,2,FALSE)</f>
        <v>1073</v>
      </c>
      <c r="N2308">
        <f>VLOOKUP(F2308,Sheet2!$B$1:$E$19,3,FALSE)</f>
        <v>1108952</v>
      </c>
      <c r="O2308">
        <f>IF(G2308="Not available","",VLOOKUP(F2308,Sheet2!$B$1:$E$19,4,FALSE)+(G2308-1))</f>
        <v>3779091</v>
      </c>
    </row>
    <row r="2309" spans="1:15" s="1" customFormat="1" ht="15" customHeight="1" x14ac:dyDescent="0.25">
      <c r="A2309" s="18" t="s">
        <v>1201</v>
      </c>
      <c r="B2309" s="18" t="s">
        <v>2165</v>
      </c>
      <c r="C2309" s="10" t="s">
        <v>1957</v>
      </c>
      <c r="D2309" s="3" t="s">
        <v>2440</v>
      </c>
      <c r="E2309" s="4" t="s">
        <v>2</v>
      </c>
      <c r="F2309" s="18">
        <v>2176</v>
      </c>
      <c r="G2309" s="18" t="s">
        <v>3271</v>
      </c>
      <c r="H2309" s="10" t="s">
        <v>1974</v>
      </c>
      <c r="I2309" s="3">
        <v>25</v>
      </c>
      <c r="J2309" s="3" t="s">
        <v>3271</v>
      </c>
      <c r="K2309" s="3"/>
      <c r="L2309" t="str">
        <f t="shared" si="36"/>
        <v/>
      </c>
      <c r="M2309">
        <f>VLOOKUP(F2309,Sheet2!$B$1:$E$19,2,FALSE)</f>
        <v>1073</v>
      </c>
      <c r="N2309">
        <f>VLOOKUP(F2309,Sheet2!$B$1:$E$19,3,FALSE)</f>
        <v>1108963</v>
      </c>
      <c r="O2309" t="str">
        <f>IF(G2309="Not available","",VLOOKUP(F2309,Sheet2!$B$1:$E$19,4,FALSE)+(G2309-1))</f>
        <v/>
      </c>
    </row>
    <row r="2310" spans="1:15" s="1" customFormat="1" ht="15" customHeight="1" x14ac:dyDescent="0.25">
      <c r="A2310" s="18" t="s">
        <v>1201</v>
      </c>
      <c r="B2310" s="18" t="s">
        <v>2196</v>
      </c>
      <c r="C2310" s="10" t="s">
        <v>2072</v>
      </c>
      <c r="D2310" s="3" t="s">
        <v>2440</v>
      </c>
      <c r="E2310" s="4" t="s">
        <v>2</v>
      </c>
      <c r="F2310" s="18">
        <v>2176</v>
      </c>
      <c r="G2310" s="18" t="s">
        <v>3271</v>
      </c>
      <c r="H2310" s="10" t="s">
        <v>1981</v>
      </c>
      <c r="I2310" s="3">
        <v>24</v>
      </c>
      <c r="J2310" s="3" t="s">
        <v>3271</v>
      </c>
      <c r="K2310" s="3"/>
      <c r="L2310" t="str">
        <f t="shared" si="36"/>
        <v/>
      </c>
      <c r="M2310">
        <f>VLOOKUP(F2310,Sheet2!$B$1:$E$19,2,FALSE)</f>
        <v>1073</v>
      </c>
      <c r="N2310">
        <f>VLOOKUP(F2310,Sheet2!$B$1:$E$19,3,FALSE)</f>
        <v>1108963</v>
      </c>
      <c r="O2310" t="str">
        <f>IF(G2310="Not available","",VLOOKUP(F2310,Sheet2!$B$1:$E$19,4,FALSE)+(G2310-1))</f>
        <v/>
      </c>
    </row>
    <row r="2311" spans="1:15" s="1" customFormat="1" ht="15" customHeight="1" x14ac:dyDescent="0.25">
      <c r="A2311" s="18" t="s">
        <v>1201</v>
      </c>
      <c r="B2311" s="18" t="s">
        <v>545</v>
      </c>
      <c r="C2311" s="5" t="s">
        <v>1927</v>
      </c>
      <c r="D2311" s="1" t="s">
        <v>1202</v>
      </c>
      <c r="E2311" s="1" t="s">
        <v>2</v>
      </c>
      <c r="F2311" s="18">
        <v>2165</v>
      </c>
      <c r="G2311" s="18">
        <v>282</v>
      </c>
      <c r="H2311" s="5">
        <v>2</v>
      </c>
      <c r="I2311" s="1">
        <v>284</v>
      </c>
      <c r="J2311" s="1">
        <v>258</v>
      </c>
      <c r="L2311" t="str">
        <f t="shared" si="36"/>
        <v>http://www.badatelna.eu/reprodukce/?fondId=1073&amp;zaznamId=1108952&amp;reproId=3779143</v>
      </c>
      <c r="M2311">
        <f>VLOOKUP(F2311,Sheet2!$B$1:$E$19,2,FALSE)</f>
        <v>1073</v>
      </c>
      <c r="N2311">
        <f>VLOOKUP(F2311,Sheet2!$B$1:$E$19,3,FALSE)</f>
        <v>1108952</v>
      </c>
      <c r="O2311">
        <f>IF(G2311="Not available","",VLOOKUP(F2311,Sheet2!$B$1:$E$19,4,FALSE)+(G2311-1))</f>
        <v>3779143</v>
      </c>
    </row>
    <row r="2312" spans="1:15" s="1" customFormat="1" ht="15" customHeight="1" x14ac:dyDescent="0.25">
      <c r="A2312" s="18" t="s">
        <v>1281</v>
      </c>
      <c r="B2312" s="18" t="s">
        <v>998</v>
      </c>
      <c r="C2312" s="6" t="s">
        <v>2158</v>
      </c>
      <c r="D2312" s="4" t="s">
        <v>1202</v>
      </c>
      <c r="E2312" s="1" t="s">
        <v>2</v>
      </c>
      <c r="F2312" s="18">
        <v>2165</v>
      </c>
      <c r="G2312" s="18">
        <v>313</v>
      </c>
      <c r="H2312" s="5">
        <v>1</v>
      </c>
      <c r="I2312" s="1">
        <v>314</v>
      </c>
      <c r="J2312" s="1">
        <v>287</v>
      </c>
      <c r="L2312" t="str">
        <f t="shared" si="36"/>
        <v>http://www.badatelna.eu/reprodukce/?fondId=1073&amp;zaznamId=1108952&amp;reproId=3779174</v>
      </c>
      <c r="M2312">
        <f>VLOOKUP(F2312,Sheet2!$B$1:$E$19,2,FALSE)</f>
        <v>1073</v>
      </c>
      <c r="N2312">
        <f>VLOOKUP(F2312,Sheet2!$B$1:$E$19,3,FALSE)</f>
        <v>1108952</v>
      </c>
      <c r="O2312">
        <f>IF(G2312="Not available","",VLOOKUP(F2312,Sheet2!$B$1:$E$19,4,FALSE)+(G2312-1))</f>
        <v>3779174</v>
      </c>
    </row>
    <row r="2313" spans="1:15" s="1" customFormat="1" ht="15" customHeight="1" x14ac:dyDescent="0.25">
      <c r="A2313" s="18" t="s">
        <v>1265</v>
      </c>
      <c r="B2313" s="18" t="s">
        <v>1266</v>
      </c>
      <c r="C2313" s="14" t="s">
        <v>2244</v>
      </c>
      <c r="D2313" s="4" t="s">
        <v>1202</v>
      </c>
      <c r="E2313" s="1" t="s">
        <v>2</v>
      </c>
      <c r="F2313" s="18">
        <v>2165</v>
      </c>
      <c r="G2313" s="18">
        <v>299</v>
      </c>
      <c r="H2313" s="5">
        <v>3</v>
      </c>
      <c r="I2313" s="1">
        <v>300</v>
      </c>
      <c r="J2313" s="1">
        <v>273</v>
      </c>
      <c r="L2313" t="str">
        <f t="shared" si="36"/>
        <v>http://www.badatelna.eu/reprodukce/?fondId=1073&amp;zaznamId=1108952&amp;reproId=3779160</v>
      </c>
      <c r="M2313">
        <f>VLOOKUP(F2313,Sheet2!$B$1:$E$19,2,FALSE)</f>
        <v>1073</v>
      </c>
      <c r="N2313">
        <f>VLOOKUP(F2313,Sheet2!$B$1:$E$19,3,FALSE)</f>
        <v>1108952</v>
      </c>
      <c r="O2313">
        <f>IF(G2313="Not available","",VLOOKUP(F2313,Sheet2!$B$1:$E$19,4,FALSE)+(G2313-1))</f>
        <v>3779160</v>
      </c>
    </row>
    <row r="2314" spans="1:15" s="1" customFormat="1" ht="15" customHeight="1" x14ac:dyDescent="0.25">
      <c r="A2314" s="18" t="s">
        <v>1265</v>
      </c>
      <c r="B2314" s="18" t="s">
        <v>143</v>
      </c>
      <c r="C2314" s="14" t="s">
        <v>2098</v>
      </c>
      <c r="D2314" s="4" t="s">
        <v>1202</v>
      </c>
      <c r="E2314" s="1" t="s">
        <v>2</v>
      </c>
      <c r="F2314" s="18">
        <v>2165</v>
      </c>
      <c r="G2314" s="18">
        <v>303</v>
      </c>
      <c r="H2314" s="5">
        <v>2</v>
      </c>
      <c r="I2314" s="1">
        <v>305</v>
      </c>
      <c r="J2314" s="1">
        <v>278</v>
      </c>
      <c r="L2314" t="str">
        <f t="shared" si="36"/>
        <v>http://www.badatelna.eu/reprodukce/?fondId=1073&amp;zaznamId=1108952&amp;reproId=3779164</v>
      </c>
      <c r="M2314">
        <f>VLOOKUP(F2314,Sheet2!$B$1:$E$19,2,FALSE)</f>
        <v>1073</v>
      </c>
      <c r="N2314">
        <f>VLOOKUP(F2314,Sheet2!$B$1:$E$19,3,FALSE)</f>
        <v>1108952</v>
      </c>
      <c r="O2314">
        <f>IF(G2314="Not available","",VLOOKUP(F2314,Sheet2!$B$1:$E$19,4,FALSE)+(G2314-1))</f>
        <v>3779164</v>
      </c>
    </row>
    <row r="2315" spans="1:15" s="1" customFormat="1" ht="15" customHeight="1" x14ac:dyDescent="0.25">
      <c r="A2315" s="19" t="s">
        <v>3121</v>
      </c>
      <c r="B2315" s="18" t="s">
        <v>50</v>
      </c>
      <c r="C2315" s="5">
        <v>1846</v>
      </c>
      <c r="D2315" s="1" t="s">
        <v>14</v>
      </c>
      <c r="E2315" s="1" t="s">
        <v>2</v>
      </c>
      <c r="F2315" s="18">
        <v>2174</v>
      </c>
      <c r="G2315" s="18">
        <v>166</v>
      </c>
      <c r="H2315" s="6" t="s">
        <v>3228</v>
      </c>
      <c r="I2315" s="1">
        <v>190</v>
      </c>
      <c r="J2315" s="1">
        <v>221</v>
      </c>
      <c r="L2315" t="str">
        <f t="shared" si="36"/>
        <v>http://www.badatelna.eu/reprodukce/?fondId=1073&amp;zaznamId=1108960&amp;reproId=3780390</v>
      </c>
      <c r="M2315">
        <f>VLOOKUP(F2315,Sheet2!$B$1:$E$19,2,FALSE)</f>
        <v>1073</v>
      </c>
      <c r="N2315">
        <f>VLOOKUP(F2315,Sheet2!$B$1:$E$19,3,FALSE)</f>
        <v>1108960</v>
      </c>
      <c r="O2315">
        <f>IF(G2315="Not available","",VLOOKUP(F2315,Sheet2!$B$1:$E$19,4,FALSE)+(G2315-1))</f>
        <v>3780390</v>
      </c>
    </row>
    <row r="2316" spans="1:15" s="1" customFormat="1" ht="15" customHeight="1" x14ac:dyDescent="0.25">
      <c r="A2316" s="18" t="s">
        <v>1211</v>
      </c>
      <c r="B2316" s="18" t="s">
        <v>769</v>
      </c>
      <c r="C2316" s="10" t="s">
        <v>2081</v>
      </c>
      <c r="D2316" s="3" t="s">
        <v>2429</v>
      </c>
      <c r="E2316" s="4" t="s">
        <v>2</v>
      </c>
      <c r="F2316" s="18">
        <v>2176</v>
      </c>
      <c r="G2316" s="18" t="s">
        <v>3271</v>
      </c>
      <c r="H2316" s="10" t="s">
        <v>2146</v>
      </c>
      <c r="I2316" s="3">
        <v>25</v>
      </c>
      <c r="J2316" s="3" t="s">
        <v>3271</v>
      </c>
      <c r="K2316" s="3"/>
      <c r="L2316" t="str">
        <f t="shared" si="36"/>
        <v/>
      </c>
      <c r="M2316">
        <f>VLOOKUP(F2316,Sheet2!$B$1:$E$19,2,FALSE)</f>
        <v>1073</v>
      </c>
      <c r="N2316">
        <f>VLOOKUP(F2316,Sheet2!$B$1:$E$19,3,FALSE)</f>
        <v>1108963</v>
      </c>
      <c r="O2316" t="str">
        <f>IF(G2316="Not available","",VLOOKUP(F2316,Sheet2!$B$1:$E$19,4,FALSE)+(G2316-1))</f>
        <v/>
      </c>
    </row>
    <row r="2317" spans="1:15" s="1" customFormat="1" ht="15" customHeight="1" x14ac:dyDescent="0.25">
      <c r="A2317" s="18" t="s">
        <v>1211</v>
      </c>
      <c r="B2317" s="18" t="s">
        <v>769</v>
      </c>
      <c r="C2317" s="5" t="s">
        <v>1820</v>
      </c>
      <c r="D2317" s="1" t="s">
        <v>197</v>
      </c>
      <c r="E2317" s="1" t="s">
        <v>2</v>
      </c>
      <c r="F2317" s="18">
        <v>2165</v>
      </c>
      <c r="G2317" s="18">
        <v>249</v>
      </c>
      <c r="H2317" s="5">
        <v>3</v>
      </c>
      <c r="I2317" s="1">
        <v>250</v>
      </c>
      <c r="J2317" s="1">
        <v>226</v>
      </c>
      <c r="L2317" t="str">
        <f t="shared" si="36"/>
        <v>http://www.badatelna.eu/reprodukce/?fondId=1073&amp;zaznamId=1108952&amp;reproId=3779110</v>
      </c>
      <c r="M2317">
        <f>VLOOKUP(F2317,Sheet2!$B$1:$E$19,2,FALSE)</f>
        <v>1073</v>
      </c>
      <c r="N2317">
        <f>VLOOKUP(F2317,Sheet2!$B$1:$E$19,3,FALSE)</f>
        <v>1108952</v>
      </c>
      <c r="O2317">
        <f>IF(G2317="Not available","",VLOOKUP(F2317,Sheet2!$B$1:$E$19,4,FALSE)+(G2317-1))</f>
        <v>3779110</v>
      </c>
    </row>
    <row r="2318" spans="1:15" s="1" customFormat="1" ht="15" customHeight="1" x14ac:dyDescent="0.25">
      <c r="A2318" s="18" t="s">
        <v>1211</v>
      </c>
      <c r="B2318" s="18" t="s">
        <v>88</v>
      </c>
      <c r="C2318" s="10" t="s">
        <v>1949</v>
      </c>
      <c r="D2318" s="3" t="s">
        <v>2429</v>
      </c>
      <c r="E2318" s="4" t="s">
        <v>2</v>
      </c>
      <c r="F2318" s="18">
        <v>2176</v>
      </c>
      <c r="G2318" s="18" t="s">
        <v>3271</v>
      </c>
      <c r="H2318" s="10" t="s">
        <v>2031</v>
      </c>
      <c r="I2318" s="3">
        <v>24</v>
      </c>
      <c r="J2318" s="3" t="s">
        <v>3271</v>
      </c>
      <c r="K2318" s="3"/>
      <c r="L2318" t="str">
        <f t="shared" si="36"/>
        <v/>
      </c>
      <c r="M2318">
        <f>VLOOKUP(F2318,Sheet2!$B$1:$E$19,2,FALSE)</f>
        <v>1073</v>
      </c>
      <c r="N2318">
        <f>VLOOKUP(F2318,Sheet2!$B$1:$E$19,3,FALSE)</f>
        <v>1108963</v>
      </c>
      <c r="O2318" t="str">
        <f>IF(G2318="Not available","",VLOOKUP(F2318,Sheet2!$B$1:$E$19,4,FALSE)+(G2318-1))</f>
        <v/>
      </c>
    </row>
    <row r="2319" spans="1:15" s="1" customFormat="1" ht="15" customHeight="1" x14ac:dyDescent="0.25">
      <c r="A2319" s="18" t="s">
        <v>1211</v>
      </c>
      <c r="B2319" s="18" t="s">
        <v>924</v>
      </c>
      <c r="C2319" s="5" t="s">
        <v>1779</v>
      </c>
      <c r="D2319" s="1" t="s">
        <v>197</v>
      </c>
      <c r="E2319" s="1" t="s">
        <v>2</v>
      </c>
      <c r="F2319" s="18">
        <v>2165</v>
      </c>
      <c r="G2319" s="18">
        <v>234</v>
      </c>
      <c r="H2319" s="5">
        <v>1</v>
      </c>
      <c r="I2319" s="1">
        <v>237</v>
      </c>
      <c r="J2319" s="1">
        <v>213</v>
      </c>
      <c r="L2319" t="str">
        <f t="shared" si="36"/>
        <v>http://www.badatelna.eu/reprodukce/?fondId=1073&amp;zaznamId=1108952&amp;reproId=3779095</v>
      </c>
      <c r="M2319">
        <f>VLOOKUP(F2319,Sheet2!$B$1:$E$19,2,FALSE)</f>
        <v>1073</v>
      </c>
      <c r="N2319">
        <f>VLOOKUP(F2319,Sheet2!$B$1:$E$19,3,FALSE)</f>
        <v>1108952</v>
      </c>
      <c r="O2319">
        <f>IF(G2319="Not available","",VLOOKUP(F2319,Sheet2!$B$1:$E$19,4,FALSE)+(G2319-1))</f>
        <v>3779095</v>
      </c>
    </row>
    <row r="2320" spans="1:15" s="1" customFormat="1" ht="15" customHeight="1" x14ac:dyDescent="0.25">
      <c r="A2320" s="18" t="s">
        <v>1211</v>
      </c>
      <c r="B2320" s="18" t="s">
        <v>2434</v>
      </c>
      <c r="C2320" s="10" t="s">
        <v>2074</v>
      </c>
      <c r="D2320" s="3" t="s">
        <v>2429</v>
      </c>
      <c r="E2320" s="4" t="s">
        <v>2</v>
      </c>
      <c r="F2320" s="18">
        <v>2176</v>
      </c>
      <c r="G2320" s="18" t="s">
        <v>3271</v>
      </c>
      <c r="H2320" s="10" t="s">
        <v>2083</v>
      </c>
      <c r="I2320" s="3">
        <v>24</v>
      </c>
      <c r="J2320" s="3" t="s">
        <v>3271</v>
      </c>
      <c r="K2320" s="3"/>
      <c r="L2320" t="str">
        <f t="shared" si="36"/>
        <v/>
      </c>
      <c r="M2320">
        <f>VLOOKUP(F2320,Sheet2!$B$1:$E$19,2,FALSE)</f>
        <v>1073</v>
      </c>
      <c r="N2320">
        <f>VLOOKUP(F2320,Sheet2!$B$1:$E$19,3,FALSE)</f>
        <v>1108963</v>
      </c>
      <c r="O2320" t="str">
        <f>IF(G2320="Not available","",VLOOKUP(F2320,Sheet2!$B$1:$E$19,4,FALSE)+(G2320-1))</f>
        <v/>
      </c>
    </row>
    <row r="2321" spans="1:15" s="1" customFormat="1" ht="15" customHeight="1" x14ac:dyDescent="0.25">
      <c r="A2321" s="18" t="s">
        <v>275</v>
      </c>
      <c r="B2321" s="18" t="s">
        <v>21</v>
      </c>
      <c r="C2321" s="5">
        <v>1802</v>
      </c>
      <c r="E2321" s="1" t="s">
        <v>2</v>
      </c>
      <c r="F2321" s="18">
        <v>2173</v>
      </c>
      <c r="G2321" s="18">
        <v>45</v>
      </c>
      <c r="H2321" s="5">
        <v>84</v>
      </c>
      <c r="I2321" s="1">
        <v>103</v>
      </c>
      <c r="J2321" s="1">
        <v>221</v>
      </c>
      <c r="L2321" t="str">
        <f t="shared" si="36"/>
        <v>http://www.badatelna.eu/reprodukce/?fondId=1073&amp;zaznamId=1108959&amp;reproId=3780038</v>
      </c>
      <c r="M2321">
        <f>VLOOKUP(F2321,Sheet2!$B$1:$E$19,2,FALSE)</f>
        <v>1073</v>
      </c>
      <c r="N2321">
        <f>VLOOKUP(F2321,Sheet2!$B$1:$E$19,3,FALSE)</f>
        <v>1108959</v>
      </c>
      <c r="O2321">
        <f>IF(G2321="Not available","",VLOOKUP(F2321,Sheet2!$B$1:$E$19,4,FALSE)+(G2321-1))</f>
        <v>3780038</v>
      </c>
    </row>
    <row r="2322" spans="1:15" s="1" customFormat="1" ht="15" customHeight="1" x14ac:dyDescent="0.25">
      <c r="A2322" s="18" t="s">
        <v>685</v>
      </c>
      <c r="B2322" s="18" t="s">
        <v>3283</v>
      </c>
      <c r="C2322" s="5"/>
      <c r="F2322" s="18"/>
      <c r="G2322" s="18"/>
      <c r="H2322" s="5"/>
      <c r="L2322" t="e">
        <f t="shared" si="36"/>
        <v>#N/A</v>
      </c>
      <c r="M2322" t="e">
        <f>VLOOKUP(F2322,Sheet2!$B$1:$E$19,2,FALSE)</f>
        <v>#N/A</v>
      </c>
      <c r="N2322" t="e">
        <f>VLOOKUP(F2322,Sheet2!$B$1:$E$19,3,FALSE)</f>
        <v>#N/A</v>
      </c>
      <c r="O2322" t="e">
        <f>IF(G2322="Not available","",VLOOKUP(F2322,Sheet2!$B$1:$E$19,4,FALSE)+(G2322-1))</f>
        <v>#N/A</v>
      </c>
    </row>
    <row r="2323" spans="1:15" s="1" customFormat="1" ht="15" customHeight="1" x14ac:dyDescent="0.25">
      <c r="A2323" s="18" t="s">
        <v>688</v>
      </c>
      <c r="B2323" s="18" t="s">
        <v>144</v>
      </c>
      <c r="C2323" s="5">
        <v>1850</v>
      </c>
      <c r="D2323" s="1" t="s">
        <v>12</v>
      </c>
      <c r="E2323" s="1" t="s">
        <v>2</v>
      </c>
      <c r="F2323" s="18">
        <v>2164</v>
      </c>
      <c r="G2323" s="18">
        <v>76</v>
      </c>
      <c r="H2323" s="5">
        <v>74</v>
      </c>
      <c r="I2323" s="1">
        <v>131</v>
      </c>
      <c r="J2323" s="3" t="s">
        <v>3271</v>
      </c>
      <c r="L2323" t="str">
        <f t="shared" si="36"/>
        <v>http://www.badatelna.eu/reprodukce/?fondId=1073&amp;zaznamId=1108951&amp;reproId=3778790</v>
      </c>
      <c r="M2323">
        <f>VLOOKUP(F2323,Sheet2!$B$1:$E$19,2,FALSE)</f>
        <v>1073</v>
      </c>
      <c r="N2323">
        <f>VLOOKUP(F2323,Sheet2!$B$1:$E$19,3,FALSE)</f>
        <v>1108951</v>
      </c>
      <c r="O2323">
        <f>IF(G2323="Not available","",VLOOKUP(F2323,Sheet2!$B$1:$E$19,4,FALSE)+(G2323-1))</f>
        <v>3778790</v>
      </c>
    </row>
    <row r="2324" spans="1:15" s="1" customFormat="1" ht="15" customHeight="1" x14ac:dyDescent="0.25">
      <c r="A2324" s="18" t="s">
        <v>688</v>
      </c>
      <c r="B2324" s="18" t="s">
        <v>379</v>
      </c>
      <c r="C2324" s="5">
        <v>1849</v>
      </c>
      <c r="D2324" s="1" t="s">
        <v>12</v>
      </c>
      <c r="E2324" s="1" t="s">
        <v>2</v>
      </c>
      <c r="F2324" s="18">
        <v>2164</v>
      </c>
      <c r="G2324" s="18">
        <v>48</v>
      </c>
      <c r="H2324" s="5">
        <v>46</v>
      </c>
      <c r="I2324" s="1">
        <v>131</v>
      </c>
      <c r="J2324" s="3" t="s">
        <v>3271</v>
      </c>
      <c r="L2324" t="str">
        <f t="shared" si="36"/>
        <v>http://www.badatelna.eu/reprodukce/?fondId=1073&amp;zaznamId=1108951&amp;reproId=3778762</v>
      </c>
      <c r="M2324">
        <f>VLOOKUP(F2324,Sheet2!$B$1:$E$19,2,FALSE)</f>
        <v>1073</v>
      </c>
      <c r="N2324">
        <f>VLOOKUP(F2324,Sheet2!$B$1:$E$19,3,FALSE)</f>
        <v>1108951</v>
      </c>
      <c r="O2324">
        <f>IF(G2324="Not available","",VLOOKUP(F2324,Sheet2!$B$1:$E$19,4,FALSE)+(G2324-1))</f>
        <v>3778762</v>
      </c>
    </row>
    <row r="2325" spans="1:15" s="1" customFormat="1" ht="15" customHeight="1" x14ac:dyDescent="0.25">
      <c r="A2325" s="18" t="s">
        <v>688</v>
      </c>
      <c r="B2325" s="18" t="s">
        <v>287</v>
      </c>
      <c r="C2325" s="5">
        <v>1854</v>
      </c>
      <c r="D2325" s="1" t="s">
        <v>12</v>
      </c>
      <c r="E2325" s="1" t="s">
        <v>2</v>
      </c>
      <c r="F2325" s="18">
        <v>2164</v>
      </c>
      <c r="G2325" s="18">
        <v>95</v>
      </c>
      <c r="H2325" s="5">
        <v>93</v>
      </c>
      <c r="I2325" s="1">
        <v>131</v>
      </c>
      <c r="J2325" s="3" t="s">
        <v>3271</v>
      </c>
      <c r="L2325" t="str">
        <f t="shared" si="36"/>
        <v>http://www.badatelna.eu/reprodukce/?fondId=1073&amp;zaznamId=1108951&amp;reproId=3778809</v>
      </c>
      <c r="M2325">
        <f>VLOOKUP(F2325,Sheet2!$B$1:$E$19,2,FALSE)</f>
        <v>1073</v>
      </c>
      <c r="N2325">
        <f>VLOOKUP(F2325,Sheet2!$B$1:$E$19,3,FALSE)</f>
        <v>1108951</v>
      </c>
      <c r="O2325">
        <f>IF(G2325="Not available","",VLOOKUP(F2325,Sheet2!$B$1:$E$19,4,FALSE)+(G2325-1))</f>
        <v>3778809</v>
      </c>
    </row>
    <row r="2326" spans="1:15" s="1" customFormat="1" ht="15" customHeight="1" x14ac:dyDescent="0.25">
      <c r="A2326" s="18" t="s">
        <v>688</v>
      </c>
      <c r="B2326" s="18" t="s">
        <v>491</v>
      </c>
      <c r="C2326" s="5">
        <v>1846</v>
      </c>
      <c r="D2326" s="1" t="s">
        <v>12</v>
      </c>
      <c r="E2326" s="1" t="s">
        <v>2</v>
      </c>
      <c r="F2326" s="18">
        <v>2174</v>
      </c>
      <c r="G2326" s="18">
        <v>170</v>
      </c>
      <c r="H2326" s="6" t="s">
        <v>3235</v>
      </c>
      <c r="I2326" s="1">
        <v>190</v>
      </c>
      <c r="J2326" s="1">
        <v>221</v>
      </c>
      <c r="L2326" t="str">
        <f t="shared" si="36"/>
        <v>http://www.badatelna.eu/reprodukce/?fondId=1073&amp;zaznamId=1108960&amp;reproId=3780394</v>
      </c>
      <c r="M2326">
        <f>VLOOKUP(F2326,Sheet2!$B$1:$E$19,2,FALSE)</f>
        <v>1073</v>
      </c>
      <c r="N2326">
        <f>VLOOKUP(F2326,Sheet2!$B$1:$E$19,3,FALSE)</f>
        <v>1108960</v>
      </c>
      <c r="O2326">
        <f>IF(G2326="Not available","",VLOOKUP(F2326,Sheet2!$B$1:$E$19,4,FALSE)+(G2326-1))</f>
        <v>3780394</v>
      </c>
    </row>
    <row r="2327" spans="1:15" s="1" customFormat="1" ht="15" customHeight="1" x14ac:dyDescent="0.25">
      <c r="A2327" s="18" t="s">
        <v>688</v>
      </c>
      <c r="B2327" s="18" t="s">
        <v>773</v>
      </c>
      <c r="C2327" s="5">
        <v>1856</v>
      </c>
      <c r="D2327" s="1" t="s">
        <v>12</v>
      </c>
      <c r="E2327" s="1" t="s">
        <v>2</v>
      </c>
      <c r="F2327" s="18">
        <v>2164</v>
      </c>
      <c r="G2327" s="18">
        <v>119</v>
      </c>
      <c r="H2327" s="5">
        <v>117</v>
      </c>
      <c r="I2327" s="1">
        <v>131</v>
      </c>
      <c r="J2327" s="3" t="s">
        <v>3271</v>
      </c>
      <c r="L2327" t="str">
        <f t="shared" si="36"/>
        <v>http://www.badatelna.eu/reprodukce/?fondId=1073&amp;zaznamId=1108951&amp;reproId=3778833</v>
      </c>
      <c r="M2327">
        <f>VLOOKUP(F2327,Sheet2!$B$1:$E$19,2,FALSE)</f>
        <v>1073</v>
      </c>
      <c r="N2327">
        <f>VLOOKUP(F2327,Sheet2!$B$1:$E$19,3,FALSE)</f>
        <v>1108951</v>
      </c>
      <c r="O2327">
        <f>IF(G2327="Not available","",VLOOKUP(F2327,Sheet2!$B$1:$E$19,4,FALSE)+(G2327-1))</f>
        <v>3778833</v>
      </c>
    </row>
    <row r="2328" spans="1:15" s="1" customFormat="1" ht="15" customHeight="1" x14ac:dyDescent="0.25">
      <c r="A2328" s="19" t="s">
        <v>302</v>
      </c>
      <c r="B2328" s="18" t="s">
        <v>2959</v>
      </c>
      <c r="C2328" s="6" t="s">
        <v>2953</v>
      </c>
      <c r="E2328" s="1" t="s">
        <v>2</v>
      </c>
      <c r="F2328" s="18">
        <v>2173</v>
      </c>
      <c r="G2328" s="18">
        <v>76</v>
      </c>
      <c r="H2328" s="5">
        <v>145</v>
      </c>
      <c r="I2328" s="1">
        <v>106</v>
      </c>
      <c r="J2328" s="1">
        <v>227</v>
      </c>
      <c r="L2328" t="str">
        <f t="shared" si="36"/>
        <v>http://www.badatelna.eu/reprodukce/?fondId=1073&amp;zaznamId=1108959&amp;reproId=3780069</v>
      </c>
      <c r="M2328">
        <f>VLOOKUP(F2328,Sheet2!$B$1:$E$19,2,FALSE)</f>
        <v>1073</v>
      </c>
      <c r="N2328">
        <f>VLOOKUP(F2328,Sheet2!$B$1:$E$19,3,FALSE)</f>
        <v>1108959</v>
      </c>
      <c r="O2328">
        <f>IF(G2328="Not available","",VLOOKUP(F2328,Sheet2!$B$1:$E$19,4,FALSE)+(G2328-1))</f>
        <v>3780069</v>
      </c>
    </row>
    <row r="2329" spans="1:15" s="1" customFormat="1" ht="15" customHeight="1" x14ac:dyDescent="0.25">
      <c r="A2329" s="19" t="s">
        <v>302</v>
      </c>
      <c r="B2329" s="18" t="s">
        <v>166</v>
      </c>
      <c r="C2329" s="5">
        <v>1814</v>
      </c>
      <c r="D2329" s="4" t="s">
        <v>4</v>
      </c>
      <c r="E2329" s="1" t="s">
        <v>2</v>
      </c>
      <c r="F2329" s="18">
        <v>2173</v>
      </c>
      <c r="G2329" s="18">
        <v>62</v>
      </c>
      <c r="H2329" s="5">
        <v>118</v>
      </c>
      <c r="I2329" s="1">
        <v>106</v>
      </c>
      <c r="J2329" s="1">
        <v>226</v>
      </c>
      <c r="L2329" t="str">
        <f t="shared" si="36"/>
        <v>http://www.badatelna.eu/reprodukce/?fondId=1073&amp;zaznamId=1108959&amp;reproId=3780055</v>
      </c>
      <c r="M2329">
        <f>VLOOKUP(F2329,Sheet2!$B$1:$E$19,2,FALSE)</f>
        <v>1073</v>
      </c>
      <c r="N2329">
        <f>VLOOKUP(F2329,Sheet2!$B$1:$E$19,3,FALSE)</f>
        <v>1108959</v>
      </c>
      <c r="O2329">
        <f>IF(G2329="Not available","",VLOOKUP(F2329,Sheet2!$B$1:$E$19,4,FALSE)+(G2329-1))</f>
        <v>3780055</v>
      </c>
    </row>
    <row r="2330" spans="1:15" s="1" customFormat="1" ht="15" customHeight="1" x14ac:dyDescent="0.25">
      <c r="A2330" s="19" t="s">
        <v>302</v>
      </c>
      <c r="B2330" s="18" t="s">
        <v>334</v>
      </c>
      <c r="C2330" s="5">
        <v>1818</v>
      </c>
      <c r="E2330" s="1" t="s">
        <v>2</v>
      </c>
      <c r="F2330" s="18">
        <v>2173</v>
      </c>
      <c r="G2330" s="18">
        <v>68</v>
      </c>
      <c r="H2330" s="5">
        <v>129</v>
      </c>
      <c r="I2330" s="1">
        <v>106</v>
      </c>
      <c r="J2330" s="1">
        <v>227</v>
      </c>
      <c r="L2330" t="str">
        <f t="shared" si="36"/>
        <v>http://www.badatelna.eu/reprodukce/?fondId=1073&amp;zaznamId=1108959&amp;reproId=3780061</v>
      </c>
      <c r="M2330">
        <f>VLOOKUP(F2330,Sheet2!$B$1:$E$19,2,FALSE)</f>
        <v>1073</v>
      </c>
      <c r="N2330">
        <f>VLOOKUP(F2330,Sheet2!$B$1:$E$19,3,FALSE)</f>
        <v>1108959</v>
      </c>
      <c r="O2330">
        <f>IF(G2330="Not available","",VLOOKUP(F2330,Sheet2!$B$1:$E$19,4,FALSE)+(G2330-1))</f>
        <v>3780061</v>
      </c>
    </row>
    <row r="2331" spans="1:15" s="1" customFormat="1" ht="15" customHeight="1" x14ac:dyDescent="0.25">
      <c r="A2331" s="19" t="s">
        <v>302</v>
      </c>
      <c r="B2331" s="19" t="s">
        <v>120</v>
      </c>
      <c r="C2331" s="5">
        <v>1816</v>
      </c>
      <c r="D2331" s="4" t="s">
        <v>4</v>
      </c>
      <c r="E2331" s="1" t="s">
        <v>2</v>
      </c>
      <c r="F2331" s="18">
        <v>2173</v>
      </c>
      <c r="G2331" s="18">
        <v>65</v>
      </c>
      <c r="H2331" s="5">
        <v>125</v>
      </c>
      <c r="I2331" s="1">
        <v>106</v>
      </c>
      <c r="J2331" s="1">
        <v>226</v>
      </c>
      <c r="L2331" t="str">
        <f t="shared" si="36"/>
        <v>http://www.badatelna.eu/reprodukce/?fondId=1073&amp;zaznamId=1108959&amp;reproId=3780058</v>
      </c>
      <c r="M2331">
        <f>VLOOKUP(F2331,Sheet2!$B$1:$E$19,2,FALSE)</f>
        <v>1073</v>
      </c>
      <c r="N2331">
        <f>VLOOKUP(F2331,Sheet2!$B$1:$E$19,3,FALSE)</f>
        <v>1108959</v>
      </c>
      <c r="O2331">
        <f>IF(G2331="Not available","",VLOOKUP(F2331,Sheet2!$B$1:$E$19,4,FALSE)+(G2331-1))</f>
        <v>3780058</v>
      </c>
    </row>
    <row r="2332" spans="1:15" s="1" customFormat="1" ht="15" customHeight="1" x14ac:dyDescent="0.25">
      <c r="A2332" s="19" t="s">
        <v>302</v>
      </c>
      <c r="B2332" s="18" t="s">
        <v>125</v>
      </c>
      <c r="C2332" s="5">
        <v>1810</v>
      </c>
      <c r="D2332" s="4" t="s">
        <v>4</v>
      </c>
      <c r="E2332" s="1" t="s">
        <v>2</v>
      </c>
      <c r="F2332" s="18">
        <v>2173</v>
      </c>
      <c r="G2332" s="18">
        <v>56</v>
      </c>
      <c r="H2332" s="5">
        <v>107</v>
      </c>
      <c r="I2332" s="1">
        <v>106</v>
      </c>
      <c r="J2332" s="1">
        <v>226</v>
      </c>
      <c r="L2332" t="str">
        <f t="shared" si="36"/>
        <v>http://www.badatelna.eu/reprodukce/?fondId=1073&amp;zaznamId=1108959&amp;reproId=3780049</v>
      </c>
      <c r="M2332">
        <f>VLOOKUP(F2332,Sheet2!$B$1:$E$19,2,FALSE)</f>
        <v>1073</v>
      </c>
      <c r="N2332">
        <f>VLOOKUP(F2332,Sheet2!$B$1:$E$19,3,FALSE)</f>
        <v>1108959</v>
      </c>
      <c r="O2332">
        <f>IF(G2332="Not available","",VLOOKUP(F2332,Sheet2!$B$1:$E$19,4,FALSE)+(G2332-1))</f>
        <v>3780049</v>
      </c>
    </row>
    <row r="2333" spans="1:15" s="1" customFormat="1" ht="15" customHeight="1" x14ac:dyDescent="0.25">
      <c r="A2333" s="18" t="s">
        <v>302</v>
      </c>
      <c r="B2333" s="18" t="s">
        <v>21</v>
      </c>
      <c r="C2333" s="5">
        <v>1789</v>
      </c>
      <c r="D2333" s="1" t="s">
        <v>60</v>
      </c>
      <c r="E2333" s="1" t="s">
        <v>2</v>
      </c>
      <c r="F2333" s="18">
        <v>2173</v>
      </c>
      <c r="G2333" s="18">
        <v>20</v>
      </c>
      <c r="H2333" s="5">
        <v>34</v>
      </c>
      <c r="I2333" s="1">
        <v>105</v>
      </c>
      <c r="J2333" s="1">
        <v>225</v>
      </c>
      <c r="L2333" t="str">
        <f t="shared" si="36"/>
        <v>http://www.badatelna.eu/reprodukce/?fondId=1073&amp;zaznamId=1108959&amp;reproId=3780013</v>
      </c>
      <c r="M2333">
        <f>VLOOKUP(F2333,Sheet2!$B$1:$E$19,2,FALSE)</f>
        <v>1073</v>
      </c>
      <c r="N2333">
        <f>VLOOKUP(F2333,Sheet2!$B$1:$E$19,3,FALSE)</f>
        <v>1108959</v>
      </c>
      <c r="O2333">
        <f>IF(G2333="Not available","",VLOOKUP(F2333,Sheet2!$B$1:$E$19,4,FALSE)+(G2333-1))</f>
        <v>3780013</v>
      </c>
    </row>
    <row r="2334" spans="1:15" s="1" customFormat="1" ht="15" customHeight="1" x14ac:dyDescent="0.25">
      <c r="A2334" s="18" t="s">
        <v>302</v>
      </c>
      <c r="B2334" s="18" t="s">
        <v>21</v>
      </c>
      <c r="C2334" s="5">
        <v>1817</v>
      </c>
      <c r="E2334" s="1" t="s">
        <v>2</v>
      </c>
      <c r="F2334" s="18">
        <v>2173</v>
      </c>
      <c r="G2334" s="18">
        <v>67</v>
      </c>
      <c r="H2334" s="5" t="s">
        <v>338</v>
      </c>
      <c r="I2334" s="1">
        <v>106</v>
      </c>
      <c r="J2334" s="1">
        <v>227</v>
      </c>
      <c r="L2334" t="str">
        <f t="shared" si="36"/>
        <v>http://www.badatelna.eu/reprodukce/?fondId=1073&amp;zaznamId=1108959&amp;reproId=3780060</v>
      </c>
      <c r="M2334">
        <f>VLOOKUP(F2334,Sheet2!$B$1:$E$19,2,FALSE)</f>
        <v>1073</v>
      </c>
      <c r="N2334">
        <f>VLOOKUP(F2334,Sheet2!$B$1:$E$19,3,FALSE)</f>
        <v>1108959</v>
      </c>
      <c r="O2334">
        <f>IF(G2334="Not available","",VLOOKUP(F2334,Sheet2!$B$1:$E$19,4,FALSE)+(G2334-1))</f>
        <v>3780060</v>
      </c>
    </row>
    <row r="2335" spans="1:15" s="1" customFormat="1" ht="15" customHeight="1" x14ac:dyDescent="0.25">
      <c r="A2335" s="18" t="s">
        <v>302</v>
      </c>
      <c r="B2335" s="18" t="s">
        <v>115</v>
      </c>
      <c r="C2335" s="5">
        <v>1808</v>
      </c>
      <c r="E2335" s="1" t="s">
        <v>2</v>
      </c>
      <c r="F2335" s="18">
        <v>2173</v>
      </c>
      <c r="G2335" s="18">
        <v>54</v>
      </c>
      <c r="H2335" s="5">
        <v>103</v>
      </c>
      <c r="I2335" s="1">
        <v>106</v>
      </c>
      <c r="J2335" s="1">
        <v>226</v>
      </c>
      <c r="L2335" t="str">
        <f t="shared" si="36"/>
        <v>http://www.badatelna.eu/reprodukce/?fondId=1073&amp;zaznamId=1108959&amp;reproId=3780047</v>
      </c>
      <c r="M2335">
        <f>VLOOKUP(F2335,Sheet2!$B$1:$E$19,2,FALSE)</f>
        <v>1073</v>
      </c>
      <c r="N2335">
        <f>VLOOKUP(F2335,Sheet2!$B$1:$E$19,3,FALSE)</f>
        <v>1108959</v>
      </c>
      <c r="O2335">
        <f>IF(G2335="Not available","",VLOOKUP(F2335,Sheet2!$B$1:$E$19,4,FALSE)+(G2335-1))</f>
        <v>3780047</v>
      </c>
    </row>
    <row r="2336" spans="1:15" s="1" customFormat="1" ht="15" customHeight="1" x14ac:dyDescent="0.25">
      <c r="A2336" s="19" t="s">
        <v>302</v>
      </c>
      <c r="B2336" s="19" t="s">
        <v>18</v>
      </c>
      <c r="C2336" s="5">
        <v>1822</v>
      </c>
      <c r="D2336" s="1" t="s">
        <v>21</v>
      </c>
      <c r="E2336" s="1" t="s">
        <v>2</v>
      </c>
      <c r="F2336" s="18">
        <v>2173</v>
      </c>
      <c r="G2336" s="18">
        <v>73</v>
      </c>
      <c r="H2336" s="5">
        <v>139</v>
      </c>
      <c r="I2336" s="1">
        <v>106</v>
      </c>
      <c r="J2336" s="1">
        <v>227</v>
      </c>
      <c r="L2336" t="str">
        <f t="shared" si="36"/>
        <v>http://www.badatelna.eu/reprodukce/?fondId=1073&amp;zaznamId=1108959&amp;reproId=3780066</v>
      </c>
      <c r="M2336">
        <f>VLOOKUP(F2336,Sheet2!$B$1:$E$19,2,FALSE)</f>
        <v>1073</v>
      </c>
      <c r="N2336">
        <f>VLOOKUP(F2336,Sheet2!$B$1:$E$19,3,FALSE)</f>
        <v>1108959</v>
      </c>
      <c r="O2336">
        <f>IF(G2336="Not available","",VLOOKUP(F2336,Sheet2!$B$1:$E$19,4,FALSE)+(G2336-1))</f>
        <v>3780066</v>
      </c>
    </row>
    <row r="2337" spans="1:15" s="1" customFormat="1" ht="15" customHeight="1" x14ac:dyDescent="0.25">
      <c r="A2337" s="19" t="s">
        <v>302</v>
      </c>
      <c r="B2337" s="18" t="s">
        <v>11</v>
      </c>
      <c r="C2337" s="5">
        <v>1814</v>
      </c>
      <c r="D2337" s="4" t="s">
        <v>4</v>
      </c>
      <c r="E2337" s="1" t="s">
        <v>2</v>
      </c>
      <c r="F2337" s="18">
        <v>2173</v>
      </c>
      <c r="G2337" s="18">
        <v>58</v>
      </c>
      <c r="H2337" s="5">
        <v>111</v>
      </c>
      <c r="I2337" s="1">
        <v>106</v>
      </c>
      <c r="J2337" s="1">
        <v>226</v>
      </c>
      <c r="L2337" t="str">
        <f t="shared" si="36"/>
        <v>http://www.badatelna.eu/reprodukce/?fondId=1073&amp;zaznamId=1108959&amp;reproId=3780051</v>
      </c>
      <c r="M2337">
        <f>VLOOKUP(F2337,Sheet2!$B$1:$E$19,2,FALSE)</f>
        <v>1073</v>
      </c>
      <c r="N2337">
        <f>VLOOKUP(F2337,Sheet2!$B$1:$E$19,3,FALSE)</f>
        <v>1108959</v>
      </c>
      <c r="O2337">
        <f>IF(G2337="Not available","",VLOOKUP(F2337,Sheet2!$B$1:$E$19,4,FALSE)+(G2337-1))</f>
        <v>3780051</v>
      </c>
    </row>
    <row r="2338" spans="1:15" s="1" customFormat="1" ht="15" customHeight="1" x14ac:dyDescent="0.25">
      <c r="A2338" s="19" t="s">
        <v>302</v>
      </c>
      <c r="B2338" s="18" t="s">
        <v>23</v>
      </c>
      <c r="C2338" s="5">
        <v>1826</v>
      </c>
      <c r="E2338" s="1" t="s">
        <v>2</v>
      </c>
      <c r="F2338" s="18">
        <v>2173</v>
      </c>
      <c r="G2338" s="18">
        <v>82</v>
      </c>
      <c r="H2338" s="5">
        <v>157</v>
      </c>
      <c r="I2338" s="1">
        <v>106</v>
      </c>
      <c r="J2338" s="1">
        <v>227</v>
      </c>
      <c r="L2338" t="str">
        <f t="shared" si="36"/>
        <v>http://www.badatelna.eu/reprodukce/?fondId=1073&amp;zaznamId=1108959&amp;reproId=3780075</v>
      </c>
      <c r="M2338">
        <f>VLOOKUP(F2338,Sheet2!$B$1:$E$19,2,FALSE)</f>
        <v>1073</v>
      </c>
      <c r="N2338">
        <f>VLOOKUP(F2338,Sheet2!$B$1:$E$19,3,FALSE)</f>
        <v>1108959</v>
      </c>
      <c r="O2338">
        <f>IF(G2338="Not available","",VLOOKUP(F2338,Sheet2!$B$1:$E$19,4,FALSE)+(G2338-1))</f>
        <v>3780075</v>
      </c>
    </row>
    <row r="2339" spans="1:15" s="1" customFormat="1" ht="15" customHeight="1" x14ac:dyDescent="0.25">
      <c r="A2339" s="18" t="s">
        <v>311</v>
      </c>
      <c r="B2339" s="18" t="s">
        <v>477</v>
      </c>
      <c r="C2339" s="5" t="s">
        <v>1481</v>
      </c>
      <c r="D2339" s="1" t="s">
        <v>434</v>
      </c>
      <c r="E2339" s="1" t="s">
        <v>2</v>
      </c>
      <c r="F2339" s="18">
        <v>2165</v>
      </c>
      <c r="G2339" s="18">
        <v>34</v>
      </c>
      <c r="H2339" s="5">
        <v>31</v>
      </c>
      <c r="I2339" s="1">
        <v>86</v>
      </c>
      <c r="J2339" s="1" t="s">
        <v>3271</v>
      </c>
      <c r="L2339" t="str">
        <f t="shared" si="36"/>
        <v>http://www.badatelna.eu/reprodukce/?fondId=1073&amp;zaznamId=1108952&amp;reproId=3778895</v>
      </c>
      <c r="M2339">
        <f>VLOOKUP(F2339,Sheet2!$B$1:$E$19,2,FALSE)</f>
        <v>1073</v>
      </c>
      <c r="N2339">
        <f>VLOOKUP(F2339,Sheet2!$B$1:$E$19,3,FALSE)</f>
        <v>1108952</v>
      </c>
      <c r="O2339">
        <f>IF(G2339="Not available","",VLOOKUP(F2339,Sheet2!$B$1:$E$19,4,FALSE)+(G2339-1))</f>
        <v>3778895</v>
      </c>
    </row>
    <row r="2340" spans="1:15" s="1" customFormat="1" ht="15" customHeight="1" x14ac:dyDescent="0.25">
      <c r="A2340" s="19" t="s">
        <v>311</v>
      </c>
      <c r="B2340" s="18" t="s">
        <v>53</v>
      </c>
      <c r="C2340" s="5">
        <v>1801</v>
      </c>
      <c r="D2340" s="4" t="s">
        <v>34</v>
      </c>
      <c r="E2340" s="1" t="s">
        <v>2</v>
      </c>
      <c r="F2340" s="18">
        <v>2173</v>
      </c>
      <c r="G2340" s="18">
        <v>44</v>
      </c>
      <c r="H2340" s="5">
        <v>82</v>
      </c>
      <c r="I2340" s="1">
        <v>106</v>
      </c>
      <c r="J2340" s="1">
        <v>226</v>
      </c>
      <c r="L2340" t="str">
        <f t="shared" si="36"/>
        <v>http://www.badatelna.eu/reprodukce/?fondId=1073&amp;zaznamId=1108959&amp;reproId=3780037</v>
      </c>
      <c r="M2340">
        <f>VLOOKUP(F2340,Sheet2!$B$1:$E$19,2,FALSE)</f>
        <v>1073</v>
      </c>
      <c r="N2340">
        <f>VLOOKUP(F2340,Sheet2!$B$1:$E$19,3,FALSE)</f>
        <v>1108959</v>
      </c>
      <c r="O2340">
        <f>IF(G2340="Not available","",VLOOKUP(F2340,Sheet2!$B$1:$E$19,4,FALSE)+(G2340-1))</f>
        <v>3780037</v>
      </c>
    </row>
    <row r="2341" spans="1:15" s="1" customFormat="1" ht="15" customHeight="1" x14ac:dyDescent="0.25">
      <c r="A2341" s="18" t="s">
        <v>311</v>
      </c>
      <c r="B2341" s="18" t="s">
        <v>92</v>
      </c>
      <c r="C2341" s="5" t="s">
        <v>1495</v>
      </c>
      <c r="D2341" s="1" t="s">
        <v>138</v>
      </c>
      <c r="E2341" s="1" t="s">
        <v>2</v>
      </c>
      <c r="F2341" s="18">
        <v>2165</v>
      </c>
      <c r="G2341" s="18">
        <v>72</v>
      </c>
      <c r="H2341" s="5">
        <v>69</v>
      </c>
      <c r="I2341" s="1">
        <v>86</v>
      </c>
      <c r="J2341" s="1" t="s">
        <v>3271</v>
      </c>
      <c r="L2341" t="str">
        <f t="shared" si="36"/>
        <v>http://www.badatelna.eu/reprodukce/?fondId=1073&amp;zaznamId=1108952&amp;reproId=3778933</v>
      </c>
      <c r="M2341">
        <f>VLOOKUP(F2341,Sheet2!$B$1:$E$19,2,FALSE)</f>
        <v>1073</v>
      </c>
      <c r="N2341">
        <f>VLOOKUP(F2341,Sheet2!$B$1:$E$19,3,FALSE)</f>
        <v>1108952</v>
      </c>
      <c r="O2341">
        <f>IF(G2341="Not available","",VLOOKUP(F2341,Sheet2!$B$1:$E$19,4,FALSE)+(G2341-1))</f>
        <v>3778933</v>
      </c>
    </row>
    <row r="2342" spans="1:15" s="1" customFormat="1" ht="15" customHeight="1" x14ac:dyDescent="0.25">
      <c r="A2342" s="18" t="s">
        <v>311</v>
      </c>
      <c r="B2342" s="18" t="s">
        <v>1968</v>
      </c>
      <c r="C2342" s="10" t="s">
        <v>2079</v>
      </c>
      <c r="D2342" s="3" t="s">
        <v>2467</v>
      </c>
      <c r="E2342" s="4" t="s">
        <v>2</v>
      </c>
      <c r="F2342" s="18">
        <v>2176</v>
      </c>
      <c r="G2342" s="18" t="s">
        <v>3271</v>
      </c>
      <c r="H2342" s="10" t="s">
        <v>1971</v>
      </c>
      <c r="I2342" s="3">
        <v>27</v>
      </c>
      <c r="J2342" s="3" t="s">
        <v>3271</v>
      </c>
      <c r="K2342" s="3"/>
      <c r="L2342" t="str">
        <f t="shared" si="36"/>
        <v/>
      </c>
      <c r="M2342">
        <f>VLOOKUP(F2342,Sheet2!$B$1:$E$19,2,FALSE)</f>
        <v>1073</v>
      </c>
      <c r="N2342">
        <f>VLOOKUP(F2342,Sheet2!$B$1:$E$19,3,FALSE)</f>
        <v>1108963</v>
      </c>
      <c r="O2342" t="str">
        <f>IF(G2342="Not available","",VLOOKUP(F2342,Sheet2!$B$1:$E$19,4,FALSE)+(G2342-1))</f>
        <v/>
      </c>
    </row>
    <row r="2343" spans="1:15" s="1" customFormat="1" ht="15" customHeight="1" x14ac:dyDescent="0.25">
      <c r="A2343" s="18" t="s">
        <v>311</v>
      </c>
      <c r="B2343" s="18" t="s">
        <v>1968</v>
      </c>
      <c r="C2343" s="10" t="s">
        <v>2267</v>
      </c>
      <c r="D2343" s="3" t="s">
        <v>2485</v>
      </c>
      <c r="E2343" s="4" t="s">
        <v>2</v>
      </c>
      <c r="F2343" s="18">
        <v>2176</v>
      </c>
      <c r="G2343" s="18" t="s">
        <v>3271</v>
      </c>
      <c r="H2343" s="10" t="s">
        <v>2083</v>
      </c>
      <c r="I2343" s="3">
        <v>27</v>
      </c>
      <c r="J2343" s="3" t="s">
        <v>3271</v>
      </c>
      <c r="K2343" s="3"/>
      <c r="L2343" t="str">
        <f t="shared" si="36"/>
        <v/>
      </c>
      <c r="M2343">
        <f>VLOOKUP(F2343,Sheet2!$B$1:$E$19,2,FALSE)</f>
        <v>1073</v>
      </c>
      <c r="N2343">
        <f>VLOOKUP(F2343,Sheet2!$B$1:$E$19,3,FALSE)</f>
        <v>1108963</v>
      </c>
      <c r="O2343" t="str">
        <f>IF(G2343="Not available","",VLOOKUP(F2343,Sheet2!$B$1:$E$19,4,FALSE)+(G2343-1))</f>
        <v/>
      </c>
    </row>
    <row r="2344" spans="1:15" s="1" customFormat="1" ht="15" customHeight="1" x14ac:dyDescent="0.25">
      <c r="A2344" s="18" t="s">
        <v>311</v>
      </c>
      <c r="B2344" s="18" t="s">
        <v>1025</v>
      </c>
      <c r="C2344" s="5" t="s">
        <v>1496</v>
      </c>
      <c r="D2344" s="1" t="s">
        <v>434</v>
      </c>
      <c r="E2344" s="1" t="s">
        <v>2</v>
      </c>
      <c r="F2344" s="18">
        <v>2165</v>
      </c>
      <c r="G2344" s="18">
        <v>72</v>
      </c>
      <c r="H2344" s="5">
        <v>69</v>
      </c>
      <c r="I2344" s="1">
        <v>86</v>
      </c>
      <c r="J2344" s="1" t="s">
        <v>3271</v>
      </c>
      <c r="L2344" t="str">
        <f t="shared" si="36"/>
        <v>http://www.badatelna.eu/reprodukce/?fondId=1073&amp;zaznamId=1108952&amp;reproId=3778933</v>
      </c>
      <c r="M2344">
        <f>VLOOKUP(F2344,Sheet2!$B$1:$E$19,2,FALSE)</f>
        <v>1073</v>
      </c>
      <c r="N2344">
        <f>VLOOKUP(F2344,Sheet2!$B$1:$E$19,3,FALSE)</f>
        <v>1108952</v>
      </c>
      <c r="O2344">
        <f>IF(G2344="Not available","",VLOOKUP(F2344,Sheet2!$B$1:$E$19,4,FALSE)+(G2344-1))</f>
        <v>3778933</v>
      </c>
    </row>
    <row r="2345" spans="1:15" s="1" customFormat="1" ht="15" customHeight="1" x14ac:dyDescent="0.25">
      <c r="A2345" s="18" t="s">
        <v>311</v>
      </c>
      <c r="B2345" s="18" t="s">
        <v>2471</v>
      </c>
      <c r="C2345" s="10" t="s">
        <v>2025</v>
      </c>
      <c r="D2345" s="3" t="s">
        <v>2472</v>
      </c>
      <c r="E2345" s="4" t="s">
        <v>2</v>
      </c>
      <c r="F2345" s="18">
        <v>2176</v>
      </c>
      <c r="G2345" s="18" t="s">
        <v>3271</v>
      </c>
      <c r="H2345" s="10" t="s">
        <v>1971</v>
      </c>
      <c r="I2345" s="3">
        <v>26</v>
      </c>
      <c r="J2345" s="3" t="s">
        <v>3271</v>
      </c>
      <c r="K2345" s="3"/>
      <c r="L2345" t="str">
        <f t="shared" si="36"/>
        <v/>
      </c>
      <c r="M2345">
        <f>VLOOKUP(F2345,Sheet2!$B$1:$E$19,2,FALSE)</f>
        <v>1073</v>
      </c>
      <c r="N2345">
        <f>VLOOKUP(F2345,Sheet2!$B$1:$E$19,3,FALSE)</f>
        <v>1108963</v>
      </c>
      <c r="O2345" t="str">
        <f>IF(G2345="Not available","",VLOOKUP(F2345,Sheet2!$B$1:$E$19,4,FALSE)+(G2345-1))</f>
        <v/>
      </c>
    </row>
    <row r="2346" spans="1:15" s="1" customFormat="1" ht="15" customHeight="1" x14ac:dyDescent="0.25">
      <c r="A2346" s="18" t="s">
        <v>311</v>
      </c>
      <c r="B2346" s="18" t="s">
        <v>2096</v>
      </c>
      <c r="C2346" s="10" t="s">
        <v>1949</v>
      </c>
      <c r="D2346" s="3" t="s">
        <v>2467</v>
      </c>
      <c r="E2346" s="4" t="s">
        <v>2</v>
      </c>
      <c r="F2346" s="18">
        <v>2176</v>
      </c>
      <c r="G2346" s="18" t="s">
        <v>3271</v>
      </c>
      <c r="H2346" s="10" t="s">
        <v>2332</v>
      </c>
      <c r="I2346" s="3">
        <v>27</v>
      </c>
      <c r="J2346" s="3" t="s">
        <v>3271</v>
      </c>
      <c r="K2346" s="3"/>
      <c r="L2346" t="str">
        <f t="shared" si="36"/>
        <v/>
      </c>
      <c r="M2346">
        <f>VLOOKUP(F2346,Sheet2!$B$1:$E$19,2,FALSE)</f>
        <v>1073</v>
      </c>
      <c r="N2346">
        <f>VLOOKUP(F2346,Sheet2!$B$1:$E$19,3,FALSE)</f>
        <v>1108963</v>
      </c>
      <c r="O2346" t="str">
        <f>IF(G2346="Not available","",VLOOKUP(F2346,Sheet2!$B$1:$E$19,4,FALSE)+(G2346-1))</f>
        <v/>
      </c>
    </row>
    <row r="2347" spans="1:15" s="1" customFormat="1" ht="15" customHeight="1" x14ac:dyDescent="0.25">
      <c r="A2347" s="18" t="s">
        <v>311</v>
      </c>
      <c r="B2347" s="18" t="s">
        <v>2096</v>
      </c>
      <c r="C2347" s="10" t="s">
        <v>2098</v>
      </c>
      <c r="D2347" s="3" t="s">
        <v>1983</v>
      </c>
      <c r="E2347" s="4" t="s">
        <v>2</v>
      </c>
      <c r="F2347" s="18">
        <v>2176</v>
      </c>
      <c r="G2347" s="18" t="s">
        <v>3271</v>
      </c>
      <c r="H2347" s="10" t="s">
        <v>2006</v>
      </c>
      <c r="I2347" s="3">
        <v>27</v>
      </c>
      <c r="J2347" s="3" t="s">
        <v>3271</v>
      </c>
      <c r="K2347" s="3"/>
      <c r="L2347" t="str">
        <f t="shared" si="36"/>
        <v/>
      </c>
      <c r="M2347">
        <f>VLOOKUP(F2347,Sheet2!$B$1:$E$19,2,FALSE)</f>
        <v>1073</v>
      </c>
      <c r="N2347">
        <f>VLOOKUP(F2347,Sheet2!$B$1:$E$19,3,FALSE)</f>
        <v>1108963</v>
      </c>
      <c r="O2347" t="str">
        <f>IF(G2347="Not available","",VLOOKUP(F2347,Sheet2!$B$1:$E$19,4,FALSE)+(G2347-1))</f>
        <v/>
      </c>
    </row>
    <row r="2348" spans="1:15" s="1" customFormat="1" ht="15" customHeight="1" x14ac:dyDescent="0.25">
      <c r="A2348" s="18" t="s">
        <v>311</v>
      </c>
      <c r="B2348" s="18" t="s">
        <v>1043</v>
      </c>
      <c r="C2348" s="5">
        <v>1866</v>
      </c>
      <c r="E2348" s="1" t="s">
        <v>939</v>
      </c>
      <c r="F2348" s="18">
        <v>999</v>
      </c>
      <c r="G2348" s="18">
        <v>58</v>
      </c>
      <c r="H2348" s="5">
        <v>56</v>
      </c>
      <c r="I2348" s="1">
        <v>71</v>
      </c>
      <c r="J2348" s="1">
        <v>105</v>
      </c>
      <c r="L2348" t="str">
        <f t="shared" si="36"/>
        <v>http://www.badatelna.eu/reprodukce/?fondId=241&amp;zaznamId=1133739&amp;reproId=3885787</v>
      </c>
      <c r="M2348">
        <f>VLOOKUP(F2348,Sheet2!$B$1:$E$19,2,FALSE)</f>
        <v>241</v>
      </c>
      <c r="N2348">
        <f>VLOOKUP(F2348,Sheet2!$B$1:$E$19,3,FALSE)</f>
        <v>1133739</v>
      </c>
      <c r="O2348">
        <f>IF(G2348="Not available","",VLOOKUP(F2348,Sheet2!$B$1:$E$19,4,FALSE)+(G2348-1))</f>
        <v>3885787</v>
      </c>
    </row>
    <row r="2349" spans="1:15" s="1" customFormat="1" ht="15" customHeight="1" x14ac:dyDescent="0.25">
      <c r="A2349" s="18" t="s">
        <v>311</v>
      </c>
      <c r="B2349" s="18" t="s">
        <v>1043</v>
      </c>
      <c r="C2349" s="5" t="s">
        <v>1474</v>
      </c>
      <c r="D2349" s="1" t="s">
        <v>304</v>
      </c>
      <c r="E2349" s="1" t="s">
        <v>2</v>
      </c>
      <c r="F2349" s="18">
        <v>2165</v>
      </c>
      <c r="G2349" s="18">
        <v>12</v>
      </c>
      <c r="H2349" s="5">
        <v>9</v>
      </c>
      <c r="I2349" s="1">
        <v>86</v>
      </c>
      <c r="J2349" s="1" t="s">
        <v>3271</v>
      </c>
      <c r="L2349" t="str">
        <f t="shared" si="36"/>
        <v>http://www.badatelna.eu/reprodukce/?fondId=1073&amp;zaznamId=1108952&amp;reproId=3778873</v>
      </c>
      <c r="M2349">
        <f>VLOOKUP(F2349,Sheet2!$B$1:$E$19,2,FALSE)</f>
        <v>1073</v>
      </c>
      <c r="N2349">
        <f>VLOOKUP(F2349,Sheet2!$B$1:$E$19,3,FALSE)</f>
        <v>1108952</v>
      </c>
      <c r="O2349">
        <f>IF(G2349="Not available","",VLOOKUP(F2349,Sheet2!$B$1:$E$19,4,FALSE)+(G2349-1))</f>
        <v>3778873</v>
      </c>
    </row>
    <row r="2350" spans="1:15" s="1" customFormat="1" ht="15" customHeight="1" x14ac:dyDescent="0.25">
      <c r="A2350" s="18" t="s">
        <v>311</v>
      </c>
      <c r="B2350" s="18" t="s">
        <v>868</v>
      </c>
      <c r="C2350" s="5" t="s">
        <v>1487</v>
      </c>
      <c r="D2350" s="1" t="s">
        <v>304</v>
      </c>
      <c r="E2350" s="1" t="s">
        <v>2</v>
      </c>
      <c r="F2350" s="18">
        <v>2165</v>
      </c>
      <c r="G2350" s="18">
        <v>47</v>
      </c>
      <c r="H2350" s="5">
        <v>44</v>
      </c>
      <c r="I2350" s="1">
        <v>86</v>
      </c>
      <c r="J2350" s="1" t="s">
        <v>3271</v>
      </c>
      <c r="L2350" t="str">
        <f t="shared" si="36"/>
        <v>http://www.badatelna.eu/reprodukce/?fondId=1073&amp;zaznamId=1108952&amp;reproId=3778908</v>
      </c>
      <c r="M2350">
        <f>VLOOKUP(F2350,Sheet2!$B$1:$E$19,2,FALSE)</f>
        <v>1073</v>
      </c>
      <c r="N2350">
        <f>VLOOKUP(F2350,Sheet2!$B$1:$E$19,3,FALSE)</f>
        <v>1108952</v>
      </c>
      <c r="O2350">
        <f>IF(G2350="Not available","",VLOOKUP(F2350,Sheet2!$B$1:$E$19,4,FALSE)+(G2350-1))</f>
        <v>3778908</v>
      </c>
    </row>
    <row r="2351" spans="1:15" s="1" customFormat="1" ht="15" customHeight="1" x14ac:dyDescent="0.25">
      <c r="A2351" s="22" t="s">
        <v>311</v>
      </c>
      <c r="B2351" s="18" t="s">
        <v>816</v>
      </c>
      <c r="C2351" s="5" t="s">
        <v>1385</v>
      </c>
      <c r="D2351" s="1" t="s">
        <v>109</v>
      </c>
      <c r="E2351" s="1" t="s">
        <v>2</v>
      </c>
      <c r="F2351" s="18">
        <v>2165</v>
      </c>
      <c r="G2351" s="18">
        <v>63</v>
      </c>
      <c r="H2351" s="5">
        <v>60</v>
      </c>
      <c r="I2351" s="1">
        <v>86</v>
      </c>
      <c r="J2351" s="1" t="s">
        <v>3271</v>
      </c>
      <c r="L2351" t="str">
        <f t="shared" si="36"/>
        <v>http://www.badatelna.eu/reprodukce/?fondId=1073&amp;zaznamId=1108952&amp;reproId=3778924</v>
      </c>
      <c r="M2351">
        <f>VLOOKUP(F2351,Sheet2!$B$1:$E$19,2,FALSE)</f>
        <v>1073</v>
      </c>
      <c r="N2351">
        <f>VLOOKUP(F2351,Sheet2!$B$1:$E$19,3,FALSE)</f>
        <v>1108952</v>
      </c>
      <c r="O2351">
        <f>IF(G2351="Not available","",VLOOKUP(F2351,Sheet2!$B$1:$E$19,4,FALSE)+(G2351-1))</f>
        <v>3778924</v>
      </c>
    </row>
    <row r="2352" spans="1:15" s="1" customFormat="1" ht="15" customHeight="1" x14ac:dyDescent="0.25">
      <c r="A2352" s="18" t="s">
        <v>311</v>
      </c>
      <c r="B2352" s="18" t="s">
        <v>816</v>
      </c>
      <c r="C2352" s="5" t="s">
        <v>1726</v>
      </c>
      <c r="D2352" s="1" t="s">
        <v>219</v>
      </c>
      <c r="E2352" s="1" t="s">
        <v>2</v>
      </c>
      <c r="F2352" s="18">
        <v>2165</v>
      </c>
      <c r="G2352" s="19">
        <v>167</v>
      </c>
      <c r="H2352" s="5">
        <v>3</v>
      </c>
      <c r="I2352" s="1">
        <v>170</v>
      </c>
      <c r="J2352" s="1">
        <v>148</v>
      </c>
      <c r="L2352" t="str">
        <f t="shared" si="36"/>
        <v>http://www.badatelna.eu/reprodukce/?fondId=1073&amp;zaznamId=1108952&amp;reproId=3779028</v>
      </c>
      <c r="M2352">
        <f>VLOOKUP(F2352,Sheet2!$B$1:$E$19,2,FALSE)</f>
        <v>1073</v>
      </c>
      <c r="N2352">
        <f>VLOOKUP(F2352,Sheet2!$B$1:$E$19,3,FALSE)</f>
        <v>1108952</v>
      </c>
      <c r="O2352">
        <f>IF(G2352="Not available","",VLOOKUP(F2352,Sheet2!$B$1:$E$19,4,FALSE)+(G2352-1))</f>
        <v>3779028</v>
      </c>
    </row>
    <row r="2353" spans="1:15" s="1" customFormat="1" ht="15" customHeight="1" x14ac:dyDescent="0.25">
      <c r="A2353" s="18" t="s">
        <v>311</v>
      </c>
      <c r="B2353" s="18" t="s">
        <v>482</v>
      </c>
      <c r="C2353" s="5" t="s">
        <v>1483</v>
      </c>
      <c r="D2353" s="1" t="s">
        <v>998</v>
      </c>
      <c r="E2353" s="1" t="s">
        <v>2</v>
      </c>
      <c r="F2353" s="18">
        <v>2165</v>
      </c>
      <c r="G2353" s="19">
        <v>37</v>
      </c>
      <c r="H2353" s="5">
        <v>34</v>
      </c>
      <c r="I2353" s="1">
        <v>86</v>
      </c>
      <c r="J2353" s="1" t="s">
        <v>3271</v>
      </c>
      <c r="L2353" t="str">
        <f t="shared" si="36"/>
        <v>http://www.badatelna.eu/reprodukce/?fondId=1073&amp;zaznamId=1108952&amp;reproId=3778898</v>
      </c>
      <c r="M2353">
        <f>VLOOKUP(F2353,Sheet2!$B$1:$E$19,2,FALSE)</f>
        <v>1073</v>
      </c>
      <c r="N2353">
        <f>VLOOKUP(F2353,Sheet2!$B$1:$E$19,3,FALSE)</f>
        <v>1108952</v>
      </c>
      <c r="O2353">
        <f>IF(G2353="Not available","",VLOOKUP(F2353,Sheet2!$B$1:$E$19,4,FALSE)+(G2353-1))</f>
        <v>3778898</v>
      </c>
    </row>
    <row r="2354" spans="1:15" s="1" customFormat="1" ht="15" customHeight="1" x14ac:dyDescent="0.25">
      <c r="A2354" s="18" t="s">
        <v>311</v>
      </c>
      <c r="B2354" s="18" t="s">
        <v>769</v>
      </c>
      <c r="C2354" s="5" t="s">
        <v>1489</v>
      </c>
      <c r="D2354" s="1" t="s">
        <v>138</v>
      </c>
      <c r="E2354" s="1" t="s">
        <v>2</v>
      </c>
      <c r="F2354" s="18">
        <v>2165</v>
      </c>
      <c r="G2354" s="18">
        <v>50</v>
      </c>
      <c r="H2354" s="5">
        <v>47</v>
      </c>
      <c r="I2354" s="1">
        <v>86</v>
      </c>
      <c r="J2354" s="1" t="s">
        <v>3271</v>
      </c>
      <c r="L2354" t="str">
        <f t="shared" si="36"/>
        <v>http://www.badatelna.eu/reprodukce/?fondId=1073&amp;zaznamId=1108952&amp;reproId=3778911</v>
      </c>
      <c r="M2354">
        <f>VLOOKUP(F2354,Sheet2!$B$1:$E$19,2,FALSE)</f>
        <v>1073</v>
      </c>
      <c r="N2354">
        <f>VLOOKUP(F2354,Sheet2!$B$1:$E$19,3,FALSE)</f>
        <v>1108952</v>
      </c>
      <c r="O2354">
        <f>IF(G2354="Not available","",VLOOKUP(F2354,Sheet2!$B$1:$E$19,4,FALSE)+(G2354-1))</f>
        <v>3778911</v>
      </c>
    </row>
    <row r="2355" spans="1:15" s="1" customFormat="1" ht="15" customHeight="1" x14ac:dyDescent="0.25">
      <c r="A2355" s="18" t="s">
        <v>311</v>
      </c>
      <c r="B2355" s="18" t="s">
        <v>774</v>
      </c>
      <c r="C2355" s="5">
        <v>1857</v>
      </c>
      <c r="E2355" s="1" t="s">
        <v>939</v>
      </c>
      <c r="F2355" s="18">
        <v>999</v>
      </c>
      <c r="G2355" s="18">
        <v>7</v>
      </c>
      <c r="H2355" s="5">
        <v>5</v>
      </c>
      <c r="I2355" s="1">
        <v>71</v>
      </c>
      <c r="J2355" s="1">
        <v>105</v>
      </c>
      <c r="L2355" t="str">
        <f t="shared" si="36"/>
        <v>http://www.badatelna.eu/reprodukce/?fondId=241&amp;zaznamId=1133739&amp;reproId=3885736</v>
      </c>
      <c r="M2355">
        <f>VLOOKUP(F2355,Sheet2!$B$1:$E$19,2,FALSE)</f>
        <v>241</v>
      </c>
      <c r="N2355">
        <f>VLOOKUP(F2355,Sheet2!$B$1:$E$19,3,FALSE)</f>
        <v>1133739</v>
      </c>
      <c r="O2355">
        <f>IF(G2355="Not available","",VLOOKUP(F2355,Sheet2!$B$1:$E$19,4,FALSE)+(G2355-1))</f>
        <v>3885736</v>
      </c>
    </row>
    <row r="2356" spans="1:15" s="1" customFormat="1" ht="15" customHeight="1" x14ac:dyDescent="0.25">
      <c r="A2356" s="18" t="s">
        <v>311</v>
      </c>
      <c r="B2356" s="18" t="s">
        <v>1051</v>
      </c>
      <c r="C2356" s="5" t="s">
        <v>1802</v>
      </c>
      <c r="D2356" s="1" t="s">
        <v>219</v>
      </c>
      <c r="E2356" s="1" t="s">
        <v>2</v>
      </c>
      <c r="F2356" s="18">
        <v>2165</v>
      </c>
      <c r="G2356" s="18">
        <v>241</v>
      </c>
      <c r="H2356" s="5">
        <v>1</v>
      </c>
      <c r="I2356" s="1">
        <v>244</v>
      </c>
      <c r="J2356" s="1">
        <v>220</v>
      </c>
      <c r="L2356" t="str">
        <f t="shared" si="36"/>
        <v>http://www.badatelna.eu/reprodukce/?fondId=1073&amp;zaznamId=1108952&amp;reproId=3779102</v>
      </c>
      <c r="M2356">
        <f>VLOOKUP(F2356,Sheet2!$B$1:$E$19,2,FALSE)</f>
        <v>1073</v>
      </c>
      <c r="N2356">
        <f>VLOOKUP(F2356,Sheet2!$B$1:$E$19,3,FALSE)</f>
        <v>1108952</v>
      </c>
      <c r="O2356">
        <f>IF(G2356="Not available","",VLOOKUP(F2356,Sheet2!$B$1:$E$19,4,FALSE)+(G2356-1))</f>
        <v>3779102</v>
      </c>
    </row>
    <row r="2357" spans="1:15" s="1" customFormat="1" ht="15" customHeight="1" x14ac:dyDescent="0.25">
      <c r="A2357" s="18" t="s">
        <v>311</v>
      </c>
      <c r="B2357" s="18" t="s">
        <v>59</v>
      </c>
      <c r="C2357" s="5">
        <v>1797</v>
      </c>
      <c r="D2357" s="12" t="s">
        <v>75</v>
      </c>
      <c r="E2357" s="1" t="s">
        <v>2</v>
      </c>
      <c r="F2357" s="18">
        <v>2173</v>
      </c>
      <c r="G2357" s="18">
        <v>35</v>
      </c>
      <c r="H2357" s="5">
        <v>65</v>
      </c>
      <c r="I2357" s="1">
        <v>105</v>
      </c>
      <c r="J2357" s="1">
        <v>225</v>
      </c>
      <c r="L2357" t="str">
        <f t="shared" si="36"/>
        <v>http://www.badatelna.eu/reprodukce/?fondId=1073&amp;zaznamId=1108959&amp;reproId=3780028</v>
      </c>
      <c r="M2357">
        <f>VLOOKUP(F2357,Sheet2!$B$1:$E$19,2,FALSE)</f>
        <v>1073</v>
      </c>
      <c r="N2357">
        <f>VLOOKUP(F2357,Sheet2!$B$1:$E$19,3,FALSE)</f>
        <v>1108959</v>
      </c>
      <c r="O2357">
        <f>IF(G2357="Not available","",VLOOKUP(F2357,Sheet2!$B$1:$E$19,4,FALSE)+(G2357-1))</f>
        <v>3780028</v>
      </c>
    </row>
    <row r="2358" spans="1:15" s="1" customFormat="1" ht="15" customHeight="1" x14ac:dyDescent="0.25">
      <c r="A2358" s="18" t="s">
        <v>311</v>
      </c>
      <c r="B2358" s="18" t="s">
        <v>915</v>
      </c>
      <c r="C2358" s="10" t="s">
        <v>2074</v>
      </c>
      <c r="D2358" s="3" t="s">
        <v>2467</v>
      </c>
      <c r="E2358" s="4" t="s">
        <v>2</v>
      </c>
      <c r="F2358" s="18">
        <v>2176</v>
      </c>
      <c r="G2358" s="18" t="s">
        <v>3271</v>
      </c>
      <c r="H2358" s="10" t="s">
        <v>2478</v>
      </c>
      <c r="I2358" s="3">
        <v>27</v>
      </c>
      <c r="J2358" s="3" t="s">
        <v>3271</v>
      </c>
      <c r="K2358" s="3"/>
      <c r="L2358" t="str">
        <f t="shared" si="36"/>
        <v/>
      </c>
      <c r="M2358">
        <f>VLOOKUP(F2358,Sheet2!$B$1:$E$19,2,FALSE)</f>
        <v>1073</v>
      </c>
      <c r="N2358">
        <f>VLOOKUP(F2358,Sheet2!$B$1:$E$19,3,FALSE)</f>
        <v>1108963</v>
      </c>
      <c r="O2358" t="str">
        <f>IF(G2358="Not available","",VLOOKUP(F2358,Sheet2!$B$1:$E$19,4,FALSE)+(G2358-1))</f>
        <v/>
      </c>
    </row>
    <row r="2359" spans="1:15" s="1" customFormat="1" ht="15" customHeight="1" x14ac:dyDescent="0.25">
      <c r="A2359" s="18" t="s">
        <v>311</v>
      </c>
      <c r="B2359" s="18" t="s">
        <v>915</v>
      </c>
      <c r="C2359" s="6" t="s">
        <v>3350</v>
      </c>
      <c r="D2359" s="1" t="s">
        <v>219</v>
      </c>
      <c r="E2359" s="1" t="s">
        <v>2</v>
      </c>
      <c r="F2359" s="18">
        <v>2165</v>
      </c>
      <c r="G2359" s="18">
        <v>234</v>
      </c>
      <c r="H2359" s="5">
        <v>1</v>
      </c>
      <c r="I2359" s="1">
        <v>237</v>
      </c>
      <c r="J2359" s="1">
        <v>213</v>
      </c>
      <c r="L2359" t="str">
        <f t="shared" si="36"/>
        <v>http://www.badatelna.eu/reprodukce/?fondId=1073&amp;zaznamId=1108952&amp;reproId=3779095</v>
      </c>
      <c r="M2359">
        <f>VLOOKUP(F2359,Sheet2!$B$1:$E$19,2,FALSE)</f>
        <v>1073</v>
      </c>
      <c r="N2359">
        <f>VLOOKUP(F2359,Sheet2!$B$1:$E$19,3,FALSE)</f>
        <v>1108952</v>
      </c>
      <c r="O2359">
        <f>IF(G2359="Not available","",VLOOKUP(F2359,Sheet2!$B$1:$E$19,4,FALSE)+(G2359-1))</f>
        <v>3779095</v>
      </c>
    </row>
    <row r="2360" spans="1:15" s="1" customFormat="1" ht="15" customHeight="1" x14ac:dyDescent="0.25">
      <c r="A2360" s="18" t="s">
        <v>311</v>
      </c>
      <c r="B2360" s="18" t="s">
        <v>885</v>
      </c>
      <c r="C2360" s="5">
        <v>1857</v>
      </c>
      <c r="D2360" s="1" t="s">
        <v>24</v>
      </c>
      <c r="E2360" s="1" t="s">
        <v>2</v>
      </c>
      <c r="F2360" s="18">
        <v>2164</v>
      </c>
      <c r="G2360" s="18">
        <v>113</v>
      </c>
      <c r="H2360" s="5">
        <v>111</v>
      </c>
      <c r="I2360" s="1">
        <v>132</v>
      </c>
      <c r="J2360" s="3" t="s">
        <v>3271</v>
      </c>
      <c r="L2360" t="str">
        <f t="shared" si="36"/>
        <v>http://www.badatelna.eu/reprodukce/?fondId=1073&amp;zaznamId=1108951&amp;reproId=3778827</v>
      </c>
      <c r="M2360">
        <f>VLOOKUP(F2360,Sheet2!$B$1:$E$19,2,FALSE)</f>
        <v>1073</v>
      </c>
      <c r="N2360">
        <f>VLOOKUP(F2360,Sheet2!$B$1:$E$19,3,FALSE)</f>
        <v>1108951</v>
      </c>
      <c r="O2360">
        <f>IF(G2360="Not available","",VLOOKUP(F2360,Sheet2!$B$1:$E$19,4,FALSE)+(G2360-1))</f>
        <v>3778827</v>
      </c>
    </row>
    <row r="2361" spans="1:15" s="1" customFormat="1" ht="15" customHeight="1" x14ac:dyDescent="0.25">
      <c r="A2361" s="18" t="s">
        <v>311</v>
      </c>
      <c r="B2361" s="18" t="s">
        <v>1209</v>
      </c>
      <c r="C2361" s="14" t="s">
        <v>2098</v>
      </c>
      <c r="D2361" s="4" t="s">
        <v>477</v>
      </c>
      <c r="E2361" s="1" t="s">
        <v>2</v>
      </c>
      <c r="F2361" s="18">
        <v>2165</v>
      </c>
      <c r="G2361" s="18">
        <v>303</v>
      </c>
      <c r="H2361" s="5">
        <v>2</v>
      </c>
      <c r="I2361" s="1">
        <v>305</v>
      </c>
      <c r="J2361" s="1">
        <v>278</v>
      </c>
      <c r="L2361" t="str">
        <f t="shared" si="36"/>
        <v>http://www.badatelna.eu/reprodukce/?fondId=1073&amp;zaznamId=1108952&amp;reproId=3779164</v>
      </c>
      <c r="M2361">
        <f>VLOOKUP(F2361,Sheet2!$B$1:$E$19,2,FALSE)</f>
        <v>1073</v>
      </c>
      <c r="N2361">
        <f>VLOOKUP(F2361,Sheet2!$B$1:$E$19,3,FALSE)</f>
        <v>1108952</v>
      </c>
      <c r="O2361">
        <f>IF(G2361="Not available","",VLOOKUP(F2361,Sheet2!$B$1:$E$19,4,FALSE)+(G2361-1))</f>
        <v>3779164</v>
      </c>
    </row>
    <row r="2362" spans="1:15" s="1" customFormat="1" ht="15" customHeight="1" x14ac:dyDescent="0.25">
      <c r="A2362" s="18" t="s">
        <v>311</v>
      </c>
      <c r="B2362" s="18" t="s">
        <v>1052</v>
      </c>
      <c r="C2362" s="6" t="s">
        <v>2158</v>
      </c>
      <c r="D2362" s="4" t="s">
        <v>477</v>
      </c>
      <c r="E2362" s="1" t="s">
        <v>2</v>
      </c>
      <c r="F2362" s="18">
        <v>2165</v>
      </c>
      <c r="G2362" s="18">
        <v>313</v>
      </c>
      <c r="H2362" s="5">
        <v>1</v>
      </c>
      <c r="I2362" s="1">
        <v>314</v>
      </c>
      <c r="J2362" s="1">
        <v>287</v>
      </c>
      <c r="L2362" t="str">
        <f t="shared" si="36"/>
        <v>http://www.badatelna.eu/reprodukce/?fondId=1073&amp;zaznamId=1108952&amp;reproId=3779174</v>
      </c>
      <c r="M2362">
        <f>VLOOKUP(F2362,Sheet2!$B$1:$E$19,2,FALSE)</f>
        <v>1073</v>
      </c>
      <c r="N2362">
        <f>VLOOKUP(F2362,Sheet2!$B$1:$E$19,3,FALSE)</f>
        <v>1108952</v>
      </c>
      <c r="O2362">
        <f>IF(G2362="Not available","",VLOOKUP(F2362,Sheet2!$B$1:$E$19,4,FALSE)+(G2362-1))</f>
        <v>3779174</v>
      </c>
    </row>
    <row r="2363" spans="1:15" s="1" customFormat="1" ht="15" customHeight="1" x14ac:dyDescent="0.25">
      <c r="A2363" s="18" t="s">
        <v>311</v>
      </c>
      <c r="B2363" s="18" t="s">
        <v>1052</v>
      </c>
      <c r="C2363" s="10" t="s">
        <v>2158</v>
      </c>
      <c r="D2363" s="3" t="s">
        <v>1983</v>
      </c>
      <c r="E2363" s="4" t="s">
        <v>2</v>
      </c>
      <c r="F2363" s="18">
        <v>2176</v>
      </c>
      <c r="G2363" s="18" t="s">
        <v>3271</v>
      </c>
      <c r="H2363" s="10" t="s">
        <v>1971</v>
      </c>
      <c r="I2363" s="3">
        <v>27</v>
      </c>
      <c r="J2363" s="3" t="s">
        <v>3271</v>
      </c>
      <c r="K2363" s="3"/>
      <c r="L2363" t="str">
        <f t="shared" si="36"/>
        <v/>
      </c>
      <c r="M2363">
        <f>VLOOKUP(F2363,Sheet2!$B$1:$E$19,2,FALSE)</f>
        <v>1073</v>
      </c>
      <c r="N2363">
        <f>VLOOKUP(F2363,Sheet2!$B$1:$E$19,3,FALSE)</f>
        <v>1108963</v>
      </c>
      <c r="O2363" t="str">
        <f>IF(G2363="Not available","",VLOOKUP(F2363,Sheet2!$B$1:$E$19,4,FALSE)+(G2363-1))</f>
        <v/>
      </c>
    </row>
    <row r="2364" spans="1:15" s="1" customFormat="1" ht="15" customHeight="1" x14ac:dyDescent="0.25">
      <c r="A2364" s="18" t="s">
        <v>311</v>
      </c>
      <c r="B2364" s="18" t="s">
        <v>1152</v>
      </c>
      <c r="C2364" s="10" t="s">
        <v>2103</v>
      </c>
      <c r="D2364" s="3" t="s">
        <v>1983</v>
      </c>
      <c r="E2364" s="4" t="s">
        <v>2</v>
      </c>
      <c r="F2364" s="18">
        <v>2176</v>
      </c>
      <c r="G2364" s="18" t="s">
        <v>3271</v>
      </c>
      <c r="H2364" s="10" t="s">
        <v>1955</v>
      </c>
      <c r="I2364" s="3">
        <v>27</v>
      </c>
      <c r="J2364" s="3" t="s">
        <v>3271</v>
      </c>
      <c r="K2364" s="3"/>
      <c r="L2364" t="str">
        <f t="shared" si="36"/>
        <v/>
      </c>
      <c r="M2364">
        <f>VLOOKUP(F2364,Sheet2!$B$1:$E$19,2,FALSE)</f>
        <v>1073</v>
      </c>
      <c r="N2364">
        <f>VLOOKUP(F2364,Sheet2!$B$1:$E$19,3,FALSE)</f>
        <v>1108963</v>
      </c>
      <c r="O2364" t="str">
        <f>IF(G2364="Not available","",VLOOKUP(F2364,Sheet2!$B$1:$E$19,4,FALSE)+(G2364-1))</f>
        <v/>
      </c>
    </row>
    <row r="2365" spans="1:15" s="1" customFormat="1" ht="15" customHeight="1" x14ac:dyDescent="0.25">
      <c r="A2365" s="18" t="s">
        <v>311</v>
      </c>
      <c r="B2365" s="18" t="s">
        <v>590</v>
      </c>
      <c r="C2365" s="5" t="s">
        <v>1492</v>
      </c>
      <c r="D2365" s="1" t="s">
        <v>434</v>
      </c>
      <c r="E2365" s="1" t="s">
        <v>2</v>
      </c>
      <c r="F2365" s="18">
        <v>2165</v>
      </c>
      <c r="G2365" s="18">
        <v>64</v>
      </c>
      <c r="H2365" s="5">
        <v>61</v>
      </c>
      <c r="I2365" s="1">
        <v>86</v>
      </c>
      <c r="J2365" s="1" t="s">
        <v>3271</v>
      </c>
      <c r="L2365" t="str">
        <f t="shared" si="36"/>
        <v>http://www.badatelna.eu/reprodukce/?fondId=1073&amp;zaznamId=1108952&amp;reproId=3778925</v>
      </c>
      <c r="M2365">
        <f>VLOOKUP(F2365,Sheet2!$B$1:$E$19,2,FALSE)</f>
        <v>1073</v>
      </c>
      <c r="N2365">
        <f>VLOOKUP(F2365,Sheet2!$B$1:$E$19,3,FALSE)</f>
        <v>1108952</v>
      </c>
      <c r="O2365">
        <f>IF(G2365="Not available","",VLOOKUP(F2365,Sheet2!$B$1:$E$19,4,FALSE)+(G2365-1))</f>
        <v>3778925</v>
      </c>
    </row>
    <row r="2366" spans="1:15" s="1" customFormat="1" ht="15" customHeight="1" x14ac:dyDescent="0.25">
      <c r="A2366" s="18" t="s">
        <v>311</v>
      </c>
      <c r="B2366" s="18" t="s">
        <v>51</v>
      </c>
      <c r="C2366" s="5" t="s">
        <v>1491</v>
      </c>
      <c r="D2366" s="1" t="s">
        <v>434</v>
      </c>
      <c r="E2366" s="1" t="s">
        <v>2</v>
      </c>
      <c r="F2366" s="18">
        <v>2165</v>
      </c>
      <c r="G2366" s="18">
        <v>56</v>
      </c>
      <c r="H2366" s="5">
        <v>53</v>
      </c>
      <c r="I2366" s="1">
        <v>86</v>
      </c>
      <c r="J2366" s="1" t="s">
        <v>3271</v>
      </c>
      <c r="L2366" t="str">
        <f t="shared" si="36"/>
        <v>http://www.badatelna.eu/reprodukce/?fondId=1073&amp;zaznamId=1108952&amp;reproId=3778917</v>
      </c>
      <c r="M2366">
        <f>VLOOKUP(F2366,Sheet2!$B$1:$E$19,2,FALSE)</f>
        <v>1073</v>
      </c>
      <c r="N2366">
        <f>VLOOKUP(F2366,Sheet2!$B$1:$E$19,3,FALSE)</f>
        <v>1108952</v>
      </c>
      <c r="O2366">
        <f>IF(G2366="Not available","",VLOOKUP(F2366,Sheet2!$B$1:$E$19,4,FALSE)+(G2366-1))</f>
        <v>3778917</v>
      </c>
    </row>
    <row r="2367" spans="1:15" s="1" customFormat="1" ht="15" customHeight="1" x14ac:dyDescent="0.25">
      <c r="A2367" s="18" t="s">
        <v>311</v>
      </c>
      <c r="B2367" s="18" t="s">
        <v>197</v>
      </c>
      <c r="C2367" s="5">
        <v>1865</v>
      </c>
      <c r="E2367" s="1" t="s">
        <v>939</v>
      </c>
      <c r="F2367" s="18">
        <v>999</v>
      </c>
      <c r="G2367" s="18">
        <v>52</v>
      </c>
      <c r="H2367" s="5">
        <v>50</v>
      </c>
      <c r="I2367" s="1">
        <v>71</v>
      </c>
      <c r="J2367" s="1">
        <v>105</v>
      </c>
      <c r="L2367" t="str">
        <f t="shared" si="36"/>
        <v>http://www.badatelna.eu/reprodukce/?fondId=241&amp;zaznamId=1133739&amp;reproId=3885781</v>
      </c>
      <c r="M2367">
        <f>VLOOKUP(F2367,Sheet2!$B$1:$E$19,2,FALSE)</f>
        <v>241</v>
      </c>
      <c r="N2367">
        <f>VLOOKUP(F2367,Sheet2!$B$1:$E$19,3,FALSE)</f>
        <v>1133739</v>
      </c>
      <c r="O2367">
        <f>IF(G2367="Not available","",VLOOKUP(F2367,Sheet2!$B$1:$E$19,4,FALSE)+(G2367-1))</f>
        <v>3885781</v>
      </c>
    </row>
    <row r="2368" spans="1:15" s="1" customFormat="1" ht="15" customHeight="1" x14ac:dyDescent="0.25">
      <c r="A2368" s="18" t="s">
        <v>311</v>
      </c>
      <c r="B2368" s="18" t="s">
        <v>2027</v>
      </c>
      <c r="C2368" s="10" t="s">
        <v>2025</v>
      </c>
      <c r="D2368" s="3" t="s">
        <v>2039</v>
      </c>
      <c r="E2368" s="4" t="s">
        <v>2</v>
      </c>
      <c r="F2368" s="18">
        <v>2176</v>
      </c>
      <c r="G2368" s="18" t="s">
        <v>3271</v>
      </c>
      <c r="H2368" s="10" t="s">
        <v>2073</v>
      </c>
      <c r="I2368" s="3">
        <v>26</v>
      </c>
      <c r="J2368" s="3" t="s">
        <v>3271</v>
      </c>
      <c r="K2368" s="3"/>
      <c r="L2368" t="str">
        <f t="shared" si="36"/>
        <v/>
      </c>
      <c r="M2368">
        <f>VLOOKUP(F2368,Sheet2!$B$1:$E$19,2,FALSE)</f>
        <v>1073</v>
      </c>
      <c r="N2368">
        <f>VLOOKUP(F2368,Sheet2!$B$1:$E$19,3,FALSE)</f>
        <v>1108963</v>
      </c>
      <c r="O2368" t="str">
        <f>IF(G2368="Not available","",VLOOKUP(F2368,Sheet2!$B$1:$E$19,4,FALSE)+(G2368-1))</f>
        <v/>
      </c>
    </row>
    <row r="2369" spans="1:15" s="1" customFormat="1" ht="15" customHeight="1" x14ac:dyDescent="0.25">
      <c r="A2369" s="18" t="s">
        <v>311</v>
      </c>
      <c r="B2369" s="18" t="s">
        <v>2027</v>
      </c>
      <c r="C2369" s="10" t="s">
        <v>2026</v>
      </c>
      <c r="D2369" s="3" t="s">
        <v>2474</v>
      </c>
      <c r="E2369" s="4" t="s">
        <v>2</v>
      </c>
      <c r="F2369" s="18">
        <v>2176</v>
      </c>
      <c r="G2369" s="18" t="s">
        <v>3271</v>
      </c>
      <c r="H2369" s="10" t="s">
        <v>1959</v>
      </c>
      <c r="I2369" s="3">
        <v>26</v>
      </c>
      <c r="J2369" s="3" t="s">
        <v>3271</v>
      </c>
      <c r="K2369" s="3"/>
      <c r="L2369" t="str">
        <f t="shared" si="36"/>
        <v/>
      </c>
      <c r="M2369">
        <f>VLOOKUP(F2369,Sheet2!$B$1:$E$19,2,FALSE)</f>
        <v>1073</v>
      </c>
      <c r="N2369">
        <f>VLOOKUP(F2369,Sheet2!$B$1:$E$19,3,FALSE)</f>
        <v>1108963</v>
      </c>
      <c r="O2369" t="str">
        <f>IF(G2369="Not available","",VLOOKUP(F2369,Sheet2!$B$1:$E$19,4,FALSE)+(G2369-1))</f>
        <v/>
      </c>
    </row>
    <row r="2370" spans="1:15" s="1" customFormat="1" ht="15" customHeight="1" x14ac:dyDescent="0.25">
      <c r="A2370" s="18" t="s">
        <v>311</v>
      </c>
      <c r="B2370" s="18" t="s">
        <v>845</v>
      </c>
      <c r="C2370" s="5" t="s">
        <v>1485</v>
      </c>
      <c r="D2370" s="1" t="s">
        <v>434</v>
      </c>
      <c r="E2370" s="1" t="s">
        <v>2</v>
      </c>
      <c r="F2370" s="18">
        <v>2165</v>
      </c>
      <c r="G2370" s="18">
        <v>44</v>
      </c>
      <c r="H2370" s="5">
        <v>41</v>
      </c>
      <c r="I2370" s="1">
        <v>86</v>
      </c>
      <c r="J2370" s="1" t="s">
        <v>3271</v>
      </c>
      <c r="L2370" t="str">
        <f t="shared" si="36"/>
        <v>http://www.badatelna.eu/reprodukce/?fondId=1073&amp;zaznamId=1108952&amp;reproId=3778905</v>
      </c>
      <c r="M2370">
        <f>VLOOKUP(F2370,Sheet2!$B$1:$E$19,2,FALSE)</f>
        <v>1073</v>
      </c>
      <c r="N2370">
        <f>VLOOKUP(F2370,Sheet2!$B$1:$E$19,3,FALSE)</f>
        <v>1108952</v>
      </c>
      <c r="O2370">
        <f>IF(G2370="Not available","",VLOOKUP(F2370,Sheet2!$B$1:$E$19,4,FALSE)+(G2370-1))</f>
        <v>3778905</v>
      </c>
    </row>
    <row r="2371" spans="1:15" s="1" customFormat="1" ht="15" customHeight="1" x14ac:dyDescent="0.25">
      <c r="A2371" s="19" t="s">
        <v>311</v>
      </c>
      <c r="B2371" s="18" t="s">
        <v>13</v>
      </c>
      <c r="C2371" s="5">
        <v>1793</v>
      </c>
      <c r="D2371" s="1" t="s">
        <v>307</v>
      </c>
      <c r="E2371" s="1" t="s">
        <v>2</v>
      </c>
      <c r="F2371" s="18">
        <v>2173</v>
      </c>
      <c r="G2371" s="18">
        <v>28</v>
      </c>
      <c r="H2371" s="5">
        <v>51</v>
      </c>
      <c r="I2371" s="1">
        <v>105</v>
      </c>
      <c r="J2371" s="1">
        <v>225</v>
      </c>
      <c r="L2371" t="str">
        <f t="shared" ref="L2371:L2434" si="37">IF(G2371="Not available","","http://www.badatelna.eu/reprodukce/?fondId="&amp;M2371&amp;"&amp;zaznamId="&amp;N2371&amp;"&amp;reproId="&amp;O2371)</f>
        <v>http://www.badatelna.eu/reprodukce/?fondId=1073&amp;zaznamId=1108959&amp;reproId=3780021</v>
      </c>
      <c r="M2371">
        <f>VLOOKUP(F2371,Sheet2!$B$1:$E$19,2,FALSE)</f>
        <v>1073</v>
      </c>
      <c r="N2371">
        <f>VLOOKUP(F2371,Sheet2!$B$1:$E$19,3,FALSE)</f>
        <v>1108959</v>
      </c>
      <c r="O2371">
        <f>IF(G2371="Not available","",VLOOKUP(F2371,Sheet2!$B$1:$E$19,4,FALSE)+(G2371-1))</f>
        <v>3780021</v>
      </c>
    </row>
    <row r="2372" spans="1:15" s="1" customFormat="1" ht="15" customHeight="1" x14ac:dyDescent="0.25">
      <c r="A2372" s="19" t="s">
        <v>311</v>
      </c>
      <c r="B2372" s="18" t="s">
        <v>18</v>
      </c>
      <c r="C2372" s="5">
        <v>1792</v>
      </c>
      <c r="D2372" s="1" t="s">
        <v>75</v>
      </c>
      <c r="E2372" s="1" t="s">
        <v>2</v>
      </c>
      <c r="F2372" s="18">
        <v>2173</v>
      </c>
      <c r="G2372" s="18">
        <v>26</v>
      </c>
      <c r="H2372" s="5">
        <v>47</v>
      </c>
      <c r="I2372" s="1">
        <v>105</v>
      </c>
      <c r="J2372" s="1">
        <v>225</v>
      </c>
      <c r="L2372" t="str">
        <f t="shared" si="37"/>
        <v>http://www.badatelna.eu/reprodukce/?fondId=1073&amp;zaznamId=1108959&amp;reproId=3780019</v>
      </c>
      <c r="M2372">
        <f>VLOOKUP(F2372,Sheet2!$B$1:$E$19,2,FALSE)</f>
        <v>1073</v>
      </c>
      <c r="N2372">
        <f>VLOOKUP(F2372,Sheet2!$B$1:$E$19,3,FALSE)</f>
        <v>1108959</v>
      </c>
      <c r="O2372">
        <f>IF(G2372="Not available","",VLOOKUP(F2372,Sheet2!$B$1:$E$19,4,FALSE)+(G2372-1))</f>
        <v>3780019</v>
      </c>
    </row>
    <row r="2373" spans="1:15" s="1" customFormat="1" ht="15" customHeight="1" x14ac:dyDescent="0.25">
      <c r="A2373" s="18" t="s">
        <v>311</v>
      </c>
      <c r="B2373" s="18" t="s">
        <v>398</v>
      </c>
      <c r="C2373" s="10" t="s">
        <v>2005</v>
      </c>
      <c r="D2373" s="3" t="s">
        <v>2039</v>
      </c>
      <c r="E2373" s="4" t="s">
        <v>2</v>
      </c>
      <c r="F2373" s="18">
        <v>2176</v>
      </c>
      <c r="G2373" s="18" t="s">
        <v>3271</v>
      </c>
      <c r="H2373" s="10" t="s">
        <v>2086</v>
      </c>
      <c r="I2373" s="3">
        <v>26</v>
      </c>
      <c r="J2373" s="3" t="s">
        <v>3271</v>
      </c>
      <c r="K2373" s="3"/>
      <c r="L2373" t="str">
        <f t="shared" si="37"/>
        <v/>
      </c>
      <c r="M2373">
        <f>VLOOKUP(F2373,Sheet2!$B$1:$E$19,2,FALSE)</f>
        <v>1073</v>
      </c>
      <c r="N2373">
        <f>VLOOKUP(F2373,Sheet2!$B$1:$E$19,3,FALSE)</f>
        <v>1108963</v>
      </c>
      <c r="O2373" t="str">
        <f>IF(G2373="Not available","",VLOOKUP(F2373,Sheet2!$B$1:$E$19,4,FALSE)+(G2373-1))</f>
        <v/>
      </c>
    </row>
    <row r="2374" spans="1:15" s="1" customFormat="1" ht="15" customHeight="1" x14ac:dyDescent="0.25">
      <c r="A2374" s="18" t="s">
        <v>311</v>
      </c>
      <c r="B2374" s="18" t="s">
        <v>1007</v>
      </c>
      <c r="C2374" s="10" t="s">
        <v>2036</v>
      </c>
      <c r="D2374" s="3" t="s">
        <v>2474</v>
      </c>
      <c r="E2374" s="4" t="s">
        <v>2</v>
      </c>
      <c r="F2374" s="18">
        <v>2176</v>
      </c>
      <c r="G2374" s="18" t="s">
        <v>3271</v>
      </c>
      <c r="H2374" s="10" t="s">
        <v>2035</v>
      </c>
      <c r="I2374" s="3">
        <v>26</v>
      </c>
      <c r="J2374" s="3" t="s">
        <v>3271</v>
      </c>
      <c r="K2374" s="3"/>
      <c r="L2374" t="str">
        <f t="shared" si="37"/>
        <v/>
      </c>
      <c r="M2374">
        <f>VLOOKUP(F2374,Sheet2!$B$1:$E$19,2,FALSE)</f>
        <v>1073</v>
      </c>
      <c r="N2374">
        <f>VLOOKUP(F2374,Sheet2!$B$1:$E$19,3,FALSE)</f>
        <v>1108963</v>
      </c>
      <c r="O2374" t="str">
        <f>IF(G2374="Not available","",VLOOKUP(F2374,Sheet2!$B$1:$E$19,4,FALSE)+(G2374-1))</f>
        <v/>
      </c>
    </row>
    <row r="2375" spans="1:15" s="1" customFormat="1" ht="15" customHeight="1" x14ac:dyDescent="0.25">
      <c r="A2375" s="18" t="s">
        <v>311</v>
      </c>
      <c r="B2375" s="18" t="s">
        <v>1007</v>
      </c>
      <c r="C2375" s="5">
        <v>1883</v>
      </c>
      <c r="D2375" s="1" t="s">
        <v>219</v>
      </c>
      <c r="E2375" s="1" t="s">
        <v>2</v>
      </c>
      <c r="F2375" s="18">
        <v>2165</v>
      </c>
      <c r="G2375" s="18">
        <v>188</v>
      </c>
      <c r="H2375" s="5">
        <v>4</v>
      </c>
      <c r="I2375" s="1">
        <v>190</v>
      </c>
      <c r="J2375" s="1">
        <v>167</v>
      </c>
      <c r="L2375" t="str">
        <f t="shared" si="37"/>
        <v>http://www.badatelna.eu/reprodukce/?fondId=1073&amp;zaznamId=1108952&amp;reproId=3779049</v>
      </c>
      <c r="M2375">
        <f>VLOOKUP(F2375,Sheet2!$B$1:$E$19,2,FALSE)</f>
        <v>1073</v>
      </c>
      <c r="N2375">
        <f>VLOOKUP(F2375,Sheet2!$B$1:$E$19,3,FALSE)</f>
        <v>1108952</v>
      </c>
      <c r="O2375">
        <f>IF(G2375="Not available","",VLOOKUP(F2375,Sheet2!$B$1:$E$19,4,FALSE)+(G2375-1))</f>
        <v>3779049</v>
      </c>
    </row>
    <row r="2376" spans="1:15" s="1" customFormat="1" ht="15" customHeight="1" x14ac:dyDescent="0.25">
      <c r="A2376" s="18" t="s">
        <v>311</v>
      </c>
      <c r="B2376" s="18" t="s">
        <v>24</v>
      </c>
      <c r="C2376" s="5">
        <v>1864</v>
      </c>
      <c r="E2376" s="1" t="s">
        <v>939</v>
      </c>
      <c r="F2376" s="18">
        <v>999</v>
      </c>
      <c r="G2376" s="18">
        <v>50</v>
      </c>
      <c r="H2376" s="5">
        <v>48</v>
      </c>
      <c r="I2376" s="1">
        <v>71</v>
      </c>
      <c r="J2376" s="1">
        <v>105</v>
      </c>
      <c r="L2376" t="str">
        <f t="shared" si="37"/>
        <v>http://www.badatelna.eu/reprodukce/?fondId=241&amp;zaznamId=1133739&amp;reproId=3885779</v>
      </c>
      <c r="M2376">
        <f>VLOOKUP(F2376,Sheet2!$B$1:$E$19,2,FALSE)</f>
        <v>241</v>
      </c>
      <c r="N2376">
        <f>VLOOKUP(F2376,Sheet2!$B$1:$E$19,3,FALSE)</f>
        <v>1133739</v>
      </c>
      <c r="O2376">
        <f>IF(G2376="Not available","",VLOOKUP(F2376,Sheet2!$B$1:$E$19,4,FALSE)+(G2376-1))</f>
        <v>3885779</v>
      </c>
    </row>
    <row r="2377" spans="1:15" s="1" customFormat="1" ht="15" customHeight="1" x14ac:dyDescent="0.25">
      <c r="A2377" s="19" t="s">
        <v>311</v>
      </c>
      <c r="B2377" s="18" t="s">
        <v>76</v>
      </c>
      <c r="C2377" s="5">
        <v>1803</v>
      </c>
      <c r="D2377" s="4" t="s">
        <v>34</v>
      </c>
      <c r="E2377" s="1" t="s">
        <v>2</v>
      </c>
      <c r="F2377" s="18">
        <v>2173</v>
      </c>
      <c r="G2377" s="18">
        <v>47</v>
      </c>
      <c r="H2377" s="5">
        <v>89</v>
      </c>
      <c r="I2377" s="1">
        <v>106</v>
      </c>
      <c r="J2377" s="1">
        <v>226</v>
      </c>
      <c r="L2377" t="str">
        <f t="shared" si="37"/>
        <v>http://www.badatelna.eu/reprodukce/?fondId=1073&amp;zaznamId=1108959&amp;reproId=3780040</v>
      </c>
      <c r="M2377">
        <f>VLOOKUP(F2377,Sheet2!$B$1:$E$19,2,FALSE)</f>
        <v>1073</v>
      </c>
      <c r="N2377">
        <f>VLOOKUP(F2377,Sheet2!$B$1:$E$19,3,FALSE)</f>
        <v>1108959</v>
      </c>
      <c r="O2377">
        <f>IF(G2377="Not available","",VLOOKUP(F2377,Sheet2!$B$1:$E$19,4,FALSE)+(G2377-1))</f>
        <v>3780040</v>
      </c>
    </row>
    <row r="2378" spans="1:15" s="1" customFormat="1" ht="15" customHeight="1" x14ac:dyDescent="0.25">
      <c r="A2378" s="18" t="s">
        <v>311</v>
      </c>
      <c r="B2378" s="18" t="s">
        <v>2196</v>
      </c>
      <c r="C2378" s="10" t="s">
        <v>1987</v>
      </c>
      <c r="D2378" s="3" t="s">
        <v>1944</v>
      </c>
      <c r="E2378" s="4" t="s">
        <v>2</v>
      </c>
      <c r="F2378" s="18">
        <v>2176</v>
      </c>
      <c r="G2378" s="18" t="s">
        <v>3271</v>
      </c>
      <c r="H2378" s="10" t="s">
        <v>2142</v>
      </c>
      <c r="I2378" s="3">
        <v>26</v>
      </c>
      <c r="J2378" s="3" t="s">
        <v>3271</v>
      </c>
      <c r="L2378" t="str">
        <f t="shared" si="37"/>
        <v/>
      </c>
      <c r="M2378">
        <f>VLOOKUP(F2378,Sheet2!$B$1:$E$19,2,FALSE)</f>
        <v>1073</v>
      </c>
      <c r="N2378">
        <f>VLOOKUP(F2378,Sheet2!$B$1:$E$19,3,FALSE)</f>
        <v>1108963</v>
      </c>
      <c r="O2378" t="str">
        <f>IF(G2378="Not available","",VLOOKUP(F2378,Sheet2!$B$1:$E$19,4,FALSE)+(G2378-1))</f>
        <v/>
      </c>
    </row>
    <row r="2379" spans="1:15" s="1" customFormat="1" ht="15" customHeight="1" x14ac:dyDescent="0.25">
      <c r="A2379" s="18" t="s">
        <v>311</v>
      </c>
      <c r="B2379" s="18" t="s">
        <v>2196</v>
      </c>
      <c r="C2379" s="10" t="s">
        <v>2005</v>
      </c>
      <c r="D2379" s="3" t="s">
        <v>2467</v>
      </c>
      <c r="E2379" s="4" t="s">
        <v>2</v>
      </c>
      <c r="F2379" s="18">
        <v>2176</v>
      </c>
      <c r="G2379" s="18" t="s">
        <v>3271</v>
      </c>
      <c r="H2379" s="10" t="s">
        <v>2094</v>
      </c>
      <c r="I2379" s="3">
        <v>26</v>
      </c>
      <c r="J2379" s="3" t="s">
        <v>3271</v>
      </c>
      <c r="K2379" s="3"/>
      <c r="L2379" t="str">
        <f t="shared" si="37"/>
        <v/>
      </c>
      <c r="M2379">
        <f>VLOOKUP(F2379,Sheet2!$B$1:$E$19,2,FALSE)</f>
        <v>1073</v>
      </c>
      <c r="N2379">
        <f>VLOOKUP(F2379,Sheet2!$B$1:$E$19,3,FALSE)</f>
        <v>1108963</v>
      </c>
      <c r="O2379" t="str">
        <f>IF(G2379="Not available","",VLOOKUP(F2379,Sheet2!$B$1:$E$19,4,FALSE)+(G2379-1))</f>
        <v/>
      </c>
    </row>
    <row r="2380" spans="1:15" s="1" customFormat="1" ht="15" customHeight="1" x14ac:dyDescent="0.25">
      <c r="A2380" s="18" t="s">
        <v>311</v>
      </c>
      <c r="B2380" s="18" t="s">
        <v>1171</v>
      </c>
      <c r="C2380" s="5">
        <v>1886</v>
      </c>
      <c r="D2380" s="1" t="s">
        <v>219</v>
      </c>
      <c r="E2380" s="1" t="s">
        <v>2</v>
      </c>
      <c r="F2380" s="18">
        <v>2165</v>
      </c>
      <c r="G2380" s="18">
        <v>207</v>
      </c>
      <c r="H2380" s="5">
        <v>1</v>
      </c>
      <c r="I2380" s="1">
        <v>210</v>
      </c>
      <c r="J2380" s="1">
        <v>186</v>
      </c>
      <c r="L2380" t="str">
        <f t="shared" si="37"/>
        <v>http://www.badatelna.eu/reprodukce/?fondId=1073&amp;zaznamId=1108952&amp;reproId=3779068</v>
      </c>
      <c r="M2380">
        <f>VLOOKUP(F2380,Sheet2!$B$1:$E$19,2,FALSE)</f>
        <v>1073</v>
      </c>
      <c r="N2380">
        <f>VLOOKUP(F2380,Sheet2!$B$1:$E$19,3,FALSE)</f>
        <v>1108952</v>
      </c>
      <c r="O2380">
        <f>IF(G2380="Not available","",VLOOKUP(F2380,Sheet2!$B$1:$E$19,4,FALSE)+(G2380-1))</f>
        <v>3779068</v>
      </c>
    </row>
    <row r="2381" spans="1:15" s="1" customFormat="1" ht="15" customHeight="1" x14ac:dyDescent="0.25">
      <c r="A2381" s="18" t="s">
        <v>311</v>
      </c>
      <c r="B2381" s="18" t="s">
        <v>2391</v>
      </c>
      <c r="C2381" s="10" t="s">
        <v>2052</v>
      </c>
      <c r="D2381" s="3" t="s">
        <v>2467</v>
      </c>
      <c r="E2381" s="4" t="s">
        <v>2</v>
      </c>
      <c r="F2381" s="18">
        <v>2176</v>
      </c>
      <c r="G2381" s="18" t="s">
        <v>3271</v>
      </c>
      <c r="H2381" s="10" t="s">
        <v>1971</v>
      </c>
      <c r="I2381" s="3">
        <v>26</v>
      </c>
      <c r="J2381" s="3" t="s">
        <v>3271</v>
      </c>
      <c r="K2381" s="3"/>
      <c r="L2381" t="str">
        <f t="shared" si="37"/>
        <v/>
      </c>
      <c r="M2381">
        <f>VLOOKUP(F2381,Sheet2!$B$1:$E$19,2,FALSE)</f>
        <v>1073</v>
      </c>
      <c r="N2381">
        <f>VLOOKUP(F2381,Sheet2!$B$1:$E$19,3,FALSE)</f>
        <v>1108963</v>
      </c>
      <c r="O2381" t="str">
        <f>IF(G2381="Not available","",VLOOKUP(F2381,Sheet2!$B$1:$E$19,4,FALSE)+(G2381-1))</f>
        <v/>
      </c>
    </row>
    <row r="2382" spans="1:15" s="1" customFormat="1" ht="15" customHeight="1" x14ac:dyDescent="0.25">
      <c r="A2382" s="18" t="s">
        <v>2466</v>
      </c>
      <c r="B2382" s="18" t="s">
        <v>1944</v>
      </c>
      <c r="C2382" s="10" t="s">
        <v>2005</v>
      </c>
      <c r="D2382" s="3" t="s">
        <v>2182</v>
      </c>
      <c r="E2382" s="4" t="s">
        <v>2</v>
      </c>
      <c r="F2382" s="18">
        <v>2176</v>
      </c>
      <c r="G2382" s="18" t="s">
        <v>3271</v>
      </c>
      <c r="H2382" s="10" t="s">
        <v>2088</v>
      </c>
      <c r="I2382" s="3">
        <v>26</v>
      </c>
      <c r="J2382" s="3" t="s">
        <v>3271</v>
      </c>
      <c r="K2382" s="3"/>
      <c r="L2382" t="str">
        <f t="shared" si="37"/>
        <v/>
      </c>
      <c r="M2382">
        <f>VLOOKUP(F2382,Sheet2!$B$1:$E$19,2,FALSE)</f>
        <v>1073</v>
      </c>
      <c r="N2382">
        <f>VLOOKUP(F2382,Sheet2!$B$1:$E$19,3,FALSE)</f>
        <v>1108963</v>
      </c>
      <c r="O2382" t="str">
        <f>IF(G2382="Not available","",VLOOKUP(F2382,Sheet2!$B$1:$E$19,4,FALSE)+(G2382-1))</f>
        <v/>
      </c>
    </row>
    <row r="2383" spans="1:15" s="1" customFormat="1" ht="15" customHeight="1" x14ac:dyDescent="0.25">
      <c r="A2383" s="18" t="s">
        <v>296</v>
      </c>
      <c r="B2383" s="19" t="s">
        <v>3062</v>
      </c>
      <c r="C2383" s="5">
        <v>1784</v>
      </c>
      <c r="D2383" s="1" t="s">
        <v>96</v>
      </c>
      <c r="E2383" s="1" t="s">
        <v>2</v>
      </c>
      <c r="F2383" s="18">
        <v>2173</v>
      </c>
      <c r="G2383" s="18">
        <v>5</v>
      </c>
      <c r="H2383" s="5">
        <v>5</v>
      </c>
      <c r="I2383" s="1">
        <v>105</v>
      </c>
      <c r="J2383" s="1" t="s">
        <v>294</v>
      </c>
      <c r="L2383" t="str">
        <f t="shared" si="37"/>
        <v>http://www.badatelna.eu/reprodukce/?fondId=1073&amp;zaznamId=1108959&amp;reproId=3779998</v>
      </c>
      <c r="M2383">
        <f>VLOOKUP(F2383,Sheet2!$B$1:$E$19,2,FALSE)</f>
        <v>1073</v>
      </c>
      <c r="N2383">
        <f>VLOOKUP(F2383,Sheet2!$B$1:$E$19,3,FALSE)</f>
        <v>1108959</v>
      </c>
      <c r="O2383">
        <f>IF(G2383="Not available","",VLOOKUP(F2383,Sheet2!$B$1:$E$19,4,FALSE)+(G2383-1))</f>
        <v>3779998</v>
      </c>
    </row>
    <row r="2384" spans="1:15" s="1" customFormat="1" ht="15" customHeight="1" x14ac:dyDescent="0.25">
      <c r="A2384" s="19" t="s">
        <v>296</v>
      </c>
      <c r="B2384" s="18" t="s">
        <v>670</v>
      </c>
      <c r="C2384" s="5">
        <v>1865</v>
      </c>
      <c r="E2384" s="1" t="s">
        <v>939</v>
      </c>
      <c r="F2384" s="18">
        <v>999</v>
      </c>
      <c r="G2384" s="18">
        <v>53</v>
      </c>
      <c r="H2384" s="5">
        <v>51</v>
      </c>
      <c r="I2384" s="1">
        <v>71</v>
      </c>
      <c r="J2384" s="1">
        <v>105</v>
      </c>
      <c r="L2384" t="str">
        <f t="shared" si="37"/>
        <v>http://www.badatelna.eu/reprodukce/?fondId=241&amp;zaznamId=1133739&amp;reproId=3885782</v>
      </c>
      <c r="M2384">
        <f>VLOOKUP(F2384,Sheet2!$B$1:$E$19,2,FALSE)</f>
        <v>241</v>
      </c>
      <c r="N2384">
        <f>VLOOKUP(F2384,Sheet2!$B$1:$E$19,3,FALSE)</f>
        <v>1133739</v>
      </c>
      <c r="O2384">
        <f>IF(G2384="Not available","",VLOOKUP(F2384,Sheet2!$B$1:$E$19,4,FALSE)+(G2384-1))</f>
        <v>3885782</v>
      </c>
    </row>
    <row r="2385" spans="1:15" s="1" customFormat="1" ht="15" customHeight="1" x14ac:dyDescent="0.25">
      <c r="A2385" s="19" t="s">
        <v>296</v>
      </c>
      <c r="B2385" s="18" t="s">
        <v>123</v>
      </c>
      <c r="C2385" s="5">
        <v>1863</v>
      </c>
      <c r="E2385" s="1" t="s">
        <v>939</v>
      </c>
      <c r="F2385" s="18">
        <v>999</v>
      </c>
      <c r="G2385" s="18">
        <v>43</v>
      </c>
      <c r="H2385" s="6" t="s">
        <v>2869</v>
      </c>
      <c r="I2385" s="1">
        <v>71</v>
      </c>
      <c r="J2385" s="1">
        <v>105</v>
      </c>
      <c r="L2385" t="str">
        <f t="shared" si="37"/>
        <v>http://www.badatelna.eu/reprodukce/?fondId=241&amp;zaznamId=1133739&amp;reproId=3885772</v>
      </c>
      <c r="M2385">
        <f>VLOOKUP(F2385,Sheet2!$B$1:$E$19,2,FALSE)</f>
        <v>241</v>
      </c>
      <c r="N2385">
        <f>VLOOKUP(F2385,Sheet2!$B$1:$E$19,3,FALSE)</f>
        <v>1133739</v>
      </c>
      <c r="O2385">
        <f>IF(G2385="Not available","",VLOOKUP(F2385,Sheet2!$B$1:$E$19,4,FALSE)+(G2385-1))</f>
        <v>3885772</v>
      </c>
    </row>
    <row r="2386" spans="1:15" s="1" customFormat="1" ht="15" customHeight="1" x14ac:dyDescent="0.25">
      <c r="A2386" s="18" t="s">
        <v>314</v>
      </c>
      <c r="B2386" s="18" t="s">
        <v>310</v>
      </c>
      <c r="C2386" s="5">
        <v>1801</v>
      </c>
      <c r="E2386" s="1" t="s">
        <v>2</v>
      </c>
      <c r="F2386" s="18">
        <v>2173</v>
      </c>
      <c r="G2386" s="18">
        <v>43</v>
      </c>
      <c r="H2386" s="5">
        <v>81</v>
      </c>
      <c r="I2386" s="1">
        <v>106</v>
      </c>
      <c r="J2386" s="1">
        <v>226</v>
      </c>
      <c r="L2386" t="str">
        <f t="shared" si="37"/>
        <v>http://www.badatelna.eu/reprodukce/?fondId=1073&amp;zaznamId=1108959&amp;reproId=3780036</v>
      </c>
      <c r="M2386">
        <f>VLOOKUP(F2386,Sheet2!$B$1:$E$19,2,FALSE)</f>
        <v>1073</v>
      </c>
      <c r="N2386">
        <f>VLOOKUP(F2386,Sheet2!$B$1:$E$19,3,FALSE)</f>
        <v>1108959</v>
      </c>
      <c r="O2386">
        <f>IF(G2386="Not available","",VLOOKUP(F2386,Sheet2!$B$1:$E$19,4,FALSE)+(G2386-1))</f>
        <v>3780036</v>
      </c>
    </row>
    <row r="2387" spans="1:15" s="1" customFormat="1" ht="15" customHeight="1" x14ac:dyDescent="0.25">
      <c r="A2387" s="19" t="s">
        <v>3083</v>
      </c>
      <c r="B2387" s="18" t="s">
        <v>92</v>
      </c>
      <c r="C2387" s="5">
        <v>1792</v>
      </c>
      <c r="D2387" s="1" t="s">
        <v>268</v>
      </c>
      <c r="E2387" s="1" t="s">
        <v>2</v>
      </c>
      <c r="F2387" s="18">
        <v>2173</v>
      </c>
      <c r="G2387" s="18">
        <v>27</v>
      </c>
      <c r="H2387" s="5">
        <v>48</v>
      </c>
      <c r="I2387" s="1">
        <v>105</v>
      </c>
      <c r="J2387" s="1">
        <v>225</v>
      </c>
      <c r="L2387" t="str">
        <f t="shared" si="37"/>
        <v>http://www.badatelna.eu/reprodukce/?fondId=1073&amp;zaznamId=1108959&amp;reproId=3780020</v>
      </c>
      <c r="M2387">
        <f>VLOOKUP(F2387,Sheet2!$B$1:$E$19,2,FALSE)</f>
        <v>1073</v>
      </c>
      <c r="N2387">
        <f>VLOOKUP(F2387,Sheet2!$B$1:$E$19,3,FALSE)</f>
        <v>1108959</v>
      </c>
      <c r="O2387">
        <f>IF(G2387="Not available","",VLOOKUP(F2387,Sheet2!$B$1:$E$19,4,FALSE)+(G2387-1))</f>
        <v>3780020</v>
      </c>
    </row>
    <row r="2388" spans="1:15" s="1" customFormat="1" ht="15" customHeight="1" x14ac:dyDescent="0.25">
      <c r="A2388" s="18" t="s">
        <v>340</v>
      </c>
      <c r="B2388" s="18" t="s">
        <v>50</v>
      </c>
      <c r="C2388" s="6" t="s">
        <v>2953</v>
      </c>
      <c r="D2388" s="4" t="s">
        <v>74</v>
      </c>
      <c r="E2388" s="1" t="s">
        <v>2</v>
      </c>
      <c r="F2388" s="18">
        <v>2173</v>
      </c>
      <c r="G2388" s="18">
        <v>76</v>
      </c>
      <c r="H2388" s="5">
        <v>145</v>
      </c>
      <c r="I2388" s="1">
        <v>106</v>
      </c>
      <c r="J2388" s="1">
        <v>227</v>
      </c>
      <c r="L2388" t="str">
        <f t="shared" si="37"/>
        <v>http://www.badatelna.eu/reprodukce/?fondId=1073&amp;zaznamId=1108959&amp;reproId=3780069</v>
      </c>
      <c r="M2388">
        <f>VLOOKUP(F2388,Sheet2!$B$1:$E$19,2,FALSE)</f>
        <v>1073</v>
      </c>
      <c r="N2388">
        <f>VLOOKUP(F2388,Sheet2!$B$1:$E$19,3,FALSE)</f>
        <v>1108959</v>
      </c>
      <c r="O2388">
        <f>IF(G2388="Not available","",VLOOKUP(F2388,Sheet2!$B$1:$E$19,4,FALSE)+(G2388-1))</f>
        <v>3780069</v>
      </c>
    </row>
    <row r="2389" spans="1:15" s="1" customFormat="1" ht="15" customHeight="1" x14ac:dyDescent="0.25">
      <c r="A2389" s="18" t="s">
        <v>340</v>
      </c>
      <c r="B2389" s="18" t="s">
        <v>305</v>
      </c>
      <c r="C2389" s="5">
        <v>1792</v>
      </c>
      <c r="D2389" s="1" t="s">
        <v>13</v>
      </c>
      <c r="E2389" s="1" t="s">
        <v>2</v>
      </c>
      <c r="F2389" s="18">
        <v>2173</v>
      </c>
      <c r="G2389" s="18">
        <v>27</v>
      </c>
      <c r="H2389" s="5">
        <v>48</v>
      </c>
      <c r="I2389" s="1">
        <v>105</v>
      </c>
      <c r="J2389" s="1">
        <v>225</v>
      </c>
      <c r="L2389" t="str">
        <f t="shared" si="37"/>
        <v>http://www.badatelna.eu/reprodukce/?fondId=1073&amp;zaznamId=1108959&amp;reproId=3780020</v>
      </c>
      <c r="M2389">
        <f>VLOOKUP(F2389,Sheet2!$B$1:$E$19,2,FALSE)</f>
        <v>1073</v>
      </c>
      <c r="N2389">
        <f>VLOOKUP(F2389,Sheet2!$B$1:$E$19,3,FALSE)</f>
        <v>1108959</v>
      </c>
      <c r="O2389">
        <f>IF(G2389="Not available","",VLOOKUP(F2389,Sheet2!$B$1:$E$19,4,FALSE)+(G2389-1))</f>
        <v>3780020</v>
      </c>
    </row>
    <row r="2390" spans="1:15" s="1" customFormat="1" ht="15" customHeight="1" x14ac:dyDescent="0.25">
      <c r="A2390" s="18" t="s">
        <v>328</v>
      </c>
      <c r="B2390" s="19" t="s">
        <v>245</v>
      </c>
      <c r="C2390" s="5">
        <v>1812</v>
      </c>
      <c r="D2390" s="4" t="s">
        <v>18</v>
      </c>
      <c r="E2390" s="1" t="s">
        <v>2</v>
      </c>
      <c r="F2390" s="18">
        <v>2173</v>
      </c>
      <c r="G2390" s="18">
        <v>59</v>
      </c>
      <c r="H2390" s="5">
        <v>113</v>
      </c>
      <c r="I2390" s="1">
        <v>106</v>
      </c>
      <c r="J2390" s="1">
        <v>226</v>
      </c>
      <c r="L2390" t="str">
        <f t="shared" si="37"/>
        <v>http://www.badatelna.eu/reprodukce/?fondId=1073&amp;zaznamId=1108959&amp;reproId=3780052</v>
      </c>
      <c r="M2390">
        <f>VLOOKUP(F2390,Sheet2!$B$1:$E$19,2,FALSE)</f>
        <v>1073</v>
      </c>
      <c r="N2390">
        <f>VLOOKUP(F2390,Sheet2!$B$1:$E$19,3,FALSE)</f>
        <v>1108959</v>
      </c>
      <c r="O2390">
        <f>IF(G2390="Not available","",VLOOKUP(F2390,Sheet2!$B$1:$E$19,4,FALSE)+(G2390-1))</f>
        <v>3780052</v>
      </c>
    </row>
    <row r="2391" spans="1:15" s="1" customFormat="1" ht="15" customHeight="1" x14ac:dyDescent="0.25">
      <c r="A2391" s="18" t="s">
        <v>328</v>
      </c>
      <c r="B2391" s="18" t="s">
        <v>120</v>
      </c>
      <c r="C2391" s="5">
        <v>1817</v>
      </c>
      <c r="E2391" s="1" t="s">
        <v>2</v>
      </c>
      <c r="F2391" s="18">
        <v>2173</v>
      </c>
      <c r="G2391" s="18">
        <v>67</v>
      </c>
      <c r="H2391" s="5" t="s">
        <v>338</v>
      </c>
      <c r="I2391" s="1">
        <v>106</v>
      </c>
      <c r="J2391" s="1">
        <v>227</v>
      </c>
      <c r="L2391" t="str">
        <f t="shared" si="37"/>
        <v>http://www.badatelna.eu/reprodukce/?fondId=1073&amp;zaznamId=1108959&amp;reproId=3780060</v>
      </c>
      <c r="M2391">
        <f>VLOOKUP(F2391,Sheet2!$B$1:$E$19,2,FALSE)</f>
        <v>1073</v>
      </c>
      <c r="N2391">
        <f>VLOOKUP(F2391,Sheet2!$B$1:$E$19,3,FALSE)</f>
        <v>1108959</v>
      </c>
      <c r="O2391">
        <f>IF(G2391="Not available","",VLOOKUP(F2391,Sheet2!$B$1:$E$19,4,FALSE)+(G2391-1))</f>
        <v>3780060</v>
      </c>
    </row>
    <row r="2392" spans="1:15" s="1" customFormat="1" ht="15" customHeight="1" x14ac:dyDescent="0.25">
      <c r="A2392" s="18" t="s">
        <v>328</v>
      </c>
      <c r="B2392" s="18" t="s">
        <v>329</v>
      </c>
      <c r="C2392" s="5">
        <v>1813</v>
      </c>
      <c r="E2392" s="1" t="s">
        <v>2</v>
      </c>
      <c r="F2392" s="18">
        <v>2173</v>
      </c>
      <c r="G2392" s="18">
        <v>60</v>
      </c>
      <c r="H2392" s="5">
        <v>115</v>
      </c>
      <c r="I2392" s="1">
        <v>106</v>
      </c>
      <c r="J2392" s="1">
        <v>226</v>
      </c>
      <c r="L2392" t="str">
        <f t="shared" si="37"/>
        <v>http://www.badatelna.eu/reprodukce/?fondId=1073&amp;zaznamId=1108959&amp;reproId=3780053</v>
      </c>
      <c r="M2392">
        <f>VLOOKUP(F2392,Sheet2!$B$1:$E$19,2,FALSE)</f>
        <v>1073</v>
      </c>
      <c r="N2392">
        <f>VLOOKUP(F2392,Sheet2!$B$1:$E$19,3,FALSE)</f>
        <v>1108959</v>
      </c>
      <c r="O2392">
        <f>IF(G2392="Not available","",VLOOKUP(F2392,Sheet2!$B$1:$E$19,4,FALSE)+(G2392-1))</f>
        <v>3780053</v>
      </c>
    </row>
    <row r="2393" spans="1:15" s="1" customFormat="1" ht="15" customHeight="1" x14ac:dyDescent="0.25">
      <c r="A2393" s="18" t="s">
        <v>328</v>
      </c>
      <c r="B2393" s="18" t="s">
        <v>19</v>
      </c>
      <c r="C2393" s="5">
        <v>1823</v>
      </c>
      <c r="E2393" s="1" t="s">
        <v>2</v>
      </c>
      <c r="F2393" s="18">
        <v>2173</v>
      </c>
      <c r="G2393" s="18">
        <v>73</v>
      </c>
      <c r="H2393" s="5">
        <v>139</v>
      </c>
      <c r="I2393" s="1">
        <v>106</v>
      </c>
      <c r="J2393" s="1">
        <v>227</v>
      </c>
      <c r="L2393" t="str">
        <f t="shared" si="37"/>
        <v>http://www.badatelna.eu/reprodukce/?fondId=1073&amp;zaznamId=1108959&amp;reproId=3780066</v>
      </c>
      <c r="M2393">
        <f>VLOOKUP(F2393,Sheet2!$B$1:$E$19,2,FALSE)</f>
        <v>1073</v>
      </c>
      <c r="N2393">
        <f>VLOOKUP(F2393,Sheet2!$B$1:$E$19,3,FALSE)</f>
        <v>1108959</v>
      </c>
      <c r="O2393">
        <f>IF(G2393="Not available","",VLOOKUP(F2393,Sheet2!$B$1:$E$19,4,FALSE)+(G2393-1))</f>
        <v>3780066</v>
      </c>
    </row>
    <row r="2394" spans="1:15" s="1" customFormat="1" ht="15" customHeight="1" x14ac:dyDescent="0.25">
      <c r="A2394" s="18" t="s">
        <v>1042</v>
      </c>
      <c r="B2394" s="18" t="s">
        <v>96</v>
      </c>
      <c r="C2394" s="5" t="s">
        <v>1472</v>
      </c>
      <c r="D2394" s="1" t="s">
        <v>21</v>
      </c>
      <c r="E2394" s="1" t="s">
        <v>2</v>
      </c>
      <c r="F2394" s="18">
        <v>2165</v>
      </c>
      <c r="G2394" s="18">
        <v>5</v>
      </c>
      <c r="H2394" s="5">
        <v>2</v>
      </c>
      <c r="I2394" s="1">
        <v>86</v>
      </c>
      <c r="J2394" s="1" t="s">
        <v>3271</v>
      </c>
      <c r="L2394" t="str">
        <f t="shared" si="37"/>
        <v>http://www.badatelna.eu/reprodukce/?fondId=1073&amp;zaznamId=1108952&amp;reproId=3778866</v>
      </c>
      <c r="M2394">
        <f>VLOOKUP(F2394,Sheet2!$B$1:$E$19,2,FALSE)</f>
        <v>1073</v>
      </c>
      <c r="N2394">
        <f>VLOOKUP(F2394,Sheet2!$B$1:$E$19,3,FALSE)</f>
        <v>1108952</v>
      </c>
      <c r="O2394">
        <f>IF(G2394="Not available","",VLOOKUP(F2394,Sheet2!$B$1:$E$19,4,FALSE)+(G2394-1))</f>
        <v>3778866</v>
      </c>
    </row>
    <row r="2395" spans="1:15" s="1" customFormat="1" ht="15" customHeight="1" x14ac:dyDescent="0.25">
      <c r="A2395" s="18" t="s">
        <v>691</v>
      </c>
      <c r="B2395" s="18" t="s">
        <v>237</v>
      </c>
      <c r="C2395" s="14" t="s">
        <v>3103</v>
      </c>
      <c r="E2395" s="1" t="s">
        <v>2</v>
      </c>
      <c r="F2395" s="18">
        <v>2174</v>
      </c>
      <c r="G2395" s="18">
        <v>62</v>
      </c>
      <c r="H2395" s="6" t="s">
        <v>3106</v>
      </c>
      <c r="I2395" s="1">
        <v>191</v>
      </c>
      <c r="J2395" s="1">
        <v>222</v>
      </c>
      <c r="L2395" t="str">
        <f t="shared" si="37"/>
        <v>http://www.badatelna.eu/reprodukce/?fondId=1073&amp;zaznamId=1108960&amp;reproId=3780286</v>
      </c>
      <c r="M2395">
        <f>VLOOKUP(F2395,Sheet2!$B$1:$E$19,2,FALSE)</f>
        <v>1073</v>
      </c>
      <c r="N2395">
        <f>VLOOKUP(F2395,Sheet2!$B$1:$E$19,3,FALSE)</f>
        <v>1108960</v>
      </c>
      <c r="O2395">
        <f>IF(G2395="Not available","",VLOOKUP(F2395,Sheet2!$B$1:$E$19,4,FALSE)+(G2395-1))</f>
        <v>3780286</v>
      </c>
    </row>
    <row r="2396" spans="1:15" s="1" customFormat="1" ht="15" customHeight="1" x14ac:dyDescent="0.25">
      <c r="A2396" s="18" t="s">
        <v>308</v>
      </c>
      <c r="B2396" s="18" t="s">
        <v>74</v>
      </c>
      <c r="C2396" s="5">
        <v>1796</v>
      </c>
      <c r="D2396" s="1" t="s">
        <v>77</v>
      </c>
      <c r="E2396" s="1" t="s">
        <v>2</v>
      </c>
      <c r="F2396" s="18">
        <v>2173</v>
      </c>
      <c r="G2396" s="18">
        <v>34</v>
      </c>
      <c r="H2396" s="5">
        <v>63</v>
      </c>
      <c r="I2396" s="1">
        <v>105</v>
      </c>
      <c r="J2396" s="1">
        <v>225</v>
      </c>
      <c r="L2396" t="str">
        <f t="shared" si="37"/>
        <v>http://www.badatelna.eu/reprodukce/?fondId=1073&amp;zaznamId=1108959&amp;reproId=3780027</v>
      </c>
      <c r="M2396">
        <f>VLOOKUP(F2396,Sheet2!$B$1:$E$19,2,FALSE)</f>
        <v>1073</v>
      </c>
      <c r="N2396">
        <f>VLOOKUP(F2396,Sheet2!$B$1:$E$19,3,FALSE)</f>
        <v>1108959</v>
      </c>
      <c r="O2396">
        <f>IF(G2396="Not available","",VLOOKUP(F2396,Sheet2!$B$1:$E$19,4,FALSE)+(G2396-1))</f>
        <v>3780027</v>
      </c>
    </row>
    <row r="2397" spans="1:15" s="1" customFormat="1" ht="15" customHeight="1" x14ac:dyDescent="0.25">
      <c r="A2397" s="18" t="s">
        <v>308</v>
      </c>
      <c r="B2397" s="18" t="s">
        <v>34</v>
      </c>
      <c r="C2397" s="5">
        <v>1794</v>
      </c>
      <c r="D2397" s="1" t="s">
        <v>77</v>
      </c>
      <c r="E2397" s="1" t="s">
        <v>2</v>
      </c>
      <c r="F2397" s="18">
        <v>2173</v>
      </c>
      <c r="G2397" s="18">
        <v>32</v>
      </c>
      <c r="H2397" s="5">
        <v>58</v>
      </c>
      <c r="I2397" s="1">
        <v>105</v>
      </c>
      <c r="J2397" s="1">
        <v>225</v>
      </c>
      <c r="L2397" t="str">
        <f t="shared" si="37"/>
        <v>http://www.badatelna.eu/reprodukce/?fondId=1073&amp;zaznamId=1108959&amp;reproId=3780025</v>
      </c>
      <c r="M2397">
        <f>VLOOKUP(F2397,Sheet2!$B$1:$E$19,2,FALSE)</f>
        <v>1073</v>
      </c>
      <c r="N2397">
        <f>VLOOKUP(F2397,Sheet2!$B$1:$E$19,3,FALSE)</f>
        <v>1108959</v>
      </c>
      <c r="O2397">
        <f>IF(G2397="Not available","",VLOOKUP(F2397,Sheet2!$B$1:$E$19,4,FALSE)+(G2397-1))</f>
        <v>3780025</v>
      </c>
    </row>
    <row r="2398" spans="1:15" s="1" customFormat="1" ht="15" customHeight="1" x14ac:dyDescent="0.25">
      <c r="A2398" s="18" t="s">
        <v>308</v>
      </c>
      <c r="B2398" s="18" t="s">
        <v>34</v>
      </c>
      <c r="C2398" s="5">
        <v>1797</v>
      </c>
      <c r="D2398" s="1" t="s">
        <v>13</v>
      </c>
      <c r="E2398" s="1" t="s">
        <v>2</v>
      </c>
      <c r="F2398" s="18">
        <v>2173</v>
      </c>
      <c r="G2398" s="18">
        <v>36</v>
      </c>
      <c r="H2398" s="5">
        <v>66</v>
      </c>
      <c r="I2398" s="1">
        <v>105</v>
      </c>
      <c r="J2398" s="1">
        <v>225</v>
      </c>
      <c r="L2398" t="str">
        <f t="shared" si="37"/>
        <v>http://www.badatelna.eu/reprodukce/?fondId=1073&amp;zaznamId=1108959&amp;reproId=3780029</v>
      </c>
      <c r="M2398">
        <f>VLOOKUP(F2398,Sheet2!$B$1:$E$19,2,FALSE)</f>
        <v>1073</v>
      </c>
      <c r="N2398">
        <f>VLOOKUP(F2398,Sheet2!$B$1:$E$19,3,FALSE)</f>
        <v>1108959</v>
      </c>
      <c r="O2398">
        <f>IF(G2398="Not available","",VLOOKUP(F2398,Sheet2!$B$1:$E$19,4,FALSE)+(G2398-1))</f>
        <v>3780029</v>
      </c>
    </row>
    <row r="2399" spans="1:15" s="1" customFormat="1" ht="15" customHeight="1" x14ac:dyDescent="0.25">
      <c r="A2399" s="18" t="s">
        <v>308</v>
      </c>
      <c r="B2399" s="18" t="s">
        <v>312</v>
      </c>
      <c r="C2399" s="5">
        <v>1798</v>
      </c>
      <c r="D2399" s="1" t="s">
        <v>268</v>
      </c>
      <c r="E2399" s="1" t="s">
        <v>2</v>
      </c>
      <c r="F2399" s="18">
        <v>2173</v>
      </c>
      <c r="G2399" s="18">
        <v>36</v>
      </c>
      <c r="H2399" s="5">
        <v>67</v>
      </c>
      <c r="I2399" s="1">
        <v>105</v>
      </c>
      <c r="J2399" s="1">
        <v>225</v>
      </c>
      <c r="L2399" t="str">
        <f t="shared" si="37"/>
        <v>http://www.badatelna.eu/reprodukce/?fondId=1073&amp;zaznamId=1108959&amp;reproId=3780029</v>
      </c>
      <c r="M2399">
        <f>VLOOKUP(F2399,Sheet2!$B$1:$E$19,2,FALSE)</f>
        <v>1073</v>
      </c>
      <c r="N2399">
        <f>VLOOKUP(F2399,Sheet2!$B$1:$E$19,3,FALSE)</f>
        <v>1108959</v>
      </c>
      <c r="O2399">
        <f>IF(G2399="Not available","",VLOOKUP(F2399,Sheet2!$B$1:$E$19,4,FALSE)+(G2399-1))</f>
        <v>3780029</v>
      </c>
    </row>
    <row r="2400" spans="1:15" s="1" customFormat="1" ht="15" customHeight="1" x14ac:dyDescent="0.25">
      <c r="A2400" s="18" t="s">
        <v>308</v>
      </c>
      <c r="B2400" s="19" t="s">
        <v>40</v>
      </c>
      <c r="C2400" s="5">
        <v>1795</v>
      </c>
      <c r="D2400" s="1" t="s">
        <v>13</v>
      </c>
      <c r="E2400" s="1" t="s">
        <v>2</v>
      </c>
      <c r="F2400" s="18">
        <v>2173</v>
      </c>
      <c r="G2400" s="18">
        <v>32</v>
      </c>
      <c r="H2400" s="5">
        <v>58</v>
      </c>
      <c r="I2400" s="1">
        <v>105</v>
      </c>
      <c r="J2400" s="1">
        <v>225</v>
      </c>
      <c r="K2400" s="4" t="s">
        <v>363</v>
      </c>
      <c r="L2400" t="str">
        <f t="shared" si="37"/>
        <v>http://www.badatelna.eu/reprodukce/?fondId=1073&amp;zaznamId=1108959&amp;reproId=3780025</v>
      </c>
      <c r="M2400">
        <f>VLOOKUP(F2400,Sheet2!$B$1:$E$19,2,FALSE)</f>
        <v>1073</v>
      </c>
      <c r="N2400">
        <f>VLOOKUP(F2400,Sheet2!$B$1:$E$19,3,FALSE)</f>
        <v>1108959</v>
      </c>
      <c r="O2400">
        <f>IF(G2400="Not available","",VLOOKUP(F2400,Sheet2!$B$1:$E$19,4,FALSE)+(G2400-1))</f>
        <v>3780025</v>
      </c>
    </row>
    <row r="2401" spans="1:15" s="1" customFormat="1" ht="15" customHeight="1" x14ac:dyDescent="0.25">
      <c r="A2401" s="18" t="s">
        <v>308</v>
      </c>
      <c r="B2401" s="18" t="s">
        <v>49</v>
      </c>
      <c r="C2401" s="5">
        <v>1795</v>
      </c>
      <c r="D2401" s="1" t="s">
        <v>13</v>
      </c>
      <c r="E2401" s="1" t="s">
        <v>2</v>
      </c>
      <c r="F2401" s="18">
        <v>2173</v>
      </c>
      <c r="G2401" s="18">
        <v>32</v>
      </c>
      <c r="H2401" s="5">
        <v>58</v>
      </c>
      <c r="I2401" s="1">
        <v>105</v>
      </c>
      <c r="J2401" s="1">
        <v>225</v>
      </c>
      <c r="K2401" s="4" t="s">
        <v>363</v>
      </c>
      <c r="L2401" t="str">
        <f t="shared" si="37"/>
        <v>http://www.badatelna.eu/reprodukce/?fondId=1073&amp;zaznamId=1108959&amp;reproId=3780025</v>
      </c>
      <c r="M2401">
        <f>VLOOKUP(F2401,Sheet2!$B$1:$E$19,2,FALSE)</f>
        <v>1073</v>
      </c>
      <c r="N2401">
        <f>VLOOKUP(F2401,Sheet2!$B$1:$E$19,3,FALSE)</f>
        <v>1108959</v>
      </c>
      <c r="O2401">
        <f>IF(G2401="Not available","",VLOOKUP(F2401,Sheet2!$B$1:$E$19,4,FALSE)+(G2401-1))</f>
        <v>3780025</v>
      </c>
    </row>
    <row r="2402" spans="1:15" s="1" customFormat="1" ht="15" customHeight="1" x14ac:dyDescent="0.25">
      <c r="A2402" s="18" t="s">
        <v>308</v>
      </c>
      <c r="B2402" s="18" t="s">
        <v>310</v>
      </c>
      <c r="C2402" s="5">
        <v>1795</v>
      </c>
      <c r="D2402" s="1" t="s">
        <v>96</v>
      </c>
      <c r="E2402" s="1" t="s">
        <v>2</v>
      </c>
      <c r="F2402" s="18">
        <v>2173</v>
      </c>
      <c r="G2402" s="18">
        <v>32</v>
      </c>
      <c r="H2402" s="5">
        <v>59</v>
      </c>
      <c r="I2402" s="1">
        <v>105</v>
      </c>
      <c r="J2402" s="1">
        <v>225</v>
      </c>
      <c r="L2402" t="str">
        <f t="shared" si="37"/>
        <v>http://www.badatelna.eu/reprodukce/?fondId=1073&amp;zaznamId=1108959&amp;reproId=3780025</v>
      </c>
      <c r="M2402">
        <f>VLOOKUP(F2402,Sheet2!$B$1:$E$19,2,FALSE)</f>
        <v>1073</v>
      </c>
      <c r="N2402">
        <f>VLOOKUP(F2402,Sheet2!$B$1:$E$19,3,FALSE)</f>
        <v>1108959</v>
      </c>
      <c r="O2402">
        <f>IF(G2402="Not available","",VLOOKUP(F2402,Sheet2!$B$1:$E$19,4,FALSE)+(G2402-1))</f>
        <v>3780025</v>
      </c>
    </row>
    <row r="2403" spans="1:15" s="1" customFormat="1" ht="15" customHeight="1" x14ac:dyDescent="0.25">
      <c r="A2403" s="18" t="s">
        <v>308</v>
      </c>
      <c r="B2403" s="18" t="s">
        <v>93</v>
      </c>
      <c r="C2403" s="5">
        <v>1798</v>
      </c>
      <c r="D2403" s="1" t="s">
        <v>6</v>
      </c>
      <c r="E2403" s="1" t="s">
        <v>2</v>
      </c>
      <c r="F2403" s="18">
        <v>2173</v>
      </c>
      <c r="G2403" s="18">
        <v>37</v>
      </c>
      <c r="H2403" s="5">
        <v>69</v>
      </c>
      <c r="I2403" s="1">
        <v>105</v>
      </c>
      <c r="J2403" s="1">
        <v>225</v>
      </c>
      <c r="L2403" t="str">
        <f t="shared" si="37"/>
        <v>http://www.badatelna.eu/reprodukce/?fondId=1073&amp;zaznamId=1108959&amp;reproId=3780030</v>
      </c>
      <c r="M2403">
        <f>VLOOKUP(F2403,Sheet2!$B$1:$E$19,2,FALSE)</f>
        <v>1073</v>
      </c>
      <c r="N2403">
        <f>VLOOKUP(F2403,Sheet2!$B$1:$E$19,3,FALSE)</f>
        <v>1108959</v>
      </c>
      <c r="O2403">
        <f>IF(G2403="Not available","",VLOOKUP(F2403,Sheet2!$B$1:$E$19,4,FALSE)+(G2403-1))</f>
        <v>3780030</v>
      </c>
    </row>
    <row r="2404" spans="1:15" s="1" customFormat="1" ht="15" customHeight="1" x14ac:dyDescent="0.25">
      <c r="A2404" s="18" t="s">
        <v>306</v>
      </c>
      <c r="B2404" s="18" t="s">
        <v>249</v>
      </c>
      <c r="C2404" s="5">
        <v>1792</v>
      </c>
      <c r="D2404" s="1" t="s">
        <v>77</v>
      </c>
      <c r="E2404" s="1" t="s">
        <v>2</v>
      </c>
      <c r="F2404" s="18">
        <v>2173</v>
      </c>
      <c r="G2404" s="18">
        <v>27</v>
      </c>
      <c r="H2404" s="5">
        <v>49</v>
      </c>
      <c r="I2404" s="1">
        <v>105</v>
      </c>
      <c r="J2404" s="1">
        <v>225</v>
      </c>
      <c r="L2404" t="str">
        <f t="shared" si="37"/>
        <v>http://www.badatelna.eu/reprodukce/?fondId=1073&amp;zaznamId=1108959&amp;reproId=3780020</v>
      </c>
      <c r="M2404">
        <f>VLOOKUP(F2404,Sheet2!$B$1:$E$19,2,FALSE)</f>
        <v>1073</v>
      </c>
      <c r="N2404">
        <f>VLOOKUP(F2404,Sheet2!$B$1:$E$19,3,FALSE)</f>
        <v>1108959</v>
      </c>
      <c r="O2404">
        <f>IF(G2404="Not available","",VLOOKUP(F2404,Sheet2!$B$1:$E$19,4,FALSE)+(G2404-1))</f>
        <v>3780020</v>
      </c>
    </row>
    <row r="2405" spans="1:15" s="1" customFormat="1" ht="15" customHeight="1" x14ac:dyDescent="0.25">
      <c r="A2405" s="18" t="s">
        <v>295</v>
      </c>
      <c r="B2405" s="18" t="s">
        <v>547</v>
      </c>
      <c r="C2405" s="5">
        <v>1836</v>
      </c>
      <c r="D2405" s="1" t="s">
        <v>74</v>
      </c>
      <c r="E2405" s="1" t="s">
        <v>2</v>
      </c>
      <c r="F2405" s="18">
        <v>2174</v>
      </c>
      <c r="G2405" s="18">
        <v>84</v>
      </c>
      <c r="H2405" s="6" t="s">
        <v>3150</v>
      </c>
      <c r="I2405" s="1">
        <v>191</v>
      </c>
      <c r="J2405" s="1">
        <v>222</v>
      </c>
      <c r="L2405" t="str">
        <f t="shared" si="37"/>
        <v>http://www.badatelna.eu/reprodukce/?fondId=1073&amp;zaznamId=1108960&amp;reproId=3780308</v>
      </c>
      <c r="M2405">
        <f>VLOOKUP(F2405,Sheet2!$B$1:$E$19,2,FALSE)</f>
        <v>1073</v>
      </c>
      <c r="N2405">
        <f>VLOOKUP(F2405,Sheet2!$B$1:$E$19,3,FALSE)</f>
        <v>1108960</v>
      </c>
      <c r="O2405">
        <f>IF(G2405="Not available","",VLOOKUP(F2405,Sheet2!$B$1:$E$19,4,FALSE)+(G2405-1))</f>
        <v>3780308</v>
      </c>
    </row>
    <row r="2406" spans="1:15" s="1" customFormat="1" ht="15" customHeight="1" x14ac:dyDescent="0.25">
      <c r="A2406" s="18" t="s">
        <v>295</v>
      </c>
      <c r="B2406" s="19" t="s">
        <v>3062</v>
      </c>
      <c r="C2406" s="5">
        <v>1784</v>
      </c>
      <c r="D2406" s="1" t="s">
        <v>13</v>
      </c>
      <c r="E2406" s="1" t="s">
        <v>2</v>
      </c>
      <c r="F2406" s="18">
        <v>2173</v>
      </c>
      <c r="G2406" s="18">
        <v>5</v>
      </c>
      <c r="H2406" s="5">
        <v>4</v>
      </c>
      <c r="I2406" s="1">
        <v>105</v>
      </c>
      <c r="J2406" s="1" t="s">
        <v>294</v>
      </c>
      <c r="L2406" t="str">
        <f t="shared" si="37"/>
        <v>http://www.badatelna.eu/reprodukce/?fondId=1073&amp;zaznamId=1108959&amp;reproId=3779998</v>
      </c>
      <c r="M2406">
        <f>VLOOKUP(F2406,Sheet2!$B$1:$E$19,2,FALSE)</f>
        <v>1073</v>
      </c>
      <c r="N2406">
        <f>VLOOKUP(F2406,Sheet2!$B$1:$E$19,3,FALSE)</f>
        <v>1108959</v>
      </c>
      <c r="O2406">
        <f>IF(G2406="Not available","",VLOOKUP(F2406,Sheet2!$B$1:$E$19,4,FALSE)+(G2406-1))</f>
        <v>3779998</v>
      </c>
    </row>
    <row r="2407" spans="1:15" s="1" customFormat="1" ht="15" customHeight="1" x14ac:dyDescent="0.25">
      <c r="A2407" s="18" t="s">
        <v>295</v>
      </c>
      <c r="B2407" s="18" t="s">
        <v>55</v>
      </c>
      <c r="C2407" s="14" t="s">
        <v>3111</v>
      </c>
      <c r="D2407" s="1" t="s">
        <v>74</v>
      </c>
      <c r="E2407" s="1" t="s">
        <v>2</v>
      </c>
      <c r="F2407" s="18">
        <v>2174</v>
      </c>
      <c r="G2407" s="18">
        <v>69</v>
      </c>
      <c r="H2407" s="6" t="s">
        <v>3110</v>
      </c>
      <c r="I2407" s="1">
        <v>191</v>
      </c>
      <c r="J2407" s="1">
        <v>222</v>
      </c>
      <c r="L2407" t="str">
        <f t="shared" si="37"/>
        <v>http://www.badatelna.eu/reprodukce/?fondId=1073&amp;zaznamId=1108960&amp;reproId=3780293</v>
      </c>
      <c r="M2407">
        <f>VLOOKUP(F2407,Sheet2!$B$1:$E$19,2,FALSE)</f>
        <v>1073</v>
      </c>
      <c r="N2407">
        <f>VLOOKUP(F2407,Sheet2!$B$1:$E$19,3,FALSE)</f>
        <v>1108960</v>
      </c>
      <c r="O2407">
        <f>IF(G2407="Not available","",VLOOKUP(F2407,Sheet2!$B$1:$E$19,4,FALSE)+(G2407-1))</f>
        <v>3780293</v>
      </c>
    </row>
    <row r="2408" spans="1:15" s="1" customFormat="1" ht="15" customHeight="1" x14ac:dyDescent="0.25">
      <c r="A2408" s="18" t="s">
        <v>295</v>
      </c>
      <c r="B2408" s="18" t="s">
        <v>81</v>
      </c>
      <c r="C2408" s="5">
        <v>1834</v>
      </c>
      <c r="D2408" s="1" t="s">
        <v>74</v>
      </c>
      <c r="E2408" s="1" t="s">
        <v>2</v>
      </c>
      <c r="F2408" s="18">
        <v>2174</v>
      </c>
      <c r="G2408" s="18">
        <v>97</v>
      </c>
      <c r="H2408" s="6" t="s">
        <v>3143</v>
      </c>
      <c r="I2408" s="1">
        <v>191</v>
      </c>
      <c r="J2408" s="1">
        <v>222</v>
      </c>
      <c r="L2408" t="str">
        <f t="shared" si="37"/>
        <v>http://www.badatelna.eu/reprodukce/?fondId=1073&amp;zaznamId=1108960&amp;reproId=3780321</v>
      </c>
      <c r="M2408">
        <f>VLOOKUP(F2408,Sheet2!$B$1:$E$19,2,FALSE)</f>
        <v>1073</v>
      </c>
      <c r="N2408">
        <f>VLOOKUP(F2408,Sheet2!$B$1:$E$19,3,FALSE)</f>
        <v>1108960</v>
      </c>
      <c r="O2408">
        <f>IF(G2408="Not available","",VLOOKUP(F2408,Sheet2!$B$1:$E$19,4,FALSE)+(G2408-1))</f>
        <v>3780321</v>
      </c>
    </row>
    <row r="2409" spans="1:15" s="1" customFormat="1" ht="15" customHeight="1" x14ac:dyDescent="0.25">
      <c r="A2409" s="18" t="s">
        <v>2956</v>
      </c>
      <c r="B2409" s="18" t="s">
        <v>14</v>
      </c>
      <c r="C2409" s="5">
        <v>1807</v>
      </c>
      <c r="E2409" s="1" t="s">
        <v>2</v>
      </c>
      <c r="F2409" s="18">
        <v>2173</v>
      </c>
      <c r="G2409" s="18">
        <v>52</v>
      </c>
      <c r="H2409" s="5">
        <v>99</v>
      </c>
      <c r="I2409" s="1">
        <v>106</v>
      </c>
      <c r="J2409" s="1">
        <v>226</v>
      </c>
      <c r="L2409" t="str">
        <f t="shared" si="37"/>
        <v>http://www.badatelna.eu/reprodukce/?fondId=1073&amp;zaznamId=1108959&amp;reproId=3780045</v>
      </c>
      <c r="M2409">
        <f>VLOOKUP(F2409,Sheet2!$B$1:$E$19,2,FALSE)</f>
        <v>1073</v>
      </c>
      <c r="N2409">
        <f>VLOOKUP(F2409,Sheet2!$B$1:$E$19,3,FALSE)</f>
        <v>1108959</v>
      </c>
      <c r="O2409">
        <f>IF(G2409="Not available","",VLOOKUP(F2409,Sheet2!$B$1:$E$19,4,FALSE)+(G2409-1))</f>
        <v>3780045</v>
      </c>
    </row>
    <row r="2410" spans="1:15" s="1" customFormat="1" ht="15" customHeight="1" x14ac:dyDescent="0.25">
      <c r="A2410" s="18" t="s">
        <v>320</v>
      </c>
      <c r="B2410" s="18" t="s">
        <v>50</v>
      </c>
      <c r="C2410" s="5">
        <v>1816</v>
      </c>
      <c r="E2410" s="1" t="s">
        <v>2</v>
      </c>
      <c r="F2410" s="18">
        <v>2173</v>
      </c>
      <c r="G2410" s="18">
        <v>66</v>
      </c>
      <c r="H2410" s="5">
        <v>126</v>
      </c>
      <c r="I2410" s="1">
        <v>106</v>
      </c>
      <c r="J2410" s="1">
        <v>227</v>
      </c>
      <c r="L2410" t="str">
        <f t="shared" si="37"/>
        <v>http://www.badatelna.eu/reprodukce/?fondId=1073&amp;zaznamId=1108959&amp;reproId=3780059</v>
      </c>
      <c r="M2410">
        <f>VLOOKUP(F2410,Sheet2!$B$1:$E$19,2,FALSE)</f>
        <v>1073</v>
      </c>
      <c r="N2410">
        <f>VLOOKUP(F2410,Sheet2!$B$1:$E$19,3,FALSE)</f>
        <v>1108959</v>
      </c>
      <c r="O2410">
        <f>IF(G2410="Not available","",VLOOKUP(F2410,Sheet2!$B$1:$E$19,4,FALSE)+(G2410-1))</f>
        <v>3780059</v>
      </c>
    </row>
    <row r="2411" spans="1:15" s="1" customFormat="1" ht="15" customHeight="1" x14ac:dyDescent="0.25">
      <c r="A2411" s="18" t="s">
        <v>320</v>
      </c>
      <c r="B2411" s="19" t="s">
        <v>60</v>
      </c>
      <c r="C2411" s="5">
        <v>1821</v>
      </c>
      <c r="E2411" s="1" t="s">
        <v>2</v>
      </c>
      <c r="F2411" s="18">
        <v>2173</v>
      </c>
      <c r="G2411" s="18">
        <v>71</v>
      </c>
      <c r="H2411" s="5">
        <v>135</v>
      </c>
      <c r="I2411" s="1">
        <v>106</v>
      </c>
      <c r="J2411" s="1">
        <v>227</v>
      </c>
      <c r="L2411" t="str">
        <f t="shared" si="37"/>
        <v>http://www.badatelna.eu/reprodukce/?fondId=1073&amp;zaznamId=1108959&amp;reproId=3780064</v>
      </c>
      <c r="M2411">
        <f>VLOOKUP(F2411,Sheet2!$B$1:$E$19,2,FALSE)</f>
        <v>1073</v>
      </c>
      <c r="N2411">
        <f>VLOOKUP(F2411,Sheet2!$B$1:$E$19,3,FALSE)</f>
        <v>1108959</v>
      </c>
      <c r="O2411">
        <f>IF(G2411="Not available","",VLOOKUP(F2411,Sheet2!$B$1:$E$19,4,FALSE)+(G2411-1))</f>
        <v>3780064</v>
      </c>
    </row>
    <row r="2412" spans="1:15" s="1" customFormat="1" ht="15" customHeight="1" x14ac:dyDescent="0.25">
      <c r="A2412" s="18" t="s">
        <v>320</v>
      </c>
      <c r="B2412" s="18" t="s">
        <v>335</v>
      </c>
      <c r="C2412" s="5">
        <v>1818</v>
      </c>
      <c r="E2412" s="1" t="s">
        <v>2</v>
      </c>
      <c r="F2412" s="18">
        <v>2173</v>
      </c>
      <c r="G2412" s="18">
        <v>68</v>
      </c>
      <c r="H2412" s="5">
        <v>129</v>
      </c>
      <c r="I2412" s="1">
        <v>106</v>
      </c>
      <c r="J2412" s="1">
        <v>227</v>
      </c>
      <c r="L2412" t="str">
        <f t="shared" si="37"/>
        <v>http://www.badatelna.eu/reprodukce/?fondId=1073&amp;zaznamId=1108959&amp;reproId=3780061</v>
      </c>
      <c r="M2412">
        <f>VLOOKUP(F2412,Sheet2!$B$1:$E$19,2,FALSE)</f>
        <v>1073</v>
      </c>
      <c r="N2412">
        <f>VLOOKUP(F2412,Sheet2!$B$1:$E$19,3,FALSE)</f>
        <v>1108959</v>
      </c>
      <c r="O2412">
        <f>IF(G2412="Not available","",VLOOKUP(F2412,Sheet2!$B$1:$E$19,4,FALSE)+(G2412-1))</f>
        <v>3780061</v>
      </c>
    </row>
    <row r="2413" spans="1:15" s="1" customFormat="1" ht="15" customHeight="1" x14ac:dyDescent="0.25">
      <c r="A2413" s="18" t="s">
        <v>320</v>
      </c>
      <c r="B2413" s="18" t="s">
        <v>28</v>
      </c>
      <c r="C2413" s="5">
        <v>1824</v>
      </c>
      <c r="E2413" s="1" t="s">
        <v>2</v>
      </c>
      <c r="F2413" s="18">
        <v>2173</v>
      </c>
      <c r="G2413" s="18">
        <v>74</v>
      </c>
      <c r="H2413" s="5">
        <v>143</v>
      </c>
      <c r="I2413" s="1">
        <v>106</v>
      </c>
      <c r="J2413" s="1">
        <v>227</v>
      </c>
      <c r="L2413" t="str">
        <f t="shared" si="37"/>
        <v>http://www.badatelna.eu/reprodukce/?fondId=1073&amp;zaznamId=1108959&amp;reproId=3780067</v>
      </c>
      <c r="M2413">
        <f>VLOOKUP(F2413,Sheet2!$B$1:$E$19,2,FALSE)</f>
        <v>1073</v>
      </c>
      <c r="N2413">
        <f>VLOOKUP(F2413,Sheet2!$B$1:$E$19,3,FALSE)</f>
        <v>1108959</v>
      </c>
      <c r="O2413">
        <f>IF(G2413="Not available","",VLOOKUP(F2413,Sheet2!$B$1:$E$19,4,FALSE)+(G2413-1))</f>
        <v>3780067</v>
      </c>
    </row>
    <row r="2414" spans="1:15" s="1" customFormat="1" ht="15" customHeight="1" x14ac:dyDescent="0.25">
      <c r="A2414" s="18" t="s">
        <v>320</v>
      </c>
      <c r="B2414" s="18" t="s">
        <v>6</v>
      </c>
      <c r="C2414" s="5">
        <v>1819</v>
      </c>
      <c r="E2414" s="1" t="s">
        <v>2</v>
      </c>
      <c r="F2414" s="18">
        <v>2173</v>
      </c>
      <c r="G2414" s="18">
        <v>70</v>
      </c>
      <c r="H2414" s="5">
        <v>133</v>
      </c>
      <c r="I2414" s="1">
        <v>106</v>
      </c>
      <c r="J2414" s="1">
        <v>227</v>
      </c>
      <c r="L2414" t="str">
        <f t="shared" si="37"/>
        <v>http://www.badatelna.eu/reprodukce/?fondId=1073&amp;zaznamId=1108959&amp;reproId=3780063</v>
      </c>
      <c r="M2414">
        <f>VLOOKUP(F2414,Sheet2!$B$1:$E$19,2,FALSE)</f>
        <v>1073</v>
      </c>
      <c r="N2414">
        <f>VLOOKUP(F2414,Sheet2!$B$1:$E$19,3,FALSE)</f>
        <v>1108959</v>
      </c>
      <c r="O2414">
        <f>IF(G2414="Not available","",VLOOKUP(F2414,Sheet2!$B$1:$E$19,4,FALSE)+(G2414-1))</f>
        <v>3780063</v>
      </c>
    </row>
    <row r="2415" spans="1:15" s="1" customFormat="1" ht="15" customHeight="1" x14ac:dyDescent="0.25">
      <c r="A2415" s="18" t="s">
        <v>320</v>
      </c>
      <c r="B2415" s="18" t="s">
        <v>75</v>
      </c>
      <c r="C2415" s="5">
        <v>1818</v>
      </c>
      <c r="E2415" s="1" t="s">
        <v>2</v>
      </c>
      <c r="F2415" s="18">
        <v>2173</v>
      </c>
      <c r="G2415" s="18">
        <v>68</v>
      </c>
      <c r="H2415" s="5">
        <v>128</v>
      </c>
      <c r="I2415" s="1">
        <v>106</v>
      </c>
      <c r="J2415" s="1">
        <v>227</v>
      </c>
      <c r="L2415" t="str">
        <f t="shared" si="37"/>
        <v>http://www.badatelna.eu/reprodukce/?fondId=1073&amp;zaznamId=1108959&amp;reproId=3780061</v>
      </c>
      <c r="M2415">
        <f>VLOOKUP(F2415,Sheet2!$B$1:$E$19,2,FALSE)</f>
        <v>1073</v>
      </c>
      <c r="N2415">
        <f>VLOOKUP(F2415,Sheet2!$B$1:$E$19,3,FALSE)</f>
        <v>1108959</v>
      </c>
      <c r="O2415">
        <f>IF(G2415="Not available","",VLOOKUP(F2415,Sheet2!$B$1:$E$19,4,FALSE)+(G2415-1))</f>
        <v>3780061</v>
      </c>
    </row>
    <row r="2416" spans="1:15" s="1" customFormat="1" ht="15" customHeight="1" x14ac:dyDescent="0.25">
      <c r="A2416" s="18" t="s">
        <v>320</v>
      </c>
      <c r="B2416" s="18" t="s">
        <v>8</v>
      </c>
      <c r="C2416" s="5">
        <v>1821</v>
      </c>
      <c r="E2416" s="1" t="s">
        <v>2</v>
      </c>
      <c r="F2416" s="18">
        <v>2173</v>
      </c>
      <c r="G2416" s="18">
        <v>72</v>
      </c>
      <c r="H2416" s="5">
        <v>136</v>
      </c>
      <c r="I2416" s="1">
        <v>106</v>
      </c>
      <c r="J2416" s="1">
        <v>227</v>
      </c>
      <c r="L2416" t="str">
        <f t="shared" si="37"/>
        <v>http://www.badatelna.eu/reprodukce/?fondId=1073&amp;zaznamId=1108959&amp;reproId=3780065</v>
      </c>
      <c r="M2416">
        <f>VLOOKUP(F2416,Sheet2!$B$1:$E$19,2,FALSE)</f>
        <v>1073</v>
      </c>
      <c r="N2416">
        <f>VLOOKUP(F2416,Sheet2!$B$1:$E$19,3,FALSE)</f>
        <v>1108959</v>
      </c>
      <c r="O2416">
        <f>IF(G2416="Not available","",VLOOKUP(F2416,Sheet2!$B$1:$E$19,4,FALSE)+(G2416-1))</f>
        <v>3780065</v>
      </c>
    </row>
    <row r="2417" spans="1:15" s="1" customFormat="1" ht="15" customHeight="1" x14ac:dyDescent="0.25">
      <c r="A2417" s="18" t="s">
        <v>320</v>
      </c>
      <c r="B2417" s="18" t="s">
        <v>8</v>
      </c>
      <c r="C2417" s="5">
        <v>1823</v>
      </c>
      <c r="E2417" s="1" t="s">
        <v>2</v>
      </c>
      <c r="F2417" s="18">
        <v>2173</v>
      </c>
      <c r="G2417" s="18">
        <v>73</v>
      </c>
      <c r="H2417" s="5">
        <v>139</v>
      </c>
      <c r="I2417" s="1">
        <v>106</v>
      </c>
      <c r="J2417" s="1">
        <v>227</v>
      </c>
      <c r="L2417" t="str">
        <f t="shared" si="37"/>
        <v>http://www.badatelna.eu/reprodukce/?fondId=1073&amp;zaznamId=1108959&amp;reproId=3780066</v>
      </c>
      <c r="M2417">
        <f>VLOOKUP(F2417,Sheet2!$B$1:$E$19,2,FALSE)</f>
        <v>1073</v>
      </c>
      <c r="N2417">
        <f>VLOOKUP(F2417,Sheet2!$B$1:$E$19,3,FALSE)</f>
        <v>1108959</v>
      </c>
      <c r="O2417">
        <f>IF(G2417="Not available","",VLOOKUP(F2417,Sheet2!$B$1:$E$19,4,FALSE)+(G2417-1))</f>
        <v>3780066</v>
      </c>
    </row>
    <row r="2418" spans="1:15" s="1" customFormat="1" ht="15" customHeight="1" x14ac:dyDescent="0.25">
      <c r="A2418" s="18" t="s">
        <v>320</v>
      </c>
      <c r="B2418" s="18" t="s">
        <v>34</v>
      </c>
      <c r="C2418" s="5">
        <v>1808</v>
      </c>
      <c r="E2418" s="1" t="s">
        <v>2</v>
      </c>
      <c r="F2418" s="18">
        <v>2173</v>
      </c>
      <c r="G2418" s="18">
        <v>53</v>
      </c>
      <c r="H2418" s="5">
        <v>101</v>
      </c>
      <c r="I2418" s="1">
        <v>106</v>
      </c>
      <c r="J2418" s="1">
        <v>226</v>
      </c>
      <c r="L2418" t="str">
        <f t="shared" si="37"/>
        <v>http://www.badatelna.eu/reprodukce/?fondId=1073&amp;zaznamId=1108959&amp;reproId=3780046</v>
      </c>
      <c r="M2418">
        <f>VLOOKUP(F2418,Sheet2!$B$1:$E$19,2,FALSE)</f>
        <v>1073</v>
      </c>
      <c r="N2418">
        <f>VLOOKUP(F2418,Sheet2!$B$1:$E$19,3,FALSE)</f>
        <v>1108959</v>
      </c>
      <c r="O2418">
        <f>IF(G2418="Not available","",VLOOKUP(F2418,Sheet2!$B$1:$E$19,4,FALSE)+(G2418-1))</f>
        <v>3780046</v>
      </c>
    </row>
    <row r="2419" spans="1:15" s="1" customFormat="1" ht="15" customHeight="1" x14ac:dyDescent="0.25">
      <c r="A2419" s="19" t="s">
        <v>320</v>
      </c>
      <c r="B2419" s="18" t="s">
        <v>40</v>
      </c>
      <c r="C2419" s="5">
        <v>1806</v>
      </c>
      <c r="E2419" s="1" t="s">
        <v>2</v>
      </c>
      <c r="F2419" s="18">
        <v>2173</v>
      </c>
      <c r="G2419" s="18">
        <v>52</v>
      </c>
      <c r="H2419" s="5">
        <v>98</v>
      </c>
      <c r="I2419" s="1">
        <v>106</v>
      </c>
      <c r="J2419" s="1">
        <v>226</v>
      </c>
      <c r="L2419" t="str">
        <f t="shared" si="37"/>
        <v>http://www.badatelna.eu/reprodukce/?fondId=1073&amp;zaznamId=1108959&amp;reproId=3780045</v>
      </c>
      <c r="M2419">
        <f>VLOOKUP(F2419,Sheet2!$B$1:$E$19,2,FALSE)</f>
        <v>1073</v>
      </c>
      <c r="N2419">
        <f>VLOOKUP(F2419,Sheet2!$B$1:$E$19,3,FALSE)</f>
        <v>1108959</v>
      </c>
      <c r="O2419">
        <f>IF(G2419="Not available","",VLOOKUP(F2419,Sheet2!$B$1:$E$19,4,FALSE)+(G2419-1))</f>
        <v>3780045</v>
      </c>
    </row>
    <row r="2420" spans="1:15" s="1" customFormat="1" ht="15" customHeight="1" x14ac:dyDescent="0.25">
      <c r="A2420" s="19" t="s">
        <v>320</v>
      </c>
      <c r="B2420" s="18" t="s">
        <v>51</v>
      </c>
      <c r="C2420" s="5">
        <v>1810</v>
      </c>
      <c r="D2420" s="4" t="s">
        <v>307</v>
      </c>
      <c r="E2420" s="1" t="s">
        <v>2</v>
      </c>
      <c r="F2420" s="18">
        <v>2173</v>
      </c>
      <c r="G2420" s="18">
        <v>57</v>
      </c>
      <c r="H2420" s="5">
        <v>108</v>
      </c>
      <c r="I2420" s="1">
        <v>106</v>
      </c>
      <c r="J2420" s="1">
        <v>226</v>
      </c>
      <c r="L2420" t="str">
        <f t="shared" si="37"/>
        <v>http://www.badatelna.eu/reprodukce/?fondId=1073&amp;zaznamId=1108959&amp;reproId=3780050</v>
      </c>
      <c r="M2420">
        <f>VLOOKUP(F2420,Sheet2!$B$1:$E$19,2,FALSE)</f>
        <v>1073</v>
      </c>
      <c r="N2420">
        <f>VLOOKUP(F2420,Sheet2!$B$1:$E$19,3,FALSE)</f>
        <v>1108959</v>
      </c>
      <c r="O2420">
        <f>IF(G2420="Not available","",VLOOKUP(F2420,Sheet2!$B$1:$E$19,4,FALSE)+(G2420-1))</f>
        <v>3780050</v>
      </c>
    </row>
    <row r="2421" spans="1:15" s="1" customFormat="1" ht="15" customHeight="1" x14ac:dyDescent="0.25">
      <c r="A2421" s="18" t="s">
        <v>320</v>
      </c>
      <c r="B2421" s="18" t="s">
        <v>51</v>
      </c>
      <c r="C2421" s="5">
        <v>1819</v>
      </c>
      <c r="E2421" s="1" t="s">
        <v>2</v>
      </c>
      <c r="F2421" s="18">
        <v>2173</v>
      </c>
      <c r="G2421" s="18">
        <v>70</v>
      </c>
      <c r="H2421" s="5">
        <v>133</v>
      </c>
      <c r="I2421" s="1">
        <v>106</v>
      </c>
      <c r="J2421" s="1">
        <v>227</v>
      </c>
      <c r="L2421" t="str">
        <f t="shared" si="37"/>
        <v>http://www.badatelna.eu/reprodukce/?fondId=1073&amp;zaznamId=1108959&amp;reproId=3780063</v>
      </c>
      <c r="M2421">
        <f>VLOOKUP(F2421,Sheet2!$B$1:$E$19,2,FALSE)</f>
        <v>1073</v>
      </c>
      <c r="N2421">
        <f>VLOOKUP(F2421,Sheet2!$B$1:$E$19,3,FALSE)</f>
        <v>1108959</v>
      </c>
      <c r="O2421">
        <f>IF(G2421="Not available","",VLOOKUP(F2421,Sheet2!$B$1:$E$19,4,FALSE)+(G2421-1))</f>
        <v>3780063</v>
      </c>
    </row>
    <row r="2422" spans="1:15" s="1" customFormat="1" ht="15" customHeight="1" x14ac:dyDescent="0.25">
      <c r="A2422" s="18" t="s">
        <v>320</v>
      </c>
      <c r="B2422" s="18" t="s">
        <v>287</v>
      </c>
      <c r="C2422" s="5">
        <v>1826</v>
      </c>
      <c r="E2422" s="1" t="s">
        <v>2</v>
      </c>
      <c r="F2422" s="18">
        <v>2173</v>
      </c>
      <c r="G2422" s="18">
        <v>80</v>
      </c>
      <c r="H2422" s="5">
        <v>152</v>
      </c>
      <c r="I2422" s="1">
        <v>106</v>
      </c>
      <c r="J2422" s="1">
        <v>227</v>
      </c>
      <c r="L2422" t="str">
        <f t="shared" si="37"/>
        <v>http://www.badatelna.eu/reprodukce/?fondId=1073&amp;zaznamId=1108959&amp;reproId=3780073</v>
      </c>
      <c r="M2422">
        <f>VLOOKUP(F2422,Sheet2!$B$1:$E$19,2,FALSE)</f>
        <v>1073</v>
      </c>
      <c r="N2422">
        <f>VLOOKUP(F2422,Sheet2!$B$1:$E$19,3,FALSE)</f>
        <v>1108959</v>
      </c>
      <c r="O2422">
        <f>IF(G2422="Not available","",VLOOKUP(F2422,Sheet2!$B$1:$E$19,4,FALSE)+(G2422-1))</f>
        <v>3780073</v>
      </c>
    </row>
    <row r="2423" spans="1:15" s="1" customFormat="1" ht="15" customHeight="1" x14ac:dyDescent="0.25">
      <c r="A2423" s="18" t="s">
        <v>320</v>
      </c>
      <c r="B2423" s="18" t="s">
        <v>4</v>
      </c>
      <c r="C2423" s="5">
        <v>1814</v>
      </c>
      <c r="E2423" s="1" t="s">
        <v>2</v>
      </c>
      <c r="F2423" s="18">
        <v>2173</v>
      </c>
      <c r="G2423" s="18">
        <v>58</v>
      </c>
      <c r="H2423" s="5">
        <v>111</v>
      </c>
      <c r="I2423" s="1">
        <v>106</v>
      </c>
      <c r="J2423" s="1">
        <v>226</v>
      </c>
      <c r="L2423" t="str">
        <f t="shared" si="37"/>
        <v>http://www.badatelna.eu/reprodukce/?fondId=1073&amp;zaznamId=1108959&amp;reproId=3780051</v>
      </c>
      <c r="M2423">
        <f>VLOOKUP(F2423,Sheet2!$B$1:$E$19,2,FALSE)</f>
        <v>1073</v>
      </c>
      <c r="N2423">
        <f>VLOOKUP(F2423,Sheet2!$B$1:$E$19,3,FALSE)</f>
        <v>1108959</v>
      </c>
      <c r="O2423">
        <f>IF(G2423="Not available","",VLOOKUP(F2423,Sheet2!$B$1:$E$19,4,FALSE)+(G2423-1))</f>
        <v>3780051</v>
      </c>
    </row>
    <row r="2424" spans="1:15" s="1" customFormat="1" ht="15" customHeight="1" x14ac:dyDescent="0.25">
      <c r="A2424" s="19" t="s">
        <v>320</v>
      </c>
      <c r="B2424" s="18" t="s">
        <v>172</v>
      </c>
      <c r="C2424" s="5">
        <v>1796</v>
      </c>
      <c r="D2424" s="1" t="s">
        <v>34</v>
      </c>
      <c r="E2424" s="1" t="s">
        <v>2</v>
      </c>
      <c r="F2424" s="18">
        <v>2173</v>
      </c>
      <c r="G2424" s="18">
        <v>35</v>
      </c>
      <c r="H2424" s="5">
        <v>64</v>
      </c>
      <c r="I2424" s="1">
        <v>105</v>
      </c>
      <c r="J2424" s="1">
        <v>225</v>
      </c>
      <c r="L2424" t="str">
        <f t="shared" si="37"/>
        <v>http://www.badatelna.eu/reprodukce/?fondId=1073&amp;zaznamId=1108959&amp;reproId=3780028</v>
      </c>
      <c r="M2424">
        <f>VLOOKUP(F2424,Sheet2!$B$1:$E$19,2,FALSE)</f>
        <v>1073</v>
      </c>
      <c r="N2424">
        <f>VLOOKUP(F2424,Sheet2!$B$1:$E$19,3,FALSE)</f>
        <v>1108959</v>
      </c>
      <c r="O2424">
        <f>IF(G2424="Not available","",VLOOKUP(F2424,Sheet2!$B$1:$E$19,4,FALSE)+(G2424-1))</f>
        <v>3780028</v>
      </c>
    </row>
    <row r="2425" spans="1:15" s="1" customFormat="1" ht="15" customHeight="1" x14ac:dyDescent="0.25">
      <c r="A2425" s="18" t="s">
        <v>320</v>
      </c>
      <c r="B2425" s="18" t="s">
        <v>56</v>
      </c>
      <c r="C2425" s="6" t="s">
        <v>2953</v>
      </c>
      <c r="D2425" s="4" t="s">
        <v>3301</v>
      </c>
      <c r="E2425" s="1" t="s">
        <v>2</v>
      </c>
      <c r="F2425" s="18">
        <v>2173</v>
      </c>
      <c r="G2425" s="18">
        <v>77</v>
      </c>
      <c r="H2425" s="5">
        <v>146</v>
      </c>
      <c r="I2425" s="1">
        <v>106</v>
      </c>
      <c r="J2425" s="1">
        <v>227</v>
      </c>
      <c r="L2425" t="str">
        <f t="shared" si="37"/>
        <v>http://www.badatelna.eu/reprodukce/?fondId=1073&amp;zaznamId=1108959&amp;reproId=3780070</v>
      </c>
      <c r="M2425">
        <f>VLOOKUP(F2425,Sheet2!$B$1:$E$19,2,FALSE)</f>
        <v>1073</v>
      </c>
      <c r="N2425">
        <f>VLOOKUP(F2425,Sheet2!$B$1:$E$19,3,FALSE)</f>
        <v>1108959</v>
      </c>
      <c r="O2425">
        <f>IF(G2425="Not available","",VLOOKUP(F2425,Sheet2!$B$1:$E$19,4,FALSE)+(G2425-1))</f>
        <v>3780070</v>
      </c>
    </row>
    <row r="2426" spans="1:15" s="1" customFormat="1" ht="15" customHeight="1" x14ac:dyDescent="0.25">
      <c r="A2426" s="18" t="s">
        <v>320</v>
      </c>
      <c r="B2426" s="18" t="s">
        <v>30</v>
      </c>
      <c r="C2426" s="5">
        <v>1805</v>
      </c>
      <c r="E2426" s="1" t="s">
        <v>2</v>
      </c>
      <c r="F2426" s="18">
        <v>2173</v>
      </c>
      <c r="G2426" s="18">
        <v>49</v>
      </c>
      <c r="H2426" s="5">
        <v>92</v>
      </c>
      <c r="I2426" s="1">
        <v>106</v>
      </c>
      <c r="J2426" s="1">
        <v>226</v>
      </c>
      <c r="L2426" t="str">
        <f t="shared" si="37"/>
        <v>http://www.badatelna.eu/reprodukce/?fondId=1073&amp;zaznamId=1108959&amp;reproId=3780042</v>
      </c>
      <c r="M2426">
        <f>VLOOKUP(F2426,Sheet2!$B$1:$E$19,2,FALSE)</f>
        <v>1073</v>
      </c>
      <c r="N2426">
        <f>VLOOKUP(F2426,Sheet2!$B$1:$E$19,3,FALSE)</f>
        <v>1108959</v>
      </c>
      <c r="O2426">
        <f>IF(G2426="Not available","",VLOOKUP(F2426,Sheet2!$B$1:$E$19,4,FALSE)+(G2426-1))</f>
        <v>3780042</v>
      </c>
    </row>
    <row r="2427" spans="1:15" s="1" customFormat="1" ht="15" customHeight="1" x14ac:dyDescent="0.25">
      <c r="A2427" s="18" t="s">
        <v>320</v>
      </c>
      <c r="B2427" s="18" t="s">
        <v>323</v>
      </c>
      <c r="C2427" s="5">
        <v>1808</v>
      </c>
      <c r="E2427" s="1" t="s">
        <v>2</v>
      </c>
      <c r="F2427" s="18">
        <v>2173</v>
      </c>
      <c r="G2427" s="18">
        <v>54</v>
      </c>
      <c r="H2427" s="5">
        <v>103</v>
      </c>
      <c r="I2427" s="1">
        <v>106</v>
      </c>
      <c r="J2427" s="1">
        <v>226</v>
      </c>
      <c r="L2427" t="str">
        <f t="shared" si="37"/>
        <v>http://www.badatelna.eu/reprodukce/?fondId=1073&amp;zaznamId=1108959&amp;reproId=3780047</v>
      </c>
      <c r="M2427">
        <f>VLOOKUP(F2427,Sheet2!$B$1:$E$19,2,FALSE)</f>
        <v>1073</v>
      </c>
      <c r="N2427">
        <f>VLOOKUP(F2427,Sheet2!$B$1:$E$19,3,FALSE)</f>
        <v>1108959</v>
      </c>
      <c r="O2427">
        <f>IF(G2427="Not available","",VLOOKUP(F2427,Sheet2!$B$1:$E$19,4,FALSE)+(G2427-1))</f>
        <v>3780047</v>
      </c>
    </row>
    <row r="2428" spans="1:15" s="1" customFormat="1" ht="15" customHeight="1" x14ac:dyDescent="0.25">
      <c r="A2428" s="18" t="s">
        <v>320</v>
      </c>
      <c r="B2428" s="18" t="s">
        <v>13</v>
      </c>
      <c r="C2428" s="5">
        <v>1823</v>
      </c>
      <c r="E2428" s="1" t="s">
        <v>2</v>
      </c>
      <c r="F2428" s="18">
        <v>2173</v>
      </c>
      <c r="G2428" s="18">
        <v>74</v>
      </c>
      <c r="H2428" s="5">
        <v>140</v>
      </c>
      <c r="I2428" s="1">
        <v>106</v>
      </c>
      <c r="J2428" s="1">
        <v>227</v>
      </c>
      <c r="L2428" t="str">
        <f t="shared" si="37"/>
        <v>http://www.badatelna.eu/reprodukce/?fondId=1073&amp;zaznamId=1108959&amp;reproId=3780067</v>
      </c>
      <c r="M2428">
        <f>VLOOKUP(F2428,Sheet2!$B$1:$E$19,2,FALSE)</f>
        <v>1073</v>
      </c>
      <c r="N2428">
        <f>VLOOKUP(F2428,Sheet2!$B$1:$E$19,3,FALSE)</f>
        <v>1108959</v>
      </c>
      <c r="O2428">
        <f>IF(G2428="Not available","",VLOOKUP(F2428,Sheet2!$B$1:$E$19,4,FALSE)+(G2428-1))</f>
        <v>3780067</v>
      </c>
    </row>
    <row r="2429" spans="1:15" s="1" customFormat="1" ht="15" customHeight="1" x14ac:dyDescent="0.25">
      <c r="A2429" s="18" t="s">
        <v>320</v>
      </c>
      <c r="B2429" s="18" t="s">
        <v>143</v>
      </c>
      <c r="C2429" s="5">
        <v>1818</v>
      </c>
      <c r="E2429" s="1" t="s">
        <v>2</v>
      </c>
      <c r="F2429" s="18">
        <v>2173</v>
      </c>
      <c r="G2429" s="18">
        <v>68</v>
      </c>
      <c r="H2429" s="5">
        <v>128</v>
      </c>
      <c r="I2429" s="1">
        <v>106</v>
      </c>
      <c r="J2429" s="1">
        <v>227</v>
      </c>
      <c r="L2429" t="str">
        <f t="shared" si="37"/>
        <v>http://www.badatelna.eu/reprodukce/?fondId=1073&amp;zaznamId=1108959&amp;reproId=3780061</v>
      </c>
      <c r="M2429">
        <f>VLOOKUP(F2429,Sheet2!$B$1:$E$19,2,FALSE)</f>
        <v>1073</v>
      </c>
      <c r="N2429">
        <f>VLOOKUP(F2429,Sheet2!$B$1:$E$19,3,FALSE)</f>
        <v>1108959</v>
      </c>
      <c r="O2429">
        <f>IF(G2429="Not available","",VLOOKUP(F2429,Sheet2!$B$1:$E$19,4,FALSE)+(G2429-1))</f>
        <v>3780061</v>
      </c>
    </row>
    <row r="2430" spans="1:15" s="1" customFormat="1" ht="15" customHeight="1" x14ac:dyDescent="0.25">
      <c r="A2430" s="18" t="s">
        <v>320</v>
      </c>
      <c r="B2430" s="18" t="s">
        <v>18</v>
      </c>
      <c r="C2430" s="5">
        <v>1814</v>
      </c>
      <c r="E2430" s="1" t="s">
        <v>2</v>
      </c>
      <c r="F2430" s="18">
        <v>2173</v>
      </c>
      <c r="G2430" s="18">
        <v>57</v>
      </c>
      <c r="H2430" s="5">
        <v>109</v>
      </c>
      <c r="I2430" s="1">
        <v>106</v>
      </c>
      <c r="J2430" s="1">
        <v>226</v>
      </c>
      <c r="L2430" t="str">
        <f t="shared" si="37"/>
        <v>http://www.badatelna.eu/reprodukce/?fondId=1073&amp;zaznamId=1108959&amp;reproId=3780050</v>
      </c>
      <c r="M2430">
        <f>VLOOKUP(F2430,Sheet2!$B$1:$E$19,2,FALSE)</f>
        <v>1073</v>
      </c>
      <c r="N2430">
        <f>VLOOKUP(F2430,Sheet2!$B$1:$E$19,3,FALSE)</f>
        <v>1108959</v>
      </c>
      <c r="O2430">
        <f>IF(G2430="Not available","",VLOOKUP(F2430,Sheet2!$B$1:$E$19,4,FALSE)+(G2430-1))</f>
        <v>3780050</v>
      </c>
    </row>
    <row r="2431" spans="1:15" s="1" customFormat="1" ht="15" customHeight="1" x14ac:dyDescent="0.25">
      <c r="A2431" s="18" t="s">
        <v>320</v>
      </c>
      <c r="B2431" s="18" t="s">
        <v>18</v>
      </c>
      <c r="C2431" s="5">
        <v>1819</v>
      </c>
      <c r="E2431" s="1" t="s">
        <v>2</v>
      </c>
      <c r="F2431" s="18">
        <v>2173</v>
      </c>
      <c r="G2431" s="18">
        <v>69</v>
      </c>
      <c r="H2431" s="5">
        <v>131</v>
      </c>
      <c r="I2431" s="1">
        <v>106</v>
      </c>
      <c r="J2431" s="1">
        <v>227</v>
      </c>
      <c r="L2431" t="str">
        <f t="shared" si="37"/>
        <v>http://www.badatelna.eu/reprodukce/?fondId=1073&amp;zaznamId=1108959&amp;reproId=3780062</v>
      </c>
      <c r="M2431">
        <f>VLOOKUP(F2431,Sheet2!$B$1:$E$19,2,FALSE)</f>
        <v>1073</v>
      </c>
      <c r="N2431">
        <f>VLOOKUP(F2431,Sheet2!$B$1:$E$19,3,FALSE)</f>
        <v>1108959</v>
      </c>
      <c r="O2431">
        <f>IF(G2431="Not available","",VLOOKUP(F2431,Sheet2!$B$1:$E$19,4,FALSE)+(G2431-1))</f>
        <v>3780062</v>
      </c>
    </row>
    <row r="2432" spans="1:15" s="1" customFormat="1" ht="15" customHeight="1" x14ac:dyDescent="0.25">
      <c r="A2432" s="18" t="s">
        <v>320</v>
      </c>
      <c r="B2432" s="18" t="s">
        <v>114</v>
      </c>
      <c r="C2432" s="5">
        <v>1806</v>
      </c>
      <c r="E2432" s="1" t="s">
        <v>2</v>
      </c>
      <c r="F2432" s="18">
        <v>2173</v>
      </c>
      <c r="G2432" s="18">
        <v>51</v>
      </c>
      <c r="H2432" s="5">
        <v>96</v>
      </c>
      <c r="I2432" s="1">
        <v>106</v>
      </c>
      <c r="J2432" s="1">
        <v>226</v>
      </c>
      <c r="L2432" t="str">
        <f t="shared" si="37"/>
        <v>http://www.badatelna.eu/reprodukce/?fondId=1073&amp;zaznamId=1108959&amp;reproId=3780044</v>
      </c>
      <c r="M2432">
        <f>VLOOKUP(F2432,Sheet2!$B$1:$E$19,2,FALSE)</f>
        <v>1073</v>
      </c>
      <c r="N2432">
        <f>VLOOKUP(F2432,Sheet2!$B$1:$E$19,3,FALSE)</f>
        <v>1108959</v>
      </c>
      <c r="O2432">
        <f>IF(G2432="Not available","",VLOOKUP(F2432,Sheet2!$B$1:$E$19,4,FALSE)+(G2432-1))</f>
        <v>3780044</v>
      </c>
    </row>
    <row r="2433" spans="1:15" s="1" customFormat="1" ht="15" customHeight="1" x14ac:dyDescent="0.25">
      <c r="A2433" s="18" t="s">
        <v>320</v>
      </c>
      <c r="B2433" s="18" t="s">
        <v>17</v>
      </c>
      <c r="C2433" s="5">
        <v>1813</v>
      </c>
      <c r="E2433" s="1" t="s">
        <v>2</v>
      </c>
      <c r="F2433" s="18">
        <v>2173</v>
      </c>
      <c r="G2433" s="18">
        <v>61</v>
      </c>
      <c r="H2433" s="5">
        <v>117</v>
      </c>
      <c r="I2433" s="1">
        <v>106</v>
      </c>
      <c r="J2433" s="1">
        <v>226</v>
      </c>
      <c r="L2433" t="str">
        <f t="shared" si="37"/>
        <v>http://www.badatelna.eu/reprodukce/?fondId=1073&amp;zaznamId=1108959&amp;reproId=3780054</v>
      </c>
      <c r="M2433">
        <f>VLOOKUP(F2433,Sheet2!$B$1:$E$19,2,FALSE)</f>
        <v>1073</v>
      </c>
      <c r="N2433">
        <f>VLOOKUP(F2433,Sheet2!$B$1:$E$19,3,FALSE)</f>
        <v>1108959</v>
      </c>
      <c r="O2433">
        <f>IF(G2433="Not available","",VLOOKUP(F2433,Sheet2!$B$1:$E$19,4,FALSE)+(G2433-1))</f>
        <v>3780054</v>
      </c>
    </row>
    <row r="2434" spans="1:15" s="1" customFormat="1" ht="15" customHeight="1" x14ac:dyDescent="0.25">
      <c r="A2434" s="18" t="s">
        <v>695</v>
      </c>
      <c r="B2434" s="18" t="s">
        <v>705</v>
      </c>
      <c r="C2434" s="5">
        <v>1841</v>
      </c>
      <c r="D2434" s="1" t="s">
        <v>83</v>
      </c>
      <c r="E2434" s="1" t="s">
        <v>2</v>
      </c>
      <c r="F2434" s="18">
        <v>2174</v>
      </c>
      <c r="G2434" s="18">
        <v>121</v>
      </c>
      <c r="H2434" s="6" t="s">
        <v>3189</v>
      </c>
      <c r="I2434" s="1">
        <v>192</v>
      </c>
      <c r="J2434" s="1">
        <v>223</v>
      </c>
      <c r="L2434" t="str">
        <f t="shared" si="37"/>
        <v>http://www.badatelna.eu/reprodukce/?fondId=1073&amp;zaznamId=1108960&amp;reproId=3780345</v>
      </c>
      <c r="M2434">
        <f>VLOOKUP(F2434,Sheet2!$B$1:$E$19,2,FALSE)</f>
        <v>1073</v>
      </c>
      <c r="N2434">
        <f>VLOOKUP(F2434,Sheet2!$B$1:$E$19,3,FALSE)</f>
        <v>1108960</v>
      </c>
      <c r="O2434">
        <f>IF(G2434="Not available","",VLOOKUP(F2434,Sheet2!$B$1:$E$19,4,FALSE)+(G2434-1))</f>
        <v>3780345</v>
      </c>
    </row>
    <row r="2435" spans="1:15" s="1" customFormat="1" ht="15" customHeight="1" x14ac:dyDescent="0.25">
      <c r="A2435" s="18" t="s">
        <v>695</v>
      </c>
      <c r="B2435" s="18" t="s">
        <v>370</v>
      </c>
      <c r="C2435" s="5">
        <v>1843</v>
      </c>
      <c r="D2435" s="1" t="s">
        <v>83</v>
      </c>
      <c r="E2435" s="1" t="s">
        <v>2</v>
      </c>
      <c r="F2435" s="18">
        <v>2174</v>
      </c>
      <c r="G2435" s="18">
        <v>131</v>
      </c>
      <c r="H2435" s="6" t="s">
        <v>3193</v>
      </c>
      <c r="I2435" s="1">
        <v>192</v>
      </c>
      <c r="J2435" s="1">
        <v>223</v>
      </c>
      <c r="L2435" t="str">
        <f t="shared" ref="L2435:L2498" si="38">IF(G2435="Not available","","http://www.badatelna.eu/reprodukce/?fondId="&amp;M2435&amp;"&amp;zaznamId="&amp;N2435&amp;"&amp;reproId="&amp;O2435)</f>
        <v>http://www.badatelna.eu/reprodukce/?fondId=1073&amp;zaznamId=1108960&amp;reproId=3780355</v>
      </c>
      <c r="M2435">
        <f>VLOOKUP(F2435,Sheet2!$B$1:$E$19,2,FALSE)</f>
        <v>1073</v>
      </c>
      <c r="N2435">
        <f>VLOOKUP(F2435,Sheet2!$B$1:$E$19,3,FALSE)</f>
        <v>1108960</v>
      </c>
      <c r="O2435">
        <f>IF(G2435="Not available","",VLOOKUP(F2435,Sheet2!$B$1:$E$19,4,FALSE)+(G2435-1))</f>
        <v>3780355</v>
      </c>
    </row>
    <row r="2436" spans="1:15" s="1" customFormat="1" ht="15" customHeight="1" x14ac:dyDescent="0.25">
      <c r="A2436" s="18" t="s">
        <v>695</v>
      </c>
      <c r="B2436" s="18" t="s">
        <v>624</v>
      </c>
      <c r="C2436" s="5">
        <v>1846</v>
      </c>
      <c r="D2436" s="1" t="s">
        <v>83</v>
      </c>
      <c r="E2436" s="1" t="s">
        <v>2</v>
      </c>
      <c r="F2436" s="18">
        <v>2174</v>
      </c>
      <c r="G2436" s="18">
        <v>162</v>
      </c>
      <c r="H2436" s="6" t="s">
        <v>3232</v>
      </c>
      <c r="I2436" s="1">
        <v>192</v>
      </c>
      <c r="J2436" s="1">
        <v>223</v>
      </c>
      <c r="L2436" t="str">
        <f t="shared" si="38"/>
        <v>http://www.badatelna.eu/reprodukce/?fondId=1073&amp;zaznamId=1108960&amp;reproId=3780386</v>
      </c>
      <c r="M2436">
        <f>VLOOKUP(F2436,Sheet2!$B$1:$E$19,2,FALSE)</f>
        <v>1073</v>
      </c>
      <c r="N2436">
        <f>VLOOKUP(F2436,Sheet2!$B$1:$E$19,3,FALSE)</f>
        <v>1108960</v>
      </c>
      <c r="O2436">
        <f>IF(G2436="Not available","",VLOOKUP(F2436,Sheet2!$B$1:$E$19,4,FALSE)+(G2436-1))</f>
        <v>3780386</v>
      </c>
    </row>
    <row r="2437" spans="1:15" s="1" customFormat="1" ht="15" customHeight="1" x14ac:dyDescent="0.25">
      <c r="A2437" s="18" t="s">
        <v>695</v>
      </c>
      <c r="B2437" s="18" t="s">
        <v>489</v>
      </c>
      <c r="C2437" s="5">
        <v>1849</v>
      </c>
      <c r="D2437" s="1" t="s">
        <v>83</v>
      </c>
      <c r="E2437" s="1" t="s">
        <v>2</v>
      </c>
      <c r="F2437" s="18">
        <v>2164</v>
      </c>
      <c r="G2437" s="18">
        <v>63</v>
      </c>
      <c r="H2437" s="5">
        <v>61</v>
      </c>
      <c r="I2437" s="1">
        <v>132</v>
      </c>
      <c r="J2437" s="3" t="s">
        <v>3271</v>
      </c>
      <c r="L2437" t="str">
        <f t="shared" si="38"/>
        <v>http://www.badatelna.eu/reprodukce/?fondId=1073&amp;zaznamId=1108951&amp;reproId=3778777</v>
      </c>
      <c r="M2437">
        <f>VLOOKUP(F2437,Sheet2!$B$1:$E$19,2,FALSE)</f>
        <v>1073</v>
      </c>
      <c r="N2437">
        <f>VLOOKUP(F2437,Sheet2!$B$1:$E$19,3,FALSE)</f>
        <v>1108951</v>
      </c>
      <c r="O2437">
        <f>IF(G2437="Not available","",VLOOKUP(F2437,Sheet2!$B$1:$E$19,4,FALSE)+(G2437-1))</f>
        <v>3778777</v>
      </c>
    </row>
    <row r="2438" spans="1:15" s="1" customFormat="1" ht="15" customHeight="1" x14ac:dyDescent="0.25">
      <c r="A2438" s="18" t="s">
        <v>695</v>
      </c>
      <c r="B2438" s="18" t="s">
        <v>331</v>
      </c>
      <c r="C2438" s="5">
        <v>1838</v>
      </c>
      <c r="D2438" s="1" t="s">
        <v>83</v>
      </c>
      <c r="E2438" s="1" t="s">
        <v>2</v>
      </c>
      <c r="F2438" s="18">
        <v>2174</v>
      </c>
      <c r="G2438" s="18">
        <v>101</v>
      </c>
      <c r="H2438" s="6" t="s">
        <v>3170</v>
      </c>
      <c r="I2438" s="1">
        <v>191</v>
      </c>
      <c r="J2438" s="1">
        <v>222</v>
      </c>
      <c r="L2438" t="str">
        <f t="shared" si="38"/>
        <v>http://www.badatelna.eu/reprodukce/?fondId=1073&amp;zaznamId=1108960&amp;reproId=3780325</v>
      </c>
      <c r="M2438">
        <f>VLOOKUP(F2438,Sheet2!$B$1:$E$19,2,FALSE)</f>
        <v>1073</v>
      </c>
      <c r="N2438">
        <f>VLOOKUP(F2438,Sheet2!$B$1:$E$19,3,FALSE)</f>
        <v>1108960</v>
      </c>
      <c r="O2438">
        <f>IF(G2438="Not available","",VLOOKUP(F2438,Sheet2!$B$1:$E$19,4,FALSE)+(G2438-1))</f>
        <v>3780325</v>
      </c>
    </row>
    <row r="2439" spans="1:15" s="1" customFormat="1" ht="15" customHeight="1" x14ac:dyDescent="0.25">
      <c r="A2439" s="18" t="s">
        <v>695</v>
      </c>
      <c r="B2439" s="18"/>
      <c r="C2439" s="5">
        <v>1834</v>
      </c>
      <c r="D2439" s="1" t="s">
        <v>83</v>
      </c>
      <c r="E2439" s="1" t="s">
        <v>2</v>
      </c>
      <c r="F2439" s="18">
        <v>2174</v>
      </c>
      <c r="G2439" s="18">
        <v>83</v>
      </c>
      <c r="H2439" s="6" t="s">
        <v>3147</v>
      </c>
      <c r="I2439" s="1">
        <v>191</v>
      </c>
      <c r="J2439" s="1">
        <v>222</v>
      </c>
      <c r="L2439" t="str">
        <f t="shared" si="38"/>
        <v>http://www.badatelna.eu/reprodukce/?fondId=1073&amp;zaznamId=1108960&amp;reproId=3780307</v>
      </c>
      <c r="M2439">
        <f>VLOOKUP(F2439,Sheet2!$B$1:$E$19,2,FALSE)</f>
        <v>1073</v>
      </c>
      <c r="N2439">
        <f>VLOOKUP(F2439,Sheet2!$B$1:$E$19,3,FALSE)</f>
        <v>1108960</v>
      </c>
      <c r="O2439">
        <f>IF(G2439="Not available","",VLOOKUP(F2439,Sheet2!$B$1:$E$19,4,FALSE)+(G2439-1))</f>
        <v>3780307</v>
      </c>
    </row>
    <row r="2440" spans="1:15" s="1" customFormat="1" ht="15" customHeight="1" x14ac:dyDescent="0.25">
      <c r="A2440" s="18" t="s">
        <v>324</v>
      </c>
      <c r="B2440" s="18" t="s">
        <v>166</v>
      </c>
      <c r="C2440" s="5">
        <v>1826</v>
      </c>
      <c r="E2440" s="1" t="s">
        <v>2</v>
      </c>
      <c r="F2440" s="18">
        <v>2173</v>
      </c>
      <c r="G2440" s="18">
        <v>79</v>
      </c>
      <c r="H2440" s="5">
        <v>151</v>
      </c>
      <c r="I2440" s="1">
        <v>106</v>
      </c>
      <c r="J2440" s="1">
        <v>227</v>
      </c>
      <c r="L2440" t="str">
        <f t="shared" si="38"/>
        <v>http://www.badatelna.eu/reprodukce/?fondId=1073&amp;zaznamId=1108959&amp;reproId=3780072</v>
      </c>
      <c r="M2440">
        <f>VLOOKUP(F2440,Sheet2!$B$1:$E$19,2,FALSE)</f>
        <v>1073</v>
      </c>
      <c r="N2440">
        <f>VLOOKUP(F2440,Sheet2!$B$1:$E$19,3,FALSE)</f>
        <v>1108959</v>
      </c>
      <c r="O2440">
        <f>IF(G2440="Not available","",VLOOKUP(F2440,Sheet2!$B$1:$E$19,4,FALSE)+(G2440-1))</f>
        <v>3780072</v>
      </c>
    </row>
    <row r="2441" spans="1:15" s="1" customFormat="1" ht="15" customHeight="1" x14ac:dyDescent="0.25">
      <c r="A2441" s="18" t="s">
        <v>324</v>
      </c>
      <c r="B2441" s="18" t="s">
        <v>12</v>
      </c>
      <c r="C2441" s="5">
        <v>1813</v>
      </c>
      <c r="E2441" s="1" t="s">
        <v>2</v>
      </c>
      <c r="F2441" s="18">
        <v>2173</v>
      </c>
      <c r="G2441" s="18">
        <v>60</v>
      </c>
      <c r="H2441" s="5">
        <v>115</v>
      </c>
      <c r="I2441" s="1">
        <v>106</v>
      </c>
      <c r="J2441" s="1">
        <v>226</v>
      </c>
      <c r="L2441" t="str">
        <f t="shared" si="38"/>
        <v>http://www.badatelna.eu/reprodukce/?fondId=1073&amp;zaznamId=1108959&amp;reproId=3780053</v>
      </c>
      <c r="M2441">
        <f>VLOOKUP(F2441,Sheet2!$B$1:$E$19,2,FALSE)</f>
        <v>1073</v>
      </c>
      <c r="N2441">
        <f>VLOOKUP(F2441,Sheet2!$B$1:$E$19,3,FALSE)</f>
        <v>1108959</v>
      </c>
      <c r="O2441">
        <f>IF(G2441="Not available","",VLOOKUP(F2441,Sheet2!$B$1:$E$19,4,FALSE)+(G2441-1))</f>
        <v>3780053</v>
      </c>
    </row>
    <row r="2442" spans="1:15" s="1" customFormat="1" ht="15" customHeight="1" x14ac:dyDescent="0.25">
      <c r="A2442" s="18" t="s">
        <v>324</v>
      </c>
      <c r="B2442" s="18" t="s">
        <v>19</v>
      </c>
      <c r="C2442" s="5">
        <v>1808</v>
      </c>
      <c r="E2442" s="1" t="s">
        <v>2</v>
      </c>
      <c r="F2442" s="18">
        <v>2173</v>
      </c>
      <c r="G2442" s="18">
        <v>54</v>
      </c>
      <c r="H2442" s="5">
        <v>103</v>
      </c>
      <c r="I2442" s="1">
        <v>106</v>
      </c>
      <c r="J2442" s="1">
        <v>226</v>
      </c>
      <c r="L2442" t="str">
        <f t="shared" si="38"/>
        <v>http://www.badatelna.eu/reprodukce/?fondId=1073&amp;zaznamId=1108959&amp;reproId=3780047</v>
      </c>
      <c r="M2442">
        <f>VLOOKUP(F2442,Sheet2!$B$1:$E$19,2,FALSE)</f>
        <v>1073</v>
      </c>
      <c r="N2442">
        <f>VLOOKUP(F2442,Sheet2!$B$1:$E$19,3,FALSE)</f>
        <v>1108959</v>
      </c>
      <c r="O2442">
        <f>IF(G2442="Not available","",VLOOKUP(F2442,Sheet2!$B$1:$E$19,4,FALSE)+(G2442-1))</f>
        <v>3780047</v>
      </c>
    </row>
    <row r="2443" spans="1:15" s="1" customFormat="1" ht="15" customHeight="1" x14ac:dyDescent="0.25">
      <c r="A2443" s="18" t="s">
        <v>324</v>
      </c>
      <c r="B2443" s="18" t="s">
        <v>21</v>
      </c>
      <c r="C2443" s="5">
        <v>1826</v>
      </c>
      <c r="E2443" s="1" t="s">
        <v>2</v>
      </c>
      <c r="F2443" s="18">
        <v>2173</v>
      </c>
      <c r="G2443" s="18">
        <v>80</v>
      </c>
      <c r="H2443" s="5">
        <v>152</v>
      </c>
      <c r="I2443" s="1">
        <v>106</v>
      </c>
      <c r="J2443" s="1">
        <v>227</v>
      </c>
      <c r="L2443" t="str">
        <f t="shared" si="38"/>
        <v>http://www.badatelna.eu/reprodukce/?fondId=1073&amp;zaznamId=1108959&amp;reproId=3780073</v>
      </c>
      <c r="M2443">
        <f>VLOOKUP(F2443,Sheet2!$B$1:$E$19,2,FALSE)</f>
        <v>1073</v>
      </c>
      <c r="N2443">
        <f>VLOOKUP(F2443,Sheet2!$B$1:$E$19,3,FALSE)</f>
        <v>1108959</v>
      </c>
      <c r="O2443">
        <f>IF(G2443="Not available","",VLOOKUP(F2443,Sheet2!$B$1:$E$19,4,FALSE)+(G2443-1))</f>
        <v>3780073</v>
      </c>
    </row>
    <row r="2444" spans="1:15" s="1" customFormat="1" ht="15" customHeight="1" x14ac:dyDescent="0.25">
      <c r="A2444" s="18" t="s">
        <v>324</v>
      </c>
      <c r="B2444" s="18" t="s">
        <v>331</v>
      </c>
      <c r="C2444" s="5">
        <v>1814</v>
      </c>
      <c r="E2444" s="1" t="s">
        <v>2</v>
      </c>
      <c r="F2444" s="18">
        <v>2173</v>
      </c>
      <c r="G2444" s="18">
        <v>62</v>
      </c>
      <c r="H2444" s="5">
        <v>119</v>
      </c>
      <c r="I2444" s="1">
        <v>106</v>
      </c>
      <c r="J2444" s="1">
        <v>226</v>
      </c>
      <c r="L2444" t="str">
        <f t="shared" si="38"/>
        <v>http://www.badatelna.eu/reprodukce/?fondId=1073&amp;zaznamId=1108959&amp;reproId=3780055</v>
      </c>
      <c r="M2444">
        <f>VLOOKUP(F2444,Sheet2!$B$1:$E$19,2,FALSE)</f>
        <v>1073</v>
      </c>
      <c r="N2444">
        <f>VLOOKUP(F2444,Sheet2!$B$1:$E$19,3,FALSE)</f>
        <v>1108959</v>
      </c>
      <c r="O2444">
        <f>IF(G2444="Not available","",VLOOKUP(F2444,Sheet2!$B$1:$E$19,4,FALSE)+(G2444-1))</f>
        <v>3780055</v>
      </c>
    </row>
    <row r="2445" spans="1:15" s="1" customFormat="1" ht="15" customHeight="1" x14ac:dyDescent="0.25">
      <c r="A2445" s="18" t="s">
        <v>324</v>
      </c>
      <c r="B2445" s="18" t="s">
        <v>38</v>
      </c>
      <c r="C2445" s="5">
        <v>1810</v>
      </c>
      <c r="E2445" s="1" t="s">
        <v>2</v>
      </c>
      <c r="F2445" s="18">
        <v>2173</v>
      </c>
      <c r="G2445" s="18">
        <v>56</v>
      </c>
      <c r="H2445" s="5">
        <v>107</v>
      </c>
      <c r="I2445" s="1">
        <v>106</v>
      </c>
      <c r="J2445" s="1">
        <v>226</v>
      </c>
      <c r="L2445" t="str">
        <f t="shared" si="38"/>
        <v>http://www.badatelna.eu/reprodukce/?fondId=1073&amp;zaznamId=1108959&amp;reproId=3780049</v>
      </c>
      <c r="M2445">
        <f>VLOOKUP(F2445,Sheet2!$B$1:$E$19,2,FALSE)</f>
        <v>1073</v>
      </c>
      <c r="N2445">
        <f>VLOOKUP(F2445,Sheet2!$B$1:$E$19,3,FALSE)</f>
        <v>1108959</v>
      </c>
      <c r="O2445">
        <f>IF(G2445="Not available","",VLOOKUP(F2445,Sheet2!$B$1:$E$19,4,FALSE)+(G2445-1))</f>
        <v>3780049</v>
      </c>
    </row>
    <row r="2446" spans="1:15" s="1" customFormat="1" ht="15" customHeight="1" x14ac:dyDescent="0.25">
      <c r="A2446" s="18" t="s">
        <v>692</v>
      </c>
      <c r="B2446" s="18" t="s">
        <v>547</v>
      </c>
      <c r="C2446" s="5">
        <v>1848</v>
      </c>
      <c r="D2446" s="1" t="s">
        <v>18</v>
      </c>
      <c r="E2446" s="1" t="s">
        <v>2</v>
      </c>
      <c r="F2446" s="18">
        <v>2164</v>
      </c>
      <c r="G2446" s="18">
        <v>23</v>
      </c>
      <c r="H2446" s="5">
        <v>21</v>
      </c>
      <c r="I2446" s="1">
        <v>132</v>
      </c>
      <c r="J2446" s="3" t="s">
        <v>3271</v>
      </c>
      <c r="L2446" t="str">
        <f t="shared" si="38"/>
        <v>http://www.badatelna.eu/reprodukce/?fondId=1073&amp;zaznamId=1108951&amp;reproId=3778737</v>
      </c>
      <c r="M2446">
        <f>VLOOKUP(F2446,Sheet2!$B$1:$E$19,2,FALSE)</f>
        <v>1073</v>
      </c>
      <c r="N2446">
        <f>VLOOKUP(F2446,Sheet2!$B$1:$E$19,3,FALSE)</f>
        <v>1108951</v>
      </c>
      <c r="O2446">
        <f>IF(G2446="Not available","",VLOOKUP(F2446,Sheet2!$B$1:$E$19,4,FALSE)+(G2446-1))</f>
        <v>3778737</v>
      </c>
    </row>
    <row r="2447" spans="1:15" s="1" customFormat="1" ht="15" customHeight="1" x14ac:dyDescent="0.25">
      <c r="A2447" s="18" t="s">
        <v>692</v>
      </c>
      <c r="B2447" s="18" t="s">
        <v>469</v>
      </c>
      <c r="C2447" s="5">
        <v>1843</v>
      </c>
      <c r="D2447" s="1" t="s">
        <v>18</v>
      </c>
      <c r="E2447" s="1" t="s">
        <v>2</v>
      </c>
      <c r="F2447" s="18">
        <v>2174</v>
      </c>
      <c r="G2447" s="18">
        <v>133</v>
      </c>
      <c r="H2447" s="6" t="s">
        <v>3203</v>
      </c>
      <c r="I2447" s="1">
        <v>192</v>
      </c>
      <c r="J2447" s="1">
        <v>223</v>
      </c>
      <c r="L2447" t="str">
        <f t="shared" si="38"/>
        <v>http://www.badatelna.eu/reprodukce/?fondId=1073&amp;zaznamId=1108960&amp;reproId=3780357</v>
      </c>
      <c r="M2447">
        <f>VLOOKUP(F2447,Sheet2!$B$1:$E$19,2,FALSE)</f>
        <v>1073</v>
      </c>
      <c r="N2447">
        <f>VLOOKUP(F2447,Sheet2!$B$1:$E$19,3,FALSE)</f>
        <v>1108960</v>
      </c>
      <c r="O2447">
        <f>IF(G2447="Not available","",VLOOKUP(F2447,Sheet2!$B$1:$E$19,4,FALSE)+(G2447-1))</f>
        <v>3780357</v>
      </c>
    </row>
    <row r="2448" spans="1:15" s="1" customFormat="1" ht="15" customHeight="1" x14ac:dyDescent="0.25">
      <c r="A2448" s="19" t="s">
        <v>692</v>
      </c>
      <c r="B2448" s="18" t="s">
        <v>219</v>
      </c>
      <c r="C2448" s="5">
        <v>1840</v>
      </c>
      <c r="D2448" s="1" t="s">
        <v>53</v>
      </c>
      <c r="E2448" s="1" t="s">
        <v>2</v>
      </c>
      <c r="F2448" s="18">
        <v>2174</v>
      </c>
      <c r="G2448" s="18">
        <v>113</v>
      </c>
      <c r="H2448" s="6" t="s">
        <v>3179</v>
      </c>
      <c r="I2448" s="1">
        <v>191</v>
      </c>
      <c r="J2448" s="1">
        <v>222</v>
      </c>
      <c r="L2448" t="str">
        <f t="shared" si="38"/>
        <v>http://www.badatelna.eu/reprodukce/?fondId=1073&amp;zaznamId=1108960&amp;reproId=3780337</v>
      </c>
      <c r="M2448">
        <f>VLOOKUP(F2448,Sheet2!$B$1:$E$19,2,FALSE)</f>
        <v>1073</v>
      </c>
      <c r="N2448">
        <f>VLOOKUP(F2448,Sheet2!$B$1:$E$19,3,FALSE)</f>
        <v>1108960</v>
      </c>
      <c r="O2448">
        <f>IF(G2448="Not available","",VLOOKUP(F2448,Sheet2!$B$1:$E$19,4,FALSE)+(G2448-1))</f>
        <v>3780337</v>
      </c>
    </row>
    <row r="2449" spans="1:15" s="1" customFormat="1" ht="15" customHeight="1" x14ac:dyDescent="0.25">
      <c r="A2449" s="18" t="s">
        <v>692</v>
      </c>
      <c r="B2449" s="18" t="s">
        <v>495</v>
      </c>
      <c r="C2449" s="5">
        <v>1852</v>
      </c>
      <c r="D2449" s="1" t="s">
        <v>24</v>
      </c>
      <c r="E2449" s="1" t="s">
        <v>2</v>
      </c>
      <c r="F2449" s="18">
        <v>2164</v>
      </c>
      <c r="G2449" s="18">
        <v>86</v>
      </c>
      <c r="H2449" s="5">
        <v>84</v>
      </c>
      <c r="I2449" s="1">
        <v>132</v>
      </c>
      <c r="J2449" s="3" t="s">
        <v>3271</v>
      </c>
      <c r="L2449" t="str">
        <f t="shared" si="38"/>
        <v>http://www.badatelna.eu/reprodukce/?fondId=1073&amp;zaznamId=1108951&amp;reproId=3778800</v>
      </c>
      <c r="M2449">
        <f>VLOOKUP(F2449,Sheet2!$B$1:$E$19,2,FALSE)</f>
        <v>1073</v>
      </c>
      <c r="N2449">
        <f>VLOOKUP(F2449,Sheet2!$B$1:$E$19,3,FALSE)</f>
        <v>1108951</v>
      </c>
      <c r="O2449">
        <f>IF(G2449="Not available","",VLOOKUP(F2449,Sheet2!$B$1:$E$19,4,FALSE)+(G2449-1))</f>
        <v>3778800</v>
      </c>
    </row>
    <row r="2450" spans="1:15" s="1" customFormat="1" ht="15" customHeight="1" x14ac:dyDescent="0.25">
      <c r="A2450" s="19" t="s">
        <v>692</v>
      </c>
      <c r="B2450" s="18" t="s">
        <v>466</v>
      </c>
      <c r="C2450" s="5">
        <v>1840</v>
      </c>
      <c r="D2450" s="1" t="s">
        <v>18</v>
      </c>
      <c r="E2450" s="1" t="s">
        <v>2</v>
      </c>
      <c r="F2450" s="18">
        <v>2174</v>
      </c>
      <c r="G2450" s="18">
        <v>114</v>
      </c>
      <c r="H2450" s="6" t="s">
        <v>3180</v>
      </c>
      <c r="I2450" s="1">
        <v>191</v>
      </c>
      <c r="J2450" s="1">
        <v>222</v>
      </c>
      <c r="L2450" t="str">
        <f t="shared" si="38"/>
        <v>http://www.badatelna.eu/reprodukce/?fondId=1073&amp;zaznamId=1108960&amp;reproId=3780338</v>
      </c>
      <c r="M2450">
        <f>VLOOKUP(F2450,Sheet2!$B$1:$E$19,2,FALSE)</f>
        <v>1073</v>
      </c>
      <c r="N2450">
        <f>VLOOKUP(F2450,Sheet2!$B$1:$E$19,3,FALSE)</f>
        <v>1108960</v>
      </c>
      <c r="O2450">
        <f>IF(G2450="Not available","",VLOOKUP(F2450,Sheet2!$B$1:$E$19,4,FALSE)+(G2450-1))</f>
        <v>3780338</v>
      </c>
    </row>
    <row r="2451" spans="1:15" s="1" customFormat="1" ht="15" customHeight="1" x14ac:dyDescent="0.25">
      <c r="A2451" s="18" t="s">
        <v>692</v>
      </c>
      <c r="B2451" s="18" t="s">
        <v>706</v>
      </c>
      <c r="C2451" s="5">
        <v>1843</v>
      </c>
      <c r="D2451" s="1" t="s">
        <v>495</v>
      </c>
      <c r="E2451" s="1" t="s">
        <v>2</v>
      </c>
      <c r="F2451" s="18">
        <v>2174</v>
      </c>
      <c r="G2451" s="18">
        <v>136</v>
      </c>
      <c r="H2451" s="6" t="s">
        <v>3202</v>
      </c>
      <c r="I2451" s="1">
        <v>192</v>
      </c>
      <c r="J2451" s="1">
        <v>223</v>
      </c>
      <c r="L2451" t="str">
        <f t="shared" si="38"/>
        <v>http://www.badatelna.eu/reprodukce/?fondId=1073&amp;zaznamId=1108960&amp;reproId=3780360</v>
      </c>
      <c r="M2451">
        <f>VLOOKUP(F2451,Sheet2!$B$1:$E$19,2,FALSE)</f>
        <v>1073</v>
      </c>
      <c r="N2451">
        <f>VLOOKUP(F2451,Sheet2!$B$1:$E$19,3,FALSE)</f>
        <v>1108960</v>
      </c>
      <c r="O2451">
        <f>IF(G2451="Not available","",VLOOKUP(F2451,Sheet2!$B$1:$E$19,4,FALSE)+(G2451-1))</f>
        <v>3780360</v>
      </c>
    </row>
    <row r="2452" spans="1:15" s="1" customFormat="1" ht="15" customHeight="1" x14ac:dyDescent="0.25">
      <c r="A2452" s="18" t="s">
        <v>692</v>
      </c>
      <c r="B2452" s="18" t="s">
        <v>65</v>
      </c>
      <c r="C2452" s="5">
        <v>1833</v>
      </c>
      <c r="D2452" s="1" t="s">
        <v>466</v>
      </c>
      <c r="E2452" s="1" t="s">
        <v>2</v>
      </c>
      <c r="F2452" s="18">
        <v>2174</v>
      </c>
      <c r="G2452" s="18">
        <v>70</v>
      </c>
      <c r="H2452" s="10" t="s">
        <v>3140</v>
      </c>
      <c r="I2452" s="1">
        <v>191</v>
      </c>
      <c r="J2452" s="1">
        <v>222</v>
      </c>
      <c r="L2452" t="str">
        <f t="shared" si="38"/>
        <v>http://www.badatelna.eu/reprodukce/?fondId=1073&amp;zaznamId=1108960&amp;reproId=3780294</v>
      </c>
      <c r="M2452">
        <f>VLOOKUP(F2452,Sheet2!$B$1:$E$19,2,FALSE)</f>
        <v>1073</v>
      </c>
      <c r="N2452">
        <f>VLOOKUP(F2452,Sheet2!$B$1:$E$19,3,FALSE)</f>
        <v>1108960</v>
      </c>
      <c r="O2452">
        <f>IF(G2452="Not available","",VLOOKUP(F2452,Sheet2!$B$1:$E$19,4,FALSE)+(G2452-1))</f>
        <v>3780294</v>
      </c>
    </row>
    <row r="2453" spans="1:15" s="1" customFormat="1" ht="15" customHeight="1" x14ac:dyDescent="0.25">
      <c r="A2453" s="18" t="s">
        <v>692</v>
      </c>
      <c r="B2453" s="18" t="s">
        <v>138</v>
      </c>
      <c r="C2453" s="5">
        <v>1845</v>
      </c>
      <c r="D2453" s="1" t="s">
        <v>706</v>
      </c>
      <c r="E2453" s="1" t="s">
        <v>2</v>
      </c>
      <c r="F2453" s="18">
        <v>2174</v>
      </c>
      <c r="G2453" s="18">
        <v>155</v>
      </c>
      <c r="H2453" s="6" t="s">
        <v>3221</v>
      </c>
      <c r="I2453" s="1">
        <v>192</v>
      </c>
      <c r="J2453" s="1">
        <v>223</v>
      </c>
      <c r="L2453" t="str">
        <f t="shared" si="38"/>
        <v>http://www.badatelna.eu/reprodukce/?fondId=1073&amp;zaznamId=1108960&amp;reproId=3780379</v>
      </c>
      <c r="M2453">
        <f>VLOOKUP(F2453,Sheet2!$B$1:$E$19,2,FALSE)</f>
        <v>1073</v>
      </c>
      <c r="N2453">
        <f>VLOOKUP(F2453,Sheet2!$B$1:$E$19,3,FALSE)</f>
        <v>1108960</v>
      </c>
      <c r="O2453">
        <f>IF(G2453="Not available","",VLOOKUP(F2453,Sheet2!$B$1:$E$19,4,FALSE)+(G2453-1))</f>
        <v>3780379</v>
      </c>
    </row>
    <row r="2454" spans="1:15" s="1" customFormat="1" ht="15" customHeight="1" x14ac:dyDescent="0.25">
      <c r="A2454" s="19" t="s">
        <v>692</v>
      </c>
      <c r="B2454" s="18" t="s">
        <v>21</v>
      </c>
      <c r="C2454" s="5">
        <v>1795</v>
      </c>
      <c r="D2454" s="1" t="s">
        <v>75</v>
      </c>
      <c r="E2454" s="1" t="s">
        <v>2</v>
      </c>
      <c r="F2454" s="18">
        <v>2173</v>
      </c>
      <c r="G2454" s="18">
        <v>32</v>
      </c>
      <c r="H2454" s="5">
        <v>59</v>
      </c>
      <c r="I2454" s="1">
        <v>105</v>
      </c>
      <c r="J2454" s="1">
        <v>225</v>
      </c>
      <c r="L2454" t="str">
        <f t="shared" si="38"/>
        <v>http://www.badatelna.eu/reprodukce/?fondId=1073&amp;zaznamId=1108959&amp;reproId=3780025</v>
      </c>
      <c r="M2454">
        <f>VLOOKUP(F2454,Sheet2!$B$1:$E$19,2,FALSE)</f>
        <v>1073</v>
      </c>
      <c r="N2454">
        <f>VLOOKUP(F2454,Sheet2!$B$1:$E$19,3,FALSE)</f>
        <v>1108959</v>
      </c>
      <c r="O2454">
        <f>IF(G2454="Not available","",VLOOKUP(F2454,Sheet2!$B$1:$E$19,4,FALSE)+(G2454-1))</f>
        <v>3780025</v>
      </c>
    </row>
    <row r="2455" spans="1:15" s="1" customFormat="1" ht="15" customHeight="1" x14ac:dyDescent="0.25">
      <c r="A2455" s="18" t="s">
        <v>692</v>
      </c>
      <c r="B2455" s="18" t="s">
        <v>476</v>
      </c>
      <c r="C2455" s="5">
        <v>1841</v>
      </c>
      <c r="D2455" s="1" t="s">
        <v>704</v>
      </c>
      <c r="E2455" s="1" t="s">
        <v>2</v>
      </c>
      <c r="F2455" s="18">
        <v>2174</v>
      </c>
      <c r="G2455" s="18">
        <v>118</v>
      </c>
      <c r="H2455" s="6" t="s">
        <v>3187</v>
      </c>
      <c r="I2455" s="1">
        <v>192</v>
      </c>
      <c r="J2455" s="1">
        <v>223</v>
      </c>
      <c r="L2455" t="str">
        <f t="shared" si="38"/>
        <v>http://www.badatelna.eu/reprodukce/?fondId=1073&amp;zaznamId=1108960&amp;reproId=3780342</v>
      </c>
      <c r="M2455">
        <f>VLOOKUP(F2455,Sheet2!$B$1:$E$19,2,FALSE)</f>
        <v>1073</v>
      </c>
      <c r="N2455">
        <f>VLOOKUP(F2455,Sheet2!$B$1:$E$19,3,FALSE)</f>
        <v>1108960</v>
      </c>
      <c r="O2455">
        <f>IF(G2455="Not available","",VLOOKUP(F2455,Sheet2!$B$1:$E$19,4,FALSE)+(G2455-1))</f>
        <v>3780342</v>
      </c>
    </row>
    <row r="2456" spans="1:15" s="1" customFormat="1" ht="15" customHeight="1" x14ac:dyDescent="0.25">
      <c r="A2456" s="18" t="s">
        <v>692</v>
      </c>
      <c r="B2456" s="18" t="s">
        <v>476</v>
      </c>
      <c r="C2456" s="5">
        <v>1844</v>
      </c>
      <c r="D2456" s="1" t="s">
        <v>707</v>
      </c>
      <c r="E2456" s="1" t="s">
        <v>2</v>
      </c>
      <c r="F2456" s="18">
        <v>2174</v>
      </c>
      <c r="G2456" s="18">
        <v>146</v>
      </c>
      <c r="H2456" s="6" t="s">
        <v>3215</v>
      </c>
      <c r="I2456" s="1">
        <v>192</v>
      </c>
      <c r="J2456" s="1">
        <v>223</v>
      </c>
      <c r="L2456" t="str">
        <f t="shared" si="38"/>
        <v>http://www.badatelna.eu/reprodukce/?fondId=1073&amp;zaznamId=1108960&amp;reproId=3780370</v>
      </c>
      <c r="M2456">
        <f>VLOOKUP(F2456,Sheet2!$B$1:$E$19,2,FALSE)</f>
        <v>1073</v>
      </c>
      <c r="N2456">
        <f>VLOOKUP(F2456,Sheet2!$B$1:$E$19,3,FALSE)</f>
        <v>1108960</v>
      </c>
      <c r="O2456">
        <f>IF(G2456="Not available","",VLOOKUP(F2456,Sheet2!$B$1:$E$19,4,FALSE)+(G2456-1))</f>
        <v>3780370</v>
      </c>
    </row>
    <row r="2457" spans="1:15" s="1" customFormat="1" ht="15" customHeight="1" x14ac:dyDescent="0.25">
      <c r="A2457" s="18" t="s">
        <v>692</v>
      </c>
      <c r="B2457" s="18" t="s">
        <v>476</v>
      </c>
      <c r="C2457" s="5">
        <v>1845</v>
      </c>
      <c r="D2457" s="1" t="s">
        <v>18</v>
      </c>
      <c r="E2457" s="1" t="s">
        <v>2</v>
      </c>
      <c r="F2457" s="18">
        <v>2174</v>
      </c>
      <c r="G2457" s="18">
        <v>158</v>
      </c>
      <c r="H2457" s="6" t="s">
        <v>3224</v>
      </c>
      <c r="I2457" s="1">
        <v>192</v>
      </c>
      <c r="J2457" s="1">
        <v>223</v>
      </c>
      <c r="L2457" t="str">
        <f t="shared" si="38"/>
        <v>http://www.badatelna.eu/reprodukce/?fondId=1073&amp;zaznamId=1108960&amp;reproId=3780382</v>
      </c>
      <c r="M2457">
        <f>VLOOKUP(F2457,Sheet2!$B$1:$E$19,2,FALSE)</f>
        <v>1073</v>
      </c>
      <c r="N2457">
        <f>VLOOKUP(F2457,Sheet2!$B$1:$E$19,3,FALSE)</f>
        <v>1108960</v>
      </c>
      <c r="O2457">
        <f>IF(G2457="Not available","",VLOOKUP(F2457,Sheet2!$B$1:$E$19,4,FALSE)+(G2457-1))</f>
        <v>3780382</v>
      </c>
    </row>
    <row r="2458" spans="1:15" s="1" customFormat="1" ht="15" customHeight="1" x14ac:dyDescent="0.25">
      <c r="A2458" s="18" t="s">
        <v>692</v>
      </c>
      <c r="B2458" s="18" t="s">
        <v>476</v>
      </c>
      <c r="C2458" s="5">
        <v>1848</v>
      </c>
      <c r="D2458" s="1" t="s">
        <v>18</v>
      </c>
      <c r="E2458" s="1" t="s">
        <v>2</v>
      </c>
      <c r="F2458" s="18">
        <v>2164</v>
      </c>
      <c r="G2458" s="18">
        <v>23</v>
      </c>
      <c r="H2458" s="5">
        <v>21</v>
      </c>
      <c r="I2458" s="1">
        <v>132</v>
      </c>
      <c r="J2458" s="3" t="s">
        <v>3271</v>
      </c>
      <c r="L2458" t="str">
        <f t="shared" si="38"/>
        <v>http://www.badatelna.eu/reprodukce/?fondId=1073&amp;zaznamId=1108951&amp;reproId=3778737</v>
      </c>
      <c r="M2458">
        <f>VLOOKUP(F2458,Sheet2!$B$1:$E$19,2,FALSE)</f>
        <v>1073</v>
      </c>
      <c r="N2458">
        <f>VLOOKUP(F2458,Sheet2!$B$1:$E$19,3,FALSE)</f>
        <v>1108951</v>
      </c>
      <c r="O2458">
        <f>IF(G2458="Not available","",VLOOKUP(F2458,Sheet2!$B$1:$E$19,4,FALSE)+(G2458-1))</f>
        <v>3778737</v>
      </c>
    </row>
    <row r="2459" spans="1:15" s="1" customFormat="1" ht="15" customHeight="1" x14ac:dyDescent="0.25">
      <c r="A2459" s="19" t="s">
        <v>692</v>
      </c>
      <c r="B2459" s="18" t="s">
        <v>146</v>
      </c>
      <c r="C2459" s="5">
        <v>1799</v>
      </c>
      <c r="D2459" s="4" t="s">
        <v>180</v>
      </c>
      <c r="E2459" s="1" t="s">
        <v>2</v>
      </c>
      <c r="F2459" s="18">
        <v>2173</v>
      </c>
      <c r="G2459" s="18">
        <v>40</v>
      </c>
      <c r="H2459" s="5">
        <v>75</v>
      </c>
      <c r="I2459" s="1">
        <v>105</v>
      </c>
      <c r="J2459" s="1">
        <v>225</v>
      </c>
      <c r="L2459" t="str">
        <f t="shared" si="38"/>
        <v>http://www.badatelna.eu/reprodukce/?fondId=1073&amp;zaznamId=1108959&amp;reproId=3780033</v>
      </c>
      <c r="M2459">
        <f>VLOOKUP(F2459,Sheet2!$B$1:$E$19,2,FALSE)</f>
        <v>1073</v>
      </c>
      <c r="N2459">
        <f>VLOOKUP(F2459,Sheet2!$B$1:$E$19,3,FALSE)</f>
        <v>1108959</v>
      </c>
      <c r="O2459">
        <f>IF(G2459="Not available","",VLOOKUP(F2459,Sheet2!$B$1:$E$19,4,FALSE)+(G2459-1))</f>
        <v>3780033</v>
      </c>
    </row>
    <row r="2460" spans="1:15" s="1" customFormat="1" ht="15" customHeight="1" x14ac:dyDescent="0.25">
      <c r="A2460" s="18" t="s">
        <v>692</v>
      </c>
      <c r="B2460" s="18" t="s">
        <v>24</v>
      </c>
      <c r="C2460" s="5">
        <v>1846</v>
      </c>
      <c r="D2460" s="1" t="s">
        <v>708</v>
      </c>
      <c r="E2460" s="1" t="s">
        <v>2</v>
      </c>
      <c r="F2460" s="18">
        <v>2174</v>
      </c>
      <c r="G2460" s="18">
        <v>167</v>
      </c>
      <c r="H2460" s="6" t="s">
        <v>3234</v>
      </c>
      <c r="I2460" s="1">
        <v>192</v>
      </c>
      <c r="J2460" s="1">
        <v>223</v>
      </c>
      <c r="L2460" t="str">
        <f t="shared" si="38"/>
        <v>http://www.badatelna.eu/reprodukce/?fondId=1073&amp;zaznamId=1108960&amp;reproId=3780391</v>
      </c>
      <c r="M2460">
        <f>VLOOKUP(F2460,Sheet2!$B$1:$E$19,2,FALSE)</f>
        <v>1073</v>
      </c>
      <c r="N2460">
        <f>VLOOKUP(F2460,Sheet2!$B$1:$E$19,3,FALSE)</f>
        <v>1108960</v>
      </c>
      <c r="O2460">
        <f>IF(G2460="Not available","",VLOOKUP(F2460,Sheet2!$B$1:$E$19,4,FALSE)+(G2460-1))</f>
        <v>3780391</v>
      </c>
    </row>
    <row r="2461" spans="1:15" s="1" customFormat="1" ht="15" customHeight="1" x14ac:dyDescent="0.25">
      <c r="A2461" s="19" t="s">
        <v>958</v>
      </c>
      <c r="B2461" s="18" t="s">
        <v>959</v>
      </c>
      <c r="C2461" s="5">
        <v>1861</v>
      </c>
      <c r="E2461" s="1" t="s">
        <v>939</v>
      </c>
      <c r="F2461" s="18">
        <v>999</v>
      </c>
      <c r="G2461" s="18">
        <v>25</v>
      </c>
      <c r="H2461" s="5">
        <v>23</v>
      </c>
      <c r="I2461" s="1">
        <v>71</v>
      </c>
      <c r="J2461" s="1">
        <v>105</v>
      </c>
      <c r="L2461" t="str">
        <f t="shared" si="38"/>
        <v>http://www.badatelna.eu/reprodukce/?fondId=241&amp;zaznamId=1133739&amp;reproId=3885754</v>
      </c>
      <c r="M2461">
        <f>VLOOKUP(F2461,Sheet2!$B$1:$E$19,2,FALSE)</f>
        <v>241</v>
      </c>
      <c r="N2461">
        <f>VLOOKUP(F2461,Sheet2!$B$1:$E$19,3,FALSE)</f>
        <v>1133739</v>
      </c>
      <c r="O2461">
        <f>IF(G2461="Not available","",VLOOKUP(F2461,Sheet2!$B$1:$E$19,4,FALSE)+(G2461-1))</f>
        <v>3885754</v>
      </c>
    </row>
    <row r="2462" spans="1:15" s="1" customFormat="1" ht="15" customHeight="1" x14ac:dyDescent="0.25">
      <c r="A2462" s="19" t="s">
        <v>3072</v>
      </c>
      <c r="B2462" s="18" t="s">
        <v>34</v>
      </c>
      <c r="C2462" s="5">
        <v>1790</v>
      </c>
      <c r="D2462" s="1" t="s">
        <v>12</v>
      </c>
      <c r="E2462" s="1" t="s">
        <v>2</v>
      </c>
      <c r="F2462" s="18">
        <v>2173</v>
      </c>
      <c r="G2462" s="18">
        <v>23</v>
      </c>
      <c r="H2462" s="5">
        <v>41</v>
      </c>
      <c r="I2462" s="1">
        <v>105</v>
      </c>
      <c r="J2462" s="1">
        <v>225</v>
      </c>
      <c r="L2462" t="str">
        <f t="shared" si="38"/>
        <v>http://www.badatelna.eu/reprodukce/?fondId=1073&amp;zaznamId=1108959&amp;reproId=3780016</v>
      </c>
      <c r="M2462">
        <f>VLOOKUP(F2462,Sheet2!$B$1:$E$19,2,FALSE)</f>
        <v>1073</v>
      </c>
      <c r="N2462">
        <f>VLOOKUP(F2462,Sheet2!$B$1:$E$19,3,FALSE)</f>
        <v>1108959</v>
      </c>
      <c r="O2462">
        <f>IF(G2462="Not available","",VLOOKUP(F2462,Sheet2!$B$1:$E$19,4,FALSE)+(G2462-1))</f>
        <v>3780016</v>
      </c>
    </row>
    <row r="2463" spans="1:15" s="1" customFormat="1" ht="15" customHeight="1" x14ac:dyDescent="0.25">
      <c r="A2463" s="19" t="s">
        <v>3074</v>
      </c>
      <c r="B2463" s="18" t="s">
        <v>50</v>
      </c>
      <c r="C2463" s="5">
        <v>1786</v>
      </c>
      <c r="D2463" s="1" t="s">
        <v>12</v>
      </c>
      <c r="E2463" s="1" t="s">
        <v>2</v>
      </c>
      <c r="F2463" s="18">
        <v>2173</v>
      </c>
      <c r="G2463" s="18">
        <v>13</v>
      </c>
      <c r="H2463" s="5">
        <v>21</v>
      </c>
      <c r="I2463" s="1">
        <v>105</v>
      </c>
      <c r="J2463" s="12">
        <v>225</v>
      </c>
      <c r="L2463" t="str">
        <f t="shared" si="38"/>
        <v>http://www.badatelna.eu/reprodukce/?fondId=1073&amp;zaznamId=1108959&amp;reproId=3780006</v>
      </c>
      <c r="M2463">
        <f>VLOOKUP(F2463,Sheet2!$B$1:$E$19,2,FALSE)</f>
        <v>1073</v>
      </c>
      <c r="N2463">
        <f>VLOOKUP(F2463,Sheet2!$B$1:$E$19,3,FALSE)</f>
        <v>1108959</v>
      </c>
      <c r="O2463">
        <f>IF(G2463="Not available","",VLOOKUP(F2463,Sheet2!$B$1:$E$19,4,FALSE)+(G2463-1))</f>
        <v>3780006</v>
      </c>
    </row>
    <row r="2464" spans="1:15" s="1" customFormat="1" ht="15" customHeight="1" x14ac:dyDescent="0.25">
      <c r="A2464" s="19" t="s">
        <v>3074</v>
      </c>
      <c r="B2464" s="18" t="s">
        <v>298</v>
      </c>
      <c r="C2464" s="5">
        <v>1786</v>
      </c>
      <c r="D2464" s="1" t="s">
        <v>12</v>
      </c>
      <c r="E2464" s="1" t="s">
        <v>2</v>
      </c>
      <c r="F2464" s="18">
        <v>2173</v>
      </c>
      <c r="G2464" s="18">
        <v>11</v>
      </c>
      <c r="H2464" s="5">
        <v>16</v>
      </c>
      <c r="I2464" s="1">
        <v>105</v>
      </c>
      <c r="J2464" s="12">
        <v>225</v>
      </c>
      <c r="L2464" t="str">
        <f t="shared" si="38"/>
        <v>http://www.badatelna.eu/reprodukce/?fondId=1073&amp;zaznamId=1108959&amp;reproId=3780004</v>
      </c>
      <c r="M2464">
        <f>VLOOKUP(F2464,Sheet2!$B$1:$E$19,2,FALSE)</f>
        <v>1073</v>
      </c>
      <c r="N2464">
        <f>VLOOKUP(F2464,Sheet2!$B$1:$E$19,3,FALSE)</f>
        <v>1108959</v>
      </c>
      <c r="O2464">
        <f>IF(G2464="Not available","",VLOOKUP(F2464,Sheet2!$B$1:$E$19,4,FALSE)+(G2464-1))</f>
        <v>3780004</v>
      </c>
    </row>
    <row r="2465" spans="1:15" s="1" customFormat="1" ht="15" customHeight="1" x14ac:dyDescent="0.25">
      <c r="A2465" s="19" t="s">
        <v>313</v>
      </c>
      <c r="B2465" s="18" t="s">
        <v>50</v>
      </c>
      <c r="C2465" s="5">
        <v>1806</v>
      </c>
      <c r="D2465" s="4" t="s">
        <v>74</v>
      </c>
      <c r="E2465" s="1" t="s">
        <v>2</v>
      </c>
      <c r="F2465" s="18">
        <v>2173</v>
      </c>
      <c r="G2465" s="18">
        <v>51</v>
      </c>
      <c r="H2465" s="5">
        <v>96</v>
      </c>
      <c r="I2465" s="1">
        <v>106</v>
      </c>
      <c r="J2465" s="1">
        <v>226</v>
      </c>
      <c r="L2465" t="str">
        <f t="shared" si="38"/>
        <v>http://www.badatelna.eu/reprodukce/?fondId=1073&amp;zaznamId=1108959&amp;reproId=3780044</v>
      </c>
      <c r="M2465">
        <f>VLOOKUP(F2465,Sheet2!$B$1:$E$19,2,FALSE)</f>
        <v>1073</v>
      </c>
      <c r="N2465">
        <f>VLOOKUP(F2465,Sheet2!$B$1:$E$19,3,FALSE)</f>
        <v>1108959</v>
      </c>
      <c r="O2465">
        <f>IF(G2465="Not available","",VLOOKUP(F2465,Sheet2!$B$1:$E$19,4,FALSE)+(G2465-1))</f>
        <v>3780044</v>
      </c>
    </row>
    <row r="2466" spans="1:15" s="1" customFormat="1" ht="15" customHeight="1" x14ac:dyDescent="0.25">
      <c r="A2466" s="19" t="s">
        <v>313</v>
      </c>
      <c r="B2466" s="18" t="s">
        <v>28</v>
      </c>
      <c r="C2466" s="5">
        <v>1809</v>
      </c>
      <c r="D2466" s="4" t="s">
        <v>13</v>
      </c>
      <c r="E2466" s="1" t="s">
        <v>2</v>
      </c>
      <c r="F2466" s="18">
        <v>2173</v>
      </c>
      <c r="G2466" s="18">
        <v>55</v>
      </c>
      <c r="H2466" s="5">
        <v>105</v>
      </c>
      <c r="I2466" s="1">
        <v>106</v>
      </c>
      <c r="J2466" s="1">
        <v>226</v>
      </c>
      <c r="L2466" t="str">
        <f t="shared" si="38"/>
        <v>http://www.badatelna.eu/reprodukce/?fondId=1073&amp;zaznamId=1108959&amp;reproId=3780048</v>
      </c>
      <c r="M2466">
        <f>VLOOKUP(F2466,Sheet2!$B$1:$E$19,2,FALSE)</f>
        <v>1073</v>
      </c>
      <c r="N2466">
        <f>VLOOKUP(F2466,Sheet2!$B$1:$E$19,3,FALSE)</f>
        <v>1108959</v>
      </c>
      <c r="O2466">
        <f>IF(G2466="Not available","",VLOOKUP(F2466,Sheet2!$B$1:$E$19,4,FALSE)+(G2466-1))</f>
        <v>3780048</v>
      </c>
    </row>
    <row r="2467" spans="1:15" s="1" customFormat="1" ht="15" customHeight="1" x14ac:dyDescent="0.25">
      <c r="A2467" s="19" t="s">
        <v>313</v>
      </c>
      <c r="B2467" s="18" t="s">
        <v>59</v>
      </c>
      <c r="C2467" s="5">
        <v>1786</v>
      </c>
      <c r="D2467" s="1" t="s">
        <v>12</v>
      </c>
      <c r="E2467" s="1" t="s">
        <v>2</v>
      </c>
      <c r="F2467" s="18">
        <v>2173</v>
      </c>
      <c r="G2467" s="18">
        <v>12</v>
      </c>
      <c r="H2467" s="5">
        <v>18</v>
      </c>
      <c r="I2467" s="1">
        <v>105</v>
      </c>
      <c r="J2467" s="12">
        <v>225</v>
      </c>
      <c r="L2467" t="str">
        <f t="shared" si="38"/>
        <v>http://www.badatelna.eu/reprodukce/?fondId=1073&amp;zaznamId=1108959&amp;reproId=3780005</v>
      </c>
      <c r="M2467">
        <f>VLOOKUP(F2467,Sheet2!$B$1:$E$19,2,FALSE)</f>
        <v>1073</v>
      </c>
      <c r="N2467">
        <f>VLOOKUP(F2467,Sheet2!$B$1:$E$19,3,FALSE)</f>
        <v>1108959</v>
      </c>
      <c r="O2467">
        <f>IF(G2467="Not available","",VLOOKUP(F2467,Sheet2!$B$1:$E$19,4,FALSE)+(G2467-1))</f>
        <v>3780005</v>
      </c>
    </row>
    <row r="2468" spans="1:15" s="1" customFormat="1" ht="15" customHeight="1" x14ac:dyDescent="0.25">
      <c r="A2468" s="19" t="s">
        <v>313</v>
      </c>
      <c r="B2468" s="18" t="s">
        <v>322</v>
      </c>
      <c r="C2468" s="5">
        <v>1807</v>
      </c>
      <c r="D2468" s="4" t="s">
        <v>74</v>
      </c>
      <c r="E2468" s="1" t="s">
        <v>2</v>
      </c>
      <c r="F2468" s="18">
        <v>2173</v>
      </c>
      <c r="G2468" s="18">
        <v>53</v>
      </c>
      <c r="H2468" s="6" t="s">
        <v>2957</v>
      </c>
      <c r="I2468" s="1">
        <v>106</v>
      </c>
      <c r="J2468" s="1">
        <v>226</v>
      </c>
      <c r="L2468" t="str">
        <f t="shared" si="38"/>
        <v>http://www.badatelna.eu/reprodukce/?fondId=1073&amp;zaznamId=1108959&amp;reproId=3780046</v>
      </c>
      <c r="M2468">
        <f>VLOOKUP(F2468,Sheet2!$B$1:$E$19,2,FALSE)</f>
        <v>1073</v>
      </c>
      <c r="N2468">
        <f>VLOOKUP(F2468,Sheet2!$B$1:$E$19,3,FALSE)</f>
        <v>1108959</v>
      </c>
      <c r="O2468">
        <f>IF(G2468="Not available","",VLOOKUP(F2468,Sheet2!$B$1:$E$19,4,FALSE)+(G2468-1))</f>
        <v>3780046</v>
      </c>
    </row>
    <row r="2469" spans="1:15" s="1" customFormat="1" ht="15" customHeight="1" x14ac:dyDescent="0.25">
      <c r="A2469" s="18" t="s">
        <v>313</v>
      </c>
      <c r="B2469" s="18" t="s">
        <v>12</v>
      </c>
      <c r="C2469" s="5">
        <v>1821</v>
      </c>
      <c r="E2469" s="1" t="s">
        <v>2</v>
      </c>
      <c r="F2469" s="18">
        <v>2173</v>
      </c>
      <c r="G2469" s="18">
        <v>72</v>
      </c>
      <c r="H2469" s="5">
        <v>136</v>
      </c>
      <c r="I2469" s="1">
        <v>106</v>
      </c>
      <c r="J2469" s="1">
        <v>227</v>
      </c>
      <c r="L2469" t="str">
        <f t="shared" si="38"/>
        <v>http://www.badatelna.eu/reprodukce/?fondId=1073&amp;zaznamId=1108959&amp;reproId=3780065</v>
      </c>
      <c r="M2469">
        <f>VLOOKUP(F2469,Sheet2!$B$1:$E$19,2,FALSE)</f>
        <v>1073</v>
      </c>
      <c r="N2469">
        <f>VLOOKUP(F2469,Sheet2!$B$1:$E$19,3,FALSE)</f>
        <v>1108959</v>
      </c>
      <c r="O2469">
        <f>IF(G2469="Not available","",VLOOKUP(F2469,Sheet2!$B$1:$E$19,4,FALSE)+(G2469-1))</f>
        <v>3780065</v>
      </c>
    </row>
    <row r="2470" spans="1:15" s="1" customFormat="1" ht="15" customHeight="1" x14ac:dyDescent="0.25">
      <c r="A2470" s="18" t="s">
        <v>313</v>
      </c>
      <c r="B2470" s="18" t="s">
        <v>26</v>
      </c>
      <c r="C2470" s="5">
        <v>1814</v>
      </c>
      <c r="E2470" s="1" t="s">
        <v>2</v>
      </c>
      <c r="F2470" s="18">
        <v>2173</v>
      </c>
      <c r="G2470" s="18">
        <v>58</v>
      </c>
      <c r="H2470" s="5">
        <v>111</v>
      </c>
      <c r="I2470" s="1">
        <v>106</v>
      </c>
      <c r="J2470" s="1">
        <v>226</v>
      </c>
      <c r="L2470" t="str">
        <f t="shared" si="38"/>
        <v>http://www.badatelna.eu/reprodukce/?fondId=1073&amp;zaznamId=1108959&amp;reproId=3780051</v>
      </c>
      <c r="M2470">
        <f>VLOOKUP(F2470,Sheet2!$B$1:$E$19,2,FALSE)</f>
        <v>1073</v>
      </c>
      <c r="N2470">
        <f>VLOOKUP(F2470,Sheet2!$B$1:$E$19,3,FALSE)</f>
        <v>1108959</v>
      </c>
      <c r="O2470">
        <f>IF(G2470="Not available","",VLOOKUP(F2470,Sheet2!$B$1:$E$19,4,FALSE)+(G2470-1))</f>
        <v>3780051</v>
      </c>
    </row>
    <row r="2471" spans="1:15" s="1" customFormat="1" ht="15" customHeight="1" x14ac:dyDescent="0.25">
      <c r="A2471" s="19" t="s">
        <v>313</v>
      </c>
      <c r="B2471" s="18" t="s">
        <v>137</v>
      </c>
      <c r="C2471" s="5">
        <v>1805</v>
      </c>
      <c r="D2471" s="4" t="s">
        <v>13</v>
      </c>
      <c r="E2471" s="1" t="s">
        <v>2</v>
      </c>
      <c r="F2471" s="18">
        <v>2173</v>
      </c>
      <c r="G2471" s="18">
        <v>50</v>
      </c>
      <c r="H2471" s="5">
        <v>94</v>
      </c>
      <c r="I2471" s="1">
        <v>106</v>
      </c>
      <c r="J2471" s="1">
        <v>226</v>
      </c>
      <c r="L2471" t="str">
        <f t="shared" si="38"/>
        <v>http://www.badatelna.eu/reprodukce/?fondId=1073&amp;zaznamId=1108959&amp;reproId=3780043</v>
      </c>
      <c r="M2471">
        <f>VLOOKUP(F2471,Sheet2!$B$1:$E$19,2,FALSE)</f>
        <v>1073</v>
      </c>
      <c r="N2471">
        <f>VLOOKUP(F2471,Sheet2!$B$1:$E$19,3,FALSE)</f>
        <v>1108959</v>
      </c>
      <c r="O2471">
        <f>IF(G2471="Not available","",VLOOKUP(F2471,Sheet2!$B$1:$E$19,4,FALSE)+(G2471-1))</f>
        <v>3780043</v>
      </c>
    </row>
    <row r="2472" spans="1:15" s="1" customFormat="1" ht="15" customHeight="1" x14ac:dyDescent="0.25">
      <c r="A2472" s="19" t="s">
        <v>313</v>
      </c>
      <c r="B2472" s="18" t="s">
        <v>19</v>
      </c>
      <c r="C2472" s="5">
        <v>1803</v>
      </c>
      <c r="D2472" s="4" t="s">
        <v>74</v>
      </c>
      <c r="E2472" s="1" t="s">
        <v>2</v>
      </c>
      <c r="F2472" s="18">
        <v>2173</v>
      </c>
      <c r="G2472" s="18">
        <v>46</v>
      </c>
      <c r="H2472" s="5">
        <v>87</v>
      </c>
      <c r="I2472" s="1">
        <v>106</v>
      </c>
      <c r="J2472" s="1">
        <v>226</v>
      </c>
      <c r="L2472" t="str">
        <f t="shared" si="38"/>
        <v>http://www.badatelna.eu/reprodukce/?fondId=1073&amp;zaznamId=1108959&amp;reproId=3780039</v>
      </c>
      <c r="M2472">
        <f>VLOOKUP(F2472,Sheet2!$B$1:$E$19,2,FALSE)</f>
        <v>1073</v>
      </c>
      <c r="N2472">
        <f>VLOOKUP(F2472,Sheet2!$B$1:$E$19,3,FALSE)</f>
        <v>1108959</v>
      </c>
      <c r="O2472">
        <f>IF(G2472="Not available","",VLOOKUP(F2472,Sheet2!$B$1:$E$19,4,FALSE)+(G2472-1))</f>
        <v>3780039</v>
      </c>
    </row>
    <row r="2473" spans="1:15" s="1" customFormat="1" ht="15" customHeight="1" x14ac:dyDescent="0.25">
      <c r="A2473" s="19" t="s">
        <v>313</v>
      </c>
      <c r="B2473" s="18" t="s">
        <v>115</v>
      </c>
      <c r="C2473" s="5">
        <v>1810</v>
      </c>
      <c r="D2473" s="4" t="s">
        <v>74</v>
      </c>
      <c r="E2473" s="1" t="s">
        <v>2</v>
      </c>
      <c r="F2473" s="18">
        <v>2173</v>
      </c>
      <c r="G2473" s="18">
        <v>56</v>
      </c>
      <c r="H2473" s="5">
        <v>107</v>
      </c>
      <c r="I2473" s="1">
        <v>106</v>
      </c>
      <c r="J2473" s="1">
        <v>226</v>
      </c>
      <c r="L2473" t="str">
        <f t="shared" si="38"/>
        <v>http://www.badatelna.eu/reprodukce/?fondId=1073&amp;zaznamId=1108959&amp;reproId=3780049</v>
      </c>
      <c r="M2473">
        <f>VLOOKUP(F2473,Sheet2!$B$1:$E$19,2,FALSE)</f>
        <v>1073</v>
      </c>
      <c r="N2473">
        <f>VLOOKUP(F2473,Sheet2!$B$1:$E$19,3,FALSE)</f>
        <v>1108959</v>
      </c>
      <c r="O2473">
        <f>IF(G2473="Not available","",VLOOKUP(F2473,Sheet2!$B$1:$E$19,4,FALSE)+(G2473-1))</f>
        <v>3780049</v>
      </c>
    </row>
    <row r="2474" spans="1:15" s="1" customFormat="1" ht="15" customHeight="1" x14ac:dyDescent="0.25">
      <c r="A2474" s="18" t="s">
        <v>313</v>
      </c>
      <c r="B2474" s="18" t="s">
        <v>333</v>
      </c>
      <c r="C2474" s="5">
        <v>1817</v>
      </c>
      <c r="E2474" s="1" t="s">
        <v>2</v>
      </c>
      <c r="F2474" s="18">
        <v>2173</v>
      </c>
      <c r="G2474" s="18">
        <v>67</v>
      </c>
      <c r="H2474" s="5" t="s">
        <v>338</v>
      </c>
      <c r="I2474" s="1">
        <v>106</v>
      </c>
      <c r="J2474" s="1">
        <v>227</v>
      </c>
      <c r="L2474" t="str">
        <f t="shared" si="38"/>
        <v>http://www.badatelna.eu/reprodukce/?fondId=1073&amp;zaznamId=1108959&amp;reproId=3780060</v>
      </c>
      <c r="M2474">
        <f>VLOOKUP(F2474,Sheet2!$B$1:$E$19,2,FALSE)</f>
        <v>1073</v>
      </c>
      <c r="N2474">
        <f>VLOOKUP(F2474,Sheet2!$B$1:$E$19,3,FALSE)</f>
        <v>1108959</v>
      </c>
      <c r="O2474">
        <f>IF(G2474="Not available","",VLOOKUP(F2474,Sheet2!$B$1:$E$19,4,FALSE)+(G2474-1))</f>
        <v>3780060</v>
      </c>
    </row>
    <row r="2475" spans="1:15" s="1" customFormat="1" ht="15" customHeight="1" x14ac:dyDescent="0.25">
      <c r="A2475" s="19" t="s">
        <v>3090</v>
      </c>
      <c r="B2475" s="18" t="s">
        <v>92</v>
      </c>
      <c r="C2475" s="5">
        <v>1799</v>
      </c>
      <c r="D2475" s="4" t="s">
        <v>74</v>
      </c>
      <c r="E2475" s="1" t="s">
        <v>2</v>
      </c>
      <c r="F2475" s="18">
        <v>2173</v>
      </c>
      <c r="G2475" s="18">
        <v>40</v>
      </c>
      <c r="H2475" s="5">
        <v>75</v>
      </c>
      <c r="I2475" s="1">
        <v>105</v>
      </c>
      <c r="J2475" s="1">
        <v>225</v>
      </c>
      <c r="L2475" t="str">
        <f t="shared" si="38"/>
        <v>http://www.badatelna.eu/reprodukce/?fondId=1073&amp;zaznamId=1108959&amp;reproId=3780033</v>
      </c>
      <c r="M2475">
        <f>VLOOKUP(F2475,Sheet2!$B$1:$E$19,2,FALSE)</f>
        <v>1073</v>
      </c>
      <c r="N2475">
        <f>VLOOKUP(F2475,Sheet2!$B$1:$E$19,3,FALSE)</f>
        <v>1108959</v>
      </c>
      <c r="O2475">
        <f>IF(G2475="Not available","",VLOOKUP(F2475,Sheet2!$B$1:$E$19,4,FALSE)+(G2475-1))</f>
        <v>3780033</v>
      </c>
    </row>
    <row r="2476" spans="1:15" s="1" customFormat="1" ht="15" customHeight="1" x14ac:dyDescent="0.25">
      <c r="A2476" s="18" t="s">
        <v>301</v>
      </c>
      <c r="B2476" s="18" t="s">
        <v>101</v>
      </c>
      <c r="C2476" s="5">
        <v>1789</v>
      </c>
      <c r="D2476" s="1" t="s">
        <v>13</v>
      </c>
      <c r="E2476" s="1" t="s">
        <v>2</v>
      </c>
      <c r="F2476" s="18">
        <v>2173</v>
      </c>
      <c r="G2476" s="18">
        <v>21</v>
      </c>
      <c r="H2476" s="5">
        <v>36</v>
      </c>
      <c r="I2476" s="1">
        <v>105</v>
      </c>
      <c r="J2476" s="1">
        <v>225</v>
      </c>
      <c r="L2476" t="str">
        <f t="shared" si="38"/>
        <v>http://www.badatelna.eu/reprodukce/?fondId=1073&amp;zaznamId=1108959&amp;reproId=3780014</v>
      </c>
      <c r="M2476">
        <f>VLOOKUP(F2476,Sheet2!$B$1:$E$19,2,FALSE)</f>
        <v>1073</v>
      </c>
      <c r="N2476">
        <f>VLOOKUP(F2476,Sheet2!$B$1:$E$19,3,FALSE)</f>
        <v>1108959</v>
      </c>
      <c r="O2476">
        <f>IF(G2476="Not available","",VLOOKUP(F2476,Sheet2!$B$1:$E$19,4,FALSE)+(G2476-1))</f>
        <v>3780014</v>
      </c>
    </row>
    <row r="2477" spans="1:15" s="1" customFormat="1" ht="15" customHeight="1" x14ac:dyDescent="0.25">
      <c r="A2477" s="18" t="s">
        <v>301</v>
      </c>
      <c r="B2477" s="18" t="s">
        <v>244</v>
      </c>
      <c r="C2477" s="5">
        <v>1787</v>
      </c>
      <c r="D2477" s="1" t="s">
        <v>96</v>
      </c>
      <c r="E2477" s="1" t="s">
        <v>2</v>
      </c>
      <c r="F2477" s="18">
        <v>2173</v>
      </c>
      <c r="G2477" s="18">
        <v>16</v>
      </c>
      <c r="H2477" s="5">
        <v>27</v>
      </c>
      <c r="I2477" s="1">
        <v>105</v>
      </c>
      <c r="J2477" s="12">
        <v>225</v>
      </c>
      <c r="L2477" t="str">
        <f t="shared" si="38"/>
        <v>http://www.badatelna.eu/reprodukce/?fondId=1073&amp;zaznamId=1108959&amp;reproId=3780009</v>
      </c>
      <c r="M2477">
        <f>VLOOKUP(F2477,Sheet2!$B$1:$E$19,2,FALSE)</f>
        <v>1073</v>
      </c>
      <c r="N2477">
        <f>VLOOKUP(F2477,Sheet2!$B$1:$E$19,3,FALSE)</f>
        <v>1108959</v>
      </c>
      <c r="O2477">
        <f>IF(G2477="Not available","",VLOOKUP(F2477,Sheet2!$B$1:$E$19,4,FALSE)+(G2477-1))</f>
        <v>3780009</v>
      </c>
    </row>
    <row r="2478" spans="1:15" s="1" customFormat="1" ht="15" customHeight="1" x14ac:dyDescent="0.25">
      <c r="A2478" s="18" t="s">
        <v>301</v>
      </c>
      <c r="B2478" s="18" t="s">
        <v>300</v>
      </c>
      <c r="C2478" s="5">
        <v>1787</v>
      </c>
      <c r="D2478" s="1" t="s">
        <v>13</v>
      </c>
      <c r="E2478" s="1" t="s">
        <v>2</v>
      </c>
      <c r="F2478" s="18">
        <v>2173</v>
      </c>
      <c r="G2478" s="18">
        <v>15</v>
      </c>
      <c r="H2478" s="5">
        <v>24</v>
      </c>
      <c r="I2478" s="1">
        <v>105</v>
      </c>
      <c r="J2478" s="12">
        <v>225</v>
      </c>
      <c r="L2478" t="str">
        <f t="shared" si="38"/>
        <v>http://www.badatelna.eu/reprodukce/?fondId=1073&amp;zaznamId=1108959&amp;reproId=3780008</v>
      </c>
      <c r="M2478">
        <f>VLOOKUP(F2478,Sheet2!$B$1:$E$19,2,FALSE)</f>
        <v>1073</v>
      </c>
      <c r="N2478">
        <f>VLOOKUP(F2478,Sheet2!$B$1:$E$19,3,FALSE)</f>
        <v>1108959</v>
      </c>
      <c r="O2478">
        <f>IF(G2478="Not available","",VLOOKUP(F2478,Sheet2!$B$1:$E$19,4,FALSE)+(G2478-1))</f>
        <v>3780008</v>
      </c>
    </row>
    <row r="2479" spans="1:15" s="1" customFormat="1" ht="15" customHeight="1" x14ac:dyDescent="0.25">
      <c r="A2479" s="19" t="s">
        <v>2961</v>
      </c>
      <c r="B2479" s="18" t="s">
        <v>4</v>
      </c>
      <c r="C2479" s="5">
        <v>1816</v>
      </c>
      <c r="E2479" s="1" t="s">
        <v>2</v>
      </c>
      <c r="F2479" s="18">
        <v>2173</v>
      </c>
      <c r="G2479" s="18">
        <v>66</v>
      </c>
      <c r="H2479" s="5">
        <v>126</v>
      </c>
      <c r="I2479" s="1">
        <v>106</v>
      </c>
      <c r="J2479" s="1">
        <v>227</v>
      </c>
      <c r="L2479" t="str">
        <f t="shared" si="38"/>
        <v>http://www.badatelna.eu/reprodukce/?fondId=1073&amp;zaznamId=1108959&amp;reproId=3780059</v>
      </c>
      <c r="M2479">
        <f>VLOOKUP(F2479,Sheet2!$B$1:$E$19,2,FALSE)</f>
        <v>1073</v>
      </c>
      <c r="N2479">
        <f>VLOOKUP(F2479,Sheet2!$B$1:$E$19,3,FALSE)</f>
        <v>1108959</v>
      </c>
      <c r="O2479">
        <f>IF(G2479="Not available","",VLOOKUP(F2479,Sheet2!$B$1:$E$19,4,FALSE)+(G2479-1))</f>
        <v>3780059</v>
      </c>
    </row>
    <row r="2480" spans="1:15" s="1" customFormat="1" ht="15" customHeight="1" x14ac:dyDescent="0.25">
      <c r="A2480" s="19" t="s">
        <v>2961</v>
      </c>
      <c r="B2480" s="18" t="s">
        <v>237</v>
      </c>
      <c r="C2480" s="5">
        <v>1826</v>
      </c>
      <c r="E2480" s="1" t="s">
        <v>2</v>
      </c>
      <c r="F2480" s="18">
        <v>2173</v>
      </c>
      <c r="G2480" s="18">
        <v>79</v>
      </c>
      <c r="H2480" s="5">
        <v>150</v>
      </c>
      <c r="I2480" s="1">
        <v>106</v>
      </c>
      <c r="J2480" s="1">
        <v>227</v>
      </c>
      <c r="L2480" t="str">
        <f t="shared" si="38"/>
        <v>http://www.badatelna.eu/reprodukce/?fondId=1073&amp;zaznamId=1108959&amp;reproId=3780072</v>
      </c>
      <c r="M2480">
        <f>VLOOKUP(F2480,Sheet2!$B$1:$E$19,2,FALSE)</f>
        <v>1073</v>
      </c>
      <c r="N2480">
        <f>VLOOKUP(F2480,Sheet2!$B$1:$E$19,3,FALSE)</f>
        <v>1108959</v>
      </c>
      <c r="O2480">
        <f>IF(G2480="Not available","",VLOOKUP(F2480,Sheet2!$B$1:$E$19,4,FALSE)+(G2480-1))</f>
        <v>3780072</v>
      </c>
    </row>
    <row r="2481" spans="1:15" s="1" customFormat="1" ht="15" customHeight="1" x14ac:dyDescent="0.25">
      <c r="A2481" s="19" t="s">
        <v>2961</v>
      </c>
      <c r="B2481" s="18" t="s">
        <v>336</v>
      </c>
      <c r="C2481" s="5">
        <v>1819</v>
      </c>
      <c r="E2481" s="1" t="s">
        <v>2</v>
      </c>
      <c r="F2481" s="18">
        <v>2173</v>
      </c>
      <c r="G2481" s="18">
        <v>70</v>
      </c>
      <c r="H2481" s="5">
        <v>133</v>
      </c>
      <c r="I2481" s="1">
        <v>106</v>
      </c>
      <c r="J2481" s="1">
        <v>227</v>
      </c>
      <c r="L2481" t="str">
        <f t="shared" si="38"/>
        <v>http://www.badatelna.eu/reprodukce/?fondId=1073&amp;zaznamId=1108959&amp;reproId=3780063</v>
      </c>
      <c r="M2481">
        <f>VLOOKUP(F2481,Sheet2!$B$1:$E$19,2,FALSE)</f>
        <v>1073</v>
      </c>
      <c r="N2481">
        <f>VLOOKUP(F2481,Sheet2!$B$1:$E$19,3,FALSE)</f>
        <v>1108959</v>
      </c>
      <c r="O2481">
        <f>IF(G2481="Not available","",VLOOKUP(F2481,Sheet2!$B$1:$E$19,4,FALSE)+(G2481-1))</f>
        <v>3780063</v>
      </c>
    </row>
    <row r="2482" spans="1:15" s="1" customFormat="1" ht="15" customHeight="1" x14ac:dyDescent="0.25">
      <c r="A2482" s="18" t="s">
        <v>2961</v>
      </c>
      <c r="B2482" s="19" t="s">
        <v>2962</v>
      </c>
      <c r="C2482" s="6" t="s">
        <v>2953</v>
      </c>
      <c r="D2482" s="4" t="s">
        <v>50</v>
      </c>
      <c r="E2482" s="1" t="s">
        <v>2</v>
      </c>
      <c r="F2482" s="18">
        <v>2173</v>
      </c>
      <c r="G2482" s="18">
        <v>77</v>
      </c>
      <c r="H2482" s="5">
        <v>147</v>
      </c>
      <c r="I2482" s="1">
        <v>106</v>
      </c>
      <c r="J2482" s="1">
        <v>227</v>
      </c>
      <c r="L2482" t="str">
        <f t="shared" si="38"/>
        <v>http://www.badatelna.eu/reprodukce/?fondId=1073&amp;zaznamId=1108959&amp;reproId=3780070</v>
      </c>
      <c r="M2482">
        <f>VLOOKUP(F2482,Sheet2!$B$1:$E$19,2,FALSE)</f>
        <v>1073</v>
      </c>
      <c r="N2482">
        <f>VLOOKUP(F2482,Sheet2!$B$1:$E$19,3,FALSE)</f>
        <v>1108959</v>
      </c>
      <c r="O2482">
        <f>IF(G2482="Not available","",VLOOKUP(F2482,Sheet2!$B$1:$E$19,4,FALSE)+(G2482-1))</f>
        <v>3780070</v>
      </c>
    </row>
    <row r="2483" spans="1:15" s="1" customFormat="1" ht="15" customHeight="1" x14ac:dyDescent="0.25">
      <c r="A2483" s="18" t="s">
        <v>339</v>
      </c>
      <c r="B2483" s="18" t="s">
        <v>477</v>
      </c>
      <c r="C2483" s="5">
        <v>1852</v>
      </c>
      <c r="D2483" s="1" t="s">
        <v>233</v>
      </c>
      <c r="E2483" s="1" t="s">
        <v>2</v>
      </c>
      <c r="F2483" s="18">
        <v>2164</v>
      </c>
      <c r="G2483" s="18">
        <v>103</v>
      </c>
      <c r="H2483" s="5">
        <v>101</v>
      </c>
      <c r="I2483" s="1">
        <v>132</v>
      </c>
      <c r="J2483" s="3" t="s">
        <v>3271</v>
      </c>
      <c r="L2483" t="str">
        <f t="shared" si="38"/>
        <v>http://www.badatelna.eu/reprodukce/?fondId=1073&amp;zaznamId=1108951&amp;reproId=3778817</v>
      </c>
      <c r="M2483">
        <f>VLOOKUP(F2483,Sheet2!$B$1:$E$19,2,FALSE)</f>
        <v>1073</v>
      </c>
      <c r="N2483">
        <f>VLOOKUP(F2483,Sheet2!$B$1:$E$19,3,FALSE)</f>
        <v>1108951</v>
      </c>
      <c r="O2483">
        <f>IF(G2483="Not available","",VLOOKUP(F2483,Sheet2!$B$1:$E$19,4,FALSE)+(G2483-1))</f>
        <v>3778817</v>
      </c>
    </row>
    <row r="2484" spans="1:15" s="1" customFormat="1" ht="15" customHeight="1" x14ac:dyDescent="0.25">
      <c r="A2484" s="18" t="s">
        <v>339</v>
      </c>
      <c r="B2484" s="18" t="s">
        <v>632</v>
      </c>
      <c r="C2484" s="5">
        <v>1849</v>
      </c>
      <c r="D2484" s="1" t="s">
        <v>233</v>
      </c>
      <c r="E2484" s="1" t="s">
        <v>2</v>
      </c>
      <c r="F2484" s="18">
        <v>2164</v>
      </c>
      <c r="G2484" s="18">
        <v>61</v>
      </c>
      <c r="H2484" s="5">
        <v>59</v>
      </c>
      <c r="I2484" s="1">
        <v>132</v>
      </c>
      <c r="J2484" s="3" t="s">
        <v>3271</v>
      </c>
      <c r="L2484" t="str">
        <f t="shared" si="38"/>
        <v>http://www.badatelna.eu/reprodukce/?fondId=1073&amp;zaznamId=1108951&amp;reproId=3778775</v>
      </c>
      <c r="M2484">
        <f>VLOOKUP(F2484,Sheet2!$B$1:$E$19,2,FALSE)</f>
        <v>1073</v>
      </c>
      <c r="N2484">
        <f>VLOOKUP(F2484,Sheet2!$B$1:$E$19,3,FALSE)</f>
        <v>1108951</v>
      </c>
      <c r="O2484">
        <f>IF(G2484="Not available","",VLOOKUP(F2484,Sheet2!$B$1:$E$19,4,FALSE)+(G2484-1))</f>
        <v>3778775</v>
      </c>
    </row>
    <row r="2485" spans="1:15" s="1" customFormat="1" ht="15" customHeight="1" x14ac:dyDescent="0.25">
      <c r="A2485" s="18" t="s">
        <v>339</v>
      </c>
      <c r="B2485" s="18" t="s">
        <v>632</v>
      </c>
      <c r="C2485" s="5">
        <v>1852</v>
      </c>
      <c r="D2485" s="1" t="s">
        <v>44</v>
      </c>
      <c r="E2485" s="1" t="s">
        <v>2</v>
      </c>
      <c r="F2485" s="18">
        <v>2164</v>
      </c>
      <c r="G2485" s="18">
        <v>83</v>
      </c>
      <c r="H2485" s="5">
        <v>81</v>
      </c>
      <c r="I2485" s="1">
        <v>132</v>
      </c>
      <c r="J2485" s="3" t="s">
        <v>3271</v>
      </c>
      <c r="L2485" t="str">
        <f t="shared" si="38"/>
        <v>http://www.badatelna.eu/reprodukce/?fondId=1073&amp;zaznamId=1108951&amp;reproId=3778797</v>
      </c>
      <c r="M2485">
        <f>VLOOKUP(F2485,Sheet2!$B$1:$E$19,2,FALSE)</f>
        <v>1073</v>
      </c>
      <c r="N2485">
        <f>VLOOKUP(F2485,Sheet2!$B$1:$E$19,3,FALSE)</f>
        <v>1108951</v>
      </c>
      <c r="O2485">
        <f>IF(G2485="Not available","",VLOOKUP(F2485,Sheet2!$B$1:$E$19,4,FALSE)+(G2485-1))</f>
        <v>3778797</v>
      </c>
    </row>
    <row r="2486" spans="1:15" s="1" customFormat="1" ht="15" customHeight="1" x14ac:dyDescent="0.25">
      <c r="A2486" s="18" t="s">
        <v>339</v>
      </c>
      <c r="B2486" s="18" t="s">
        <v>632</v>
      </c>
      <c r="C2486" s="5">
        <v>1857</v>
      </c>
      <c r="D2486" s="4" t="s">
        <v>96</v>
      </c>
      <c r="E2486" s="1" t="s">
        <v>939</v>
      </c>
      <c r="F2486" s="18">
        <v>999</v>
      </c>
      <c r="G2486" s="18">
        <v>7</v>
      </c>
      <c r="H2486" s="5">
        <v>5</v>
      </c>
      <c r="I2486" s="1">
        <v>71</v>
      </c>
      <c r="J2486" s="1">
        <v>105</v>
      </c>
      <c r="L2486" t="str">
        <f t="shared" si="38"/>
        <v>http://www.badatelna.eu/reprodukce/?fondId=241&amp;zaznamId=1133739&amp;reproId=3885736</v>
      </c>
      <c r="M2486">
        <f>VLOOKUP(F2486,Sheet2!$B$1:$E$19,2,FALSE)</f>
        <v>241</v>
      </c>
      <c r="N2486">
        <f>VLOOKUP(F2486,Sheet2!$B$1:$E$19,3,FALSE)</f>
        <v>1133739</v>
      </c>
      <c r="O2486">
        <f>IF(G2486="Not available","",VLOOKUP(F2486,Sheet2!$B$1:$E$19,4,FALSE)+(G2486-1))</f>
        <v>3885736</v>
      </c>
    </row>
    <row r="2487" spans="1:15" s="1" customFormat="1" ht="15" customHeight="1" x14ac:dyDescent="0.25">
      <c r="A2487" s="19" t="s">
        <v>339</v>
      </c>
      <c r="B2487" s="19" t="s">
        <v>632</v>
      </c>
      <c r="C2487" s="5">
        <v>1858</v>
      </c>
      <c r="E2487" s="1" t="s">
        <v>939</v>
      </c>
      <c r="F2487" s="18">
        <v>999</v>
      </c>
      <c r="G2487" s="18">
        <v>3</v>
      </c>
      <c r="H2487" s="5">
        <v>1</v>
      </c>
      <c r="I2487" s="1">
        <v>76</v>
      </c>
      <c r="J2487" s="1">
        <v>110</v>
      </c>
      <c r="L2487" t="str">
        <f t="shared" si="38"/>
        <v>http://www.badatelna.eu/reprodukce/?fondId=241&amp;zaznamId=1133739&amp;reproId=3885732</v>
      </c>
      <c r="M2487">
        <f>VLOOKUP(F2487,Sheet2!$B$1:$E$19,2,FALSE)</f>
        <v>241</v>
      </c>
      <c r="N2487">
        <f>VLOOKUP(F2487,Sheet2!$B$1:$E$19,3,FALSE)</f>
        <v>1133739</v>
      </c>
      <c r="O2487">
        <f>IF(G2487="Not available","",VLOOKUP(F2487,Sheet2!$B$1:$E$19,4,FALSE)+(G2487-1))</f>
        <v>3885732</v>
      </c>
    </row>
    <row r="2488" spans="1:15" s="1" customFormat="1" ht="15" customHeight="1" x14ac:dyDescent="0.25">
      <c r="A2488" s="18" t="s">
        <v>339</v>
      </c>
      <c r="B2488" s="18" t="s">
        <v>819</v>
      </c>
      <c r="C2488" s="5">
        <v>1852</v>
      </c>
      <c r="D2488" s="1" t="s">
        <v>44</v>
      </c>
      <c r="E2488" s="1" t="s">
        <v>2</v>
      </c>
      <c r="F2488" s="18">
        <v>2164</v>
      </c>
      <c r="G2488" s="18">
        <v>103</v>
      </c>
      <c r="H2488" s="5">
        <v>101</v>
      </c>
      <c r="I2488" s="1">
        <v>132</v>
      </c>
      <c r="J2488" s="3" t="s">
        <v>3271</v>
      </c>
      <c r="L2488" t="str">
        <f t="shared" si="38"/>
        <v>http://www.badatelna.eu/reprodukce/?fondId=1073&amp;zaznamId=1108951&amp;reproId=3778817</v>
      </c>
      <c r="M2488">
        <f>VLOOKUP(F2488,Sheet2!$B$1:$E$19,2,FALSE)</f>
        <v>1073</v>
      </c>
      <c r="N2488">
        <f>VLOOKUP(F2488,Sheet2!$B$1:$E$19,3,FALSE)</f>
        <v>1108951</v>
      </c>
      <c r="O2488">
        <f>IF(G2488="Not available","",VLOOKUP(F2488,Sheet2!$B$1:$E$19,4,FALSE)+(G2488-1))</f>
        <v>3778817</v>
      </c>
    </row>
    <row r="2489" spans="1:15" s="1" customFormat="1" ht="15" customHeight="1" x14ac:dyDescent="0.25">
      <c r="A2489" s="18" t="s">
        <v>339</v>
      </c>
      <c r="B2489" s="18" t="s">
        <v>886</v>
      </c>
      <c r="C2489" s="5">
        <v>1857</v>
      </c>
      <c r="D2489" s="1" t="s">
        <v>44</v>
      </c>
      <c r="E2489" s="1" t="s">
        <v>2</v>
      </c>
      <c r="F2489" s="18">
        <v>2164</v>
      </c>
      <c r="G2489" s="18">
        <v>121</v>
      </c>
      <c r="H2489" s="5">
        <v>119</v>
      </c>
      <c r="I2489" s="1">
        <v>132</v>
      </c>
      <c r="J2489" s="3" t="s">
        <v>3271</v>
      </c>
      <c r="L2489" t="str">
        <f t="shared" si="38"/>
        <v>http://www.badatelna.eu/reprodukce/?fondId=1073&amp;zaznamId=1108951&amp;reproId=3778835</v>
      </c>
      <c r="M2489">
        <f>VLOOKUP(F2489,Sheet2!$B$1:$E$19,2,FALSE)</f>
        <v>1073</v>
      </c>
      <c r="N2489">
        <f>VLOOKUP(F2489,Sheet2!$B$1:$E$19,3,FALSE)</f>
        <v>1108951</v>
      </c>
      <c r="O2489">
        <f>IF(G2489="Not available","",VLOOKUP(F2489,Sheet2!$B$1:$E$19,4,FALSE)+(G2489-1))</f>
        <v>3778835</v>
      </c>
    </row>
    <row r="2490" spans="1:15" s="1" customFormat="1" ht="15" customHeight="1" x14ac:dyDescent="0.25">
      <c r="A2490" s="18" t="s">
        <v>339</v>
      </c>
      <c r="B2490" s="19" t="s">
        <v>735</v>
      </c>
      <c r="C2490" s="5">
        <v>1863</v>
      </c>
      <c r="E2490" s="1" t="s">
        <v>939</v>
      </c>
      <c r="F2490" s="18">
        <v>999</v>
      </c>
      <c r="G2490" s="18">
        <v>43</v>
      </c>
      <c r="H2490" s="5">
        <v>41</v>
      </c>
      <c r="I2490" s="1">
        <v>71</v>
      </c>
      <c r="J2490" s="1">
        <v>105</v>
      </c>
      <c r="L2490" t="str">
        <f t="shared" si="38"/>
        <v>http://www.badatelna.eu/reprodukce/?fondId=241&amp;zaznamId=1133739&amp;reproId=3885772</v>
      </c>
      <c r="M2490">
        <f>VLOOKUP(F2490,Sheet2!$B$1:$E$19,2,FALSE)</f>
        <v>241</v>
      </c>
      <c r="N2490">
        <f>VLOOKUP(F2490,Sheet2!$B$1:$E$19,3,FALSE)</f>
        <v>1133739</v>
      </c>
      <c r="O2490">
        <f>IF(G2490="Not available","",VLOOKUP(F2490,Sheet2!$B$1:$E$19,4,FALSE)+(G2490-1))</f>
        <v>3885772</v>
      </c>
    </row>
    <row r="2491" spans="1:15" s="1" customFormat="1" ht="15" customHeight="1" x14ac:dyDescent="0.25">
      <c r="A2491" s="18" t="s">
        <v>339</v>
      </c>
      <c r="B2491" s="18" t="s">
        <v>1272</v>
      </c>
      <c r="C2491" s="14" t="s">
        <v>2098</v>
      </c>
      <c r="D2491" s="4" t="s">
        <v>432</v>
      </c>
      <c r="E2491" s="1" t="s">
        <v>2</v>
      </c>
      <c r="F2491" s="18">
        <v>2165</v>
      </c>
      <c r="G2491" s="18">
        <v>304</v>
      </c>
      <c r="H2491" s="5">
        <v>3</v>
      </c>
      <c r="I2491" s="1">
        <v>305</v>
      </c>
      <c r="J2491" s="1">
        <v>278</v>
      </c>
      <c r="L2491" t="str">
        <f t="shared" si="38"/>
        <v>http://www.badatelna.eu/reprodukce/?fondId=1073&amp;zaznamId=1108952&amp;reproId=3779165</v>
      </c>
      <c r="M2491">
        <f>VLOOKUP(F2491,Sheet2!$B$1:$E$19,2,FALSE)</f>
        <v>1073</v>
      </c>
      <c r="N2491">
        <f>VLOOKUP(F2491,Sheet2!$B$1:$E$19,3,FALSE)</f>
        <v>1108952</v>
      </c>
      <c r="O2491">
        <f>IF(G2491="Not available","",VLOOKUP(F2491,Sheet2!$B$1:$E$19,4,FALSE)+(G2491-1))</f>
        <v>3779165</v>
      </c>
    </row>
    <row r="2492" spans="1:15" s="1" customFormat="1" ht="15" customHeight="1" x14ac:dyDescent="0.25">
      <c r="A2492" s="18" t="s">
        <v>339</v>
      </c>
      <c r="B2492" s="18" t="s">
        <v>2444</v>
      </c>
      <c r="C2492" s="10" t="s">
        <v>2098</v>
      </c>
      <c r="D2492" s="3" t="s">
        <v>2477</v>
      </c>
      <c r="E2492" s="4" t="s">
        <v>2</v>
      </c>
      <c r="F2492" s="18">
        <v>2176</v>
      </c>
      <c r="G2492" s="18" t="s">
        <v>3271</v>
      </c>
      <c r="H2492" s="10" t="s">
        <v>2311</v>
      </c>
      <c r="I2492" s="3">
        <v>27</v>
      </c>
      <c r="J2492" s="3" t="s">
        <v>3271</v>
      </c>
      <c r="K2492" s="3"/>
      <c r="L2492" t="str">
        <f t="shared" si="38"/>
        <v/>
      </c>
      <c r="M2492">
        <f>VLOOKUP(F2492,Sheet2!$B$1:$E$19,2,FALSE)</f>
        <v>1073</v>
      </c>
      <c r="N2492">
        <f>VLOOKUP(F2492,Sheet2!$B$1:$E$19,3,FALSE)</f>
        <v>1108963</v>
      </c>
      <c r="O2492" t="str">
        <f>IF(G2492="Not available","",VLOOKUP(F2492,Sheet2!$B$1:$E$19,4,FALSE)+(G2492-1))</f>
        <v/>
      </c>
    </row>
    <row r="2493" spans="1:15" s="1" customFormat="1" ht="15" customHeight="1" x14ac:dyDescent="0.25">
      <c r="A2493" s="18" t="s">
        <v>339</v>
      </c>
      <c r="B2493" s="18" t="s">
        <v>992</v>
      </c>
      <c r="C2493" s="10" t="s">
        <v>1952</v>
      </c>
      <c r="D2493" s="3" t="s">
        <v>2477</v>
      </c>
      <c r="E2493" s="4" t="s">
        <v>2</v>
      </c>
      <c r="F2493" s="18">
        <v>2176</v>
      </c>
      <c r="G2493" s="18" t="s">
        <v>3271</v>
      </c>
      <c r="H2493" s="10" t="s">
        <v>1979</v>
      </c>
      <c r="I2493" s="3">
        <v>27</v>
      </c>
      <c r="J2493" s="3" t="s">
        <v>3271</v>
      </c>
      <c r="K2493" s="3"/>
      <c r="L2493" t="str">
        <f t="shared" si="38"/>
        <v/>
      </c>
      <c r="M2493">
        <f>VLOOKUP(F2493,Sheet2!$B$1:$E$19,2,FALSE)</f>
        <v>1073</v>
      </c>
      <c r="N2493">
        <f>VLOOKUP(F2493,Sheet2!$B$1:$E$19,3,FALSE)</f>
        <v>1108963</v>
      </c>
      <c r="O2493" t="str">
        <f>IF(G2493="Not available","",VLOOKUP(F2493,Sheet2!$B$1:$E$19,4,FALSE)+(G2493-1))</f>
        <v/>
      </c>
    </row>
    <row r="2494" spans="1:15" s="1" customFormat="1" ht="15" customHeight="1" x14ac:dyDescent="0.25">
      <c r="A2494" s="18" t="s">
        <v>339</v>
      </c>
      <c r="B2494" s="18" t="s">
        <v>992</v>
      </c>
      <c r="C2494" s="5" t="s">
        <v>1848</v>
      </c>
      <c r="D2494" s="1" t="s">
        <v>432</v>
      </c>
      <c r="E2494" s="1" t="s">
        <v>2</v>
      </c>
      <c r="F2494" s="18">
        <v>2165</v>
      </c>
      <c r="G2494" s="18">
        <v>255</v>
      </c>
      <c r="H2494" s="5">
        <v>2</v>
      </c>
      <c r="I2494" s="1">
        <v>252</v>
      </c>
      <c r="J2494" s="1">
        <v>228</v>
      </c>
      <c r="K2494" s="4" t="s">
        <v>3322</v>
      </c>
      <c r="L2494" t="str">
        <f t="shared" si="38"/>
        <v>http://www.badatelna.eu/reprodukce/?fondId=1073&amp;zaznamId=1108952&amp;reproId=3779116</v>
      </c>
      <c r="M2494">
        <f>VLOOKUP(F2494,Sheet2!$B$1:$E$19,2,FALSE)</f>
        <v>1073</v>
      </c>
      <c r="N2494">
        <f>VLOOKUP(F2494,Sheet2!$B$1:$E$19,3,FALSE)</f>
        <v>1108952</v>
      </c>
      <c r="O2494">
        <f>IF(G2494="Not available","",VLOOKUP(F2494,Sheet2!$B$1:$E$19,4,FALSE)+(G2494-1))</f>
        <v>3779116</v>
      </c>
    </row>
    <row r="2495" spans="1:15" s="1" customFormat="1" ht="15" customHeight="1" x14ac:dyDescent="0.25">
      <c r="A2495" s="18" t="s">
        <v>339</v>
      </c>
      <c r="B2495" s="18" t="s">
        <v>370</v>
      </c>
      <c r="C2495" s="5">
        <v>1861</v>
      </c>
      <c r="E2495" s="1" t="s">
        <v>939</v>
      </c>
      <c r="F2495" s="18">
        <v>999</v>
      </c>
      <c r="G2495" s="18">
        <v>28</v>
      </c>
      <c r="H2495" s="5">
        <v>26</v>
      </c>
      <c r="I2495" s="1">
        <v>71</v>
      </c>
      <c r="J2495" s="1">
        <v>105</v>
      </c>
      <c r="L2495" t="str">
        <f t="shared" si="38"/>
        <v>http://www.badatelna.eu/reprodukce/?fondId=241&amp;zaznamId=1133739&amp;reproId=3885757</v>
      </c>
      <c r="M2495">
        <f>VLOOKUP(F2495,Sheet2!$B$1:$E$19,2,FALSE)</f>
        <v>241</v>
      </c>
      <c r="N2495">
        <f>VLOOKUP(F2495,Sheet2!$B$1:$E$19,3,FALSE)</f>
        <v>1133739</v>
      </c>
      <c r="O2495">
        <f>IF(G2495="Not available","",VLOOKUP(F2495,Sheet2!$B$1:$E$19,4,FALSE)+(G2495-1))</f>
        <v>3885757</v>
      </c>
    </row>
    <row r="2496" spans="1:15" s="1" customFormat="1" ht="15" customHeight="1" x14ac:dyDescent="0.25">
      <c r="A2496" s="18" t="s">
        <v>339</v>
      </c>
      <c r="B2496" s="18" t="s">
        <v>1152</v>
      </c>
      <c r="C2496" s="5">
        <v>1887</v>
      </c>
      <c r="D2496" s="1" t="s">
        <v>432</v>
      </c>
      <c r="E2496" s="1" t="s">
        <v>2</v>
      </c>
      <c r="F2496" s="18">
        <v>2165</v>
      </c>
      <c r="G2496" s="18">
        <v>213</v>
      </c>
      <c r="H2496" s="5">
        <v>2</v>
      </c>
      <c r="I2496" s="1">
        <v>215</v>
      </c>
      <c r="J2496" s="1">
        <v>191</v>
      </c>
      <c r="L2496" t="str">
        <f t="shared" si="38"/>
        <v>http://www.badatelna.eu/reprodukce/?fondId=1073&amp;zaznamId=1108952&amp;reproId=3779074</v>
      </c>
      <c r="M2496">
        <f>VLOOKUP(F2496,Sheet2!$B$1:$E$19,2,FALSE)</f>
        <v>1073</v>
      </c>
      <c r="N2496">
        <f>VLOOKUP(F2496,Sheet2!$B$1:$E$19,3,FALSE)</f>
        <v>1108952</v>
      </c>
      <c r="O2496">
        <f>IF(G2496="Not available","",VLOOKUP(F2496,Sheet2!$B$1:$E$19,4,FALSE)+(G2496-1))</f>
        <v>3779074</v>
      </c>
    </row>
    <row r="2497" spans="1:15" s="1" customFormat="1" ht="15" customHeight="1" x14ac:dyDescent="0.25">
      <c r="A2497" s="18" t="s">
        <v>339</v>
      </c>
      <c r="B2497" s="18" t="s">
        <v>1152</v>
      </c>
      <c r="C2497" s="10" t="s">
        <v>2055</v>
      </c>
      <c r="D2497" s="3" t="s">
        <v>2477</v>
      </c>
      <c r="E2497" s="4" t="s">
        <v>2</v>
      </c>
      <c r="F2497" s="18">
        <v>2176</v>
      </c>
      <c r="G2497" s="18" t="s">
        <v>3271</v>
      </c>
      <c r="H2497" s="10" t="s">
        <v>2061</v>
      </c>
      <c r="I2497" s="3">
        <v>27</v>
      </c>
      <c r="J2497" s="3" t="s">
        <v>3271</v>
      </c>
      <c r="K2497" s="3"/>
      <c r="L2497" t="str">
        <f t="shared" si="38"/>
        <v/>
      </c>
      <c r="M2497">
        <f>VLOOKUP(F2497,Sheet2!$B$1:$E$19,2,FALSE)</f>
        <v>1073</v>
      </c>
      <c r="N2497">
        <f>VLOOKUP(F2497,Sheet2!$B$1:$E$19,3,FALSE)</f>
        <v>1108963</v>
      </c>
      <c r="O2497" t="str">
        <f>IF(G2497="Not available","",VLOOKUP(F2497,Sheet2!$B$1:$E$19,4,FALSE)+(G2497-1))</f>
        <v/>
      </c>
    </row>
    <row r="2498" spans="1:15" s="1" customFormat="1" ht="15" customHeight="1" x14ac:dyDescent="0.25">
      <c r="A2498" s="18" t="s">
        <v>339</v>
      </c>
      <c r="B2498" s="18" t="s">
        <v>12</v>
      </c>
      <c r="C2498" s="5">
        <v>1857</v>
      </c>
      <c r="E2498" s="1" t="s">
        <v>939</v>
      </c>
      <c r="F2498" s="18">
        <v>999</v>
      </c>
      <c r="G2498" s="18">
        <v>11</v>
      </c>
      <c r="H2498" s="5">
        <v>9</v>
      </c>
      <c r="I2498" s="1">
        <v>71</v>
      </c>
      <c r="J2498" s="1">
        <v>105</v>
      </c>
      <c r="L2498" t="str">
        <f t="shared" si="38"/>
        <v>http://www.badatelna.eu/reprodukce/?fondId=241&amp;zaznamId=1133739&amp;reproId=3885740</v>
      </c>
      <c r="M2498">
        <f>VLOOKUP(F2498,Sheet2!$B$1:$E$19,2,FALSE)</f>
        <v>241</v>
      </c>
      <c r="N2498">
        <f>VLOOKUP(F2498,Sheet2!$B$1:$E$19,3,FALSE)</f>
        <v>1133739</v>
      </c>
      <c r="O2498">
        <f>IF(G2498="Not available","",VLOOKUP(F2498,Sheet2!$B$1:$E$19,4,FALSE)+(G2498-1))</f>
        <v>3885740</v>
      </c>
    </row>
    <row r="2499" spans="1:15" s="1" customFormat="1" ht="15" customHeight="1" x14ac:dyDescent="0.25">
      <c r="A2499" s="18" t="s">
        <v>339</v>
      </c>
      <c r="B2499" s="18" t="s">
        <v>138</v>
      </c>
      <c r="C2499" s="5">
        <v>1863</v>
      </c>
      <c r="E2499" s="1" t="s">
        <v>939</v>
      </c>
      <c r="F2499" s="18">
        <v>999</v>
      </c>
      <c r="G2499" s="18">
        <v>42</v>
      </c>
      <c r="H2499" s="5">
        <v>40</v>
      </c>
      <c r="I2499" s="1">
        <v>71</v>
      </c>
      <c r="J2499" s="1">
        <v>105</v>
      </c>
      <c r="L2499" t="str">
        <f t="shared" ref="L2499:L2562" si="39">IF(G2499="Not available","","http://www.badatelna.eu/reprodukce/?fondId="&amp;M2499&amp;"&amp;zaznamId="&amp;N2499&amp;"&amp;reproId="&amp;O2499)</f>
        <v>http://www.badatelna.eu/reprodukce/?fondId=241&amp;zaznamId=1133739&amp;reproId=3885771</v>
      </c>
      <c r="M2499">
        <f>VLOOKUP(F2499,Sheet2!$B$1:$E$19,2,FALSE)</f>
        <v>241</v>
      </c>
      <c r="N2499">
        <f>VLOOKUP(F2499,Sheet2!$B$1:$E$19,3,FALSE)</f>
        <v>1133739</v>
      </c>
      <c r="O2499">
        <f>IF(G2499="Not available","",VLOOKUP(F2499,Sheet2!$B$1:$E$19,4,FALSE)+(G2499-1))</f>
        <v>3885771</v>
      </c>
    </row>
    <row r="2500" spans="1:15" s="1" customFormat="1" ht="15" customHeight="1" x14ac:dyDescent="0.25">
      <c r="A2500" s="18" t="s">
        <v>339</v>
      </c>
      <c r="B2500" s="18" t="s">
        <v>233</v>
      </c>
      <c r="C2500" s="10" t="s">
        <v>2081</v>
      </c>
      <c r="D2500" s="3" t="s">
        <v>2477</v>
      </c>
      <c r="E2500" s="4" t="s">
        <v>2</v>
      </c>
      <c r="F2500" s="18">
        <v>2176</v>
      </c>
      <c r="G2500" s="18" t="s">
        <v>3271</v>
      </c>
      <c r="H2500" s="10" t="s">
        <v>1971</v>
      </c>
      <c r="I2500" s="3">
        <v>27</v>
      </c>
      <c r="J2500" s="3" t="s">
        <v>3271</v>
      </c>
      <c r="K2500" s="3"/>
      <c r="L2500" t="str">
        <f t="shared" si="39"/>
        <v/>
      </c>
      <c r="M2500">
        <f>VLOOKUP(F2500,Sheet2!$B$1:$E$19,2,FALSE)</f>
        <v>1073</v>
      </c>
      <c r="N2500">
        <f>VLOOKUP(F2500,Sheet2!$B$1:$E$19,3,FALSE)</f>
        <v>1108963</v>
      </c>
      <c r="O2500" t="str">
        <f>IF(G2500="Not available","",VLOOKUP(F2500,Sheet2!$B$1:$E$19,4,FALSE)+(G2500-1))</f>
        <v/>
      </c>
    </row>
    <row r="2501" spans="1:15" s="1" customFormat="1" ht="15" customHeight="1" x14ac:dyDescent="0.25">
      <c r="A2501" s="18" t="s">
        <v>339</v>
      </c>
      <c r="B2501" s="18" t="s">
        <v>233</v>
      </c>
      <c r="C2501" s="5" t="s">
        <v>1821</v>
      </c>
      <c r="D2501" s="1" t="s">
        <v>432</v>
      </c>
      <c r="E2501" s="1" t="s">
        <v>2</v>
      </c>
      <c r="F2501" s="18">
        <v>2165</v>
      </c>
      <c r="G2501" s="18">
        <v>247</v>
      </c>
      <c r="H2501" s="5">
        <v>1</v>
      </c>
      <c r="I2501" s="1">
        <v>250</v>
      </c>
      <c r="J2501" s="1">
        <v>226</v>
      </c>
      <c r="L2501" t="str">
        <f t="shared" si="39"/>
        <v>http://www.badatelna.eu/reprodukce/?fondId=1073&amp;zaznamId=1108952&amp;reproId=3779108</v>
      </c>
      <c r="M2501">
        <f>VLOOKUP(F2501,Sheet2!$B$1:$E$19,2,FALSE)</f>
        <v>1073</v>
      </c>
      <c r="N2501">
        <f>VLOOKUP(F2501,Sheet2!$B$1:$E$19,3,FALSE)</f>
        <v>1108952</v>
      </c>
      <c r="O2501">
        <f>IF(G2501="Not available","",VLOOKUP(F2501,Sheet2!$B$1:$E$19,4,FALSE)+(G2501-1))</f>
        <v>3779108</v>
      </c>
    </row>
    <row r="2502" spans="1:15" s="1" customFormat="1" ht="15" customHeight="1" x14ac:dyDescent="0.25">
      <c r="A2502" s="18" t="s">
        <v>339</v>
      </c>
      <c r="B2502" s="18" t="s">
        <v>432</v>
      </c>
      <c r="C2502" s="5">
        <v>1852</v>
      </c>
      <c r="D2502" s="1" t="s">
        <v>233</v>
      </c>
      <c r="E2502" s="1" t="s">
        <v>2</v>
      </c>
      <c r="F2502" s="18">
        <v>2164</v>
      </c>
      <c r="G2502" s="18">
        <v>86</v>
      </c>
      <c r="H2502" s="5">
        <v>84</v>
      </c>
      <c r="I2502" s="1">
        <v>132</v>
      </c>
      <c r="J2502" s="3" t="s">
        <v>3271</v>
      </c>
      <c r="L2502" t="str">
        <f t="shared" si="39"/>
        <v>http://www.badatelna.eu/reprodukce/?fondId=1073&amp;zaznamId=1108951&amp;reproId=3778800</v>
      </c>
      <c r="M2502">
        <f>VLOOKUP(F2502,Sheet2!$B$1:$E$19,2,FALSE)</f>
        <v>1073</v>
      </c>
      <c r="N2502">
        <f>VLOOKUP(F2502,Sheet2!$B$1:$E$19,3,FALSE)</f>
        <v>1108951</v>
      </c>
      <c r="O2502">
        <f>IF(G2502="Not available","",VLOOKUP(F2502,Sheet2!$B$1:$E$19,4,FALSE)+(G2502-1))</f>
        <v>3778800</v>
      </c>
    </row>
    <row r="2503" spans="1:15" s="1" customFormat="1" ht="15" customHeight="1" x14ac:dyDescent="0.25">
      <c r="A2503" s="18" t="s">
        <v>339</v>
      </c>
      <c r="B2503" s="18" t="s">
        <v>1186</v>
      </c>
      <c r="C2503" s="5" t="s">
        <v>1848</v>
      </c>
      <c r="D2503" s="1" t="s">
        <v>432</v>
      </c>
      <c r="E2503" s="1" t="s">
        <v>2</v>
      </c>
      <c r="F2503" s="18">
        <v>2165</v>
      </c>
      <c r="G2503" s="18">
        <v>255</v>
      </c>
      <c r="H2503" s="5">
        <v>2</v>
      </c>
      <c r="I2503" s="1">
        <v>252</v>
      </c>
      <c r="J2503" s="1">
        <v>228</v>
      </c>
      <c r="L2503" t="str">
        <f t="shared" si="39"/>
        <v>http://www.badatelna.eu/reprodukce/?fondId=1073&amp;zaznamId=1108952&amp;reproId=3779116</v>
      </c>
      <c r="M2503">
        <f>VLOOKUP(F2503,Sheet2!$B$1:$E$19,2,FALSE)</f>
        <v>1073</v>
      </c>
      <c r="N2503">
        <f>VLOOKUP(F2503,Sheet2!$B$1:$E$19,3,FALSE)</f>
        <v>1108952</v>
      </c>
      <c r="O2503">
        <f>IF(G2503="Not available","",VLOOKUP(F2503,Sheet2!$B$1:$E$19,4,FALSE)+(G2503-1))</f>
        <v>3779116</v>
      </c>
    </row>
    <row r="2504" spans="1:15" s="1" customFormat="1" ht="15" customHeight="1" x14ac:dyDescent="0.25">
      <c r="A2504" s="18" t="s">
        <v>339</v>
      </c>
      <c r="B2504" s="18" t="s">
        <v>2253</v>
      </c>
      <c r="C2504" s="10" t="s">
        <v>1952</v>
      </c>
      <c r="D2504" s="3" t="s">
        <v>2477</v>
      </c>
      <c r="E2504" s="4" t="s">
        <v>2</v>
      </c>
      <c r="F2504" s="18">
        <v>2176</v>
      </c>
      <c r="G2504" s="18" t="s">
        <v>3271</v>
      </c>
      <c r="H2504" s="10" t="s">
        <v>2061</v>
      </c>
      <c r="I2504" s="3">
        <v>27</v>
      </c>
      <c r="J2504" s="3" t="s">
        <v>3271</v>
      </c>
      <c r="K2504" s="3"/>
      <c r="L2504" t="str">
        <f t="shared" si="39"/>
        <v/>
      </c>
      <c r="M2504">
        <f>VLOOKUP(F2504,Sheet2!$B$1:$E$19,2,FALSE)</f>
        <v>1073</v>
      </c>
      <c r="N2504">
        <f>VLOOKUP(F2504,Sheet2!$B$1:$E$19,3,FALSE)</f>
        <v>1108963</v>
      </c>
      <c r="O2504" t="str">
        <f>IF(G2504="Not available","",VLOOKUP(F2504,Sheet2!$B$1:$E$19,4,FALSE)+(G2504-1))</f>
        <v/>
      </c>
    </row>
    <row r="2505" spans="1:15" s="1" customFormat="1" ht="15" customHeight="1" x14ac:dyDescent="0.25">
      <c r="A2505" s="18" t="s">
        <v>339</v>
      </c>
      <c r="B2505" s="18" t="s">
        <v>18</v>
      </c>
      <c r="C2505" s="10" t="s">
        <v>2092</v>
      </c>
      <c r="D2505" s="3" t="s">
        <v>2477</v>
      </c>
      <c r="E2505" s="4" t="s">
        <v>2</v>
      </c>
      <c r="F2505" s="18">
        <v>2176</v>
      </c>
      <c r="G2505" s="18" t="s">
        <v>3271</v>
      </c>
      <c r="H2505" s="10" t="s">
        <v>2142</v>
      </c>
      <c r="I2505" s="3">
        <v>27</v>
      </c>
      <c r="J2505" s="3" t="s">
        <v>3271</v>
      </c>
      <c r="K2505" s="3"/>
      <c r="L2505" t="str">
        <f t="shared" si="39"/>
        <v/>
      </c>
      <c r="M2505">
        <f>VLOOKUP(F2505,Sheet2!$B$1:$E$19,2,FALSE)</f>
        <v>1073</v>
      </c>
      <c r="N2505">
        <f>VLOOKUP(F2505,Sheet2!$B$1:$E$19,3,FALSE)</f>
        <v>1108963</v>
      </c>
      <c r="O2505" t="str">
        <f>IF(G2505="Not available","",VLOOKUP(F2505,Sheet2!$B$1:$E$19,4,FALSE)+(G2505-1))</f>
        <v/>
      </c>
    </row>
    <row r="2506" spans="1:15" s="1" customFormat="1" ht="15" customHeight="1" x14ac:dyDescent="0.25">
      <c r="A2506" s="18" t="s">
        <v>339</v>
      </c>
      <c r="B2506" s="18" t="s">
        <v>18</v>
      </c>
      <c r="C2506" s="5" t="s">
        <v>1897</v>
      </c>
      <c r="D2506" s="1" t="s">
        <v>432</v>
      </c>
      <c r="E2506" s="1" t="s">
        <v>2</v>
      </c>
      <c r="F2506" s="18">
        <v>2165</v>
      </c>
      <c r="G2506" s="18">
        <v>269</v>
      </c>
      <c r="H2506" s="5">
        <v>1</v>
      </c>
      <c r="I2506" s="1">
        <v>272</v>
      </c>
      <c r="J2506" s="1">
        <v>246</v>
      </c>
      <c r="L2506" t="str">
        <f t="shared" si="39"/>
        <v>http://www.badatelna.eu/reprodukce/?fondId=1073&amp;zaznamId=1108952&amp;reproId=3779130</v>
      </c>
      <c r="M2506">
        <f>VLOOKUP(F2506,Sheet2!$B$1:$E$19,2,FALSE)</f>
        <v>1073</v>
      </c>
      <c r="N2506">
        <f>VLOOKUP(F2506,Sheet2!$B$1:$E$19,3,FALSE)</f>
        <v>1108952</v>
      </c>
      <c r="O2506">
        <f>IF(G2506="Not available","",VLOOKUP(F2506,Sheet2!$B$1:$E$19,4,FALSE)+(G2506-1))</f>
        <v>3779130</v>
      </c>
    </row>
    <row r="2507" spans="1:15" s="1" customFormat="1" ht="15" customHeight="1" x14ac:dyDescent="0.25">
      <c r="A2507" s="18" t="s">
        <v>339</v>
      </c>
      <c r="B2507" s="18" t="s">
        <v>398</v>
      </c>
      <c r="C2507" s="5">
        <v>1850</v>
      </c>
      <c r="D2507" s="1" t="s">
        <v>700</v>
      </c>
      <c r="E2507" s="1" t="s">
        <v>2</v>
      </c>
      <c r="F2507" s="18">
        <v>2164</v>
      </c>
      <c r="G2507" s="18">
        <v>73</v>
      </c>
      <c r="H2507" s="5">
        <v>71</v>
      </c>
      <c r="I2507" s="1">
        <v>132</v>
      </c>
      <c r="J2507" s="3" t="s">
        <v>3271</v>
      </c>
      <c r="L2507" t="str">
        <f t="shared" si="39"/>
        <v>http://www.badatelna.eu/reprodukce/?fondId=1073&amp;zaznamId=1108951&amp;reproId=3778787</v>
      </c>
      <c r="M2507">
        <f>VLOOKUP(F2507,Sheet2!$B$1:$E$19,2,FALSE)</f>
        <v>1073</v>
      </c>
      <c r="N2507">
        <f>VLOOKUP(F2507,Sheet2!$B$1:$E$19,3,FALSE)</f>
        <v>1108951</v>
      </c>
      <c r="O2507">
        <f>IF(G2507="Not available","",VLOOKUP(F2507,Sheet2!$B$1:$E$19,4,FALSE)+(G2507-1))</f>
        <v>3778787</v>
      </c>
    </row>
    <row r="2508" spans="1:15" s="1" customFormat="1" ht="15" customHeight="1" x14ac:dyDescent="0.25">
      <c r="A2508" s="18" t="s">
        <v>339</v>
      </c>
      <c r="B2508" s="18" t="s">
        <v>398</v>
      </c>
      <c r="C2508" s="5" t="s">
        <v>1477</v>
      </c>
      <c r="D2508" s="1" t="s">
        <v>44</v>
      </c>
      <c r="E2508" s="1" t="s">
        <v>2</v>
      </c>
      <c r="F2508" s="18">
        <v>2165</v>
      </c>
      <c r="G2508" s="18">
        <v>20</v>
      </c>
      <c r="H2508" s="5">
        <v>17</v>
      </c>
      <c r="I2508" s="1">
        <v>86</v>
      </c>
      <c r="J2508" s="1" t="s">
        <v>3271</v>
      </c>
      <c r="L2508" t="str">
        <f t="shared" si="39"/>
        <v>http://www.badatelna.eu/reprodukce/?fondId=1073&amp;zaznamId=1108952&amp;reproId=3778881</v>
      </c>
      <c r="M2508">
        <f>VLOOKUP(F2508,Sheet2!$B$1:$E$19,2,FALSE)</f>
        <v>1073</v>
      </c>
      <c r="N2508">
        <f>VLOOKUP(F2508,Sheet2!$B$1:$E$19,3,FALSE)</f>
        <v>1108952</v>
      </c>
      <c r="O2508">
        <f>IF(G2508="Not available","",VLOOKUP(F2508,Sheet2!$B$1:$E$19,4,FALSE)+(G2508-1))</f>
        <v>3778881</v>
      </c>
    </row>
    <row r="2509" spans="1:15" s="1" customFormat="1" ht="15" customHeight="1" x14ac:dyDescent="0.25">
      <c r="A2509" s="18" t="s">
        <v>339</v>
      </c>
      <c r="B2509" s="18" t="s">
        <v>145</v>
      </c>
      <c r="C2509" s="5">
        <v>1852</v>
      </c>
      <c r="D2509" s="1" t="s">
        <v>44</v>
      </c>
      <c r="E2509" s="1" t="s">
        <v>2</v>
      </c>
      <c r="F2509" s="18">
        <v>2164</v>
      </c>
      <c r="G2509" s="18">
        <v>110</v>
      </c>
      <c r="H2509" s="5">
        <v>108</v>
      </c>
      <c r="I2509" s="1">
        <v>132</v>
      </c>
      <c r="J2509" s="3" t="s">
        <v>3271</v>
      </c>
      <c r="L2509" t="str">
        <f t="shared" si="39"/>
        <v>http://www.badatelna.eu/reprodukce/?fondId=1073&amp;zaznamId=1108951&amp;reproId=3778824</v>
      </c>
      <c r="M2509">
        <f>VLOOKUP(F2509,Sheet2!$B$1:$E$19,2,FALSE)</f>
        <v>1073</v>
      </c>
      <c r="N2509">
        <f>VLOOKUP(F2509,Sheet2!$B$1:$E$19,3,FALSE)</f>
        <v>1108951</v>
      </c>
      <c r="O2509">
        <f>IF(G2509="Not available","",VLOOKUP(F2509,Sheet2!$B$1:$E$19,4,FALSE)+(G2509-1))</f>
        <v>3778824</v>
      </c>
    </row>
    <row r="2510" spans="1:15" s="1" customFormat="1" ht="15" customHeight="1" x14ac:dyDescent="0.25">
      <c r="A2510" s="18" t="s">
        <v>339</v>
      </c>
      <c r="B2510" s="18" t="s">
        <v>24</v>
      </c>
      <c r="C2510" s="5">
        <v>1852</v>
      </c>
      <c r="D2510" s="1" t="s">
        <v>536</v>
      </c>
      <c r="E2510" s="1" t="s">
        <v>2</v>
      </c>
      <c r="F2510" s="18">
        <v>2164</v>
      </c>
      <c r="G2510" s="18">
        <v>85</v>
      </c>
      <c r="H2510" s="5">
        <v>83</v>
      </c>
      <c r="I2510" s="1">
        <v>132</v>
      </c>
      <c r="J2510" s="3" t="s">
        <v>3271</v>
      </c>
      <c r="L2510" t="str">
        <f t="shared" si="39"/>
        <v>http://www.badatelna.eu/reprodukce/?fondId=1073&amp;zaznamId=1108951&amp;reproId=3778799</v>
      </c>
      <c r="M2510">
        <f>VLOOKUP(F2510,Sheet2!$B$1:$E$19,2,FALSE)</f>
        <v>1073</v>
      </c>
      <c r="N2510">
        <f>VLOOKUP(F2510,Sheet2!$B$1:$E$19,3,FALSE)</f>
        <v>1108951</v>
      </c>
      <c r="O2510">
        <f>IF(G2510="Not available","",VLOOKUP(F2510,Sheet2!$B$1:$E$19,4,FALSE)+(G2510-1))</f>
        <v>3778799</v>
      </c>
    </row>
    <row r="2511" spans="1:15" s="1" customFormat="1" ht="15" customHeight="1" x14ac:dyDescent="0.25">
      <c r="A2511" s="18" t="s">
        <v>339</v>
      </c>
      <c r="B2511" s="18" t="s">
        <v>1155</v>
      </c>
      <c r="C2511" s="5">
        <v>1889</v>
      </c>
      <c r="D2511" s="1" t="s">
        <v>432</v>
      </c>
      <c r="E2511" s="1" t="s">
        <v>2</v>
      </c>
      <c r="F2511" s="18">
        <v>2165</v>
      </c>
      <c r="G2511" s="18">
        <v>221</v>
      </c>
      <c r="H2511" s="5">
        <v>1</v>
      </c>
      <c r="I2511" s="1">
        <v>225</v>
      </c>
      <c r="J2511" s="1">
        <v>201</v>
      </c>
      <c r="L2511" t="str">
        <f t="shared" si="39"/>
        <v>http://www.badatelna.eu/reprodukce/?fondId=1073&amp;zaznamId=1108952&amp;reproId=3779082</v>
      </c>
      <c r="M2511">
        <f>VLOOKUP(F2511,Sheet2!$B$1:$E$19,2,FALSE)</f>
        <v>1073</v>
      </c>
      <c r="N2511">
        <f>VLOOKUP(F2511,Sheet2!$B$1:$E$19,3,FALSE)</f>
        <v>1108952</v>
      </c>
      <c r="O2511">
        <f>IF(G2511="Not available","",VLOOKUP(F2511,Sheet2!$B$1:$E$19,4,FALSE)+(G2511-1))</f>
        <v>3779082</v>
      </c>
    </row>
    <row r="2512" spans="1:15" s="1" customFormat="1" ht="15" customHeight="1" x14ac:dyDescent="0.25">
      <c r="A2512" s="18" t="s">
        <v>339</v>
      </c>
      <c r="B2512" s="18" t="s">
        <v>1155</v>
      </c>
      <c r="C2512" s="10" t="s">
        <v>2068</v>
      </c>
      <c r="D2512" s="3" t="s">
        <v>2477</v>
      </c>
      <c r="E2512" s="4" t="s">
        <v>2</v>
      </c>
      <c r="F2512" s="18">
        <v>2176</v>
      </c>
      <c r="G2512" s="18" t="s">
        <v>3271</v>
      </c>
      <c r="H2512" s="10" t="s">
        <v>2075</v>
      </c>
      <c r="I2512" s="3">
        <v>27</v>
      </c>
      <c r="J2512" s="3" t="s">
        <v>3271</v>
      </c>
      <c r="K2512" s="3"/>
      <c r="L2512" t="str">
        <f t="shared" si="39"/>
        <v/>
      </c>
      <c r="M2512">
        <f>VLOOKUP(F2512,Sheet2!$B$1:$E$19,2,FALSE)</f>
        <v>1073</v>
      </c>
      <c r="N2512">
        <f>VLOOKUP(F2512,Sheet2!$B$1:$E$19,3,FALSE)</f>
        <v>1108963</v>
      </c>
      <c r="O2512" t="str">
        <f>IF(G2512="Not available","",VLOOKUP(F2512,Sheet2!$B$1:$E$19,4,FALSE)+(G2512-1))</f>
        <v/>
      </c>
    </row>
    <row r="2513" spans="1:15" s="1" customFormat="1" ht="15" customHeight="1" x14ac:dyDescent="0.25">
      <c r="A2513" s="18" t="s">
        <v>2963</v>
      </c>
      <c r="B2513" s="18" t="s">
        <v>44</v>
      </c>
      <c r="C2513" s="5">
        <v>1824</v>
      </c>
      <c r="E2513" s="1" t="s">
        <v>2</v>
      </c>
      <c r="F2513" s="18">
        <v>2173</v>
      </c>
      <c r="G2513" s="18">
        <v>75</v>
      </c>
      <c r="H2513" s="5">
        <v>143</v>
      </c>
      <c r="I2513" s="1">
        <v>106</v>
      </c>
      <c r="J2513" s="1">
        <v>227</v>
      </c>
      <c r="L2513" t="str">
        <f t="shared" si="39"/>
        <v>http://www.badatelna.eu/reprodukce/?fondId=1073&amp;zaznamId=1108959&amp;reproId=3780068</v>
      </c>
      <c r="M2513">
        <f>VLOOKUP(F2513,Sheet2!$B$1:$E$19,2,FALSE)</f>
        <v>1073</v>
      </c>
      <c r="N2513">
        <f>VLOOKUP(F2513,Sheet2!$B$1:$E$19,3,FALSE)</f>
        <v>1108959</v>
      </c>
      <c r="O2513">
        <f>IF(G2513="Not available","",VLOOKUP(F2513,Sheet2!$B$1:$E$19,4,FALSE)+(G2513-1))</f>
        <v>3780068</v>
      </c>
    </row>
    <row r="2514" spans="1:15" s="1" customFormat="1" ht="15" customHeight="1" x14ac:dyDescent="0.25">
      <c r="A2514" s="18" t="s">
        <v>330</v>
      </c>
      <c r="B2514" s="18" t="s">
        <v>477</v>
      </c>
      <c r="C2514" s="5">
        <v>1857</v>
      </c>
      <c r="D2514" s="1" t="s">
        <v>64</v>
      </c>
      <c r="E2514" s="1" t="s">
        <v>2</v>
      </c>
      <c r="F2514" s="18">
        <v>2164</v>
      </c>
      <c r="G2514" s="18">
        <v>117</v>
      </c>
      <c r="H2514" s="5">
        <v>115</v>
      </c>
      <c r="I2514" s="1">
        <v>132</v>
      </c>
      <c r="J2514" s="3" t="s">
        <v>3271</v>
      </c>
      <c r="L2514" t="str">
        <f t="shared" si="39"/>
        <v>http://www.badatelna.eu/reprodukce/?fondId=1073&amp;zaznamId=1108951&amp;reproId=3778831</v>
      </c>
      <c r="M2514">
        <f>VLOOKUP(F2514,Sheet2!$B$1:$E$19,2,FALSE)</f>
        <v>1073</v>
      </c>
      <c r="N2514">
        <f>VLOOKUP(F2514,Sheet2!$B$1:$E$19,3,FALSE)</f>
        <v>1108951</v>
      </c>
      <c r="O2514">
        <f>IF(G2514="Not available","",VLOOKUP(F2514,Sheet2!$B$1:$E$19,4,FALSE)+(G2514-1))</f>
        <v>3778831</v>
      </c>
    </row>
    <row r="2515" spans="1:15" s="1" customFormat="1" ht="15" customHeight="1" x14ac:dyDescent="0.25">
      <c r="A2515" s="18" t="s">
        <v>330</v>
      </c>
      <c r="B2515" s="18" t="s">
        <v>74</v>
      </c>
      <c r="C2515" s="5">
        <v>1852</v>
      </c>
      <c r="D2515" s="1" t="s">
        <v>55</v>
      </c>
      <c r="E2515" s="1" t="s">
        <v>2</v>
      </c>
      <c r="F2515" s="18">
        <v>2164</v>
      </c>
      <c r="G2515" s="18">
        <v>81</v>
      </c>
      <c r="H2515" s="5">
        <v>79</v>
      </c>
      <c r="I2515" s="1">
        <v>132</v>
      </c>
      <c r="J2515" s="3" t="s">
        <v>3271</v>
      </c>
      <c r="L2515" t="str">
        <f t="shared" si="39"/>
        <v>http://www.badatelna.eu/reprodukce/?fondId=1073&amp;zaznamId=1108951&amp;reproId=3778795</v>
      </c>
      <c r="M2515">
        <f>VLOOKUP(F2515,Sheet2!$B$1:$E$19,2,FALSE)</f>
        <v>1073</v>
      </c>
      <c r="N2515">
        <f>VLOOKUP(F2515,Sheet2!$B$1:$E$19,3,FALSE)</f>
        <v>1108951</v>
      </c>
      <c r="O2515">
        <f>IF(G2515="Not available","",VLOOKUP(F2515,Sheet2!$B$1:$E$19,4,FALSE)+(G2515-1))</f>
        <v>3778795</v>
      </c>
    </row>
    <row r="2516" spans="1:15" s="1" customFormat="1" ht="15" customHeight="1" x14ac:dyDescent="0.25">
      <c r="A2516" s="18" t="s">
        <v>330</v>
      </c>
      <c r="B2516" s="18" t="s">
        <v>64</v>
      </c>
      <c r="C2516" s="5">
        <v>1818</v>
      </c>
      <c r="E2516" s="1" t="s">
        <v>2</v>
      </c>
      <c r="F2516" s="18">
        <v>2173</v>
      </c>
      <c r="G2516" s="18">
        <v>68</v>
      </c>
      <c r="H2516" s="5">
        <v>128</v>
      </c>
      <c r="I2516" s="1">
        <v>106</v>
      </c>
      <c r="J2516" s="1">
        <v>227</v>
      </c>
      <c r="L2516" t="str">
        <f t="shared" si="39"/>
        <v>http://www.badatelna.eu/reprodukce/?fondId=1073&amp;zaznamId=1108959&amp;reproId=3780061</v>
      </c>
      <c r="M2516">
        <f>VLOOKUP(F2516,Sheet2!$B$1:$E$19,2,FALSE)</f>
        <v>1073</v>
      </c>
      <c r="N2516">
        <f>VLOOKUP(F2516,Sheet2!$B$1:$E$19,3,FALSE)</f>
        <v>1108959</v>
      </c>
      <c r="O2516">
        <f>IF(G2516="Not available","",VLOOKUP(F2516,Sheet2!$B$1:$E$19,4,FALSE)+(G2516-1))</f>
        <v>3780061</v>
      </c>
    </row>
    <row r="2517" spans="1:15" s="1" customFormat="1" ht="15" customHeight="1" x14ac:dyDescent="0.25">
      <c r="A2517" s="18" t="s">
        <v>330</v>
      </c>
      <c r="B2517" s="18" t="s">
        <v>75</v>
      </c>
      <c r="C2517" s="5">
        <v>1816</v>
      </c>
      <c r="E2517" s="1" t="s">
        <v>2</v>
      </c>
      <c r="F2517" s="18">
        <v>2173</v>
      </c>
      <c r="G2517" s="18">
        <v>65</v>
      </c>
      <c r="H2517" s="5">
        <v>125</v>
      </c>
      <c r="I2517" s="1">
        <v>106</v>
      </c>
      <c r="J2517" s="1">
        <v>226</v>
      </c>
      <c r="L2517" t="str">
        <f t="shared" si="39"/>
        <v>http://www.badatelna.eu/reprodukce/?fondId=1073&amp;zaznamId=1108959&amp;reproId=3780058</v>
      </c>
      <c r="M2517">
        <f>VLOOKUP(F2517,Sheet2!$B$1:$E$19,2,FALSE)</f>
        <v>1073</v>
      </c>
      <c r="N2517">
        <f>VLOOKUP(F2517,Sheet2!$B$1:$E$19,3,FALSE)</f>
        <v>1108959</v>
      </c>
      <c r="O2517">
        <f>IF(G2517="Not available","",VLOOKUP(F2517,Sheet2!$B$1:$E$19,4,FALSE)+(G2517-1))</f>
        <v>3780058</v>
      </c>
    </row>
    <row r="2518" spans="1:15" s="1" customFormat="1" ht="15" customHeight="1" x14ac:dyDescent="0.25">
      <c r="A2518" s="18" t="s">
        <v>330</v>
      </c>
      <c r="B2518" s="18" t="s">
        <v>557</v>
      </c>
      <c r="C2518" s="5">
        <v>1847</v>
      </c>
      <c r="D2518" s="1" t="s">
        <v>55</v>
      </c>
      <c r="E2518" s="1" t="s">
        <v>2</v>
      </c>
      <c r="F2518" s="18">
        <v>2174</v>
      </c>
      <c r="G2518" s="18">
        <v>171</v>
      </c>
      <c r="H2518" s="6" t="s">
        <v>3238</v>
      </c>
      <c r="I2518" s="1">
        <v>192</v>
      </c>
      <c r="J2518" s="1">
        <v>223</v>
      </c>
      <c r="L2518" t="str">
        <f t="shared" si="39"/>
        <v>http://www.badatelna.eu/reprodukce/?fondId=1073&amp;zaznamId=1108960&amp;reproId=3780395</v>
      </c>
      <c r="M2518">
        <f>VLOOKUP(F2518,Sheet2!$B$1:$E$19,2,FALSE)</f>
        <v>1073</v>
      </c>
      <c r="N2518">
        <f>VLOOKUP(F2518,Sheet2!$B$1:$E$19,3,FALSE)</f>
        <v>1108960</v>
      </c>
      <c r="O2518">
        <f>IF(G2518="Not available","",VLOOKUP(F2518,Sheet2!$B$1:$E$19,4,FALSE)+(G2518-1))</f>
        <v>3780395</v>
      </c>
    </row>
    <row r="2519" spans="1:15" s="1" customFormat="1" ht="15" customHeight="1" x14ac:dyDescent="0.25">
      <c r="A2519" s="18" t="s">
        <v>330</v>
      </c>
      <c r="B2519" s="18" t="s">
        <v>172</v>
      </c>
      <c r="C2519" s="5">
        <v>1852</v>
      </c>
      <c r="D2519" s="1" t="s">
        <v>55</v>
      </c>
      <c r="E2519" s="1" t="s">
        <v>2</v>
      </c>
      <c r="F2519" s="18">
        <v>2164</v>
      </c>
      <c r="G2519" s="18">
        <v>100</v>
      </c>
      <c r="H2519" s="5">
        <v>98</v>
      </c>
      <c r="I2519" s="1">
        <v>132</v>
      </c>
      <c r="J2519" s="3" t="s">
        <v>3271</v>
      </c>
      <c r="L2519" t="str">
        <f t="shared" si="39"/>
        <v>http://www.badatelna.eu/reprodukce/?fondId=1073&amp;zaznamId=1108951&amp;reproId=3778814</v>
      </c>
      <c r="M2519">
        <f>VLOOKUP(F2519,Sheet2!$B$1:$E$19,2,FALSE)</f>
        <v>1073</v>
      </c>
      <c r="N2519">
        <f>VLOOKUP(F2519,Sheet2!$B$1:$E$19,3,FALSE)</f>
        <v>1108951</v>
      </c>
      <c r="O2519">
        <f>IF(G2519="Not available","",VLOOKUP(F2519,Sheet2!$B$1:$E$19,4,FALSE)+(G2519-1))</f>
        <v>3778814</v>
      </c>
    </row>
    <row r="2520" spans="1:15" s="1" customFormat="1" ht="15" customHeight="1" x14ac:dyDescent="0.25">
      <c r="A2520" s="18" t="s">
        <v>330</v>
      </c>
      <c r="B2520" s="18" t="s">
        <v>768</v>
      </c>
      <c r="C2520" s="5">
        <v>1856</v>
      </c>
      <c r="D2520" s="1" t="s">
        <v>55</v>
      </c>
      <c r="E2520" s="1" t="s">
        <v>2</v>
      </c>
      <c r="F2520" s="18">
        <v>2164</v>
      </c>
      <c r="G2520" s="18">
        <v>113</v>
      </c>
      <c r="H2520" s="5">
        <v>111</v>
      </c>
      <c r="I2520" s="1">
        <v>132</v>
      </c>
      <c r="J2520" s="3" t="s">
        <v>3271</v>
      </c>
      <c r="L2520" t="str">
        <f t="shared" si="39"/>
        <v>http://www.badatelna.eu/reprodukce/?fondId=1073&amp;zaznamId=1108951&amp;reproId=3778827</v>
      </c>
      <c r="M2520">
        <f>VLOOKUP(F2520,Sheet2!$B$1:$E$19,2,FALSE)</f>
        <v>1073</v>
      </c>
      <c r="N2520">
        <f>VLOOKUP(F2520,Sheet2!$B$1:$E$19,3,FALSE)</f>
        <v>1108951</v>
      </c>
      <c r="O2520">
        <f>IF(G2520="Not available","",VLOOKUP(F2520,Sheet2!$B$1:$E$19,4,FALSE)+(G2520-1))</f>
        <v>3778827</v>
      </c>
    </row>
    <row r="2521" spans="1:15" s="1" customFormat="1" ht="15" customHeight="1" x14ac:dyDescent="0.25">
      <c r="A2521" s="18" t="s">
        <v>330</v>
      </c>
      <c r="B2521" s="18" t="s">
        <v>49</v>
      </c>
      <c r="C2521" s="5">
        <v>1813</v>
      </c>
      <c r="E2521" s="1" t="s">
        <v>2</v>
      </c>
      <c r="F2521" s="18">
        <v>2173</v>
      </c>
      <c r="G2521" s="18">
        <v>61</v>
      </c>
      <c r="H2521" s="5">
        <v>117</v>
      </c>
      <c r="I2521" s="1">
        <v>106</v>
      </c>
      <c r="J2521" s="1">
        <v>226</v>
      </c>
      <c r="L2521" t="str">
        <f t="shared" si="39"/>
        <v>http://www.badatelna.eu/reprodukce/?fondId=1073&amp;zaznamId=1108959&amp;reproId=3780054</v>
      </c>
      <c r="M2521">
        <f>VLOOKUP(F2521,Sheet2!$B$1:$E$19,2,FALSE)</f>
        <v>1073</v>
      </c>
      <c r="N2521">
        <f>VLOOKUP(F2521,Sheet2!$B$1:$E$19,3,FALSE)</f>
        <v>1108959</v>
      </c>
      <c r="O2521">
        <f>IF(G2521="Not available","",VLOOKUP(F2521,Sheet2!$B$1:$E$19,4,FALSE)+(G2521-1))</f>
        <v>3780054</v>
      </c>
    </row>
    <row r="2522" spans="1:15" s="1" customFormat="1" ht="15" customHeight="1" x14ac:dyDescent="0.25">
      <c r="A2522" s="18" t="s">
        <v>330</v>
      </c>
      <c r="B2522" s="18" t="s">
        <v>233</v>
      </c>
      <c r="C2522" s="5">
        <v>1849</v>
      </c>
      <c r="D2522" s="1" t="s">
        <v>55</v>
      </c>
      <c r="E2522" s="1" t="s">
        <v>2</v>
      </c>
      <c r="F2522" s="18">
        <v>2164</v>
      </c>
      <c r="G2522" s="18">
        <v>49</v>
      </c>
      <c r="H2522" s="5">
        <v>47</v>
      </c>
      <c r="I2522" s="1">
        <v>132</v>
      </c>
      <c r="J2522" s="3" t="s">
        <v>3271</v>
      </c>
      <c r="L2522" t="str">
        <f t="shared" si="39"/>
        <v>http://www.badatelna.eu/reprodukce/?fondId=1073&amp;zaznamId=1108951&amp;reproId=3778763</v>
      </c>
      <c r="M2522">
        <f>VLOOKUP(F2522,Sheet2!$B$1:$E$19,2,FALSE)</f>
        <v>1073</v>
      </c>
      <c r="N2522">
        <f>VLOOKUP(F2522,Sheet2!$B$1:$E$19,3,FALSE)</f>
        <v>1108951</v>
      </c>
      <c r="O2522">
        <f>IF(G2522="Not available","",VLOOKUP(F2522,Sheet2!$B$1:$E$19,4,FALSE)+(G2522-1))</f>
        <v>3778763</v>
      </c>
    </row>
    <row r="2523" spans="1:15" s="1" customFormat="1" ht="15" customHeight="1" x14ac:dyDescent="0.25">
      <c r="A2523" s="18" t="s">
        <v>330</v>
      </c>
      <c r="B2523" s="18" t="s">
        <v>337</v>
      </c>
      <c r="C2523" s="5">
        <v>1822</v>
      </c>
      <c r="E2523" s="1" t="s">
        <v>2</v>
      </c>
      <c r="F2523" s="18">
        <v>2173</v>
      </c>
      <c r="G2523" s="18">
        <v>73</v>
      </c>
      <c r="H2523" s="5">
        <v>139</v>
      </c>
      <c r="I2523" s="1">
        <v>106</v>
      </c>
      <c r="J2523" s="1">
        <v>227</v>
      </c>
      <c r="L2523" t="str">
        <f t="shared" si="39"/>
        <v>http://www.badatelna.eu/reprodukce/?fondId=1073&amp;zaznamId=1108959&amp;reproId=3780066</v>
      </c>
      <c r="M2523">
        <f>VLOOKUP(F2523,Sheet2!$B$1:$E$19,2,FALSE)</f>
        <v>1073</v>
      </c>
      <c r="N2523">
        <f>VLOOKUP(F2523,Sheet2!$B$1:$E$19,3,FALSE)</f>
        <v>1108959</v>
      </c>
      <c r="O2523">
        <f>IF(G2523="Not available","",VLOOKUP(F2523,Sheet2!$B$1:$E$19,4,FALSE)+(G2523-1))</f>
        <v>3780066</v>
      </c>
    </row>
    <row r="2524" spans="1:15" s="1" customFormat="1" ht="15" customHeight="1" x14ac:dyDescent="0.25">
      <c r="A2524" s="18" t="s">
        <v>330</v>
      </c>
      <c r="B2524" s="18" t="s">
        <v>398</v>
      </c>
      <c r="C2524" s="5">
        <v>1852</v>
      </c>
      <c r="D2524" s="1" t="s">
        <v>64</v>
      </c>
      <c r="E2524" s="1" t="s">
        <v>2</v>
      </c>
      <c r="F2524" s="18">
        <v>2164</v>
      </c>
      <c r="G2524" s="18">
        <v>96</v>
      </c>
      <c r="H2524" s="5">
        <v>94</v>
      </c>
      <c r="I2524" s="1">
        <v>132</v>
      </c>
      <c r="J2524" s="3" t="s">
        <v>3271</v>
      </c>
      <c r="L2524" t="str">
        <f t="shared" si="39"/>
        <v>http://www.badatelna.eu/reprodukce/?fondId=1073&amp;zaznamId=1108951&amp;reproId=3778810</v>
      </c>
      <c r="M2524">
        <f>VLOOKUP(F2524,Sheet2!$B$1:$E$19,2,FALSE)</f>
        <v>1073</v>
      </c>
      <c r="N2524">
        <f>VLOOKUP(F2524,Sheet2!$B$1:$E$19,3,FALSE)</f>
        <v>1108951</v>
      </c>
      <c r="O2524">
        <f>IF(G2524="Not available","",VLOOKUP(F2524,Sheet2!$B$1:$E$19,4,FALSE)+(G2524-1))</f>
        <v>3778810</v>
      </c>
    </row>
    <row r="2525" spans="1:15" s="1" customFormat="1" ht="15" customHeight="1" x14ac:dyDescent="0.25">
      <c r="A2525" s="18" t="s">
        <v>327</v>
      </c>
      <c r="B2525" s="18" t="s">
        <v>19</v>
      </c>
      <c r="C2525" s="5">
        <v>1814</v>
      </c>
      <c r="E2525" s="1" t="s">
        <v>2</v>
      </c>
      <c r="F2525" s="18">
        <v>2173</v>
      </c>
      <c r="G2525" s="18">
        <v>57</v>
      </c>
      <c r="H2525" s="5">
        <v>109</v>
      </c>
      <c r="I2525" s="1">
        <v>106</v>
      </c>
      <c r="J2525" s="1">
        <v>226</v>
      </c>
      <c r="L2525" t="str">
        <f t="shared" si="39"/>
        <v>http://www.badatelna.eu/reprodukce/?fondId=1073&amp;zaznamId=1108959&amp;reproId=3780050</v>
      </c>
      <c r="M2525">
        <f>VLOOKUP(F2525,Sheet2!$B$1:$E$19,2,FALSE)</f>
        <v>1073</v>
      </c>
      <c r="N2525">
        <f>VLOOKUP(F2525,Sheet2!$B$1:$E$19,3,FALSE)</f>
        <v>1108959</v>
      </c>
      <c r="O2525">
        <f>IF(G2525="Not available","",VLOOKUP(F2525,Sheet2!$B$1:$E$19,4,FALSE)+(G2525-1))</f>
        <v>3780050</v>
      </c>
    </row>
    <row r="2526" spans="1:15" s="1" customFormat="1" ht="15" customHeight="1" x14ac:dyDescent="0.25">
      <c r="A2526" s="18" t="s">
        <v>957</v>
      </c>
      <c r="B2526" s="19" t="s">
        <v>847</v>
      </c>
      <c r="C2526" s="5">
        <v>1859</v>
      </c>
      <c r="E2526" s="1" t="s">
        <v>939</v>
      </c>
      <c r="F2526" s="18">
        <v>999</v>
      </c>
      <c r="G2526" s="18">
        <v>13</v>
      </c>
      <c r="H2526" s="5">
        <v>11</v>
      </c>
      <c r="I2526" s="1">
        <v>71</v>
      </c>
      <c r="J2526" s="1">
        <v>105</v>
      </c>
      <c r="L2526" t="str">
        <f t="shared" si="39"/>
        <v>http://www.badatelna.eu/reprodukce/?fondId=241&amp;zaznamId=1133739&amp;reproId=3885742</v>
      </c>
      <c r="M2526">
        <f>VLOOKUP(F2526,Sheet2!$B$1:$E$19,2,FALSE)</f>
        <v>241</v>
      </c>
      <c r="N2526">
        <f>VLOOKUP(F2526,Sheet2!$B$1:$E$19,3,FALSE)</f>
        <v>1133739</v>
      </c>
      <c r="O2526">
        <f>IF(G2526="Not available","",VLOOKUP(F2526,Sheet2!$B$1:$E$19,4,FALSE)+(G2526-1))</f>
        <v>3885742</v>
      </c>
    </row>
    <row r="2527" spans="1:15" s="1" customFormat="1" ht="15" customHeight="1" x14ac:dyDescent="0.25">
      <c r="A2527" s="18" t="s">
        <v>957</v>
      </c>
      <c r="B2527" s="18" t="s">
        <v>398</v>
      </c>
      <c r="C2527" s="5">
        <v>1862</v>
      </c>
      <c r="E2527" s="1" t="s">
        <v>939</v>
      </c>
      <c r="F2527" s="18">
        <v>999</v>
      </c>
      <c r="G2527" s="18">
        <v>38</v>
      </c>
      <c r="H2527" s="5">
        <v>36</v>
      </c>
      <c r="I2527" s="1">
        <v>71</v>
      </c>
      <c r="J2527" s="1">
        <v>105</v>
      </c>
      <c r="L2527" t="str">
        <f t="shared" si="39"/>
        <v>http://www.badatelna.eu/reprodukce/?fondId=241&amp;zaznamId=1133739&amp;reproId=3885767</v>
      </c>
      <c r="M2527">
        <f>VLOOKUP(F2527,Sheet2!$B$1:$E$19,2,FALSE)</f>
        <v>241</v>
      </c>
      <c r="N2527">
        <f>VLOOKUP(F2527,Sheet2!$B$1:$E$19,3,FALSE)</f>
        <v>1133739</v>
      </c>
      <c r="O2527">
        <f>IF(G2527="Not available","",VLOOKUP(F2527,Sheet2!$B$1:$E$19,4,FALSE)+(G2527-1))</f>
        <v>3885767</v>
      </c>
    </row>
    <row r="2528" spans="1:15" s="1" customFormat="1" ht="15" customHeight="1" x14ac:dyDescent="0.25">
      <c r="A2528" s="19" t="s">
        <v>3073</v>
      </c>
      <c r="B2528" s="18" t="s">
        <v>299</v>
      </c>
      <c r="C2528" s="5">
        <v>1786</v>
      </c>
      <c r="D2528" s="1" t="s">
        <v>44</v>
      </c>
      <c r="E2528" s="1" t="s">
        <v>2</v>
      </c>
      <c r="F2528" s="18">
        <v>2173</v>
      </c>
      <c r="G2528" s="18">
        <v>13</v>
      </c>
      <c r="H2528" s="5">
        <v>21</v>
      </c>
      <c r="I2528" s="1">
        <v>105</v>
      </c>
      <c r="J2528" s="12">
        <v>225</v>
      </c>
      <c r="L2528" t="str">
        <f t="shared" si="39"/>
        <v>http://www.badatelna.eu/reprodukce/?fondId=1073&amp;zaznamId=1108959&amp;reproId=3780006</v>
      </c>
      <c r="M2528">
        <f>VLOOKUP(F2528,Sheet2!$B$1:$E$19,2,FALSE)</f>
        <v>1073</v>
      </c>
      <c r="N2528">
        <f>VLOOKUP(F2528,Sheet2!$B$1:$E$19,3,FALSE)</f>
        <v>1108959</v>
      </c>
      <c r="O2528">
        <f>IF(G2528="Not available","",VLOOKUP(F2528,Sheet2!$B$1:$E$19,4,FALSE)+(G2528-1))</f>
        <v>3780006</v>
      </c>
    </row>
    <row r="2529" spans="1:15" s="1" customFormat="1" ht="15" customHeight="1" x14ac:dyDescent="0.25">
      <c r="A2529" s="18" t="s">
        <v>265</v>
      </c>
      <c r="B2529" s="18" t="s">
        <v>694</v>
      </c>
      <c r="C2529" s="5">
        <v>1834</v>
      </c>
      <c r="D2529" s="1" t="s">
        <v>59</v>
      </c>
      <c r="E2529" s="1" t="s">
        <v>2</v>
      </c>
      <c r="F2529" s="18">
        <v>2174</v>
      </c>
      <c r="G2529" s="18">
        <v>77</v>
      </c>
      <c r="H2529" s="6" t="s">
        <v>3143</v>
      </c>
      <c r="I2529" s="1">
        <v>191</v>
      </c>
      <c r="J2529" s="1">
        <v>222</v>
      </c>
      <c r="L2529" t="str">
        <f t="shared" si="39"/>
        <v>http://www.badatelna.eu/reprodukce/?fondId=1073&amp;zaznamId=1108960&amp;reproId=3780301</v>
      </c>
      <c r="M2529">
        <f>VLOOKUP(F2529,Sheet2!$B$1:$E$19,2,FALSE)</f>
        <v>1073</v>
      </c>
      <c r="N2529">
        <f>VLOOKUP(F2529,Sheet2!$B$1:$E$19,3,FALSE)</f>
        <v>1108960</v>
      </c>
      <c r="O2529">
        <f>IF(G2529="Not available","",VLOOKUP(F2529,Sheet2!$B$1:$E$19,4,FALSE)+(G2529-1))</f>
        <v>3780301</v>
      </c>
    </row>
    <row r="2530" spans="1:15" s="1" customFormat="1" ht="15" customHeight="1" x14ac:dyDescent="0.25">
      <c r="A2530" s="18" t="s">
        <v>265</v>
      </c>
      <c r="B2530" s="18" t="s">
        <v>22</v>
      </c>
      <c r="C2530" s="5">
        <v>1784</v>
      </c>
      <c r="D2530" s="1" t="s">
        <v>44</v>
      </c>
      <c r="E2530" s="1" t="s">
        <v>2</v>
      </c>
      <c r="F2530" s="18">
        <v>2173</v>
      </c>
      <c r="G2530" s="18">
        <v>5</v>
      </c>
      <c r="H2530" s="5">
        <v>5</v>
      </c>
      <c r="I2530" s="1">
        <v>105</v>
      </c>
      <c r="J2530" s="1" t="s">
        <v>294</v>
      </c>
      <c r="L2530" t="str">
        <f t="shared" si="39"/>
        <v>http://www.badatelna.eu/reprodukce/?fondId=1073&amp;zaznamId=1108959&amp;reproId=3779998</v>
      </c>
      <c r="M2530">
        <f>VLOOKUP(F2530,Sheet2!$B$1:$E$19,2,FALSE)</f>
        <v>1073</v>
      </c>
      <c r="N2530">
        <f>VLOOKUP(F2530,Sheet2!$B$1:$E$19,3,FALSE)</f>
        <v>1108959</v>
      </c>
      <c r="O2530">
        <f>IF(G2530="Not available","",VLOOKUP(F2530,Sheet2!$B$1:$E$19,4,FALSE)+(G2530-1))</f>
        <v>3779998</v>
      </c>
    </row>
    <row r="2531" spans="1:15" s="1" customFormat="1" ht="15" customHeight="1" x14ac:dyDescent="0.25">
      <c r="A2531" s="18" t="s">
        <v>265</v>
      </c>
      <c r="B2531" s="18" t="s">
        <v>303</v>
      </c>
      <c r="C2531" s="5">
        <v>1790</v>
      </c>
      <c r="D2531" s="1" t="s">
        <v>304</v>
      </c>
      <c r="E2531" s="1" t="s">
        <v>2</v>
      </c>
      <c r="F2531" s="18">
        <v>2173</v>
      </c>
      <c r="G2531" s="18">
        <v>23</v>
      </c>
      <c r="H2531" s="5">
        <v>40</v>
      </c>
      <c r="I2531" s="1">
        <v>105</v>
      </c>
      <c r="J2531" s="1">
        <v>225</v>
      </c>
      <c r="L2531" t="str">
        <f t="shared" si="39"/>
        <v>http://www.badatelna.eu/reprodukce/?fondId=1073&amp;zaznamId=1108959&amp;reproId=3780016</v>
      </c>
      <c r="M2531">
        <f>VLOOKUP(F2531,Sheet2!$B$1:$E$19,2,FALSE)</f>
        <v>1073</v>
      </c>
      <c r="N2531">
        <f>VLOOKUP(F2531,Sheet2!$B$1:$E$19,3,FALSE)</f>
        <v>1108959</v>
      </c>
      <c r="O2531">
        <f>IF(G2531="Not available","",VLOOKUP(F2531,Sheet2!$B$1:$E$19,4,FALSE)+(G2531-1))</f>
        <v>3780016</v>
      </c>
    </row>
    <row r="2532" spans="1:15" s="1" customFormat="1" ht="15" customHeight="1" x14ac:dyDescent="0.25">
      <c r="A2532" s="18" t="s">
        <v>265</v>
      </c>
      <c r="B2532" s="18" t="s">
        <v>143</v>
      </c>
      <c r="C2532" s="14" t="s">
        <v>3103</v>
      </c>
      <c r="E2532" s="1" t="s">
        <v>2</v>
      </c>
      <c r="F2532" s="18">
        <v>2174</v>
      </c>
      <c r="G2532" s="18">
        <v>63</v>
      </c>
      <c r="H2532" s="6" t="s">
        <v>3107</v>
      </c>
      <c r="I2532" s="1">
        <v>191</v>
      </c>
      <c r="J2532" s="1">
        <v>222</v>
      </c>
      <c r="L2532" t="str">
        <f t="shared" si="39"/>
        <v>http://www.badatelna.eu/reprodukce/?fondId=1073&amp;zaznamId=1108960&amp;reproId=3780287</v>
      </c>
      <c r="M2532">
        <f>VLOOKUP(F2532,Sheet2!$B$1:$E$19,2,FALSE)</f>
        <v>1073</v>
      </c>
      <c r="N2532">
        <f>VLOOKUP(F2532,Sheet2!$B$1:$E$19,3,FALSE)</f>
        <v>1108960</v>
      </c>
      <c r="O2532">
        <f>IF(G2532="Not available","",VLOOKUP(F2532,Sheet2!$B$1:$E$19,4,FALSE)+(G2532-1))</f>
        <v>3780287</v>
      </c>
    </row>
    <row r="2533" spans="1:15" s="1" customFormat="1" ht="15" customHeight="1" x14ac:dyDescent="0.25">
      <c r="A2533" s="18" t="s">
        <v>265</v>
      </c>
      <c r="B2533" s="18" t="s">
        <v>11</v>
      </c>
      <c r="C2533" s="5">
        <v>1794</v>
      </c>
      <c r="E2533" s="1" t="s">
        <v>2</v>
      </c>
      <c r="F2533" s="18">
        <v>2173</v>
      </c>
      <c r="G2533" s="18">
        <v>62</v>
      </c>
      <c r="H2533" s="5">
        <v>59</v>
      </c>
      <c r="I2533" s="1">
        <v>105</v>
      </c>
      <c r="J2533" s="1">
        <v>225</v>
      </c>
      <c r="L2533" t="str">
        <f t="shared" si="39"/>
        <v>http://www.badatelna.eu/reprodukce/?fondId=1073&amp;zaznamId=1108959&amp;reproId=3780055</v>
      </c>
      <c r="M2533">
        <f>VLOOKUP(F2533,Sheet2!$B$1:$E$19,2,FALSE)</f>
        <v>1073</v>
      </c>
      <c r="N2533">
        <f>VLOOKUP(F2533,Sheet2!$B$1:$E$19,3,FALSE)</f>
        <v>1108959</v>
      </c>
      <c r="O2533">
        <f>IF(G2533="Not available","",VLOOKUP(F2533,Sheet2!$B$1:$E$19,4,FALSE)+(G2533-1))</f>
        <v>3780055</v>
      </c>
    </row>
    <row r="2534" spans="1:15" s="1" customFormat="1" ht="15" customHeight="1" x14ac:dyDescent="0.25">
      <c r="A2534" s="18" t="s">
        <v>265</v>
      </c>
      <c r="B2534" s="18" t="s">
        <v>475</v>
      </c>
      <c r="C2534" s="5">
        <v>1833</v>
      </c>
      <c r="D2534" s="1" t="s">
        <v>237</v>
      </c>
      <c r="E2534" s="1" t="s">
        <v>2</v>
      </c>
      <c r="F2534" s="18">
        <v>2174</v>
      </c>
      <c r="G2534" s="18">
        <v>72</v>
      </c>
      <c r="H2534" s="6" t="s">
        <v>3137</v>
      </c>
      <c r="I2534" s="1">
        <v>191</v>
      </c>
      <c r="J2534" s="1">
        <v>222</v>
      </c>
      <c r="L2534" t="str">
        <f t="shared" si="39"/>
        <v>http://www.badatelna.eu/reprodukce/?fondId=1073&amp;zaznamId=1108960&amp;reproId=3780296</v>
      </c>
      <c r="M2534">
        <f>VLOOKUP(F2534,Sheet2!$B$1:$E$19,2,FALSE)</f>
        <v>1073</v>
      </c>
      <c r="N2534">
        <f>VLOOKUP(F2534,Sheet2!$B$1:$E$19,3,FALSE)</f>
        <v>1108960</v>
      </c>
      <c r="O2534">
        <f>IF(G2534="Not available","",VLOOKUP(F2534,Sheet2!$B$1:$E$19,4,FALSE)+(G2534-1))</f>
        <v>3780296</v>
      </c>
    </row>
    <row r="2535" spans="1:15" s="1" customFormat="1" ht="15" customHeight="1" x14ac:dyDescent="0.25">
      <c r="A2535" s="18" t="s">
        <v>701</v>
      </c>
      <c r="B2535" s="18" t="s">
        <v>6</v>
      </c>
      <c r="C2535" s="5">
        <v>1841</v>
      </c>
      <c r="D2535" s="1" t="s">
        <v>237</v>
      </c>
      <c r="E2535" s="1" t="s">
        <v>2</v>
      </c>
      <c r="F2535" s="18">
        <v>2174</v>
      </c>
      <c r="G2535" s="18">
        <v>117</v>
      </c>
      <c r="H2535" s="6" t="s">
        <v>3185</v>
      </c>
      <c r="I2535" s="1">
        <v>191</v>
      </c>
      <c r="J2535" s="1">
        <v>222</v>
      </c>
      <c r="L2535" t="str">
        <f t="shared" si="39"/>
        <v>http://www.badatelna.eu/reprodukce/?fondId=1073&amp;zaznamId=1108960&amp;reproId=3780341</v>
      </c>
      <c r="M2535">
        <f>VLOOKUP(F2535,Sheet2!$B$1:$E$19,2,FALSE)</f>
        <v>1073</v>
      </c>
      <c r="N2535">
        <f>VLOOKUP(F2535,Sheet2!$B$1:$E$19,3,FALSE)</f>
        <v>1108960</v>
      </c>
      <c r="O2535">
        <f>IF(G2535="Not available","",VLOOKUP(F2535,Sheet2!$B$1:$E$19,4,FALSE)+(G2535-1))</f>
        <v>3780341</v>
      </c>
    </row>
    <row r="2536" spans="1:15" s="1" customFormat="1" ht="15" customHeight="1" x14ac:dyDescent="0.25">
      <c r="A2536" s="18" t="s">
        <v>701</v>
      </c>
      <c r="B2536" s="18" t="s">
        <v>212</v>
      </c>
      <c r="C2536" s="5">
        <v>1838</v>
      </c>
      <c r="D2536" s="1" t="s">
        <v>702</v>
      </c>
      <c r="E2536" s="1" t="s">
        <v>2</v>
      </c>
      <c r="F2536" s="18">
        <v>2174</v>
      </c>
      <c r="G2536" s="18">
        <v>99</v>
      </c>
      <c r="H2536" s="6" t="s">
        <v>3169</v>
      </c>
      <c r="I2536" s="1">
        <v>191</v>
      </c>
      <c r="J2536" s="1">
        <v>222</v>
      </c>
      <c r="L2536" t="str">
        <f t="shared" si="39"/>
        <v>http://www.badatelna.eu/reprodukce/?fondId=1073&amp;zaznamId=1108960&amp;reproId=3780323</v>
      </c>
      <c r="M2536">
        <f>VLOOKUP(F2536,Sheet2!$B$1:$E$19,2,FALSE)</f>
        <v>1073</v>
      </c>
      <c r="N2536">
        <f>VLOOKUP(F2536,Sheet2!$B$1:$E$19,3,FALSE)</f>
        <v>1108960</v>
      </c>
      <c r="O2536">
        <f>IF(G2536="Not available","",VLOOKUP(F2536,Sheet2!$B$1:$E$19,4,FALSE)+(G2536-1))</f>
        <v>3780323</v>
      </c>
    </row>
    <row r="2537" spans="1:15" s="1" customFormat="1" ht="15" customHeight="1" x14ac:dyDescent="0.25">
      <c r="A2537" s="18" t="s">
        <v>701</v>
      </c>
      <c r="B2537" s="18" t="s">
        <v>625</v>
      </c>
      <c r="C2537" s="5">
        <v>1844</v>
      </c>
      <c r="D2537" s="1" t="s">
        <v>237</v>
      </c>
      <c r="E2537" s="1" t="s">
        <v>2</v>
      </c>
      <c r="F2537" s="18">
        <v>2174</v>
      </c>
      <c r="G2537" s="18">
        <v>145</v>
      </c>
      <c r="H2537" s="6" t="s">
        <v>3212</v>
      </c>
      <c r="I2537" s="1">
        <v>192</v>
      </c>
      <c r="J2537" s="1">
        <v>223</v>
      </c>
      <c r="L2537" t="str">
        <f t="shared" si="39"/>
        <v>http://www.badatelna.eu/reprodukce/?fondId=1073&amp;zaznamId=1108960&amp;reproId=3780369</v>
      </c>
      <c r="M2537">
        <f>VLOOKUP(F2537,Sheet2!$B$1:$E$19,2,FALSE)</f>
        <v>1073</v>
      </c>
      <c r="N2537">
        <f>VLOOKUP(F2537,Sheet2!$B$1:$E$19,3,FALSE)</f>
        <v>1108960</v>
      </c>
      <c r="O2537">
        <f>IF(G2537="Not available","",VLOOKUP(F2537,Sheet2!$B$1:$E$19,4,FALSE)+(G2537-1))</f>
        <v>3780369</v>
      </c>
    </row>
    <row r="2538" spans="1:15" s="1" customFormat="1" ht="15" customHeight="1" x14ac:dyDescent="0.25">
      <c r="A2538" s="19" t="s">
        <v>309</v>
      </c>
      <c r="B2538" s="18" t="s">
        <v>14</v>
      </c>
      <c r="C2538" s="5">
        <v>1807</v>
      </c>
      <c r="E2538" s="1" t="s">
        <v>2</v>
      </c>
      <c r="F2538" s="18">
        <v>2173</v>
      </c>
      <c r="G2538" s="18">
        <v>52</v>
      </c>
      <c r="H2538" s="6" t="s">
        <v>2958</v>
      </c>
      <c r="I2538" s="1">
        <v>106</v>
      </c>
      <c r="J2538" s="1">
        <v>226</v>
      </c>
      <c r="L2538" t="str">
        <f t="shared" si="39"/>
        <v>http://www.badatelna.eu/reprodukce/?fondId=1073&amp;zaznamId=1108959&amp;reproId=3780045</v>
      </c>
      <c r="M2538">
        <f>VLOOKUP(F2538,Sheet2!$B$1:$E$19,2,FALSE)</f>
        <v>1073</v>
      </c>
      <c r="N2538">
        <f>VLOOKUP(F2538,Sheet2!$B$1:$E$19,3,FALSE)</f>
        <v>1108959</v>
      </c>
      <c r="O2538">
        <f>IF(G2538="Not available","",VLOOKUP(F2538,Sheet2!$B$1:$E$19,4,FALSE)+(G2538-1))</f>
        <v>3780045</v>
      </c>
    </row>
    <row r="2539" spans="1:15" s="1" customFormat="1" ht="15" customHeight="1" x14ac:dyDescent="0.25">
      <c r="A2539" s="18" t="s">
        <v>309</v>
      </c>
      <c r="B2539" s="18" t="s">
        <v>59</v>
      </c>
      <c r="C2539" s="5">
        <v>1799</v>
      </c>
      <c r="D2539" s="1" t="s">
        <v>34</v>
      </c>
      <c r="E2539" s="1" t="s">
        <v>2</v>
      </c>
      <c r="F2539" s="18">
        <v>2173</v>
      </c>
      <c r="G2539" s="18">
        <v>39</v>
      </c>
      <c r="H2539" s="5">
        <v>72</v>
      </c>
      <c r="I2539" s="1">
        <v>105</v>
      </c>
      <c r="J2539" s="1">
        <v>225</v>
      </c>
      <c r="L2539" t="str">
        <f t="shared" si="39"/>
        <v>http://www.badatelna.eu/reprodukce/?fondId=1073&amp;zaznamId=1108959&amp;reproId=3780032</v>
      </c>
      <c r="M2539">
        <f>VLOOKUP(F2539,Sheet2!$B$1:$E$19,2,FALSE)</f>
        <v>1073</v>
      </c>
      <c r="N2539">
        <f>VLOOKUP(F2539,Sheet2!$B$1:$E$19,3,FALSE)</f>
        <v>1108959</v>
      </c>
      <c r="O2539">
        <f>IF(G2539="Not available","",VLOOKUP(F2539,Sheet2!$B$1:$E$19,4,FALSE)+(G2539-1))</f>
        <v>3780032</v>
      </c>
    </row>
    <row r="2540" spans="1:15" s="1" customFormat="1" ht="15" customHeight="1" x14ac:dyDescent="0.25">
      <c r="A2540" s="19" t="s">
        <v>309</v>
      </c>
      <c r="B2540" s="18" t="s">
        <v>12</v>
      </c>
      <c r="C2540" s="5">
        <v>1813</v>
      </c>
      <c r="D2540" s="1" t="s">
        <v>12</v>
      </c>
      <c r="E2540" s="1" t="s">
        <v>2</v>
      </c>
      <c r="F2540" s="18">
        <v>2173</v>
      </c>
      <c r="G2540" s="18">
        <v>60</v>
      </c>
      <c r="H2540" s="5">
        <v>115</v>
      </c>
      <c r="I2540" s="1">
        <v>106</v>
      </c>
      <c r="J2540" s="1">
        <v>226</v>
      </c>
      <c r="L2540" t="str">
        <f t="shared" si="39"/>
        <v>http://www.badatelna.eu/reprodukce/?fondId=1073&amp;zaznamId=1108959&amp;reproId=3780053</v>
      </c>
      <c r="M2540">
        <f>VLOOKUP(F2540,Sheet2!$B$1:$E$19,2,FALSE)</f>
        <v>1073</v>
      </c>
      <c r="N2540">
        <f>VLOOKUP(F2540,Sheet2!$B$1:$E$19,3,FALSE)</f>
        <v>1108959</v>
      </c>
      <c r="O2540">
        <f>IF(G2540="Not available","",VLOOKUP(F2540,Sheet2!$B$1:$E$19,4,FALSE)+(G2540-1))</f>
        <v>3780053</v>
      </c>
    </row>
    <row r="2541" spans="1:15" s="1" customFormat="1" ht="15" customHeight="1" x14ac:dyDescent="0.25">
      <c r="A2541" s="19" t="s">
        <v>309</v>
      </c>
      <c r="B2541" s="18" t="s">
        <v>133</v>
      </c>
      <c r="C2541" s="5">
        <v>1815</v>
      </c>
      <c r="E2541" s="1" t="s">
        <v>2</v>
      </c>
      <c r="F2541" s="18">
        <v>2173</v>
      </c>
      <c r="G2541" s="18">
        <v>64</v>
      </c>
      <c r="H2541" s="5">
        <v>123</v>
      </c>
      <c r="I2541" s="1">
        <v>106</v>
      </c>
      <c r="J2541" s="1">
        <v>226</v>
      </c>
      <c r="L2541" t="str">
        <f t="shared" si="39"/>
        <v>http://www.badatelna.eu/reprodukce/?fondId=1073&amp;zaznamId=1108959&amp;reproId=3780057</v>
      </c>
      <c r="M2541">
        <f>VLOOKUP(F2541,Sheet2!$B$1:$E$19,2,FALSE)</f>
        <v>1073</v>
      </c>
      <c r="N2541">
        <f>VLOOKUP(F2541,Sheet2!$B$1:$E$19,3,FALSE)</f>
        <v>1108959</v>
      </c>
      <c r="O2541">
        <f>IF(G2541="Not available","",VLOOKUP(F2541,Sheet2!$B$1:$E$19,4,FALSE)+(G2541-1))</f>
        <v>3780057</v>
      </c>
    </row>
    <row r="2542" spans="1:15" s="1" customFormat="1" ht="15" customHeight="1" x14ac:dyDescent="0.25">
      <c r="A2542" s="19" t="s">
        <v>309</v>
      </c>
      <c r="B2542" s="18" t="s">
        <v>21</v>
      </c>
      <c r="C2542" s="5">
        <v>1809</v>
      </c>
      <c r="E2542" s="1" t="s">
        <v>2</v>
      </c>
      <c r="F2542" s="18">
        <v>2173</v>
      </c>
      <c r="G2542" s="18">
        <v>55</v>
      </c>
      <c r="H2542" s="5">
        <v>104</v>
      </c>
      <c r="I2542" s="1">
        <v>106</v>
      </c>
      <c r="J2542" s="1">
        <v>226</v>
      </c>
      <c r="L2542" t="str">
        <f t="shared" si="39"/>
        <v>http://www.badatelna.eu/reprodukce/?fondId=1073&amp;zaznamId=1108959&amp;reproId=3780048</v>
      </c>
      <c r="M2542">
        <f>VLOOKUP(F2542,Sheet2!$B$1:$E$19,2,FALSE)</f>
        <v>1073</v>
      </c>
      <c r="N2542">
        <f>VLOOKUP(F2542,Sheet2!$B$1:$E$19,3,FALSE)</f>
        <v>1108959</v>
      </c>
      <c r="O2542">
        <f>IF(G2542="Not available","",VLOOKUP(F2542,Sheet2!$B$1:$E$19,4,FALSE)+(G2542-1))</f>
        <v>3780048</v>
      </c>
    </row>
    <row r="2543" spans="1:15" s="1" customFormat="1" ht="15" customHeight="1" x14ac:dyDescent="0.25">
      <c r="A2543" s="19" t="s">
        <v>309</v>
      </c>
      <c r="B2543" s="18" t="s">
        <v>23</v>
      </c>
      <c r="C2543" s="5">
        <v>1814</v>
      </c>
      <c r="E2543" s="1" t="s">
        <v>2</v>
      </c>
      <c r="F2543" s="18">
        <v>2173</v>
      </c>
      <c r="G2543" s="18">
        <v>58</v>
      </c>
      <c r="H2543" s="5">
        <v>111</v>
      </c>
      <c r="I2543" s="1">
        <v>106</v>
      </c>
      <c r="J2543" s="1">
        <v>226</v>
      </c>
      <c r="L2543" t="str">
        <f t="shared" si="39"/>
        <v>http://www.badatelna.eu/reprodukce/?fondId=1073&amp;zaznamId=1108959&amp;reproId=3780051</v>
      </c>
      <c r="M2543">
        <f>VLOOKUP(F2543,Sheet2!$B$1:$E$19,2,FALSE)</f>
        <v>1073</v>
      </c>
      <c r="N2543">
        <f>VLOOKUP(F2543,Sheet2!$B$1:$E$19,3,FALSE)</f>
        <v>1108959</v>
      </c>
      <c r="O2543">
        <f>IF(G2543="Not available","",VLOOKUP(F2543,Sheet2!$B$1:$E$19,4,FALSE)+(G2543-1))</f>
        <v>3780051</v>
      </c>
    </row>
    <row r="2544" spans="1:15" s="1" customFormat="1" ht="15" customHeight="1" x14ac:dyDescent="0.25">
      <c r="A2544" s="19" t="s">
        <v>309</v>
      </c>
      <c r="B2544" s="18" t="s">
        <v>332</v>
      </c>
      <c r="C2544" s="5">
        <v>1814</v>
      </c>
      <c r="E2544" s="1" t="s">
        <v>2</v>
      </c>
      <c r="F2544" s="18">
        <v>2173</v>
      </c>
      <c r="G2544" s="18">
        <v>63</v>
      </c>
      <c r="H2544" s="5">
        <v>121</v>
      </c>
      <c r="I2544" s="1">
        <v>106</v>
      </c>
      <c r="J2544" s="1">
        <v>226</v>
      </c>
      <c r="L2544" t="str">
        <f t="shared" si="39"/>
        <v>http://www.badatelna.eu/reprodukce/?fondId=1073&amp;zaznamId=1108959&amp;reproId=3780056</v>
      </c>
      <c r="M2544">
        <f>VLOOKUP(F2544,Sheet2!$B$1:$E$19,2,FALSE)</f>
        <v>1073</v>
      </c>
      <c r="N2544">
        <f>VLOOKUP(F2544,Sheet2!$B$1:$E$19,3,FALSE)</f>
        <v>1108959</v>
      </c>
      <c r="O2544">
        <f>IF(G2544="Not available","",VLOOKUP(F2544,Sheet2!$B$1:$E$19,4,FALSE)+(G2544-1))</f>
        <v>3780056</v>
      </c>
    </row>
    <row r="2545" spans="1:15" s="1" customFormat="1" ht="15" customHeight="1" x14ac:dyDescent="0.25">
      <c r="A2545" s="19" t="s">
        <v>309</v>
      </c>
      <c r="B2545" s="18" t="s">
        <v>368</v>
      </c>
      <c r="C2545" s="5">
        <v>1799</v>
      </c>
      <c r="D2545" s="4" t="s">
        <v>77</v>
      </c>
      <c r="E2545" s="1" t="s">
        <v>2</v>
      </c>
      <c r="F2545" s="18">
        <v>2173</v>
      </c>
      <c r="G2545" s="18">
        <v>41</v>
      </c>
      <c r="H2545" s="5">
        <v>77</v>
      </c>
      <c r="I2545" s="1">
        <v>105</v>
      </c>
      <c r="J2545" s="1">
        <v>225</v>
      </c>
      <c r="L2545" t="str">
        <f t="shared" si="39"/>
        <v>http://www.badatelna.eu/reprodukce/?fondId=1073&amp;zaznamId=1108959&amp;reproId=3780034</v>
      </c>
      <c r="M2545">
        <f>VLOOKUP(F2545,Sheet2!$B$1:$E$19,2,FALSE)</f>
        <v>1073</v>
      </c>
      <c r="N2545">
        <f>VLOOKUP(F2545,Sheet2!$B$1:$E$19,3,FALSE)</f>
        <v>1108959</v>
      </c>
      <c r="O2545">
        <f>IF(G2545="Not available","",VLOOKUP(F2545,Sheet2!$B$1:$E$19,4,FALSE)+(G2545-1))</f>
        <v>3780034</v>
      </c>
    </row>
    <row r="2546" spans="1:15" s="1" customFormat="1" ht="15" customHeight="1" x14ac:dyDescent="0.25">
      <c r="A2546" s="18" t="s">
        <v>70</v>
      </c>
      <c r="B2546" s="18" t="s">
        <v>507</v>
      </c>
      <c r="C2546" s="5">
        <v>1861</v>
      </c>
      <c r="E2546" s="1" t="s">
        <v>939</v>
      </c>
      <c r="F2546" s="18">
        <v>999</v>
      </c>
      <c r="G2546" s="18">
        <v>25</v>
      </c>
      <c r="H2546" s="5">
        <v>23</v>
      </c>
      <c r="I2546" s="1">
        <v>71</v>
      </c>
      <c r="J2546" s="1">
        <v>105</v>
      </c>
      <c r="L2546" t="str">
        <f t="shared" si="39"/>
        <v>http://www.badatelna.eu/reprodukce/?fondId=241&amp;zaznamId=1133739&amp;reproId=3885754</v>
      </c>
      <c r="M2546">
        <f>VLOOKUP(F2546,Sheet2!$B$1:$E$19,2,FALSE)</f>
        <v>241</v>
      </c>
      <c r="N2546">
        <f>VLOOKUP(F2546,Sheet2!$B$1:$E$19,3,FALSE)</f>
        <v>1133739</v>
      </c>
      <c r="O2546">
        <f>IF(G2546="Not available","",VLOOKUP(F2546,Sheet2!$B$1:$E$19,4,FALSE)+(G2546-1))</f>
        <v>3885754</v>
      </c>
    </row>
    <row r="2547" spans="1:15" s="1" customFormat="1" ht="15" customHeight="1" x14ac:dyDescent="0.25">
      <c r="A2547" s="18" t="s">
        <v>70</v>
      </c>
      <c r="B2547" s="18" t="s">
        <v>884</v>
      </c>
      <c r="C2547" s="5">
        <v>1850</v>
      </c>
      <c r="D2547" s="1" t="s">
        <v>93</v>
      </c>
      <c r="E2547" s="1" t="s">
        <v>2</v>
      </c>
      <c r="F2547" s="18">
        <v>2164</v>
      </c>
      <c r="G2547" s="18">
        <v>77</v>
      </c>
      <c r="H2547" s="5">
        <v>75</v>
      </c>
      <c r="I2547" s="1">
        <v>132</v>
      </c>
      <c r="J2547" s="3" t="s">
        <v>3271</v>
      </c>
      <c r="L2547" t="str">
        <f t="shared" si="39"/>
        <v>http://www.badatelna.eu/reprodukce/?fondId=1073&amp;zaznamId=1108951&amp;reproId=3778791</v>
      </c>
      <c r="M2547">
        <f>VLOOKUP(F2547,Sheet2!$B$1:$E$19,2,FALSE)</f>
        <v>1073</v>
      </c>
      <c r="N2547">
        <f>VLOOKUP(F2547,Sheet2!$B$1:$E$19,3,FALSE)</f>
        <v>1108951</v>
      </c>
      <c r="O2547">
        <f>IF(G2547="Not available","",VLOOKUP(F2547,Sheet2!$B$1:$E$19,4,FALSE)+(G2547-1))</f>
        <v>3778791</v>
      </c>
    </row>
    <row r="2548" spans="1:15" s="1" customFormat="1" ht="15" customHeight="1" x14ac:dyDescent="0.25">
      <c r="A2548" s="18" t="s">
        <v>70</v>
      </c>
      <c r="B2548" s="18" t="s">
        <v>92</v>
      </c>
      <c r="C2548" s="5">
        <v>1789</v>
      </c>
      <c r="D2548" s="12" t="s">
        <v>2940</v>
      </c>
      <c r="E2548" s="1" t="s">
        <v>2</v>
      </c>
      <c r="F2548" s="18">
        <v>2173</v>
      </c>
      <c r="G2548" s="18">
        <v>21</v>
      </c>
      <c r="H2548" s="5">
        <v>37</v>
      </c>
      <c r="I2548" s="1">
        <v>105</v>
      </c>
      <c r="J2548" s="1">
        <v>225</v>
      </c>
      <c r="L2548" t="str">
        <f t="shared" si="39"/>
        <v>http://www.badatelna.eu/reprodukce/?fondId=1073&amp;zaznamId=1108959&amp;reproId=3780014</v>
      </c>
      <c r="M2548">
        <f>VLOOKUP(F2548,Sheet2!$B$1:$E$19,2,FALSE)</f>
        <v>1073</v>
      </c>
      <c r="N2548">
        <f>VLOOKUP(F2548,Sheet2!$B$1:$E$19,3,FALSE)</f>
        <v>1108959</v>
      </c>
      <c r="O2548">
        <f>IF(G2548="Not available","",VLOOKUP(F2548,Sheet2!$B$1:$E$19,4,FALSE)+(G2548-1))</f>
        <v>3780014</v>
      </c>
    </row>
    <row r="2549" spans="1:15" s="1" customFormat="1" ht="15" customHeight="1" x14ac:dyDescent="0.25">
      <c r="A2549" s="18" t="s">
        <v>70</v>
      </c>
      <c r="B2549" s="18" t="s">
        <v>92</v>
      </c>
      <c r="C2549" s="5">
        <v>1863</v>
      </c>
      <c r="E2549" s="1" t="s">
        <v>939</v>
      </c>
      <c r="F2549" s="18">
        <v>999</v>
      </c>
      <c r="G2549" s="18">
        <v>44</v>
      </c>
      <c r="H2549" s="5">
        <v>42</v>
      </c>
      <c r="I2549" s="1">
        <v>71</v>
      </c>
      <c r="J2549" s="1">
        <v>105</v>
      </c>
      <c r="K2549" s="4" t="s">
        <v>363</v>
      </c>
      <c r="L2549" t="str">
        <f t="shared" si="39"/>
        <v>http://www.badatelna.eu/reprodukce/?fondId=241&amp;zaznamId=1133739&amp;reproId=3885773</v>
      </c>
      <c r="M2549">
        <f>VLOOKUP(F2549,Sheet2!$B$1:$E$19,2,FALSE)</f>
        <v>241</v>
      </c>
      <c r="N2549">
        <f>VLOOKUP(F2549,Sheet2!$B$1:$E$19,3,FALSE)</f>
        <v>1133739</v>
      </c>
      <c r="O2549">
        <f>IF(G2549="Not available","",VLOOKUP(F2549,Sheet2!$B$1:$E$19,4,FALSE)+(G2549-1))</f>
        <v>3885773</v>
      </c>
    </row>
    <row r="2550" spans="1:15" s="1" customFormat="1" ht="15" customHeight="1" x14ac:dyDescent="0.25">
      <c r="A2550" s="18" t="s">
        <v>70</v>
      </c>
      <c r="B2550" s="18" t="s">
        <v>478</v>
      </c>
      <c r="C2550" s="5">
        <v>1838</v>
      </c>
      <c r="D2550" s="1" t="s">
        <v>146</v>
      </c>
      <c r="E2550" s="1" t="s">
        <v>2</v>
      </c>
      <c r="F2550" s="18">
        <v>2174</v>
      </c>
      <c r="G2550" s="18">
        <v>101</v>
      </c>
      <c r="H2550" s="6" t="s">
        <v>3170</v>
      </c>
      <c r="I2550" s="1">
        <v>191</v>
      </c>
      <c r="J2550" s="1">
        <v>222</v>
      </c>
      <c r="L2550" t="str">
        <f t="shared" si="39"/>
        <v>http://www.badatelna.eu/reprodukce/?fondId=1073&amp;zaznamId=1108960&amp;reproId=3780325</v>
      </c>
      <c r="M2550">
        <f>VLOOKUP(F2550,Sheet2!$B$1:$E$19,2,FALSE)</f>
        <v>1073</v>
      </c>
      <c r="N2550">
        <f>VLOOKUP(F2550,Sheet2!$B$1:$E$19,3,FALSE)</f>
        <v>1108960</v>
      </c>
      <c r="O2550">
        <f>IF(G2550="Not available","",VLOOKUP(F2550,Sheet2!$B$1:$E$19,4,FALSE)+(G2550-1))</f>
        <v>3780325</v>
      </c>
    </row>
    <row r="2551" spans="1:15" s="1" customFormat="1" ht="15" customHeight="1" x14ac:dyDescent="0.25">
      <c r="A2551" s="18" t="s">
        <v>70</v>
      </c>
      <c r="B2551" s="18" t="s">
        <v>162</v>
      </c>
      <c r="C2551" s="5">
        <v>1830</v>
      </c>
      <c r="E2551" s="1" t="s">
        <v>2</v>
      </c>
      <c r="F2551" s="18">
        <v>2173</v>
      </c>
      <c r="G2551" s="18">
        <v>87</v>
      </c>
      <c r="H2551" s="5">
        <v>162</v>
      </c>
      <c r="I2551" s="1">
        <v>106</v>
      </c>
      <c r="J2551" s="1">
        <v>227</v>
      </c>
      <c r="L2551" t="str">
        <f t="shared" si="39"/>
        <v>http://www.badatelna.eu/reprodukce/?fondId=1073&amp;zaznamId=1108959&amp;reproId=3780080</v>
      </c>
      <c r="M2551">
        <f>VLOOKUP(F2551,Sheet2!$B$1:$E$19,2,FALSE)</f>
        <v>1073</v>
      </c>
      <c r="N2551">
        <f>VLOOKUP(F2551,Sheet2!$B$1:$E$19,3,FALSE)</f>
        <v>1108959</v>
      </c>
      <c r="O2551">
        <f>IF(G2551="Not available","",VLOOKUP(F2551,Sheet2!$B$1:$E$19,4,FALSE)+(G2551-1))</f>
        <v>3780080</v>
      </c>
    </row>
    <row r="2552" spans="1:15" s="1" customFormat="1" ht="15" customHeight="1" x14ac:dyDescent="0.25">
      <c r="A2552" s="18" t="s">
        <v>70</v>
      </c>
      <c r="B2552" s="19" t="s">
        <v>1043</v>
      </c>
      <c r="C2552" s="5">
        <v>1866</v>
      </c>
      <c r="E2552" s="1" t="s">
        <v>939</v>
      </c>
      <c r="F2552" s="18">
        <v>999</v>
      </c>
      <c r="G2552" s="18">
        <v>58</v>
      </c>
      <c r="H2552" s="5">
        <v>56</v>
      </c>
      <c r="I2552" s="1">
        <v>71</v>
      </c>
      <c r="J2552" s="1">
        <v>105</v>
      </c>
      <c r="L2552" t="str">
        <f t="shared" si="39"/>
        <v>http://www.badatelna.eu/reprodukce/?fondId=241&amp;zaznamId=1133739&amp;reproId=3885787</v>
      </c>
      <c r="M2552">
        <f>VLOOKUP(F2552,Sheet2!$B$1:$E$19,2,FALSE)</f>
        <v>241</v>
      </c>
      <c r="N2552">
        <f>VLOOKUP(F2552,Sheet2!$B$1:$E$19,3,FALSE)</f>
        <v>1133739</v>
      </c>
      <c r="O2552">
        <f>IF(G2552="Not available","",VLOOKUP(F2552,Sheet2!$B$1:$E$19,4,FALSE)+(G2552-1))</f>
        <v>3885787</v>
      </c>
    </row>
    <row r="2553" spans="1:15" s="1" customFormat="1" ht="15" customHeight="1" x14ac:dyDescent="0.25">
      <c r="A2553" s="18" t="s">
        <v>70</v>
      </c>
      <c r="B2553" s="18" t="s">
        <v>1043</v>
      </c>
      <c r="C2553" s="5" t="s">
        <v>1475</v>
      </c>
      <c r="D2553" s="1" t="s">
        <v>489</v>
      </c>
      <c r="E2553" s="1" t="s">
        <v>2</v>
      </c>
      <c r="F2553" s="18">
        <v>2165</v>
      </c>
      <c r="G2553" s="18">
        <v>12</v>
      </c>
      <c r="H2553" s="5">
        <v>9</v>
      </c>
      <c r="I2553" s="1">
        <v>86</v>
      </c>
      <c r="J2553" s="1" t="s">
        <v>3271</v>
      </c>
      <c r="L2553" t="str">
        <f t="shared" si="39"/>
        <v>http://www.badatelna.eu/reprodukce/?fondId=1073&amp;zaznamId=1108952&amp;reproId=3778873</v>
      </c>
      <c r="M2553">
        <f>VLOOKUP(F2553,Sheet2!$B$1:$E$19,2,FALSE)</f>
        <v>1073</v>
      </c>
      <c r="N2553">
        <f>VLOOKUP(F2553,Sheet2!$B$1:$E$19,3,FALSE)</f>
        <v>1108952</v>
      </c>
      <c r="O2553">
        <f>IF(G2553="Not available","",VLOOKUP(F2553,Sheet2!$B$1:$E$19,4,FALSE)+(G2553-1))</f>
        <v>3778873</v>
      </c>
    </row>
    <row r="2554" spans="1:15" s="1" customFormat="1" ht="15" customHeight="1" x14ac:dyDescent="0.25">
      <c r="A2554" s="18" t="s">
        <v>70</v>
      </c>
      <c r="B2554" s="18" t="s">
        <v>674</v>
      </c>
      <c r="C2554" s="5">
        <v>1863</v>
      </c>
      <c r="E2554" s="1" t="s">
        <v>939</v>
      </c>
      <c r="F2554" s="18">
        <v>999</v>
      </c>
      <c r="G2554" s="18">
        <v>44</v>
      </c>
      <c r="H2554" s="5">
        <v>42</v>
      </c>
      <c r="I2554" s="1">
        <v>71</v>
      </c>
      <c r="J2554" s="1">
        <v>105</v>
      </c>
      <c r="K2554" s="4" t="s">
        <v>363</v>
      </c>
      <c r="L2554" t="str">
        <f t="shared" si="39"/>
        <v>http://www.badatelna.eu/reprodukce/?fondId=241&amp;zaznamId=1133739&amp;reproId=3885773</v>
      </c>
      <c r="M2554">
        <f>VLOOKUP(F2554,Sheet2!$B$1:$E$19,2,FALSE)</f>
        <v>241</v>
      </c>
      <c r="N2554">
        <f>VLOOKUP(F2554,Sheet2!$B$1:$E$19,3,FALSE)</f>
        <v>1133739</v>
      </c>
      <c r="O2554">
        <f>IF(G2554="Not available","",VLOOKUP(F2554,Sheet2!$B$1:$E$19,4,FALSE)+(G2554-1))</f>
        <v>3885773</v>
      </c>
    </row>
    <row r="2555" spans="1:15" s="1" customFormat="1" ht="15" customHeight="1" x14ac:dyDescent="0.25">
      <c r="A2555" s="18" t="s">
        <v>70</v>
      </c>
      <c r="B2555" s="18" t="s">
        <v>482</v>
      </c>
      <c r="C2555" s="5">
        <v>1849</v>
      </c>
      <c r="D2555" s="1" t="s">
        <v>146</v>
      </c>
      <c r="E2555" s="1" t="s">
        <v>2</v>
      </c>
      <c r="F2555" s="18">
        <v>2164</v>
      </c>
      <c r="G2555" s="18">
        <v>62</v>
      </c>
      <c r="H2555" s="6" t="s">
        <v>2884</v>
      </c>
      <c r="I2555" s="1">
        <v>132</v>
      </c>
      <c r="J2555" s="3" t="s">
        <v>3271</v>
      </c>
      <c r="L2555" t="str">
        <f t="shared" si="39"/>
        <v>http://www.badatelna.eu/reprodukce/?fondId=1073&amp;zaznamId=1108951&amp;reproId=3778776</v>
      </c>
      <c r="M2555">
        <f>VLOOKUP(F2555,Sheet2!$B$1:$E$19,2,FALSE)</f>
        <v>1073</v>
      </c>
      <c r="N2555">
        <f>VLOOKUP(F2555,Sheet2!$B$1:$E$19,3,FALSE)</f>
        <v>1108951</v>
      </c>
      <c r="O2555">
        <f>IF(G2555="Not available","",VLOOKUP(F2555,Sheet2!$B$1:$E$19,4,FALSE)+(G2555-1))</f>
        <v>3778776</v>
      </c>
    </row>
    <row r="2556" spans="1:15" s="1" customFormat="1" ht="15" customHeight="1" x14ac:dyDescent="0.25">
      <c r="A2556" s="18" t="s">
        <v>70</v>
      </c>
      <c r="B2556" s="18" t="s">
        <v>6</v>
      </c>
      <c r="C2556" s="5">
        <v>1786</v>
      </c>
      <c r="D2556" s="1" t="s">
        <v>34</v>
      </c>
      <c r="E2556" s="1" t="s">
        <v>2</v>
      </c>
      <c r="F2556" s="18">
        <v>2173</v>
      </c>
      <c r="G2556" s="18">
        <v>11</v>
      </c>
      <c r="H2556" s="5">
        <v>17</v>
      </c>
      <c r="I2556" s="1">
        <v>94</v>
      </c>
      <c r="J2556" s="1">
        <v>197</v>
      </c>
      <c r="L2556" t="str">
        <f t="shared" si="39"/>
        <v>http://www.badatelna.eu/reprodukce/?fondId=1073&amp;zaznamId=1108959&amp;reproId=3780004</v>
      </c>
      <c r="M2556">
        <f>VLOOKUP(F2556,Sheet2!$B$1:$E$19,2,FALSE)</f>
        <v>1073</v>
      </c>
      <c r="N2556">
        <f>VLOOKUP(F2556,Sheet2!$B$1:$E$19,3,FALSE)</f>
        <v>1108959</v>
      </c>
      <c r="O2556">
        <f>IF(G2556="Not available","",VLOOKUP(F2556,Sheet2!$B$1:$E$19,4,FALSE)+(G2556-1))</f>
        <v>3780004</v>
      </c>
    </row>
    <row r="2557" spans="1:15" s="1" customFormat="1" ht="15" customHeight="1" x14ac:dyDescent="0.25">
      <c r="A2557" s="18" t="s">
        <v>70</v>
      </c>
      <c r="B2557" s="18" t="s">
        <v>562</v>
      </c>
      <c r="C2557" s="5">
        <v>1852</v>
      </c>
      <c r="D2557" s="1" t="s">
        <v>146</v>
      </c>
      <c r="E2557" s="1" t="s">
        <v>2</v>
      </c>
      <c r="F2557" s="18">
        <v>2164</v>
      </c>
      <c r="G2557" s="18">
        <v>90</v>
      </c>
      <c r="H2557" s="5">
        <v>88</v>
      </c>
      <c r="I2557" s="1">
        <v>132</v>
      </c>
      <c r="J2557" s="3" t="s">
        <v>3271</v>
      </c>
      <c r="L2557" t="str">
        <f t="shared" si="39"/>
        <v>http://www.badatelna.eu/reprodukce/?fondId=1073&amp;zaznamId=1108951&amp;reproId=3778804</v>
      </c>
      <c r="M2557">
        <f>VLOOKUP(F2557,Sheet2!$B$1:$E$19,2,FALSE)</f>
        <v>1073</v>
      </c>
      <c r="N2557">
        <f>VLOOKUP(F2557,Sheet2!$B$1:$E$19,3,FALSE)</f>
        <v>1108951</v>
      </c>
      <c r="O2557">
        <f>IF(G2557="Not available","",VLOOKUP(F2557,Sheet2!$B$1:$E$19,4,FALSE)+(G2557-1))</f>
        <v>3778804</v>
      </c>
    </row>
    <row r="2558" spans="1:15" s="1" customFormat="1" ht="15" customHeight="1" x14ac:dyDescent="0.25">
      <c r="A2558" s="18" t="s">
        <v>70</v>
      </c>
      <c r="B2558" s="18" t="s">
        <v>122</v>
      </c>
      <c r="C2558" s="5">
        <v>1850</v>
      </c>
      <c r="D2558" s="1" t="s">
        <v>23</v>
      </c>
      <c r="E2558" s="1" t="s">
        <v>2</v>
      </c>
      <c r="F2558" s="18">
        <v>2164</v>
      </c>
      <c r="G2558" s="18">
        <v>77</v>
      </c>
      <c r="H2558" s="5">
        <v>75</v>
      </c>
      <c r="I2558" s="1">
        <v>132</v>
      </c>
      <c r="J2558" s="3" t="s">
        <v>3271</v>
      </c>
      <c r="L2558" t="str">
        <f t="shared" si="39"/>
        <v>http://www.badatelna.eu/reprodukce/?fondId=1073&amp;zaznamId=1108951&amp;reproId=3778791</v>
      </c>
      <c r="M2558">
        <f>VLOOKUP(F2558,Sheet2!$B$1:$E$19,2,FALSE)</f>
        <v>1073</v>
      </c>
      <c r="N2558">
        <f>VLOOKUP(F2558,Sheet2!$B$1:$E$19,3,FALSE)</f>
        <v>1108951</v>
      </c>
      <c r="O2558">
        <f>IF(G2558="Not available","",VLOOKUP(F2558,Sheet2!$B$1:$E$19,4,FALSE)+(G2558-1))</f>
        <v>3778791</v>
      </c>
    </row>
    <row r="2559" spans="1:15" s="1" customFormat="1" ht="15" customHeight="1" x14ac:dyDescent="0.25">
      <c r="A2559" s="18" t="s">
        <v>70</v>
      </c>
      <c r="B2559" s="18" t="s">
        <v>490</v>
      </c>
      <c r="C2559" s="5">
        <v>1844</v>
      </c>
      <c r="D2559" s="1" t="s">
        <v>146</v>
      </c>
      <c r="E2559" s="1" t="s">
        <v>2</v>
      </c>
      <c r="F2559" s="18">
        <v>2174</v>
      </c>
      <c r="G2559" s="18">
        <v>147</v>
      </c>
      <c r="H2559" s="6" t="s">
        <v>3213</v>
      </c>
      <c r="I2559" s="1">
        <v>192</v>
      </c>
      <c r="J2559" s="1">
        <v>223</v>
      </c>
      <c r="L2559" t="str">
        <f t="shared" si="39"/>
        <v>http://www.badatelna.eu/reprodukce/?fondId=1073&amp;zaznamId=1108960&amp;reproId=3780371</v>
      </c>
      <c r="M2559">
        <f>VLOOKUP(F2559,Sheet2!$B$1:$E$19,2,FALSE)</f>
        <v>1073</v>
      </c>
      <c r="N2559">
        <f>VLOOKUP(F2559,Sheet2!$B$1:$E$19,3,FALSE)</f>
        <v>1108960</v>
      </c>
      <c r="O2559">
        <f>IF(G2559="Not available","",VLOOKUP(F2559,Sheet2!$B$1:$E$19,4,FALSE)+(G2559-1))</f>
        <v>3780371</v>
      </c>
    </row>
    <row r="2560" spans="1:15" s="1" customFormat="1" ht="15" customHeight="1" x14ac:dyDescent="0.25">
      <c r="A2560" s="18" t="s">
        <v>70</v>
      </c>
      <c r="B2560" s="18" t="s">
        <v>774</v>
      </c>
      <c r="C2560" s="5">
        <v>1847</v>
      </c>
      <c r="D2560" s="1" t="s">
        <v>146</v>
      </c>
      <c r="E2560" s="1" t="s">
        <v>2</v>
      </c>
      <c r="F2560" s="18">
        <v>2164</v>
      </c>
      <c r="G2560" s="18">
        <v>12</v>
      </c>
      <c r="H2560" s="5">
        <v>10</v>
      </c>
      <c r="I2560" s="1">
        <v>132</v>
      </c>
      <c r="J2560" s="3" t="s">
        <v>3271</v>
      </c>
      <c r="L2560" t="str">
        <f t="shared" si="39"/>
        <v>http://www.badatelna.eu/reprodukce/?fondId=1073&amp;zaznamId=1108951&amp;reproId=3778726</v>
      </c>
      <c r="M2560">
        <f>VLOOKUP(F2560,Sheet2!$B$1:$E$19,2,FALSE)</f>
        <v>1073</v>
      </c>
      <c r="N2560">
        <f>VLOOKUP(F2560,Sheet2!$B$1:$E$19,3,FALSE)</f>
        <v>1108951</v>
      </c>
      <c r="O2560">
        <f>IF(G2560="Not available","",VLOOKUP(F2560,Sheet2!$B$1:$E$19,4,FALSE)+(G2560-1))</f>
        <v>3778726</v>
      </c>
    </row>
    <row r="2561" spans="1:15" s="1" customFormat="1" ht="15" customHeight="1" x14ac:dyDescent="0.25">
      <c r="A2561" s="18" t="s">
        <v>70</v>
      </c>
      <c r="B2561" s="18" t="s">
        <v>426</v>
      </c>
      <c r="C2561" s="5">
        <v>1836</v>
      </c>
      <c r="D2561" s="1" t="s">
        <v>4</v>
      </c>
      <c r="E2561" s="1" t="s">
        <v>2</v>
      </c>
      <c r="F2561" s="18">
        <v>2174</v>
      </c>
      <c r="G2561" s="18">
        <v>90</v>
      </c>
      <c r="H2561" s="6" t="s">
        <v>3156</v>
      </c>
      <c r="I2561" s="1">
        <v>191</v>
      </c>
      <c r="J2561" s="1">
        <v>222</v>
      </c>
      <c r="L2561" t="str">
        <f t="shared" si="39"/>
        <v>http://www.badatelna.eu/reprodukce/?fondId=1073&amp;zaznamId=1108960&amp;reproId=3780314</v>
      </c>
      <c r="M2561">
        <f>VLOOKUP(F2561,Sheet2!$B$1:$E$19,2,FALSE)</f>
        <v>1073</v>
      </c>
      <c r="N2561">
        <f>VLOOKUP(F2561,Sheet2!$B$1:$E$19,3,FALSE)</f>
        <v>1108960</v>
      </c>
      <c r="O2561">
        <f>IF(G2561="Not available","",VLOOKUP(F2561,Sheet2!$B$1:$E$19,4,FALSE)+(G2561-1))</f>
        <v>3780314</v>
      </c>
    </row>
    <row r="2562" spans="1:15" s="1" customFormat="1" ht="15" customHeight="1" x14ac:dyDescent="0.25">
      <c r="A2562" s="18" t="s">
        <v>70</v>
      </c>
      <c r="B2562" s="19" t="s">
        <v>548</v>
      </c>
      <c r="C2562" s="5">
        <v>1862</v>
      </c>
      <c r="E2562" s="1" t="s">
        <v>939</v>
      </c>
      <c r="F2562" s="18">
        <v>999</v>
      </c>
      <c r="G2562" s="18">
        <v>37</v>
      </c>
      <c r="H2562" s="5">
        <v>35</v>
      </c>
      <c r="I2562" s="1">
        <v>71</v>
      </c>
      <c r="J2562" s="1">
        <v>105</v>
      </c>
      <c r="L2562" t="str">
        <f t="shared" si="39"/>
        <v>http://www.badatelna.eu/reprodukce/?fondId=241&amp;zaznamId=1133739&amp;reproId=3885766</v>
      </c>
      <c r="M2562">
        <f>VLOOKUP(F2562,Sheet2!$B$1:$E$19,2,FALSE)</f>
        <v>241</v>
      </c>
      <c r="N2562">
        <f>VLOOKUP(F2562,Sheet2!$B$1:$E$19,3,FALSE)</f>
        <v>1133739</v>
      </c>
      <c r="O2562">
        <f>IF(G2562="Not available","",VLOOKUP(F2562,Sheet2!$B$1:$E$19,4,FALSE)+(G2562-1))</f>
        <v>3885766</v>
      </c>
    </row>
    <row r="2563" spans="1:15" s="1" customFormat="1" ht="15" customHeight="1" x14ac:dyDescent="0.25">
      <c r="A2563" s="18" t="s">
        <v>70</v>
      </c>
      <c r="B2563" s="18" t="s">
        <v>956</v>
      </c>
      <c r="C2563" s="5">
        <v>1857</v>
      </c>
      <c r="E2563" s="1" t="s">
        <v>939</v>
      </c>
      <c r="F2563" s="18">
        <v>999</v>
      </c>
      <c r="G2563" s="18">
        <v>5</v>
      </c>
      <c r="H2563" s="5">
        <v>3</v>
      </c>
      <c r="I2563" s="1">
        <v>71</v>
      </c>
      <c r="J2563" s="1">
        <v>105</v>
      </c>
      <c r="L2563" t="str">
        <f t="shared" ref="L2563:L2626" si="40">IF(G2563="Not available","","http://www.badatelna.eu/reprodukce/?fondId="&amp;M2563&amp;"&amp;zaznamId="&amp;N2563&amp;"&amp;reproId="&amp;O2563)</f>
        <v>http://www.badatelna.eu/reprodukce/?fondId=241&amp;zaznamId=1133739&amp;reproId=3885734</v>
      </c>
      <c r="M2563">
        <f>VLOOKUP(F2563,Sheet2!$B$1:$E$19,2,FALSE)</f>
        <v>241</v>
      </c>
      <c r="N2563">
        <f>VLOOKUP(F2563,Sheet2!$B$1:$E$19,3,FALSE)</f>
        <v>1133739</v>
      </c>
      <c r="O2563">
        <f>IF(G2563="Not available","",VLOOKUP(F2563,Sheet2!$B$1:$E$19,4,FALSE)+(G2563-1))</f>
        <v>3885734</v>
      </c>
    </row>
    <row r="2564" spans="1:15" s="1" customFormat="1" ht="15" customHeight="1" x14ac:dyDescent="0.25">
      <c r="A2564" s="18" t="s">
        <v>70</v>
      </c>
      <c r="B2564" s="18" t="s">
        <v>436</v>
      </c>
      <c r="C2564" s="5">
        <v>1852</v>
      </c>
      <c r="D2564" s="4" t="s">
        <v>146</v>
      </c>
      <c r="E2564" s="1" t="s">
        <v>2</v>
      </c>
      <c r="F2564" s="18">
        <v>2164</v>
      </c>
      <c r="G2564" s="18">
        <v>107</v>
      </c>
      <c r="H2564" s="5">
        <v>105</v>
      </c>
      <c r="I2564" s="1">
        <v>132</v>
      </c>
      <c r="J2564" s="3" t="s">
        <v>3271</v>
      </c>
      <c r="L2564" t="str">
        <f t="shared" si="40"/>
        <v>http://www.badatelna.eu/reprodukce/?fondId=1073&amp;zaznamId=1108951&amp;reproId=3778821</v>
      </c>
      <c r="M2564">
        <f>VLOOKUP(F2564,Sheet2!$B$1:$E$19,2,FALSE)</f>
        <v>1073</v>
      </c>
      <c r="N2564">
        <f>VLOOKUP(F2564,Sheet2!$B$1:$E$19,3,FALSE)</f>
        <v>1108951</v>
      </c>
      <c r="O2564">
        <f>IF(G2564="Not available","",VLOOKUP(F2564,Sheet2!$B$1:$E$19,4,FALSE)+(G2564-1))</f>
        <v>3778821</v>
      </c>
    </row>
    <row r="2565" spans="1:15" s="1" customFormat="1" ht="15" customHeight="1" x14ac:dyDescent="0.25">
      <c r="A2565" s="18" t="s">
        <v>70</v>
      </c>
      <c r="B2565" s="18" t="s">
        <v>219</v>
      </c>
      <c r="C2565" s="5">
        <v>1860</v>
      </c>
      <c r="E2565" s="1" t="s">
        <v>939</v>
      </c>
      <c r="F2565" s="18">
        <v>999</v>
      </c>
      <c r="G2565" s="18">
        <v>22</v>
      </c>
      <c r="H2565" s="5">
        <v>20</v>
      </c>
      <c r="I2565" s="1">
        <v>71</v>
      </c>
      <c r="J2565" s="1">
        <v>105</v>
      </c>
      <c r="L2565" t="str">
        <f t="shared" si="40"/>
        <v>http://www.badatelna.eu/reprodukce/?fondId=241&amp;zaznamId=1133739&amp;reproId=3885751</v>
      </c>
      <c r="M2565">
        <f>VLOOKUP(F2565,Sheet2!$B$1:$E$19,2,FALSE)</f>
        <v>241</v>
      </c>
      <c r="N2565">
        <f>VLOOKUP(F2565,Sheet2!$B$1:$E$19,3,FALSE)</f>
        <v>1133739</v>
      </c>
      <c r="O2565">
        <f>IF(G2565="Not available","",VLOOKUP(F2565,Sheet2!$B$1:$E$19,4,FALSE)+(G2565-1))</f>
        <v>3885751</v>
      </c>
    </row>
    <row r="2566" spans="1:15" s="1" customFormat="1" ht="15" customHeight="1" x14ac:dyDescent="0.25">
      <c r="A2566" s="18" t="s">
        <v>70</v>
      </c>
      <c r="B2566" s="18" t="s">
        <v>370</v>
      </c>
      <c r="C2566" s="5">
        <v>1839</v>
      </c>
      <c r="D2566" s="1" t="s">
        <v>4</v>
      </c>
      <c r="E2566" s="1" t="s">
        <v>2</v>
      </c>
      <c r="F2566" s="18">
        <v>2174</v>
      </c>
      <c r="G2566" s="18">
        <v>102</v>
      </c>
      <c r="H2566" s="6" t="s">
        <v>3165</v>
      </c>
      <c r="I2566" s="1">
        <v>191</v>
      </c>
      <c r="J2566" s="1">
        <v>222</v>
      </c>
      <c r="L2566" t="str">
        <f t="shared" si="40"/>
        <v>http://www.badatelna.eu/reprodukce/?fondId=1073&amp;zaznamId=1108960&amp;reproId=3780326</v>
      </c>
      <c r="M2566">
        <f>VLOOKUP(F2566,Sheet2!$B$1:$E$19,2,FALSE)</f>
        <v>1073</v>
      </c>
      <c r="N2566">
        <f>VLOOKUP(F2566,Sheet2!$B$1:$E$19,3,FALSE)</f>
        <v>1108960</v>
      </c>
      <c r="O2566">
        <f>IF(G2566="Not available","",VLOOKUP(F2566,Sheet2!$B$1:$E$19,4,FALSE)+(G2566-1))</f>
        <v>3780326</v>
      </c>
    </row>
    <row r="2567" spans="1:15" s="1" customFormat="1" ht="15" customHeight="1" x14ac:dyDescent="0.25">
      <c r="A2567" s="18" t="s">
        <v>70</v>
      </c>
      <c r="B2567" s="18" t="s">
        <v>120</v>
      </c>
      <c r="C2567" s="5">
        <v>1814</v>
      </c>
      <c r="E2567" s="1" t="s">
        <v>2</v>
      </c>
      <c r="F2567" s="18">
        <v>2173</v>
      </c>
      <c r="G2567" s="18">
        <v>58</v>
      </c>
      <c r="H2567" s="5">
        <v>111</v>
      </c>
      <c r="I2567" s="1">
        <v>106</v>
      </c>
      <c r="J2567" s="1">
        <v>226</v>
      </c>
      <c r="L2567" t="str">
        <f t="shared" si="40"/>
        <v>http://www.badatelna.eu/reprodukce/?fondId=1073&amp;zaznamId=1108959&amp;reproId=3780051</v>
      </c>
      <c r="M2567">
        <f>VLOOKUP(F2567,Sheet2!$B$1:$E$19,2,FALSE)</f>
        <v>1073</v>
      </c>
      <c r="N2567">
        <f>VLOOKUP(F2567,Sheet2!$B$1:$E$19,3,FALSE)</f>
        <v>1108959</v>
      </c>
      <c r="O2567">
        <f>IF(G2567="Not available","",VLOOKUP(F2567,Sheet2!$B$1:$E$19,4,FALSE)+(G2567-1))</f>
        <v>3780051</v>
      </c>
    </row>
    <row r="2568" spans="1:15" s="1" customFormat="1" ht="15" customHeight="1" x14ac:dyDescent="0.25">
      <c r="A2568" s="18" t="s">
        <v>70</v>
      </c>
      <c r="B2568" s="18" t="s">
        <v>51</v>
      </c>
      <c r="C2568" s="5">
        <v>1852</v>
      </c>
      <c r="D2568" s="1" t="s">
        <v>146</v>
      </c>
      <c r="E2568" s="1" t="s">
        <v>2</v>
      </c>
      <c r="F2568" s="18">
        <v>2164</v>
      </c>
      <c r="G2568" s="18">
        <v>100</v>
      </c>
      <c r="H2568" s="5">
        <v>98</v>
      </c>
      <c r="I2568" s="1">
        <v>132</v>
      </c>
      <c r="J2568" s="3" t="s">
        <v>3271</v>
      </c>
      <c r="L2568" t="str">
        <f t="shared" si="40"/>
        <v>http://www.badatelna.eu/reprodukce/?fondId=1073&amp;zaznamId=1108951&amp;reproId=3778814</v>
      </c>
      <c r="M2568">
        <f>VLOOKUP(F2568,Sheet2!$B$1:$E$19,2,FALSE)</f>
        <v>1073</v>
      </c>
      <c r="N2568">
        <f>VLOOKUP(F2568,Sheet2!$B$1:$E$19,3,FALSE)</f>
        <v>1108951</v>
      </c>
      <c r="O2568">
        <f>IF(G2568="Not available","",VLOOKUP(F2568,Sheet2!$B$1:$E$19,4,FALSE)+(G2568-1))</f>
        <v>3778814</v>
      </c>
    </row>
    <row r="2569" spans="1:15" s="1" customFormat="1" ht="15" customHeight="1" x14ac:dyDescent="0.25">
      <c r="A2569" s="18" t="s">
        <v>70</v>
      </c>
      <c r="B2569" s="18" t="s">
        <v>133</v>
      </c>
      <c r="C2569" s="5">
        <v>1844</v>
      </c>
      <c r="D2569" s="1" t="s">
        <v>478</v>
      </c>
      <c r="E2569" s="1" t="s">
        <v>2</v>
      </c>
      <c r="F2569" s="18">
        <v>2174</v>
      </c>
      <c r="G2569" s="18">
        <v>147</v>
      </c>
      <c r="H2569" s="6" t="s">
        <v>3213</v>
      </c>
      <c r="I2569" s="1">
        <v>192</v>
      </c>
      <c r="J2569" s="1">
        <v>223</v>
      </c>
      <c r="L2569" t="str">
        <f t="shared" si="40"/>
        <v>http://www.badatelna.eu/reprodukce/?fondId=1073&amp;zaznamId=1108960&amp;reproId=3780371</v>
      </c>
      <c r="M2569">
        <f>VLOOKUP(F2569,Sheet2!$B$1:$E$19,2,FALSE)</f>
        <v>1073</v>
      </c>
      <c r="N2569">
        <f>VLOOKUP(F2569,Sheet2!$B$1:$E$19,3,FALSE)</f>
        <v>1108960</v>
      </c>
      <c r="O2569">
        <f>IF(G2569="Not available","",VLOOKUP(F2569,Sheet2!$B$1:$E$19,4,FALSE)+(G2569-1))</f>
        <v>3780371</v>
      </c>
    </row>
    <row r="2570" spans="1:15" s="1" customFormat="1" ht="15" customHeight="1" x14ac:dyDescent="0.25">
      <c r="A2570" s="18" t="s">
        <v>70</v>
      </c>
      <c r="B2570" s="18" t="s">
        <v>4</v>
      </c>
      <c r="C2570" s="5">
        <v>1792</v>
      </c>
      <c r="D2570" s="1" t="s">
        <v>22</v>
      </c>
      <c r="E2570" s="1" t="s">
        <v>2</v>
      </c>
      <c r="F2570" s="18">
        <v>2173</v>
      </c>
      <c r="G2570" s="18">
        <v>26</v>
      </c>
      <c r="H2570" s="5">
        <v>46</v>
      </c>
      <c r="I2570" s="1">
        <v>105</v>
      </c>
      <c r="J2570" s="1">
        <v>225</v>
      </c>
      <c r="L2570" t="str">
        <f t="shared" si="40"/>
        <v>http://www.badatelna.eu/reprodukce/?fondId=1073&amp;zaznamId=1108959&amp;reproId=3780019</v>
      </c>
      <c r="M2570">
        <f>VLOOKUP(F2570,Sheet2!$B$1:$E$19,2,FALSE)</f>
        <v>1073</v>
      </c>
      <c r="N2570">
        <f>VLOOKUP(F2570,Sheet2!$B$1:$E$19,3,FALSE)</f>
        <v>1108959</v>
      </c>
      <c r="O2570">
        <f>IF(G2570="Not available","",VLOOKUP(F2570,Sheet2!$B$1:$E$19,4,FALSE)+(G2570-1))</f>
        <v>3780019</v>
      </c>
    </row>
    <row r="2571" spans="1:15" s="1" customFormat="1" ht="15" customHeight="1" x14ac:dyDescent="0.25">
      <c r="A2571" s="18" t="s">
        <v>70</v>
      </c>
      <c r="B2571" s="18" t="s">
        <v>137</v>
      </c>
      <c r="C2571" s="5">
        <v>1809</v>
      </c>
      <c r="E2571" s="1" t="s">
        <v>2</v>
      </c>
      <c r="F2571" s="18">
        <v>2173</v>
      </c>
      <c r="G2571" s="18">
        <v>55</v>
      </c>
      <c r="H2571" s="5">
        <v>104</v>
      </c>
      <c r="I2571" s="1">
        <v>106</v>
      </c>
      <c r="J2571" s="1">
        <v>226</v>
      </c>
      <c r="L2571" t="str">
        <f t="shared" si="40"/>
        <v>http://www.badatelna.eu/reprodukce/?fondId=1073&amp;zaznamId=1108959&amp;reproId=3780048</v>
      </c>
      <c r="M2571">
        <f>VLOOKUP(F2571,Sheet2!$B$1:$E$19,2,FALSE)</f>
        <v>1073</v>
      </c>
      <c r="N2571">
        <f>VLOOKUP(F2571,Sheet2!$B$1:$E$19,3,FALSE)</f>
        <v>1108959</v>
      </c>
      <c r="O2571">
        <f>IF(G2571="Not available","",VLOOKUP(F2571,Sheet2!$B$1:$E$19,4,FALSE)+(G2571-1))</f>
        <v>3780048</v>
      </c>
    </row>
    <row r="2572" spans="1:15" s="1" customFormat="1" ht="15" customHeight="1" x14ac:dyDescent="0.25">
      <c r="A2572" s="18" t="s">
        <v>70</v>
      </c>
      <c r="B2572" s="18" t="s">
        <v>503</v>
      </c>
      <c r="C2572" s="5">
        <v>1848</v>
      </c>
      <c r="D2572" s="1" t="s">
        <v>882</v>
      </c>
      <c r="E2572" s="1" t="s">
        <v>2</v>
      </c>
      <c r="F2572" s="18">
        <v>2164</v>
      </c>
      <c r="G2572" s="18">
        <v>30</v>
      </c>
      <c r="H2572" s="5">
        <v>28</v>
      </c>
      <c r="I2572" s="1">
        <v>132</v>
      </c>
      <c r="J2572" s="3" t="s">
        <v>3271</v>
      </c>
      <c r="L2572" t="str">
        <f t="shared" si="40"/>
        <v>http://www.badatelna.eu/reprodukce/?fondId=1073&amp;zaznamId=1108951&amp;reproId=3778744</v>
      </c>
      <c r="M2572">
        <f>VLOOKUP(F2572,Sheet2!$B$1:$E$19,2,FALSE)</f>
        <v>1073</v>
      </c>
      <c r="N2572">
        <f>VLOOKUP(F2572,Sheet2!$B$1:$E$19,3,FALSE)</f>
        <v>1108951</v>
      </c>
      <c r="O2572">
        <f>IF(G2572="Not available","",VLOOKUP(F2572,Sheet2!$B$1:$E$19,4,FALSE)+(G2572-1))</f>
        <v>3778744</v>
      </c>
    </row>
    <row r="2573" spans="1:15" s="1" customFormat="1" ht="15" customHeight="1" x14ac:dyDescent="0.25">
      <c r="A2573" s="18" t="s">
        <v>70</v>
      </c>
      <c r="B2573" s="18" t="s">
        <v>237</v>
      </c>
      <c r="C2573" s="5">
        <v>1834</v>
      </c>
      <c r="D2573" s="1" t="s">
        <v>4</v>
      </c>
      <c r="E2573" s="1" t="s">
        <v>2</v>
      </c>
      <c r="F2573" s="18">
        <v>2174</v>
      </c>
      <c r="G2573" s="18">
        <v>78</v>
      </c>
      <c r="H2573" s="6" t="s">
        <v>3144</v>
      </c>
      <c r="I2573" s="1">
        <v>191</v>
      </c>
      <c r="J2573" s="1">
        <v>222</v>
      </c>
      <c r="L2573" t="str">
        <f t="shared" si="40"/>
        <v>http://www.badatelna.eu/reprodukce/?fondId=1073&amp;zaznamId=1108960&amp;reproId=3780302</v>
      </c>
      <c r="M2573">
        <f>VLOOKUP(F2573,Sheet2!$B$1:$E$19,2,FALSE)</f>
        <v>1073</v>
      </c>
      <c r="N2573">
        <f>VLOOKUP(F2573,Sheet2!$B$1:$E$19,3,FALSE)</f>
        <v>1108960</v>
      </c>
      <c r="O2573">
        <f>IF(G2573="Not available","",VLOOKUP(F2573,Sheet2!$B$1:$E$19,4,FALSE)+(G2573-1))</f>
        <v>3780302</v>
      </c>
    </row>
    <row r="2574" spans="1:15" s="1" customFormat="1" ht="15" customHeight="1" x14ac:dyDescent="0.25">
      <c r="A2574" s="18" t="s">
        <v>70</v>
      </c>
      <c r="B2574" s="18" t="s">
        <v>233</v>
      </c>
      <c r="C2574" s="5">
        <v>1840</v>
      </c>
      <c r="D2574" s="1" t="s">
        <v>146</v>
      </c>
      <c r="E2574" s="1" t="s">
        <v>2</v>
      </c>
      <c r="F2574" s="18">
        <v>2174</v>
      </c>
      <c r="G2574" s="18">
        <v>112</v>
      </c>
      <c r="H2574" s="6" t="s">
        <v>3182</v>
      </c>
      <c r="I2574" s="1">
        <v>191</v>
      </c>
      <c r="J2574" s="1">
        <v>222</v>
      </c>
      <c r="L2574" t="str">
        <f t="shared" si="40"/>
        <v>http://www.badatelna.eu/reprodukce/?fondId=1073&amp;zaznamId=1108960&amp;reproId=3780336</v>
      </c>
      <c r="M2574">
        <f>VLOOKUP(F2574,Sheet2!$B$1:$E$19,2,FALSE)</f>
        <v>1073</v>
      </c>
      <c r="N2574">
        <f>VLOOKUP(F2574,Sheet2!$B$1:$E$19,3,FALSE)</f>
        <v>1108960</v>
      </c>
      <c r="O2574">
        <f>IF(G2574="Not available","",VLOOKUP(F2574,Sheet2!$B$1:$E$19,4,FALSE)+(G2574-1))</f>
        <v>3780336</v>
      </c>
    </row>
    <row r="2575" spans="1:15" s="1" customFormat="1" ht="15" customHeight="1" x14ac:dyDescent="0.25">
      <c r="A2575" s="18" t="s">
        <v>70</v>
      </c>
      <c r="B2575" s="18" t="s">
        <v>233</v>
      </c>
      <c r="C2575" s="5">
        <v>1846</v>
      </c>
      <c r="D2575" s="1" t="s">
        <v>23</v>
      </c>
      <c r="E2575" s="1" t="s">
        <v>2</v>
      </c>
      <c r="F2575" s="18">
        <v>2174</v>
      </c>
      <c r="G2575" s="18">
        <v>170</v>
      </c>
      <c r="H2575" s="6" t="s">
        <v>3235</v>
      </c>
      <c r="I2575" s="1">
        <v>192</v>
      </c>
      <c r="J2575" s="1">
        <v>223</v>
      </c>
      <c r="L2575" t="str">
        <f t="shared" si="40"/>
        <v>http://www.badatelna.eu/reprodukce/?fondId=1073&amp;zaznamId=1108960&amp;reproId=3780394</v>
      </c>
      <c r="M2575">
        <f>VLOOKUP(F2575,Sheet2!$B$1:$E$19,2,FALSE)</f>
        <v>1073</v>
      </c>
      <c r="N2575">
        <f>VLOOKUP(F2575,Sheet2!$B$1:$E$19,3,FALSE)</f>
        <v>1108960</v>
      </c>
      <c r="O2575">
        <f>IF(G2575="Not available","",VLOOKUP(F2575,Sheet2!$B$1:$E$19,4,FALSE)+(G2575-1))</f>
        <v>3780394</v>
      </c>
    </row>
    <row r="2576" spans="1:15" s="1" customFormat="1" ht="15" customHeight="1" x14ac:dyDescent="0.25">
      <c r="A2576" s="18" t="s">
        <v>70</v>
      </c>
      <c r="B2576" s="18" t="s">
        <v>625</v>
      </c>
      <c r="C2576" s="5">
        <v>1850</v>
      </c>
      <c r="D2576" s="1" t="s">
        <v>93</v>
      </c>
      <c r="E2576" s="1" t="s">
        <v>2</v>
      </c>
      <c r="F2576" s="18">
        <v>2164</v>
      </c>
      <c r="G2576" s="18">
        <v>68</v>
      </c>
      <c r="H2576" s="5">
        <v>66</v>
      </c>
      <c r="I2576" s="1">
        <v>132</v>
      </c>
      <c r="J2576" s="3" t="s">
        <v>3271</v>
      </c>
      <c r="L2576" t="str">
        <f t="shared" si="40"/>
        <v>http://www.badatelna.eu/reprodukce/?fondId=1073&amp;zaznamId=1108951&amp;reproId=3778782</v>
      </c>
      <c r="M2576">
        <f>VLOOKUP(F2576,Sheet2!$B$1:$E$19,2,FALSE)</f>
        <v>1073</v>
      </c>
      <c r="N2576">
        <f>VLOOKUP(F2576,Sheet2!$B$1:$E$19,3,FALSE)</f>
        <v>1108951</v>
      </c>
      <c r="O2576">
        <f>IF(G2576="Not available","",VLOOKUP(F2576,Sheet2!$B$1:$E$19,4,FALSE)+(G2576-1))</f>
        <v>3778782</v>
      </c>
    </row>
    <row r="2577" spans="1:15" s="1" customFormat="1" ht="15" customHeight="1" x14ac:dyDescent="0.25">
      <c r="A2577" s="18" t="s">
        <v>70</v>
      </c>
      <c r="B2577" s="18" t="s">
        <v>873</v>
      </c>
      <c r="C2577" s="5">
        <v>1864</v>
      </c>
      <c r="E2577" s="1" t="s">
        <v>939</v>
      </c>
      <c r="F2577" s="18">
        <v>999</v>
      </c>
      <c r="G2577" s="18">
        <v>48</v>
      </c>
      <c r="H2577" s="5">
        <v>46</v>
      </c>
      <c r="I2577" s="1">
        <v>71</v>
      </c>
      <c r="J2577" s="1">
        <v>105</v>
      </c>
      <c r="L2577" t="str">
        <f t="shared" si="40"/>
        <v>http://www.badatelna.eu/reprodukce/?fondId=241&amp;zaznamId=1133739&amp;reproId=3885777</v>
      </c>
      <c r="M2577">
        <f>VLOOKUP(F2577,Sheet2!$B$1:$E$19,2,FALSE)</f>
        <v>241</v>
      </c>
      <c r="N2577">
        <f>VLOOKUP(F2577,Sheet2!$B$1:$E$19,3,FALSE)</f>
        <v>1133739</v>
      </c>
      <c r="O2577">
        <f>IF(G2577="Not available","",VLOOKUP(F2577,Sheet2!$B$1:$E$19,4,FALSE)+(G2577-1))</f>
        <v>3885777</v>
      </c>
    </row>
    <row r="2578" spans="1:15" s="1" customFormat="1" ht="15" customHeight="1" x14ac:dyDescent="0.25">
      <c r="A2578" s="18" t="s">
        <v>70</v>
      </c>
      <c r="B2578" s="18" t="s">
        <v>25</v>
      </c>
      <c r="C2578" s="5" t="s">
        <v>1478</v>
      </c>
      <c r="D2578" s="1" t="s">
        <v>489</v>
      </c>
      <c r="E2578" s="1" t="s">
        <v>2</v>
      </c>
      <c r="F2578" s="18">
        <v>2165</v>
      </c>
      <c r="G2578" s="18">
        <v>23</v>
      </c>
      <c r="H2578" s="5">
        <v>20</v>
      </c>
      <c r="I2578" s="1">
        <v>86</v>
      </c>
      <c r="J2578" s="1" t="s">
        <v>3271</v>
      </c>
      <c r="L2578" t="str">
        <f t="shared" si="40"/>
        <v>http://www.badatelna.eu/reprodukce/?fondId=1073&amp;zaznamId=1108952&amp;reproId=3778884</v>
      </c>
      <c r="M2578">
        <f>VLOOKUP(F2578,Sheet2!$B$1:$E$19,2,FALSE)</f>
        <v>1073</v>
      </c>
      <c r="N2578">
        <f>VLOOKUP(F2578,Sheet2!$B$1:$E$19,3,FALSE)</f>
        <v>1108952</v>
      </c>
      <c r="O2578">
        <f>IF(G2578="Not available","",VLOOKUP(F2578,Sheet2!$B$1:$E$19,4,FALSE)+(G2578-1))</f>
        <v>3778884</v>
      </c>
    </row>
    <row r="2579" spans="1:15" s="1" customFormat="1" ht="15" customHeight="1" x14ac:dyDescent="0.25">
      <c r="A2579" s="18" t="s">
        <v>70</v>
      </c>
      <c r="B2579" s="18" t="s">
        <v>21</v>
      </c>
      <c r="C2579" s="5">
        <v>1794</v>
      </c>
      <c r="E2579" s="1" t="s">
        <v>2</v>
      </c>
      <c r="F2579" s="18">
        <v>2173</v>
      </c>
      <c r="G2579" s="18">
        <v>31</v>
      </c>
      <c r="H2579" s="5">
        <v>57</v>
      </c>
      <c r="I2579" s="1">
        <v>105</v>
      </c>
      <c r="J2579" s="1">
        <v>225</v>
      </c>
      <c r="L2579" t="str">
        <f t="shared" si="40"/>
        <v>http://www.badatelna.eu/reprodukce/?fondId=1073&amp;zaznamId=1108959&amp;reproId=3780024</v>
      </c>
      <c r="M2579">
        <f>VLOOKUP(F2579,Sheet2!$B$1:$E$19,2,FALSE)</f>
        <v>1073</v>
      </c>
      <c r="N2579">
        <f>VLOOKUP(F2579,Sheet2!$B$1:$E$19,3,FALSE)</f>
        <v>1108959</v>
      </c>
      <c r="O2579">
        <f>IF(G2579="Not available","",VLOOKUP(F2579,Sheet2!$B$1:$E$19,4,FALSE)+(G2579-1))</f>
        <v>3780024</v>
      </c>
    </row>
    <row r="2580" spans="1:15" s="1" customFormat="1" ht="15" customHeight="1" x14ac:dyDescent="0.25">
      <c r="A2580" s="18" t="s">
        <v>70</v>
      </c>
      <c r="B2580" s="18" t="s">
        <v>21</v>
      </c>
      <c r="C2580" s="5">
        <v>1842</v>
      </c>
      <c r="D2580" s="1" t="s">
        <v>478</v>
      </c>
      <c r="E2580" s="1" t="s">
        <v>2</v>
      </c>
      <c r="F2580" s="18">
        <v>2174</v>
      </c>
      <c r="G2580" s="18">
        <v>129</v>
      </c>
      <c r="H2580" s="6" t="s">
        <v>3195</v>
      </c>
      <c r="I2580" s="1">
        <v>192</v>
      </c>
      <c r="J2580" s="1">
        <v>223</v>
      </c>
      <c r="K2580" s="4" t="s">
        <v>363</v>
      </c>
      <c r="L2580" t="str">
        <f t="shared" si="40"/>
        <v>http://www.badatelna.eu/reprodukce/?fondId=1073&amp;zaznamId=1108960&amp;reproId=3780353</v>
      </c>
      <c r="M2580">
        <f>VLOOKUP(F2580,Sheet2!$B$1:$E$19,2,FALSE)</f>
        <v>1073</v>
      </c>
      <c r="N2580">
        <f>VLOOKUP(F2580,Sheet2!$B$1:$E$19,3,FALSE)</f>
        <v>1108960</v>
      </c>
      <c r="O2580">
        <f>IF(G2580="Not available","",VLOOKUP(F2580,Sheet2!$B$1:$E$19,4,FALSE)+(G2580-1))</f>
        <v>3780353</v>
      </c>
    </row>
    <row r="2581" spans="1:15" s="1" customFormat="1" ht="15" customHeight="1" x14ac:dyDescent="0.25">
      <c r="A2581" s="18" t="s">
        <v>70</v>
      </c>
      <c r="B2581" s="18" t="s">
        <v>703</v>
      </c>
      <c r="C2581" s="5">
        <v>1840</v>
      </c>
      <c r="D2581" s="1" t="s">
        <v>478</v>
      </c>
      <c r="E2581" s="1" t="s">
        <v>2</v>
      </c>
      <c r="F2581" s="18">
        <v>2174</v>
      </c>
      <c r="G2581" s="18">
        <v>112</v>
      </c>
      <c r="H2581" s="6" t="s">
        <v>3182</v>
      </c>
      <c r="I2581" s="1">
        <v>191</v>
      </c>
      <c r="J2581" s="1">
        <v>222</v>
      </c>
      <c r="L2581" t="str">
        <f t="shared" si="40"/>
        <v>http://www.badatelna.eu/reprodukce/?fondId=1073&amp;zaznamId=1108960&amp;reproId=3780336</v>
      </c>
      <c r="M2581">
        <f>VLOOKUP(F2581,Sheet2!$B$1:$E$19,2,FALSE)</f>
        <v>1073</v>
      </c>
      <c r="N2581">
        <f>VLOOKUP(F2581,Sheet2!$B$1:$E$19,3,FALSE)</f>
        <v>1108960</v>
      </c>
      <c r="O2581">
        <f>IF(G2581="Not available","",VLOOKUP(F2581,Sheet2!$B$1:$E$19,4,FALSE)+(G2581-1))</f>
        <v>3780336</v>
      </c>
    </row>
    <row r="2582" spans="1:15" s="1" customFormat="1" ht="15" customHeight="1" x14ac:dyDescent="0.25">
      <c r="A2582" s="18" t="s">
        <v>70</v>
      </c>
      <c r="B2582" s="18" t="s">
        <v>489</v>
      </c>
      <c r="C2582" s="14" t="s">
        <v>3111</v>
      </c>
      <c r="D2582" s="4" t="s">
        <v>4</v>
      </c>
      <c r="E2582" s="1" t="s">
        <v>2</v>
      </c>
      <c r="F2582" s="18">
        <v>2174</v>
      </c>
      <c r="G2582" s="18">
        <v>68</v>
      </c>
      <c r="H2582" s="6" t="s">
        <v>3112</v>
      </c>
      <c r="I2582" s="1">
        <v>191</v>
      </c>
      <c r="J2582" s="1">
        <v>222</v>
      </c>
      <c r="L2582" t="str">
        <f t="shared" si="40"/>
        <v>http://www.badatelna.eu/reprodukce/?fondId=1073&amp;zaznamId=1108960&amp;reproId=3780292</v>
      </c>
      <c r="M2582">
        <f>VLOOKUP(F2582,Sheet2!$B$1:$E$19,2,FALSE)</f>
        <v>1073</v>
      </c>
      <c r="N2582">
        <f>VLOOKUP(F2582,Sheet2!$B$1:$E$19,3,FALSE)</f>
        <v>1108960</v>
      </c>
      <c r="O2582">
        <f>IF(G2582="Not available","",VLOOKUP(F2582,Sheet2!$B$1:$E$19,4,FALSE)+(G2582-1))</f>
        <v>3780292</v>
      </c>
    </row>
    <row r="2583" spans="1:15" s="1" customFormat="1" ht="15" customHeight="1" x14ac:dyDescent="0.25">
      <c r="A2583" s="18" t="s">
        <v>70</v>
      </c>
      <c r="B2583" s="18" t="s">
        <v>544</v>
      </c>
      <c r="C2583" s="5">
        <v>1850</v>
      </c>
      <c r="D2583" s="1" t="s">
        <v>883</v>
      </c>
      <c r="E2583" s="1" t="s">
        <v>2</v>
      </c>
      <c r="F2583" s="18">
        <v>2164</v>
      </c>
      <c r="G2583" s="18">
        <v>64</v>
      </c>
      <c r="H2583" s="5">
        <v>62</v>
      </c>
      <c r="I2583" s="1">
        <v>132</v>
      </c>
      <c r="J2583" s="3" t="s">
        <v>3271</v>
      </c>
      <c r="L2583" t="str">
        <f t="shared" si="40"/>
        <v>http://www.badatelna.eu/reprodukce/?fondId=1073&amp;zaznamId=1108951&amp;reproId=3778778</v>
      </c>
      <c r="M2583">
        <f>VLOOKUP(F2583,Sheet2!$B$1:$E$19,2,FALSE)</f>
        <v>1073</v>
      </c>
      <c r="N2583">
        <f>VLOOKUP(F2583,Sheet2!$B$1:$E$19,3,FALSE)</f>
        <v>1108951</v>
      </c>
      <c r="O2583">
        <f>IF(G2583="Not available","",VLOOKUP(F2583,Sheet2!$B$1:$E$19,4,FALSE)+(G2583-1))</f>
        <v>3778778</v>
      </c>
    </row>
    <row r="2584" spans="1:15" s="1" customFormat="1" ht="15" customHeight="1" x14ac:dyDescent="0.25">
      <c r="A2584" s="18" t="s">
        <v>70</v>
      </c>
      <c r="B2584" s="18" t="s">
        <v>13</v>
      </c>
      <c r="C2584" s="5">
        <v>1801</v>
      </c>
      <c r="E2584" s="1" t="s">
        <v>2</v>
      </c>
      <c r="F2584" s="18">
        <v>2173</v>
      </c>
      <c r="G2584" s="18">
        <v>84</v>
      </c>
      <c r="H2584" s="5">
        <v>82</v>
      </c>
      <c r="I2584" s="1">
        <v>106</v>
      </c>
      <c r="J2584" s="1">
        <v>226</v>
      </c>
      <c r="L2584" t="str">
        <f t="shared" si="40"/>
        <v>http://www.badatelna.eu/reprodukce/?fondId=1073&amp;zaznamId=1108959&amp;reproId=3780077</v>
      </c>
      <c r="M2584">
        <f>VLOOKUP(F2584,Sheet2!$B$1:$E$19,2,FALSE)</f>
        <v>1073</v>
      </c>
      <c r="N2584">
        <f>VLOOKUP(F2584,Sheet2!$B$1:$E$19,3,FALSE)</f>
        <v>1108959</v>
      </c>
      <c r="O2584">
        <f>IF(G2584="Not available","",VLOOKUP(F2584,Sheet2!$B$1:$E$19,4,FALSE)+(G2584-1))</f>
        <v>3780077</v>
      </c>
    </row>
    <row r="2585" spans="1:15" s="1" customFormat="1" ht="15" customHeight="1" x14ac:dyDescent="0.25">
      <c r="A2585" s="18" t="s">
        <v>70</v>
      </c>
      <c r="B2585" s="18" t="s">
        <v>13</v>
      </c>
      <c r="C2585" s="5">
        <v>1804</v>
      </c>
      <c r="E2585" s="1" t="s">
        <v>2</v>
      </c>
      <c r="F2585" s="18">
        <v>2173</v>
      </c>
      <c r="G2585" s="18">
        <v>48</v>
      </c>
      <c r="H2585" s="5">
        <v>90</v>
      </c>
      <c r="I2585" s="1">
        <v>106</v>
      </c>
      <c r="J2585" s="1">
        <v>226</v>
      </c>
      <c r="L2585" t="str">
        <f t="shared" si="40"/>
        <v>http://www.badatelna.eu/reprodukce/?fondId=1073&amp;zaznamId=1108959&amp;reproId=3780041</v>
      </c>
      <c r="M2585">
        <f>VLOOKUP(F2585,Sheet2!$B$1:$E$19,2,FALSE)</f>
        <v>1073</v>
      </c>
      <c r="N2585">
        <f>VLOOKUP(F2585,Sheet2!$B$1:$E$19,3,FALSE)</f>
        <v>1108959</v>
      </c>
      <c r="O2585">
        <f>IF(G2585="Not available","",VLOOKUP(F2585,Sheet2!$B$1:$E$19,4,FALSE)+(G2585-1))</f>
        <v>3780041</v>
      </c>
    </row>
    <row r="2586" spans="1:15" s="1" customFormat="1" ht="15" customHeight="1" x14ac:dyDescent="0.25">
      <c r="A2586" s="18" t="s">
        <v>70</v>
      </c>
      <c r="B2586" s="18" t="s">
        <v>13</v>
      </c>
      <c r="C2586" s="5">
        <v>1821</v>
      </c>
      <c r="E2586" s="1" t="s">
        <v>2</v>
      </c>
      <c r="F2586" s="18">
        <v>2173</v>
      </c>
      <c r="G2586" s="18">
        <v>71</v>
      </c>
      <c r="H2586" s="5">
        <v>134</v>
      </c>
      <c r="I2586" s="1">
        <v>106</v>
      </c>
      <c r="J2586" s="1">
        <v>227</v>
      </c>
      <c r="L2586" t="str">
        <f t="shared" si="40"/>
        <v>http://www.badatelna.eu/reprodukce/?fondId=1073&amp;zaznamId=1108959&amp;reproId=3780064</v>
      </c>
      <c r="M2586">
        <f>VLOOKUP(F2586,Sheet2!$B$1:$E$19,2,FALSE)</f>
        <v>1073</v>
      </c>
      <c r="N2586">
        <f>VLOOKUP(F2586,Sheet2!$B$1:$E$19,3,FALSE)</f>
        <v>1108959</v>
      </c>
      <c r="O2586">
        <f>IF(G2586="Not available","",VLOOKUP(F2586,Sheet2!$B$1:$E$19,4,FALSE)+(G2586-1))</f>
        <v>3780064</v>
      </c>
    </row>
    <row r="2587" spans="1:15" s="1" customFormat="1" ht="15" customHeight="1" x14ac:dyDescent="0.25">
      <c r="A2587" s="18" t="s">
        <v>70</v>
      </c>
      <c r="B2587" s="18" t="s">
        <v>146</v>
      </c>
      <c r="C2587" s="5">
        <v>1842</v>
      </c>
      <c r="D2587" s="1" t="s">
        <v>536</v>
      </c>
      <c r="E2587" s="1" t="s">
        <v>2</v>
      </c>
      <c r="F2587" s="18">
        <v>2174</v>
      </c>
      <c r="G2587" s="18">
        <v>128</v>
      </c>
      <c r="H2587" s="6" t="s">
        <v>3194</v>
      </c>
      <c r="I2587" s="1">
        <v>192</v>
      </c>
      <c r="J2587" s="1">
        <v>223</v>
      </c>
      <c r="L2587" t="str">
        <f t="shared" si="40"/>
        <v>http://www.badatelna.eu/reprodukce/?fondId=1073&amp;zaznamId=1108960&amp;reproId=3780352</v>
      </c>
      <c r="M2587">
        <f>VLOOKUP(F2587,Sheet2!$B$1:$E$19,2,FALSE)</f>
        <v>1073</v>
      </c>
      <c r="N2587">
        <f>VLOOKUP(F2587,Sheet2!$B$1:$E$19,3,FALSE)</f>
        <v>1108960</v>
      </c>
      <c r="O2587">
        <f>IF(G2587="Not available","",VLOOKUP(F2587,Sheet2!$B$1:$E$19,4,FALSE)+(G2587-1))</f>
        <v>3780352</v>
      </c>
    </row>
    <row r="2588" spans="1:15" s="1" customFormat="1" ht="15" customHeight="1" x14ac:dyDescent="0.25">
      <c r="A2588" s="18" t="s">
        <v>70</v>
      </c>
      <c r="B2588" s="18" t="s">
        <v>491</v>
      </c>
      <c r="C2588" s="5">
        <v>1859</v>
      </c>
      <c r="E2588" s="1" t="s">
        <v>939</v>
      </c>
      <c r="F2588" s="18">
        <v>999</v>
      </c>
      <c r="G2588" s="18">
        <v>13</v>
      </c>
      <c r="H2588" s="5">
        <v>11</v>
      </c>
      <c r="I2588" s="1">
        <v>71</v>
      </c>
      <c r="J2588" s="1">
        <v>105</v>
      </c>
      <c r="L2588" t="str">
        <f t="shared" si="40"/>
        <v>http://www.badatelna.eu/reprodukce/?fondId=241&amp;zaznamId=1133739&amp;reproId=3885742</v>
      </c>
      <c r="M2588">
        <f>VLOOKUP(F2588,Sheet2!$B$1:$E$19,2,FALSE)</f>
        <v>241</v>
      </c>
      <c r="N2588">
        <f>VLOOKUP(F2588,Sheet2!$B$1:$E$19,3,FALSE)</f>
        <v>1133739</v>
      </c>
      <c r="O2588">
        <f>IF(G2588="Not available","",VLOOKUP(F2588,Sheet2!$B$1:$E$19,4,FALSE)+(G2588-1))</f>
        <v>3885742</v>
      </c>
    </row>
    <row r="2589" spans="1:15" s="1" customFormat="1" ht="15" customHeight="1" x14ac:dyDescent="0.25">
      <c r="A2589" s="18" t="s">
        <v>70</v>
      </c>
      <c r="B2589" s="18" t="s">
        <v>10</v>
      </c>
      <c r="C2589" s="5">
        <v>1806</v>
      </c>
      <c r="E2589" s="1" t="s">
        <v>2</v>
      </c>
      <c r="F2589" s="18">
        <v>2173</v>
      </c>
      <c r="G2589" s="18">
        <v>51</v>
      </c>
      <c r="H2589" s="5">
        <v>99</v>
      </c>
      <c r="I2589" s="1">
        <v>106</v>
      </c>
      <c r="J2589" s="1">
        <v>226</v>
      </c>
      <c r="L2589" t="str">
        <f t="shared" si="40"/>
        <v>http://www.badatelna.eu/reprodukce/?fondId=1073&amp;zaznamId=1108959&amp;reproId=3780044</v>
      </c>
      <c r="M2589">
        <f>VLOOKUP(F2589,Sheet2!$B$1:$E$19,2,FALSE)</f>
        <v>1073</v>
      </c>
      <c r="N2589">
        <f>VLOOKUP(F2589,Sheet2!$B$1:$E$19,3,FALSE)</f>
        <v>1108959</v>
      </c>
      <c r="O2589">
        <f>IF(G2589="Not available","",VLOOKUP(F2589,Sheet2!$B$1:$E$19,4,FALSE)+(G2589-1))</f>
        <v>3780044</v>
      </c>
    </row>
    <row r="2590" spans="1:15" s="1" customFormat="1" ht="15" customHeight="1" x14ac:dyDescent="0.25">
      <c r="A2590" s="18" t="s">
        <v>70</v>
      </c>
      <c r="B2590" s="18" t="s">
        <v>108</v>
      </c>
      <c r="C2590" s="5">
        <v>1814</v>
      </c>
      <c r="E2590" s="1" t="s">
        <v>2</v>
      </c>
      <c r="F2590" s="18">
        <v>2173</v>
      </c>
      <c r="G2590" s="18">
        <v>62</v>
      </c>
      <c r="H2590" s="5">
        <v>119</v>
      </c>
      <c r="I2590" s="1">
        <v>106</v>
      </c>
      <c r="J2590" s="1">
        <v>226</v>
      </c>
      <c r="L2590" t="str">
        <f t="shared" si="40"/>
        <v>http://www.badatelna.eu/reprodukce/?fondId=1073&amp;zaznamId=1108959&amp;reproId=3780055</v>
      </c>
      <c r="M2590">
        <f>VLOOKUP(F2590,Sheet2!$B$1:$E$19,2,FALSE)</f>
        <v>1073</v>
      </c>
      <c r="N2590">
        <f>VLOOKUP(F2590,Sheet2!$B$1:$E$19,3,FALSE)</f>
        <v>1108959</v>
      </c>
      <c r="O2590">
        <f>IF(G2590="Not available","",VLOOKUP(F2590,Sheet2!$B$1:$E$19,4,FALSE)+(G2590-1))</f>
        <v>3780055</v>
      </c>
    </row>
    <row r="2591" spans="1:15" s="1" customFormat="1" ht="15" customHeight="1" x14ac:dyDescent="0.25">
      <c r="A2591" s="18" t="s">
        <v>316</v>
      </c>
      <c r="B2591" s="18" t="s">
        <v>325</v>
      </c>
      <c r="C2591" s="5">
        <v>1808</v>
      </c>
      <c r="E2591" s="1" t="s">
        <v>2</v>
      </c>
      <c r="F2591" s="18">
        <v>2173</v>
      </c>
      <c r="G2591" s="18">
        <v>58</v>
      </c>
      <c r="H2591" s="5">
        <v>101</v>
      </c>
      <c r="I2591" s="1">
        <v>106</v>
      </c>
      <c r="J2591" s="1">
        <v>226</v>
      </c>
      <c r="L2591" t="str">
        <f t="shared" si="40"/>
        <v>http://www.badatelna.eu/reprodukce/?fondId=1073&amp;zaznamId=1108959&amp;reproId=3780051</v>
      </c>
      <c r="M2591">
        <f>VLOOKUP(F2591,Sheet2!$B$1:$E$19,2,FALSE)</f>
        <v>1073</v>
      </c>
      <c r="N2591">
        <f>VLOOKUP(F2591,Sheet2!$B$1:$E$19,3,FALSE)</f>
        <v>1108959</v>
      </c>
      <c r="O2591">
        <f>IF(G2591="Not available","",VLOOKUP(F2591,Sheet2!$B$1:$E$19,4,FALSE)+(G2591-1))</f>
        <v>3780051</v>
      </c>
    </row>
    <row r="2592" spans="1:15" s="1" customFormat="1" ht="15" customHeight="1" x14ac:dyDescent="0.25">
      <c r="A2592" s="18" t="s">
        <v>316</v>
      </c>
      <c r="B2592" s="18" t="s">
        <v>21</v>
      </c>
      <c r="C2592" s="5">
        <v>1792</v>
      </c>
      <c r="D2592" s="1" t="s">
        <v>34</v>
      </c>
      <c r="E2592" s="1" t="s">
        <v>2</v>
      </c>
      <c r="F2592" s="18">
        <v>2173</v>
      </c>
      <c r="G2592" s="18">
        <v>28</v>
      </c>
      <c r="H2592" s="5">
        <v>51</v>
      </c>
      <c r="I2592" s="1">
        <v>105</v>
      </c>
      <c r="J2592" s="1">
        <v>225</v>
      </c>
      <c r="L2592" t="str">
        <f t="shared" si="40"/>
        <v>http://www.badatelna.eu/reprodukce/?fondId=1073&amp;zaznamId=1108959&amp;reproId=3780021</v>
      </c>
      <c r="M2592">
        <f>VLOOKUP(F2592,Sheet2!$B$1:$E$19,2,FALSE)</f>
        <v>1073</v>
      </c>
      <c r="N2592">
        <f>VLOOKUP(F2592,Sheet2!$B$1:$E$19,3,FALSE)</f>
        <v>1108959</v>
      </c>
      <c r="O2592">
        <f>IF(G2592="Not available","",VLOOKUP(F2592,Sheet2!$B$1:$E$19,4,FALSE)+(G2592-1))</f>
        <v>3780021</v>
      </c>
    </row>
    <row r="2593" spans="1:15" s="1" customFormat="1" ht="15" customHeight="1" x14ac:dyDescent="0.25">
      <c r="A2593" s="18" t="s">
        <v>316</v>
      </c>
      <c r="B2593" s="18" t="s">
        <v>182</v>
      </c>
      <c r="C2593" s="5">
        <v>1784</v>
      </c>
      <c r="E2593" s="1" t="s">
        <v>2</v>
      </c>
      <c r="F2593" s="18">
        <v>2173</v>
      </c>
      <c r="G2593" s="18">
        <v>3</v>
      </c>
      <c r="H2593" s="5">
        <v>1</v>
      </c>
      <c r="I2593" s="1">
        <v>105</v>
      </c>
      <c r="J2593" s="1" t="s">
        <v>294</v>
      </c>
      <c r="L2593" t="str">
        <f t="shared" si="40"/>
        <v>http://www.badatelna.eu/reprodukce/?fondId=1073&amp;zaznamId=1108959&amp;reproId=3779996</v>
      </c>
      <c r="M2593">
        <f>VLOOKUP(F2593,Sheet2!$B$1:$E$19,2,FALSE)</f>
        <v>1073</v>
      </c>
      <c r="N2593">
        <f>VLOOKUP(F2593,Sheet2!$B$1:$E$19,3,FALSE)</f>
        <v>1108959</v>
      </c>
      <c r="O2593">
        <f>IF(G2593="Not available","",VLOOKUP(F2593,Sheet2!$B$1:$E$19,4,FALSE)+(G2593-1))</f>
        <v>3779996</v>
      </c>
    </row>
    <row r="2594" spans="1:15" s="1" customFormat="1" ht="15" customHeight="1" x14ac:dyDescent="0.25">
      <c r="A2594" s="18" t="s">
        <v>326</v>
      </c>
      <c r="B2594" s="18" t="s">
        <v>50</v>
      </c>
      <c r="C2594" s="5">
        <v>1810</v>
      </c>
      <c r="E2594" s="1" t="s">
        <v>2</v>
      </c>
      <c r="F2594" s="18">
        <v>2173</v>
      </c>
      <c r="G2594" s="18">
        <v>56</v>
      </c>
      <c r="H2594" s="5">
        <v>107</v>
      </c>
      <c r="I2594" s="1">
        <v>106</v>
      </c>
      <c r="J2594" s="1">
        <v>226</v>
      </c>
      <c r="L2594" t="str">
        <f t="shared" si="40"/>
        <v>http://www.badatelna.eu/reprodukce/?fondId=1073&amp;zaznamId=1108959&amp;reproId=3780049</v>
      </c>
      <c r="M2594">
        <f>VLOOKUP(F2594,Sheet2!$B$1:$E$19,2,FALSE)</f>
        <v>1073</v>
      </c>
      <c r="N2594">
        <f>VLOOKUP(F2594,Sheet2!$B$1:$E$19,3,FALSE)</f>
        <v>1108959</v>
      </c>
      <c r="O2594">
        <f>IF(G2594="Not available","",VLOOKUP(F2594,Sheet2!$B$1:$E$19,4,FALSE)+(G2594-1))</f>
        <v>3780049</v>
      </c>
    </row>
    <row r="2595" spans="1:15" s="1" customFormat="1" ht="15" customHeight="1" x14ac:dyDescent="0.25">
      <c r="A2595" s="18" t="s">
        <v>326</v>
      </c>
      <c r="B2595" s="18" t="s">
        <v>50</v>
      </c>
      <c r="C2595" s="5">
        <v>1826</v>
      </c>
      <c r="E2595" s="1" t="s">
        <v>2</v>
      </c>
      <c r="F2595" s="18">
        <v>2173</v>
      </c>
      <c r="G2595" s="18">
        <v>81</v>
      </c>
      <c r="H2595" s="5">
        <v>154</v>
      </c>
      <c r="I2595" s="1">
        <v>106</v>
      </c>
      <c r="J2595" s="1">
        <v>227</v>
      </c>
      <c r="L2595" t="str">
        <f t="shared" si="40"/>
        <v>http://www.badatelna.eu/reprodukce/?fondId=1073&amp;zaznamId=1108959&amp;reproId=3780074</v>
      </c>
      <c r="M2595">
        <f>VLOOKUP(F2595,Sheet2!$B$1:$E$19,2,FALSE)</f>
        <v>1073</v>
      </c>
      <c r="N2595">
        <f>VLOOKUP(F2595,Sheet2!$B$1:$E$19,3,FALSE)</f>
        <v>1108959</v>
      </c>
      <c r="O2595">
        <f>IF(G2595="Not available","",VLOOKUP(F2595,Sheet2!$B$1:$E$19,4,FALSE)+(G2595-1))</f>
        <v>3780074</v>
      </c>
    </row>
    <row r="2596" spans="1:15" s="1" customFormat="1" ht="15" customHeight="1" x14ac:dyDescent="0.25">
      <c r="A2596" s="18" t="s">
        <v>326</v>
      </c>
      <c r="B2596" s="18" t="s">
        <v>74</v>
      </c>
      <c r="C2596" s="5">
        <v>1822</v>
      </c>
      <c r="E2596" s="1" t="s">
        <v>2</v>
      </c>
      <c r="F2596" s="18">
        <v>2173</v>
      </c>
      <c r="G2596" s="18">
        <v>72</v>
      </c>
      <c r="H2596" s="5">
        <v>137</v>
      </c>
      <c r="I2596" s="1">
        <v>106</v>
      </c>
      <c r="J2596" s="1">
        <v>227</v>
      </c>
      <c r="L2596" t="str">
        <f t="shared" si="40"/>
        <v>http://www.badatelna.eu/reprodukce/?fondId=1073&amp;zaznamId=1108959&amp;reproId=3780065</v>
      </c>
      <c r="M2596">
        <f>VLOOKUP(F2596,Sheet2!$B$1:$E$19,2,FALSE)</f>
        <v>1073</v>
      </c>
      <c r="N2596">
        <f>VLOOKUP(F2596,Sheet2!$B$1:$E$19,3,FALSE)</f>
        <v>1108959</v>
      </c>
      <c r="O2596">
        <f>IF(G2596="Not available","",VLOOKUP(F2596,Sheet2!$B$1:$E$19,4,FALSE)+(G2596-1))</f>
        <v>3780065</v>
      </c>
    </row>
    <row r="2597" spans="1:15" s="1" customFormat="1" ht="15" customHeight="1" x14ac:dyDescent="0.25">
      <c r="A2597" s="18" t="s">
        <v>326</v>
      </c>
      <c r="B2597" s="18" t="s">
        <v>16</v>
      </c>
      <c r="C2597" s="5">
        <v>1824</v>
      </c>
      <c r="E2597" s="1" t="s">
        <v>2</v>
      </c>
      <c r="F2597" s="18">
        <v>2173</v>
      </c>
      <c r="G2597" s="18">
        <v>76</v>
      </c>
      <c r="H2597" s="5">
        <v>144</v>
      </c>
      <c r="I2597" s="1">
        <v>106</v>
      </c>
      <c r="J2597" s="1">
        <v>227</v>
      </c>
      <c r="L2597" t="str">
        <f t="shared" si="40"/>
        <v>http://www.badatelna.eu/reprodukce/?fondId=1073&amp;zaznamId=1108959&amp;reproId=3780069</v>
      </c>
      <c r="M2597">
        <f>VLOOKUP(F2597,Sheet2!$B$1:$E$19,2,FALSE)</f>
        <v>1073</v>
      </c>
      <c r="N2597">
        <f>VLOOKUP(F2597,Sheet2!$B$1:$E$19,3,FALSE)</f>
        <v>1108959</v>
      </c>
      <c r="O2597">
        <f>IF(G2597="Not available","",VLOOKUP(F2597,Sheet2!$B$1:$E$19,4,FALSE)+(G2597-1))</f>
        <v>3780069</v>
      </c>
    </row>
    <row r="2598" spans="1:15" s="1" customFormat="1" ht="15" customHeight="1" x14ac:dyDescent="0.25">
      <c r="A2598" s="18" t="s">
        <v>326</v>
      </c>
      <c r="B2598" s="18" t="s">
        <v>547</v>
      </c>
      <c r="C2598" s="5">
        <v>1834</v>
      </c>
      <c r="D2598" s="1" t="s">
        <v>64</v>
      </c>
      <c r="E2598" s="1" t="s">
        <v>2</v>
      </c>
      <c r="F2598" s="18">
        <v>2174</v>
      </c>
      <c r="G2598" s="18">
        <v>80</v>
      </c>
      <c r="H2598" s="6" t="s">
        <v>3146</v>
      </c>
      <c r="I2598" s="1">
        <v>191</v>
      </c>
      <c r="J2598" s="1">
        <v>222</v>
      </c>
      <c r="L2598" t="str">
        <f t="shared" si="40"/>
        <v>http://www.badatelna.eu/reprodukce/?fondId=1073&amp;zaznamId=1108960&amp;reproId=3780304</v>
      </c>
      <c r="M2598">
        <f>VLOOKUP(F2598,Sheet2!$B$1:$E$19,2,FALSE)</f>
        <v>1073</v>
      </c>
      <c r="N2598">
        <f>VLOOKUP(F2598,Sheet2!$B$1:$E$19,3,FALSE)</f>
        <v>1108960</v>
      </c>
      <c r="O2598">
        <f>IF(G2598="Not available","",VLOOKUP(F2598,Sheet2!$B$1:$E$19,4,FALSE)+(G2598-1))</f>
        <v>3780304</v>
      </c>
    </row>
    <row r="2599" spans="1:15" s="1" customFormat="1" ht="15" customHeight="1" x14ac:dyDescent="0.25">
      <c r="A2599" s="18" t="s">
        <v>326</v>
      </c>
      <c r="B2599" s="18" t="s">
        <v>191</v>
      </c>
      <c r="C2599" s="5">
        <v>1862</v>
      </c>
      <c r="E2599" s="1" t="s">
        <v>939</v>
      </c>
      <c r="F2599" s="18">
        <v>999</v>
      </c>
      <c r="G2599" s="18">
        <v>34</v>
      </c>
      <c r="H2599" s="5">
        <v>32</v>
      </c>
      <c r="I2599" s="1">
        <v>71</v>
      </c>
      <c r="J2599" s="1">
        <v>105</v>
      </c>
      <c r="L2599" t="str">
        <f t="shared" si="40"/>
        <v>http://www.badatelna.eu/reprodukce/?fondId=241&amp;zaznamId=1133739&amp;reproId=3885763</v>
      </c>
      <c r="M2599">
        <f>VLOOKUP(F2599,Sheet2!$B$1:$E$19,2,FALSE)</f>
        <v>241</v>
      </c>
      <c r="N2599">
        <f>VLOOKUP(F2599,Sheet2!$B$1:$E$19,3,FALSE)</f>
        <v>1133739</v>
      </c>
      <c r="O2599">
        <f>IF(G2599="Not available","",VLOOKUP(F2599,Sheet2!$B$1:$E$19,4,FALSE)+(G2599-1))</f>
        <v>3885763</v>
      </c>
    </row>
    <row r="2600" spans="1:15" s="1" customFormat="1" ht="15" customHeight="1" x14ac:dyDescent="0.25">
      <c r="A2600" s="18" t="s">
        <v>326</v>
      </c>
      <c r="B2600" s="18" t="s">
        <v>191</v>
      </c>
      <c r="C2600" s="5" t="s">
        <v>1476</v>
      </c>
      <c r="D2600" s="1" t="s">
        <v>700</v>
      </c>
      <c r="E2600" s="1" t="s">
        <v>2</v>
      </c>
      <c r="F2600" s="18">
        <v>2165</v>
      </c>
      <c r="G2600" s="18">
        <v>16</v>
      </c>
      <c r="H2600" s="5">
        <v>13</v>
      </c>
      <c r="I2600" s="1">
        <v>86</v>
      </c>
      <c r="J2600" s="1" t="s">
        <v>3271</v>
      </c>
      <c r="L2600" t="str">
        <f t="shared" si="40"/>
        <v>http://www.badatelna.eu/reprodukce/?fondId=1073&amp;zaznamId=1108952&amp;reproId=3778877</v>
      </c>
      <c r="M2600">
        <f>VLOOKUP(F2600,Sheet2!$B$1:$E$19,2,FALSE)</f>
        <v>1073</v>
      </c>
      <c r="N2600">
        <f>VLOOKUP(F2600,Sheet2!$B$1:$E$19,3,FALSE)</f>
        <v>1108952</v>
      </c>
      <c r="O2600">
        <f>IF(G2600="Not available","",VLOOKUP(F2600,Sheet2!$B$1:$E$19,4,FALSE)+(G2600-1))</f>
        <v>3778877</v>
      </c>
    </row>
    <row r="2601" spans="1:15" s="1" customFormat="1" ht="15" customHeight="1" x14ac:dyDescent="0.25">
      <c r="A2601" s="18" t="s">
        <v>326</v>
      </c>
      <c r="B2601" s="18" t="s">
        <v>774</v>
      </c>
      <c r="C2601" s="5" t="s">
        <v>1488</v>
      </c>
      <c r="D2601" s="1" t="s">
        <v>700</v>
      </c>
      <c r="E2601" s="1" t="s">
        <v>2</v>
      </c>
      <c r="F2601" s="18">
        <v>2165</v>
      </c>
      <c r="G2601" s="18">
        <v>48</v>
      </c>
      <c r="H2601" s="5">
        <v>45</v>
      </c>
      <c r="I2601" s="1">
        <v>86</v>
      </c>
      <c r="J2601" s="1" t="s">
        <v>3271</v>
      </c>
      <c r="L2601" t="str">
        <f t="shared" si="40"/>
        <v>http://www.badatelna.eu/reprodukce/?fondId=1073&amp;zaznamId=1108952&amp;reproId=3778909</v>
      </c>
      <c r="M2601">
        <f>VLOOKUP(F2601,Sheet2!$B$1:$E$19,2,FALSE)</f>
        <v>1073</v>
      </c>
      <c r="N2601">
        <f>VLOOKUP(F2601,Sheet2!$B$1:$E$19,3,FALSE)</f>
        <v>1108952</v>
      </c>
      <c r="O2601">
        <f>IF(G2601="Not available","",VLOOKUP(F2601,Sheet2!$B$1:$E$19,4,FALSE)+(G2601-1))</f>
        <v>3778909</v>
      </c>
    </row>
    <row r="2602" spans="1:15" s="1" customFormat="1" ht="15" customHeight="1" x14ac:dyDescent="0.25">
      <c r="A2602" s="18" t="s">
        <v>326</v>
      </c>
      <c r="B2602" s="18" t="s">
        <v>123</v>
      </c>
      <c r="C2602" s="5">
        <v>1824</v>
      </c>
      <c r="E2602" s="1" t="s">
        <v>2</v>
      </c>
      <c r="F2602" s="18">
        <v>2173</v>
      </c>
      <c r="G2602" s="18">
        <v>75</v>
      </c>
      <c r="H2602" s="5">
        <v>143</v>
      </c>
      <c r="I2602" s="1">
        <v>106</v>
      </c>
      <c r="J2602" s="1">
        <v>227</v>
      </c>
      <c r="L2602" t="str">
        <f t="shared" si="40"/>
        <v>http://www.badatelna.eu/reprodukce/?fondId=1073&amp;zaznamId=1108959&amp;reproId=3780068</v>
      </c>
      <c r="M2602">
        <f>VLOOKUP(F2602,Sheet2!$B$1:$E$19,2,FALSE)</f>
        <v>1073</v>
      </c>
      <c r="N2602">
        <f>VLOOKUP(F2602,Sheet2!$B$1:$E$19,3,FALSE)</f>
        <v>1108959</v>
      </c>
      <c r="O2602">
        <f>IF(G2602="Not available","",VLOOKUP(F2602,Sheet2!$B$1:$E$19,4,FALSE)+(G2602-1))</f>
        <v>3780068</v>
      </c>
    </row>
    <row r="2603" spans="1:15" s="1" customFormat="1" ht="15" customHeight="1" x14ac:dyDescent="0.25">
      <c r="A2603" s="19" t="s">
        <v>326</v>
      </c>
      <c r="B2603" s="18" t="s">
        <v>64</v>
      </c>
      <c r="C2603" s="5">
        <v>1795</v>
      </c>
      <c r="D2603" s="1" t="s">
        <v>44</v>
      </c>
      <c r="E2603" s="1" t="s">
        <v>2</v>
      </c>
      <c r="F2603" s="18">
        <v>2173</v>
      </c>
      <c r="G2603" s="18">
        <v>33</v>
      </c>
      <c r="H2603" s="5">
        <v>60</v>
      </c>
      <c r="I2603" s="1">
        <v>105</v>
      </c>
      <c r="J2603" s="1">
        <v>225</v>
      </c>
      <c r="L2603" t="str">
        <f t="shared" si="40"/>
        <v>http://www.badatelna.eu/reprodukce/?fondId=1073&amp;zaznamId=1108959&amp;reproId=3780026</v>
      </c>
      <c r="M2603">
        <f>VLOOKUP(F2603,Sheet2!$B$1:$E$19,2,FALSE)</f>
        <v>1073</v>
      </c>
      <c r="N2603">
        <f>VLOOKUP(F2603,Sheet2!$B$1:$E$19,3,FALSE)</f>
        <v>1108959</v>
      </c>
      <c r="O2603">
        <f>IF(G2603="Not available","",VLOOKUP(F2603,Sheet2!$B$1:$E$19,4,FALSE)+(G2603-1))</f>
        <v>3780026</v>
      </c>
    </row>
    <row r="2604" spans="1:15" s="1" customFormat="1" ht="15" customHeight="1" x14ac:dyDescent="0.25">
      <c r="A2604" s="18" t="s">
        <v>326</v>
      </c>
      <c r="B2604" s="18" t="s">
        <v>481</v>
      </c>
      <c r="C2604" s="10" t="s">
        <v>1969</v>
      </c>
      <c r="D2604" s="3" t="s">
        <v>2463</v>
      </c>
      <c r="E2604" s="4" t="s">
        <v>2</v>
      </c>
      <c r="F2604" s="18">
        <v>2176</v>
      </c>
      <c r="G2604" s="18" t="s">
        <v>3271</v>
      </c>
      <c r="H2604" s="10" t="s">
        <v>2065</v>
      </c>
      <c r="I2604" s="3">
        <v>26</v>
      </c>
      <c r="J2604" s="3" t="s">
        <v>3271</v>
      </c>
      <c r="L2604" t="str">
        <f t="shared" si="40"/>
        <v/>
      </c>
      <c r="M2604">
        <f>VLOOKUP(F2604,Sheet2!$B$1:$E$19,2,FALSE)</f>
        <v>1073</v>
      </c>
      <c r="N2604">
        <f>VLOOKUP(F2604,Sheet2!$B$1:$E$19,3,FALSE)</f>
        <v>1108963</v>
      </c>
      <c r="O2604" t="str">
        <f>IF(G2604="Not available","",VLOOKUP(F2604,Sheet2!$B$1:$E$19,4,FALSE)+(G2604-1))</f>
        <v/>
      </c>
    </row>
    <row r="2605" spans="1:15" s="1" customFormat="1" ht="15" customHeight="1" x14ac:dyDescent="0.25">
      <c r="A2605" s="18" t="s">
        <v>326</v>
      </c>
      <c r="B2605" s="19" t="s">
        <v>1102</v>
      </c>
      <c r="C2605" s="5">
        <v>1861</v>
      </c>
      <c r="E2605" s="1" t="s">
        <v>939</v>
      </c>
      <c r="F2605" s="18">
        <v>999</v>
      </c>
      <c r="G2605" s="18">
        <v>30</v>
      </c>
      <c r="H2605" s="5">
        <v>28</v>
      </c>
      <c r="I2605" s="1">
        <v>71</v>
      </c>
      <c r="J2605" s="1">
        <v>105</v>
      </c>
      <c r="L2605" t="str">
        <f t="shared" si="40"/>
        <v>http://www.badatelna.eu/reprodukce/?fondId=241&amp;zaznamId=1133739&amp;reproId=3885759</v>
      </c>
      <c r="M2605">
        <f>VLOOKUP(F2605,Sheet2!$B$1:$E$19,2,FALSE)</f>
        <v>241</v>
      </c>
      <c r="N2605">
        <f>VLOOKUP(F2605,Sheet2!$B$1:$E$19,3,FALSE)</f>
        <v>1133739</v>
      </c>
      <c r="O2605">
        <f>IF(G2605="Not available","",VLOOKUP(F2605,Sheet2!$B$1:$E$19,4,FALSE)+(G2605-1))</f>
        <v>3885759</v>
      </c>
    </row>
    <row r="2606" spans="1:15" s="1" customFormat="1" ht="15" customHeight="1" x14ac:dyDescent="0.25">
      <c r="A2606" s="18" t="s">
        <v>326</v>
      </c>
      <c r="B2606" s="18" t="s">
        <v>2224</v>
      </c>
      <c r="C2606" s="10" t="s">
        <v>2097</v>
      </c>
      <c r="D2606" s="3" t="s">
        <v>2484</v>
      </c>
      <c r="E2606" s="4" t="s">
        <v>2</v>
      </c>
      <c r="F2606" s="18">
        <v>2176</v>
      </c>
      <c r="G2606" s="18" t="s">
        <v>3271</v>
      </c>
      <c r="H2606" s="10" t="s">
        <v>2016</v>
      </c>
      <c r="I2606" s="3">
        <v>27</v>
      </c>
      <c r="J2606" s="3" t="s">
        <v>3271</v>
      </c>
      <c r="K2606" s="3"/>
      <c r="L2606" t="str">
        <f t="shared" si="40"/>
        <v/>
      </c>
      <c r="M2606">
        <f>VLOOKUP(F2606,Sheet2!$B$1:$E$19,2,FALSE)</f>
        <v>1073</v>
      </c>
      <c r="N2606">
        <f>VLOOKUP(F2606,Sheet2!$B$1:$E$19,3,FALSE)</f>
        <v>1108963</v>
      </c>
      <c r="O2606" t="str">
        <f>IF(G2606="Not available","",VLOOKUP(F2606,Sheet2!$B$1:$E$19,4,FALSE)+(G2606-1))</f>
        <v/>
      </c>
    </row>
    <row r="2607" spans="1:15" s="1" customFormat="1" ht="15" customHeight="1" x14ac:dyDescent="0.25">
      <c r="A2607" s="19" t="s">
        <v>326</v>
      </c>
      <c r="B2607" s="18" t="s">
        <v>12</v>
      </c>
      <c r="C2607" s="6" t="s">
        <v>2960</v>
      </c>
      <c r="E2607" s="1" t="s">
        <v>2</v>
      </c>
      <c r="F2607" s="18">
        <v>2173</v>
      </c>
      <c r="G2607" s="18">
        <v>68</v>
      </c>
      <c r="H2607" s="5">
        <v>128</v>
      </c>
      <c r="I2607" s="1">
        <v>106</v>
      </c>
      <c r="J2607" s="1">
        <v>227</v>
      </c>
      <c r="L2607" t="str">
        <f t="shared" si="40"/>
        <v>http://www.badatelna.eu/reprodukce/?fondId=1073&amp;zaznamId=1108959&amp;reproId=3780061</v>
      </c>
      <c r="M2607">
        <f>VLOOKUP(F2607,Sheet2!$B$1:$E$19,2,FALSE)</f>
        <v>1073</v>
      </c>
      <c r="N2607">
        <f>VLOOKUP(F2607,Sheet2!$B$1:$E$19,3,FALSE)</f>
        <v>1108959</v>
      </c>
      <c r="O2607">
        <f>IF(G2607="Not available","",VLOOKUP(F2607,Sheet2!$B$1:$E$19,4,FALSE)+(G2607-1))</f>
        <v>3780061</v>
      </c>
    </row>
    <row r="2608" spans="1:15" s="1" customFormat="1" ht="15" customHeight="1" x14ac:dyDescent="0.25">
      <c r="A2608" s="18" t="s">
        <v>326</v>
      </c>
      <c r="B2608" s="18" t="s">
        <v>602</v>
      </c>
      <c r="C2608" s="5" t="s">
        <v>1482</v>
      </c>
      <c r="D2608" s="1" t="s">
        <v>233</v>
      </c>
      <c r="E2608" s="1" t="s">
        <v>2</v>
      </c>
      <c r="F2608" s="18">
        <v>2165</v>
      </c>
      <c r="G2608" s="18">
        <v>35</v>
      </c>
      <c r="H2608" s="5">
        <v>32</v>
      </c>
      <c r="I2608" s="1">
        <v>86</v>
      </c>
      <c r="J2608" s="1" t="s">
        <v>3271</v>
      </c>
      <c r="L2608" t="str">
        <f t="shared" si="40"/>
        <v>http://www.badatelna.eu/reprodukce/?fondId=1073&amp;zaznamId=1108952&amp;reproId=3778896</v>
      </c>
      <c r="M2608">
        <f>VLOOKUP(F2608,Sheet2!$B$1:$E$19,2,FALSE)</f>
        <v>1073</v>
      </c>
      <c r="N2608">
        <f>VLOOKUP(F2608,Sheet2!$B$1:$E$19,3,FALSE)</f>
        <v>1108952</v>
      </c>
      <c r="O2608">
        <f>IF(G2608="Not available","",VLOOKUP(F2608,Sheet2!$B$1:$E$19,4,FALSE)+(G2608-1))</f>
        <v>3778896</v>
      </c>
    </row>
    <row r="2609" spans="1:15" s="1" customFormat="1" ht="15" customHeight="1" x14ac:dyDescent="0.25">
      <c r="A2609" s="18" t="s">
        <v>326</v>
      </c>
      <c r="B2609" s="18" t="s">
        <v>56</v>
      </c>
      <c r="C2609" s="5">
        <v>1826</v>
      </c>
      <c r="E2609" s="1" t="s">
        <v>2</v>
      </c>
      <c r="F2609" s="18">
        <v>2173</v>
      </c>
      <c r="G2609" s="18">
        <v>78</v>
      </c>
      <c r="H2609" s="5">
        <v>149</v>
      </c>
      <c r="I2609" s="1">
        <v>106</v>
      </c>
      <c r="J2609" s="1">
        <v>227</v>
      </c>
      <c r="L2609" t="str">
        <f t="shared" si="40"/>
        <v>http://www.badatelna.eu/reprodukce/?fondId=1073&amp;zaznamId=1108959&amp;reproId=3780071</v>
      </c>
      <c r="M2609">
        <f>VLOOKUP(F2609,Sheet2!$B$1:$E$19,2,FALSE)</f>
        <v>1073</v>
      </c>
      <c r="N2609">
        <f>VLOOKUP(F2609,Sheet2!$B$1:$E$19,3,FALSE)</f>
        <v>1108959</v>
      </c>
      <c r="O2609">
        <f>IF(G2609="Not available","",VLOOKUP(F2609,Sheet2!$B$1:$E$19,4,FALSE)+(G2609-1))</f>
        <v>3780071</v>
      </c>
    </row>
    <row r="2610" spans="1:15" s="1" customFormat="1" ht="15" customHeight="1" x14ac:dyDescent="0.25">
      <c r="A2610" s="18" t="s">
        <v>326</v>
      </c>
      <c r="B2610" s="18" t="s">
        <v>845</v>
      </c>
      <c r="C2610" s="5" t="s">
        <v>1490</v>
      </c>
      <c r="D2610" s="1" t="s">
        <v>50</v>
      </c>
      <c r="E2610" s="1" t="s">
        <v>2</v>
      </c>
      <c r="F2610" s="18">
        <v>2165</v>
      </c>
      <c r="G2610" s="18">
        <v>56</v>
      </c>
      <c r="H2610" s="5">
        <v>53</v>
      </c>
      <c r="I2610" s="1">
        <v>86</v>
      </c>
      <c r="J2610" s="1" t="s">
        <v>3271</v>
      </c>
      <c r="L2610" t="str">
        <f t="shared" si="40"/>
        <v>http://www.badatelna.eu/reprodukce/?fondId=1073&amp;zaznamId=1108952&amp;reproId=3778917</v>
      </c>
      <c r="M2610">
        <f>VLOOKUP(F2610,Sheet2!$B$1:$E$19,2,FALSE)</f>
        <v>1073</v>
      </c>
      <c r="N2610">
        <f>VLOOKUP(F2610,Sheet2!$B$1:$E$19,3,FALSE)</f>
        <v>1108952</v>
      </c>
      <c r="O2610">
        <f>IF(G2610="Not available","",VLOOKUP(F2610,Sheet2!$B$1:$E$19,4,FALSE)+(G2610-1))</f>
        <v>3778917</v>
      </c>
    </row>
    <row r="2611" spans="1:15" s="1" customFormat="1" ht="15" customHeight="1" x14ac:dyDescent="0.25">
      <c r="A2611" s="19" t="s">
        <v>326</v>
      </c>
      <c r="B2611" s="18" t="s">
        <v>21</v>
      </c>
      <c r="C2611" s="5">
        <v>1814</v>
      </c>
      <c r="E2611" s="1" t="s">
        <v>2</v>
      </c>
      <c r="F2611" s="18">
        <v>2173</v>
      </c>
      <c r="G2611" s="18">
        <v>63</v>
      </c>
      <c r="H2611" s="5">
        <v>120</v>
      </c>
      <c r="I2611" s="1">
        <v>106</v>
      </c>
      <c r="J2611" s="1">
        <v>226</v>
      </c>
      <c r="L2611" t="str">
        <f t="shared" si="40"/>
        <v>http://www.badatelna.eu/reprodukce/?fondId=1073&amp;zaznamId=1108959&amp;reproId=3780056</v>
      </c>
      <c r="M2611">
        <f>VLOOKUP(F2611,Sheet2!$B$1:$E$19,2,FALSE)</f>
        <v>1073</v>
      </c>
      <c r="N2611">
        <f>VLOOKUP(F2611,Sheet2!$B$1:$E$19,3,FALSE)</f>
        <v>1108959</v>
      </c>
      <c r="O2611">
        <f>IF(G2611="Not available","",VLOOKUP(F2611,Sheet2!$B$1:$E$19,4,FALSE)+(G2611-1))</f>
        <v>3780056</v>
      </c>
    </row>
    <row r="2612" spans="1:15" s="1" customFormat="1" ht="15" customHeight="1" x14ac:dyDescent="0.25">
      <c r="A2612" s="18" t="s">
        <v>326</v>
      </c>
      <c r="B2612" s="18" t="s">
        <v>341</v>
      </c>
      <c r="C2612" s="5">
        <v>1830</v>
      </c>
      <c r="E2612" s="1" t="s">
        <v>2</v>
      </c>
      <c r="F2612" s="18">
        <v>2173</v>
      </c>
      <c r="G2612" s="18">
        <v>86</v>
      </c>
      <c r="H2612" s="5">
        <v>162</v>
      </c>
      <c r="I2612" s="1">
        <v>106</v>
      </c>
      <c r="J2612" s="1">
        <v>227</v>
      </c>
      <c r="L2612" t="str">
        <f t="shared" si="40"/>
        <v>http://www.badatelna.eu/reprodukce/?fondId=1073&amp;zaznamId=1108959&amp;reproId=3780079</v>
      </c>
      <c r="M2612">
        <f>VLOOKUP(F2612,Sheet2!$B$1:$E$19,2,FALSE)</f>
        <v>1073</v>
      </c>
      <c r="N2612">
        <f>VLOOKUP(F2612,Sheet2!$B$1:$E$19,3,FALSE)</f>
        <v>1108959</v>
      </c>
      <c r="O2612">
        <f>IF(G2612="Not available","",VLOOKUP(F2612,Sheet2!$B$1:$E$19,4,FALSE)+(G2612-1))</f>
        <v>3780079</v>
      </c>
    </row>
    <row r="2613" spans="1:15" s="1" customFormat="1" ht="15" customHeight="1" x14ac:dyDescent="0.25">
      <c r="A2613" s="18" t="s">
        <v>326</v>
      </c>
      <c r="B2613" s="18" t="s">
        <v>18</v>
      </c>
      <c r="C2613" s="5">
        <v>1812</v>
      </c>
      <c r="E2613" s="1" t="s">
        <v>2</v>
      </c>
      <c r="F2613" s="18">
        <v>2173</v>
      </c>
      <c r="G2613" s="18">
        <v>59</v>
      </c>
      <c r="H2613" s="5">
        <v>112</v>
      </c>
      <c r="I2613" s="1">
        <v>106</v>
      </c>
      <c r="J2613" s="1">
        <v>226</v>
      </c>
      <c r="L2613" t="str">
        <f t="shared" si="40"/>
        <v>http://www.badatelna.eu/reprodukce/?fondId=1073&amp;zaznamId=1108959&amp;reproId=3780052</v>
      </c>
      <c r="M2613">
        <f>VLOOKUP(F2613,Sheet2!$B$1:$E$19,2,FALSE)</f>
        <v>1073</v>
      </c>
      <c r="N2613">
        <f>VLOOKUP(F2613,Sheet2!$B$1:$E$19,3,FALSE)</f>
        <v>1108959</v>
      </c>
      <c r="O2613">
        <f>IF(G2613="Not available","",VLOOKUP(F2613,Sheet2!$B$1:$E$19,4,FALSE)+(G2613-1))</f>
        <v>3780052</v>
      </c>
    </row>
    <row r="2614" spans="1:15" s="1" customFormat="1" ht="15" customHeight="1" x14ac:dyDescent="0.25">
      <c r="A2614" s="18" t="s">
        <v>326</v>
      </c>
      <c r="B2614" s="18" t="s">
        <v>1045</v>
      </c>
      <c r="C2614" s="5" t="s">
        <v>1494</v>
      </c>
      <c r="D2614" s="1" t="s">
        <v>700</v>
      </c>
      <c r="E2614" s="1" t="s">
        <v>2</v>
      </c>
      <c r="F2614" s="18">
        <v>2165</v>
      </c>
      <c r="G2614" s="18">
        <v>68</v>
      </c>
      <c r="H2614" s="5">
        <v>65</v>
      </c>
      <c r="I2614" s="1">
        <v>86</v>
      </c>
      <c r="J2614" s="1" t="s">
        <v>3271</v>
      </c>
      <c r="L2614" t="str">
        <f t="shared" si="40"/>
        <v>http://www.badatelna.eu/reprodukce/?fondId=1073&amp;zaznamId=1108952&amp;reproId=3778929</v>
      </c>
      <c r="M2614">
        <f>VLOOKUP(F2614,Sheet2!$B$1:$E$19,2,FALSE)</f>
        <v>1073</v>
      </c>
      <c r="N2614">
        <f>VLOOKUP(F2614,Sheet2!$B$1:$E$19,3,FALSE)</f>
        <v>1108952</v>
      </c>
      <c r="O2614">
        <f>IF(G2614="Not available","",VLOOKUP(F2614,Sheet2!$B$1:$E$19,4,FALSE)+(G2614-1))</f>
        <v>3778929</v>
      </c>
    </row>
    <row r="2615" spans="1:15" s="1" customFormat="1" ht="15" customHeight="1" x14ac:dyDescent="0.25">
      <c r="A2615" s="18" t="s">
        <v>326</v>
      </c>
      <c r="B2615" s="18" t="s">
        <v>76</v>
      </c>
      <c r="C2615" s="5" t="s">
        <v>1361</v>
      </c>
      <c r="D2615" s="1" t="s">
        <v>428</v>
      </c>
      <c r="E2615" s="1" t="s">
        <v>2</v>
      </c>
      <c r="F2615" s="18">
        <v>2165</v>
      </c>
      <c r="G2615" s="18">
        <v>19</v>
      </c>
      <c r="H2615" s="5">
        <v>16</v>
      </c>
      <c r="I2615" s="1">
        <v>86</v>
      </c>
      <c r="J2615" s="1" t="s">
        <v>3271</v>
      </c>
      <c r="L2615" t="str">
        <f t="shared" si="40"/>
        <v>http://www.badatelna.eu/reprodukce/?fondId=1073&amp;zaznamId=1108952&amp;reproId=3778880</v>
      </c>
      <c r="M2615">
        <f>VLOOKUP(F2615,Sheet2!$B$1:$E$19,2,FALSE)</f>
        <v>1073</v>
      </c>
      <c r="N2615">
        <f>VLOOKUP(F2615,Sheet2!$B$1:$E$19,3,FALSE)</f>
        <v>1108952</v>
      </c>
      <c r="O2615">
        <f>IF(G2615="Not available","",VLOOKUP(F2615,Sheet2!$B$1:$E$19,4,FALSE)+(G2615-1))</f>
        <v>3778880</v>
      </c>
    </row>
    <row r="2616" spans="1:15" s="1" customFormat="1" ht="15" customHeight="1" x14ac:dyDescent="0.25">
      <c r="A2616" s="19" t="s">
        <v>326</v>
      </c>
      <c r="B2616" s="18" t="s">
        <v>93</v>
      </c>
      <c r="C2616" s="5">
        <v>1807</v>
      </c>
      <c r="E2616" s="1" t="s">
        <v>2</v>
      </c>
      <c r="F2616" s="18">
        <v>2173</v>
      </c>
      <c r="G2616" s="18">
        <v>52</v>
      </c>
      <c r="H2616" s="6" t="s">
        <v>2958</v>
      </c>
      <c r="I2616" s="1">
        <v>106</v>
      </c>
      <c r="J2616" s="1">
        <v>226</v>
      </c>
      <c r="L2616" t="str">
        <f t="shared" si="40"/>
        <v>http://www.badatelna.eu/reprodukce/?fondId=1073&amp;zaznamId=1108959&amp;reproId=3780045</v>
      </c>
      <c r="M2616">
        <f>VLOOKUP(F2616,Sheet2!$B$1:$E$19,2,FALSE)</f>
        <v>1073</v>
      </c>
      <c r="N2616">
        <f>VLOOKUP(F2616,Sheet2!$B$1:$E$19,3,FALSE)</f>
        <v>1108959</v>
      </c>
      <c r="O2616">
        <f>IF(G2616="Not available","",VLOOKUP(F2616,Sheet2!$B$1:$E$19,4,FALSE)+(G2616-1))</f>
        <v>3780045</v>
      </c>
    </row>
    <row r="2617" spans="1:15" s="1" customFormat="1" ht="15" customHeight="1" x14ac:dyDescent="0.25">
      <c r="A2617" s="18" t="s">
        <v>326</v>
      </c>
      <c r="B2617" s="18" t="s">
        <v>647</v>
      </c>
      <c r="C2617" s="5">
        <v>1836</v>
      </c>
      <c r="D2617" s="1" t="s">
        <v>24</v>
      </c>
      <c r="E2617" s="1" t="s">
        <v>2</v>
      </c>
      <c r="F2617" s="18">
        <v>2174</v>
      </c>
      <c r="G2617" s="18">
        <v>87</v>
      </c>
      <c r="H2617" s="6" t="s">
        <v>3151</v>
      </c>
      <c r="I2617" s="1">
        <v>191</v>
      </c>
      <c r="J2617" s="1">
        <v>222</v>
      </c>
      <c r="L2617" t="str">
        <f t="shared" si="40"/>
        <v>http://www.badatelna.eu/reprodukce/?fondId=1073&amp;zaznamId=1108960&amp;reproId=3780311</v>
      </c>
      <c r="M2617">
        <f>VLOOKUP(F2617,Sheet2!$B$1:$E$19,2,FALSE)</f>
        <v>1073</v>
      </c>
      <c r="N2617">
        <f>VLOOKUP(F2617,Sheet2!$B$1:$E$19,3,FALSE)</f>
        <v>1108960</v>
      </c>
      <c r="O2617">
        <f>IF(G2617="Not available","",VLOOKUP(F2617,Sheet2!$B$1:$E$19,4,FALSE)+(G2617-1))</f>
        <v>3780311</v>
      </c>
    </row>
    <row r="2618" spans="1:15" s="1" customFormat="1" ht="15" customHeight="1" x14ac:dyDescent="0.25">
      <c r="A2618" s="18" t="s">
        <v>699</v>
      </c>
      <c r="B2618" s="18" t="s">
        <v>700</v>
      </c>
      <c r="C2618" s="5">
        <v>1838</v>
      </c>
      <c r="D2618" s="1" t="s">
        <v>24</v>
      </c>
      <c r="E2618" s="1" t="s">
        <v>2</v>
      </c>
      <c r="F2618" s="18">
        <v>2174</v>
      </c>
      <c r="G2618" s="18">
        <v>98</v>
      </c>
      <c r="H2618" s="16" t="s">
        <v>3166</v>
      </c>
      <c r="I2618" s="1">
        <v>191</v>
      </c>
      <c r="J2618" s="1">
        <v>222</v>
      </c>
      <c r="L2618" t="str">
        <f t="shared" si="40"/>
        <v>http://www.badatelna.eu/reprodukce/?fondId=1073&amp;zaznamId=1108960&amp;reproId=3780322</v>
      </c>
      <c r="M2618">
        <f>VLOOKUP(F2618,Sheet2!$B$1:$E$19,2,FALSE)</f>
        <v>1073</v>
      </c>
      <c r="N2618">
        <f>VLOOKUP(F2618,Sheet2!$B$1:$E$19,3,FALSE)</f>
        <v>1108960</v>
      </c>
      <c r="O2618">
        <f>IF(G2618="Not available","",VLOOKUP(F2618,Sheet2!$B$1:$E$19,4,FALSE)+(G2618-1))</f>
        <v>3780322</v>
      </c>
    </row>
    <row r="2619" spans="1:15" s="1" customFormat="1" ht="15" customHeight="1" x14ac:dyDescent="0.25">
      <c r="A2619" s="18" t="s">
        <v>318</v>
      </c>
      <c r="B2619" s="18" t="s">
        <v>963</v>
      </c>
      <c r="C2619" s="10" t="s">
        <v>2024</v>
      </c>
      <c r="D2619" s="3" t="s">
        <v>2473</v>
      </c>
      <c r="E2619" s="4" t="s">
        <v>2</v>
      </c>
      <c r="F2619" s="18">
        <v>2176</v>
      </c>
      <c r="G2619" s="18" t="s">
        <v>3271</v>
      </c>
      <c r="H2619" s="10" t="s">
        <v>2351</v>
      </c>
      <c r="I2619" s="3">
        <v>26</v>
      </c>
      <c r="J2619" s="3" t="s">
        <v>3271</v>
      </c>
      <c r="L2619" t="str">
        <f t="shared" si="40"/>
        <v/>
      </c>
      <c r="M2619">
        <f>VLOOKUP(F2619,Sheet2!$B$1:$E$19,2,FALSE)</f>
        <v>1073</v>
      </c>
      <c r="N2619">
        <f>VLOOKUP(F2619,Sheet2!$B$1:$E$19,3,FALSE)</f>
        <v>1108963</v>
      </c>
      <c r="O2619" t="str">
        <f>IF(G2619="Not available","",VLOOKUP(F2619,Sheet2!$B$1:$E$19,4,FALSE)+(G2619-1))</f>
        <v/>
      </c>
    </row>
    <row r="2620" spans="1:15" s="1" customFormat="1" ht="15" customHeight="1" x14ac:dyDescent="0.25">
      <c r="A2620" s="18" t="s">
        <v>318</v>
      </c>
      <c r="B2620" s="18" t="s">
        <v>2096</v>
      </c>
      <c r="C2620" s="10" t="s">
        <v>2005</v>
      </c>
      <c r="D2620" s="3" t="s">
        <v>2463</v>
      </c>
      <c r="E2620" s="4" t="s">
        <v>2</v>
      </c>
      <c r="F2620" s="18">
        <v>2176</v>
      </c>
      <c r="G2620" s="18" t="s">
        <v>3271</v>
      </c>
      <c r="H2620" s="10" t="s">
        <v>2468</v>
      </c>
      <c r="I2620" s="3">
        <v>26</v>
      </c>
      <c r="J2620" s="3" t="s">
        <v>3271</v>
      </c>
      <c r="K2620" s="3"/>
      <c r="L2620" t="str">
        <f t="shared" si="40"/>
        <v/>
      </c>
      <c r="M2620">
        <f>VLOOKUP(F2620,Sheet2!$B$1:$E$19,2,FALSE)</f>
        <v>1073</v>
      </c>
      <c r="N2620">
        <f>VLOOKUP(F2620,Sheet2!$B$1:$E$19,3,FALSE)</f>
        <v>1108963</v>
      </c>
      <c r="O2620" t="str">
        <f>IF(G2620="Not available","",VLOOKUP(F2620,Sheet2!$B$1:$E$19,4,FALSE)+(G2620-1))</f>
        <v/>
      </c>
    </row>
    <row r="2621" spans="1:15" s="1" customFormat="1" ht="15" customHeight="1" x14ac:dyDescent="0.25">
      <c r="A2621" s="18" t="s">
        <v>318</v>
      </c>
      <c r="B2621" s="18" t="s">
        <v>769</v>
      </c>
      <c r="C2621" s="10" t="s">
        <v>1285</v>
      </c>
      <c r="D2621" s="3" t="s">
        <v>2476</v>
      </c>
      <c r="E2621" s="4" t="s">
        <v>2</v>
      </c>
      <c r="F2621" s="18">
        <v>2176</v>
      </c>
      <c r="G2621" s="18" t="s">
        <v>3271</v>
      </c>
      <c r="H2621" s="10" t="s">
        <v>1976</v>
      </c>
      <c r="I2621" s="3">
        <v>26</v>
      </c>
      <c r="J2621" s="3" t="s">
        <v>3271</v>
      </c>
      <c r="K2621" s="3"/>
      <c r="L2621" t="str">
        <f t="shared" si="40"/>
        <v/>
      </c>
      <c r="M2621">
        <f>VLOOKUP(F2621,Sheet2!$B$1:$E$19,2,FALSE)</f>
        <v>1073</v>
      </c>
      <c r="N2621">
        <f>VLOOKUP(F2621,Sheet2!$B$1:$E$19,3,FALSE)</f>
        <v>1108963</v>
      </c>
      <c r="O2621" t="str">
        <f>IF(G2621="Not available","",VLOOKUP(F2621,Sheet2!$B$1:$E$19,4,FALSE)+(G2621-1))</f>
        <v/>
      </c>
    </row>
    <row r="2622" spans="1:15" s="1" customFormat="1" ht="15" customHeight="1" x14ac:dyDescent="0.25">
      <c r="A2622" s="18" t="s">
        <v>318</v>
      </c>
      <c r="B2622" s="18" t="s">
        <v>769</v>
      </c>
      <c r="C2622" s="5">
        <v>1882</v>
      </c>
      <c r="D2622" s="1" t="s">
        <v>233</v>
      </c>
      <c r="E2622" s="1" t="s">
        <v>2</v>
      </c>
      <c r="F2622" s="18">
        <v>2165</v>
      </c>
      <c r="G2622" s="18">
        <v>178</v>
      </c>
      <c r="H2622" s="5">
        <v>2</v>
      </c>
      <c r="I2622" s="1">
        <v>182</v>
      </c>
      <c r="J2622" s="1">
        <v>159</v>
      </c>
      <c r="L2622" t="str">
        <f t="shared" si="40"/>
        <v>http://www.badatelna.eu/reprodukce/?fondId=1073&amp;zaznamId=1108952&amp;reproId=3779039</v>
      </c>
      <c r="M2622">
        <f>VLOOKUP(F2622,Sheet2!$B$1:$E$19,2,FALSE)</f>
        <v>1073</v>
      </c>
      <c r="N2622">
        <f>VLOOKUP(F2622,Sheet2!$B$1:$E$19,3,FALSE)</f>
        <v>1108952</v>
      </c>
      <c r="O2622">
        <f>IF(G2622="Not available","",VLOOKUP(F2622,Sheet2!$B$1:$E$19,4,FALSE)+(G2622-1))</f>
        <v>3779039</v>
      </c>
    </row>
    <row r="2623" spans="1:15" s="1" customFormat="1" ht="15" customHeight="1" x14ac:dyDescent="0.25">
      <c r="A2623" s="18" t="s">
        <v>318</v>
      </c>
      <c r="B2623" s="18" t="s">
        <v>166</v>
      </c>
      <c r="C2623" s="5">
        <v>1840</v>
      </c>
      <c r="D2623" s="1" t="s">
        <v>24</v>
      </c>
      <c r="E2623" s="1" t="s">
        <v>2</v>
      </c>
      <c r="F2623" s="18">
        <v>2174</v>
      </c>
      <c r="G2623" s="18">
        <v>111</v>
      </c>
      <c r="H2623" s="16" t="s">
        <v>3181</v>
      </c>
      <c r="I2623" s="1">
        <v>191</v>
      </c>
      <c r="J2623" s="1">
        <v>222</v>
      </c>
      <c r="L2623" t="str">
        <f t="shared" si="40"/>
        <v>http://www.badatelna.eu/reprodukce/?fondId=1073&amp;zaznamId=1108960&amp;reproId=3780335</v>
      </c>
      <c r="M2623">
        <f>VLOOKUP(F2623,Sheet2!$B$1:$E$19,2,FALSE)</f>
        <v>1073</v>
      </c>
      <c r="N2623">
        <f>VLOOKUP(F2623,Sheet2!$B$1:$E$19,3,FALSE)</f>
        <v>1108960</v>
      </c>
      <c r="O2623">
        <f>IF(G2623="Not available","",VLOOKUP(F2623,Sheet2!$B$1:$E$19,4,FALSE)+(G2623-1))</f>
        <v>3780335</v>
      </c>
    </row>
    <row r="2624" spans="1:15" s="1" customFormat="1" ht="15" customHeight="1" x14ac:dyDescent="0.25">
      <c r="A2624" s="18" t="s">
        <v>318</v>
      </c>
      <c r="B2624" s="18" t="s">
        <v>90</v>
      </c>
      <c r="C2624" s="10" t="s">
        <v>2026</v>
      </c>
      <c r="D2624" s="3" t="s">
        <v>2462</v>
      </c>
      <c r="E2624" s="4" t="s">
        <v>2</v>
      </c>
      <c r="F2624" s="18">
        <v>2176</v>
      </c>
      <c r="G2624" s="18" t="s">
        <v>3271</v>
      </c>
      <c r="H2624" s="10" t="s">
        <v>1974</v>
      </c>
      <c r="I2624" s="3">
        <v>26</v>
      </c>
      <c r="J2624" s="3" t="s">
        <v>3271</v>
      </c>
      <c r="K2624" s="3"/>
      <c r="L2624" t="str">
        <f t="shared" si="40"/>
        <v/>
      </c>
      <c r="M2624">
        <f>VLOOKUP(F2624,Sheet2!$B$1:$E$19,2,FALSE)</f>
        <v>1073</v>
      </c>
      <c r="N2624">
        <f>VLOOKUP(F2624,Sheet2!$B$1:$E$19,3,FALSE)</f>
        <v>1108963</v>
      </c>
      <c r="O2624" t="str">
        <f>IF(G2624="Not available","",VLOOKUP(F2624,Sheet2!$B$1:$E$19,4,FALSE)+(G2624-1))</f>
        <v/>
      </c>
    </row>
    <row r="2625" spans="1:15" s="1" customFormat="1" ht="15" customHeight="1" x14ac:dyDescent="0.25">
      <c r="A2625" s="18" t="s">
        <v>318</v>
      </c>
      <c r="B2625" s="18" t="s">
        <v>1102</v>
      </c>
      <c r="C2625" s="10" t="s">
        <v>2095</v>
      </c>
      <c r="D2625" s="3" t="s">
        <v>2482</v>
      </c>
      <c r="E2625" s="4" t="s">
        <v>2</v>
      </c>
      <c r="F2625" s="18">
        <v>2176</v>
      </c>
      <c r="G2625" s="18" t="s">
        <v>3271</v>
      </c>
      <c r="H2625" s="10" t="s">
        <v>2483</v>
      </c>
      <c r="I2625" s="3">
        <v>27</v>
      </c>
      <c r="J2625" s="3" t="s">
        <v>3271</v>
      </c>
      <c r="K2625" s="3"/>
      <c r="L2625" t="str">
        <f t="shared" si="40"/>
        <v/>
      </c>
      <c r="M2625">
        <f>VLOOKUP(F2625,Sheet2!$B$1:$E$19,2,FALSE)</f>
        <v>1073</v>
      </c>
      <c r="N2625">
        <f>VLOOKUP(F2625,Sheet2!$B$1:$E$19,3,FALSE)</f>
        <v>1108963</v>
      </c>
      <c r="O2625" t="str">
        <f>IF(G2625="Not available","",VLOOKUP(F2625,Sheet2!$B$1:$E$19,4,FALSE)+(G2625-1))</f>
        <v/>
      </c>
    </row>
    <row r="2626" spans="1:15" s="1" customFormat="1" ht="15" customHeight="1" x14ac:dyDescent="0.25">
      <c r="A2626" s="18" t="s">
        <v>318</v>
      </c>
      <c r="B2626" s="18" t="s">
        <v>1158</v>
      </c>
      <c r="C2626" s="14" t="s">
        <v>2097</v>
      </c>
      <c r="D2626" s="4" t="s">
        <v>24</v>
      </c>
      <c r="E2626" s="1" t="s">
        <v>2</v>
      </c>
      <c r="F2626" s="18">
        <v>2165</v>
      </c>
      <c r="G2626" s="18">
        <v>293</v>
      </c>
      <c r="H2626" s="5">
        <v>2</v>
      </c>
      <c r="I2626" s="1">
        <v>295</v>
      </c>
      <c r="J2626" s="1">
        <v>268</v>
      </c>
      <c r="L2626" t="str">
        <f t="shared" si="40"/>
        <v>http://www.badatelna.eu/reprodukce/?fondId=1073&amp;zaznamId=1108952&amp;reproId=3779154</v>
      </c>
      <c r="M2626">
        <f>VLOOKUP(F2626,Sheet2!$B$1:$E$19,2,FALSE)</f>
        <v>1073</v>
      </c>
      <c r="N2626">
        <f>VLOOKUP(F2626,Sheet2!$B$1:$E$19,3,FALSE)</f>
        <v>1108952</v>
      </c>
      <c r="O2626">
        <f>IF(G2626="Not available","",VLOOKUP(F2626,Sheet2!$B$1:$E$19,4,FALSE)+(G2626-1))</f>
        <v>3779154</v>
      </c>
    </row>
    <row r="2627" spans="1:15" s="1" customFormat="1" ht="15" customHeight="1" x14ac:dyDescent="0.25">
      <c r="A2627" s="19" t="s">
        <v>318</v>
      </c>
      <c r="B2627" s="18" t="s">
        <v>40</v>
      </c>
      <c r="C2627" s="5">
        <v>1842</v>
      </c>
      <c r="D2627" s="1" t="s">
        <v>24</v>
      </c>
      <c r="E2627" s="1" t="s">
        <v>2</v>
      </c>
      <c r="F2627" s="18">
        <v>2174</v>
      </c>
      <c r="G2627" s="18">
        <v>125</v>
      </c>
      <c r="H2627" s="6" t="s">
        <v>3197</v>
      </c>
      <c r="I2627" s="1">
        <v>192</v>
      </c>
      <c r="J2627" s="1">
        <v>223</v>
      </c>
      <c r="L2627" t="str">
        <f t="shared" ref="L2627:L2690" si="41">IF(G2627="Not available","","http://www.badatelna.eu/reprodukce/?fondId="&amp;M2627&amp;"&amp;zaznamId="&amp;N2627&amp;"&amp;reproId="&amp;O2627)</f>
        <v>http://www.badatelna.eu/reprodukce/?fondId=1073&amp;zaznamId=1108960&amp;reproId=3780349</v>
      </c>
      <c r="M2627">
        <f>VLOOKUP(F2627,Sheet2!$B$1:$E$19,2,FALSE)</f>
        <v>1073</v>
      </c>
      <c r="N2627">
        <f>VLOOKUP(F2627,Sheet2!$B$1:$E$19,3,FALSE)</f>
        <v>1108960</v>
      </c>
      <c r="O2627">
        <f>IF(G2627="Not available","",VLOOKUP(F2627,Sheet2!$B$1:$E$19,4,FALSE)+(G2627-1))</f>
        <v>3780349</v>
      </c>
    </row>
    <row r="2628" spans="1:15" s="1" customFormat="1" ht="15" customHeight="1" x14ac:dyDescent="0.25">
      <c r="A2628" s="18" t="s">
        <v>318</v>
      </c>
      <c r="B2628" s="18" t="s">
        <v>240</v>
      </c>
      <c r="C2628" s="5">
        <v>1795</v>
      </c>
      <c r="D2628" s="1" t="s">
        <v>245</v>
      </c>
      <c r="E2628" s="1" t="s">
        <v>2</v>
      </c>
      <c r="F2628" s="18">
        <v>2173</v>
      </c>
      <c r="G2628" s="18">
        <v>32</v>
      </c>
      <c r="H2628" s="5">
        <v>58</v>
      </c>
      <c r="I2628" s="1">
        <v>105</v>
      </c>
      <c r="J2628" s="1">
        <v>225</v>
      </c>
      <c r="L2628" t="str">
        <f t="shared" si="41"/>
        <v>http://www.badatelna.eu/reprodukce/?fondId=1073&amp;zaznamId=1108959&amp;reproId=3780025</v>
      </c>
      <c r="M2628">
        <f>VLOOKUP(F2628,Sheet2!$B$1:$E$19,2,FALSE)</f>
        <v>1073</v>
      </c>
      <c r="N2628">
        <f>VLOOKUP(F2628,Sheet2!$B$1:$E$19,3,FALSE)</f>
        <v>1108959</v>
      </c>
      <c r="O2628">
        <f>IF(G2628="Not available","",VLOOKUP(F2628,Sheet2!$B$1:$E$19,4,FALSE)+(G2628-1))</f>
        <v>3780025</v>
      </c>
    </row>
    <row r="2629" spans="1:15" s="1" customFormat="1" ht="15" customHeight="1" x14ac:dyDescent="0.25">
      <c r="A2629" s="18" t="s">
        <v>318</v>
      </c>
      <c r="B2629" s="18" t="s">
        <v>233</v>
      </c>
      <c r="C2629" s="5" t="s">
        <v>1915</v>
      </c>
      <c r="D2629" s="1" t="s">
        <v>24</v>
      </c>
      <c r="E2629" s="1" t="s">
        <v>2</v>
      </c>
      <c r="F2629" s="18">
        <v>2165</v>
      </c>
      <c r="G2629" s="18">
        <v>276</v>
      </c>
      <c r="H2629" s="5">
        <v>2</v>
      </c>
      <c r="I2629" s="1">
        <v>278</v>
      </c>
      <c r="J2629" s="1">
        <v>252</v>
      </c>
      <c r="L2629" t="str">
        <f t="shared" si="41"/>
        <v>http://www.badatelna.eu/reprodukce/?fondId=1073&amp;zaznamId=1108952&amp;reproId=3779137</v>
      </c>
      <c r="M2629">
        <f>VLOOKUP(F2629,Sheet2!$B$1:$E$19,2,FALSE)</f>
        <v>1073</v>
      </c>
      <c r="N2629">
        <f>VLOOKUP(F2629,Sheet2!$B$1:$E$19,3,FALSE)</f>
        <v>1108952</v>
      </c>
      <c r="O2629">
        <f>IF(G2629="Not available","",VLOOKUP(F2629,Sheet2!$B$1:$E$19,4,FALSE)+(G2629-1))</f>
        <v>3779137</v>
      </c>
    </row>
    <row r="2630" spans="1:15" s="1" customFormat="1" ht="15" customHeight="1" x14ac:dyDescent="0.25">
      <c r="A2630" s="18" t="s">
        <v>318</v>
      </c>
      <c r="B2630" s="18" t="s">
        <v>434</v>
      </c>
      <c r="C2630" s="5">
        <v>1861</v>
      </c>
      <c r="E2630" s="1" t="s">
        <v>939</v>
      </c>
      <c r="F2630" s="18">
        <v>999</v>
      </c>
      <c r="G2630" s="18">
        <v>25</v>
      </c>
      <c r="H2630" s="5">
        <v>23</v>
      </c>
      <c r="I2630" s="1">
        <v>71</v>
      </c>
      <c r="J2630" s="1">
        <v>105</v>
      </c>
      <c r="L2630" t="str">
        <f t="shared" si="41"/>
        <v>http://www.badatelna.eu/reprodukce/?fondId=241&amp;zaznamId=1133739&amp;reproId=3885754</v>
      </c>
      <c r="M2630">
        <f>VLOOKUP(F2630,Sheet2!$B$1:$E$19,2,FALSE)</f>
        <v>241</v>
      </c>
      <c r="N2630">
        <f>VLOOKUP(F2630,Sheet2!$B$1:$E$19,3,FALSE)</f>
        <v>1133739</v>
      </c>
      <c r="O2630">
        <f>IF(G2630="Not available","",VLOOKUP(F2630,Sheet2!$B$1:$E$19,4,FALSE)+(G2630-1))</f>
        <v>3885754</v>
      </c>
    </row>
    <row r="2631" spans="1:15" s="1" customFormat="1" ht="15" customHeight="1" x14ac:dyDescent="0.25">
      <c r="A2631" s="18" t="s">
        <v>318</v>
      </c>
      <c r="B2631" s="18" t="s">
        <v>1254</v>
      </c>
      <c r="C2631" s="14" t="s">
        <v>2095</v>
      </c>
      <c r="D2631" s="1" t="s">
        <v>24</v>
      </c>
      <c r="E2631" s="1" t="s">
        <v>2</v>
      </c>
      <c r="F2631" s="18">
        <v>2165</v>
      </c>
      <c r="G2631" s="18">
        <v>289</v>
      </c>
      <c r="H2631" s="5">
        <v>2</v>
      </c>
      <c r="I2631" s="1">
        <v>286</v>
      </c>
      <c r="J2631" s="1">
        <v>260</v>
      </c>
      <c r="L2631" t="str">
        <f t="shared" si="41"/>
        <v>http://www.badatelna.eu/reprodukce/?fondId=1073&amp;zaznamId=1108952&amp;reproId=3779150</v>
      </c>
      <c r="M2631">
        <f>VLOOKUP(F2631,Sheet2!$B$1:$E$19,2,FALSE)</f>
        <v>1073</v>
      </c>
      <c r="N2631">
        <f>VLOOKUP(F2631,Sheet2!$B$1:$E$19,3,FALSE)</f>
        <v>1108952</v>
      </c>
      <c r="O2631">
        <f>IF(G2631="Not available","",VLOOKUP(F2631,Sheet2!$B$1:$E$19,4,FALSE)+(G2631-1))</f>
        <v>3779150</v>
      </c>
    </row>
    <row r="2632" spans="1:15" s="1" customFormat="1" ht="15" customHeight="1" x14ac:dyDescent="0.25">
      <c r="A2632" s="18" t="s">
        <v>318</v>
      </c>
      <c r="B2632" s="18" t="s">
        <v>143</v>
      </c>
      <c r="C2632" s="5">
        <v>1864</v>
      </c>
      <c r="E2632" s="1" t="s">
        <v>939</v>
      </c>
      <c r="F2632" s="18">
        <v>999</v>
      </c>
      <c r="G2632" s="18">
        <v>47</v>
      </c>
      <c r="H2632" s="5">
        <v>45</v>
      </c>
      <c r="I2632" s="1">
        <v>71</v>
      </c>
      <c r="J2632" s="1">
        <v>105</v>
      </c>
      <c r="L2632" t="str">
        <f t="shared" si="41"/>
        <v>http://www.badatelna.eu/reprodukce/?fondId=241&amp;zaznamId=1133739&amp;reproId=3885776</v>
      </c>
      <c r="M2632">
        <f>VLOOKUP(F2632,Sheet2!$B$1:$E$19,2,FALSE)</f>
        <v>241</v>
      </c>
      <c r="N2632">
        <f>VLOOKUP(F2632,Sheet2!$B$1:$E$19,3,FALSE)</f>
        <v>1133739</v>
      </c>
      <c r="O2632">
        <f>IF(G2632="Not available","",VLOOKUP(F2632,Sheet2!$B$1:$E$19,4,FALSE)+(G2632-1))</f>
        <v>3885776</v>
      </c>
    </row>
    <row r="2633" spans="1:15" s="1" customFormat="1" ht="15" customHeight="1" x14ac:dyDescent="0.25">
      <c r="A2633" s="18" t="s">
        <v>318</v>
      </c>
      <c r="B2633" s="18" t="s">
        <v>24</v>
      </c>
      <c r="C2633" s="5">
        <v>1864</v>
      </c>
      <c r="E2633" s="1" t="s">
        <v>939</v>
      </c>
      <c r="F2633" s="18">
        <v>999</v>
      </c>
      <c r="G2633" s="18">
        <v>50</v>
      </c>
      <c r="H2633" s="5">
        <v>48</v>
      </c>
      <c r="I2633" s="1">
        <v>71</v>
      </c>
      <c r="J2633" s="1">
        <v>105</v>
      </c>
      <c r="L2633" t="str">
        <f t="shared" si="41"/>
        <v>http://www.badatelna.eu/reprodukce/?fondId=241&amp;zaznamId=1133739&amp;reproId=3885779</v>
      </c>
      <c r="M2633">
        <f>VLOOKUP(F2633,Sheet2!$B$1:$E$19,2,FALSE)</f>
        <v>241</v>
      </c>
      <c r="N2633">
        <f>VLOOKUP(F2633,Sheet2!$B$1:$E$19,3,FALSE)</f>
        <v>1133739</v>
      </c>
      <c r="O2633">
        <f>IF(G2633="Not available","",VLOOKUP(F2633,Sheet2!$B$1:$E$19,4,FALSE)+(G2633-1))</f>
        <v>3885779</v>
      </c>
    </row>
    <row r="2634" spans="1:15" s="1" customFormat="1" ht="15" customHeight="1" x14ac:dyDescent="0.25">
      <c r="A2634" s="18" t="s">
        <v>318</v>
      </c>
      <c r="B2634" s="18" t="s">
        <v>924</v>
      </c>
      <c r="C2634" s="5">
        <v>1864</v>
      </c>
      <c r="E2634" s="1" t="s">
        <v>939</v>
      </c>
      <c r="F2634" s="18">
        <v>999</v>
      </c>
      <c r="G2634" s="18">
        <v>49</v>
      </c>
      <c r="H2634" s="5">
        <v>47</v>
      </c>
      <c r="I2634" s="1">
        <v>71</v>
      </c>
      <c r="J2634" s="1">
        <v>105</v>
      </c>
      <c r="L2634" t="str">
        <f t="shared" si="41"/>
        <v>http://www.badatelna.eu/reprodukce/?fondId=241&amp;zaznamId=1133739&amp;reproId=3885778</v>
      </c>
      <c r="M2634">
        <f>VLOOKUP(F2634,Sheet2!$B$1:$E$19,2,FALSE)</f>
        <v>241</v>
      </c>
      <c r="N2634">
        <f>VLOOKUP(F2634,Sheet2!$B$1:$E$19,3,FALSE)</f>
        <v>1133739</v>
      </c>
      <c r="O2634">
        <f>IF(G2634="Not available","",VLOOKUP(F2634,Sheet2!$B$1:$E$19,4,FALSE)+(G2634-1))</f>
        <v>3885778</v>
      </c>
    </row>
    <row r="2635" spans="1:15" s="1" customFormat="1" ht="15" customHeight="1" x14ac:dyDescent="0.25">
      <c r="A2635" s="18" t="s">
        <v>317</v>
      </c>
      <c r="B2635" s="18" t="s">
        <v>477</v>
      </c>
      <c r="C2635" s="10" t="s">
        <v>1987</v>
      </c>
      <c r="D2635" s="3" t="s">
        <v>2462</v>
      </c>
      <c r="E2635" s="4" t="s">
        <v>2</v>
      </c>
      <c r="F2635" s="18">
        <v>2176</v>
      </c>
      <c r="G2635" s="18" t="s">
        <v>3271</v>
      </c>
      <c r="H2635" s="10" t="s">
        <v>1948</v>
      </c>
      <c r="I2635" s="3">
        <v>26</v>
      </c>
      <c r="J2635" s="3" t="s">
        <v>3271</v>
      </c>
      <c r="L2635" t="str">
        <f t="shared" si="41"/>
        <v/>
      </c>
      <c r="M2635">
        <f>VLOOKUP(F2635,Sheet2!$B$1:$E$19,2,FALSE)</f>
        <v>1073</v>
      </c>
      <c r="N2635">
        <f>VLOOKUP(F2635,Sheet2!$B$1:$E$19,3,FALSE)</f>
        <v>1108963</v>
      </c>
      <c r="O2635" t="str">
        <f>IF(G2635="Not available","",VLOOKUP(F2635,Sheet2!$B$1:$E$19,4,FALSE)+(G2635-1))</f>
        <v/>
      </c>
    </row>
    <row r="2636" spans="1:15" s="1" customFormat="1" ht="15" customHeight="1" x14ac:dyDescent="0.25">
      <c r="A2636" s="18" t="s">
        <v>317</v>
      </c>
      <c r="B2636" s="18" t="s">
        <v>632</v>
      </c>
      <c r="C2636" s="10" t="s">
        <v>1969</v>
      </c>
      <c r="D2636" s="3" t="s">
        <v>2462</v>
      </c>
      <c r="E2636" s="4" t="s">
        <v>2</v>
      </c>
      <c r="F2636" s="18">
        <v>2176</v>
      </c>
      <c r="G2636" s="18" t="s">
        <v>3271</v>
      </c>
      <c r="H2636" s="10" t="s">
        <v>2006</v>
      </c>
      <c r="I2636" s="3">
        <v>26</v>
      </c>
      <c r="J2636" s="3" t="s">
        <v>3271</v>
      </c>
      <c r="L2636" t="str">
        <f t="shared" si="41"/>
        <v/>
      </c>
      <c r="M2636">
        <f>VLOOKUP(F2636,Sheet2!$B$1:$E$19,2,FALSE)</f>
        <v>1073</v>
      </c>
      <c r="N2636">
        <f>VLOOKUP(F2636,Sheet2!$B$1:$E$19,3,FALSE)</f>
        <v>1108963</v>
      </c>
      <c r="O2636" t="str">
        <f>IF(G2636="Not available","",VLOOKUP(F2636,Sheet2!$B$1:$E$19,4,FALSE)+(G2636-1))</f>
        <v/>
      </c>
    </row>
    <row r="2637" spans="1:15" s="1" customFormat="1" ht="15" customHeight="1" x14ac:dyDescent="0.25">
      <c r="A2637" s="18" t="s">
        <v>317</v>
      </c>
      <c r="B2637" s="18" t="s">
        <v>319</v>
      </c>
      <c r="C2637" s="5">
        <v>1804</v>
      </c>
      <c r="E2637" s="1" t="s">
        <v>2</v>
      </c>
      <c r="F2637" s="18">
        <v>2173</v>
      </c>
      <c r="G2637" s="18">
        <v>49</v>
      </c>
      <c r="H2637" s="5">
        <v>92</v>
      </c>
      <c r="I2637" s="1">
        <v>106</v>
      </c>
      <c r="J2637" s="1">
        <v>226</v>
      </c>
      <c r="L2637" t="str">
        <f t="shared" si="41"/>
        <v>http://www.badatelna.eu/reprodukce/?fondId=1073&amp;zaznamId=1108959&amp;reproId=3780042</v>
      </c>
      <c r="M2637">
        <f>VLOOKUP(F2637,Sheet2!$B$1:$E$19,2,FALSE)</f>
        <v>1073</v>
      </c>
      <c r="N2637">
        <f>VLOOKUP(F2637,Sheet2!$B$1:$E$19,3,FALSE)</f>
        <v>1108959</v>
      </c>
      <c r="O2637">
        <f>IF(G2637="Not available","",VLOOKUP(F2637,Sheet2!$B$1:$E$19,4,FALSE)+(G2637-1))</f>
        <v>3780042</v>
      </c>
    </row>
    <row r="2638" spans="1:15" s="1" customFormat="1" ht="15" customHeight="1" x14ac:dyDescent="0.25">
      <c r="A2638" s="18" t="s">
        <v>317</v>
      </c>
      <c r="B2638" s="18" t="s">
        <v>436</v>
      </c>
      <c r="C2638" s="5" t="s">
        <v>1486</v>
      </c>
      <c r="D2638" s="1" t="s">
        <v>197</v>
      </c>
      <c r="E2638" s="1" t="s">
        <v>2</v>
      </c>
      <c r="F2638" s="18">
        <v>2165</v>
      </c>
      <c r="G2638" s="18">
        <v>47</v>
      </c>
      <c r="H2638" s="5">
        <v>44</v>
      </c>
      <c r="I2638" s="1">
        <v>86</v>
      </c>
      <c r="J2638" s="1" t="s">
        <v>3271</v>
      </c>
      <c r="L2638" t="str">
        <f t="shared" si="41"/>
        <v>http://www.badatelna.eu/reprodukce/?fondId=1073&amp;zaznamId=1108952&amp;reproId=3778908</v>
      </c>
      <c r="M2638">
        <f>VLOOKUP(F2638,Sheet2!$B$1:$E$19,2,FALSE)</f>
        <v>1073</v>
      </c>
      <c r="N2638">
        <f>VLOOKUP(F2638,Sheet2!$B$1:$E$19,3,FALSE)</f>
        <v>1108952</v>
      </c>
      <c r="O2638">
        <f>IF(G2638="Not available","",VLOOKUP(F2638,Sheet2!$B$1:$E$19,4,FALSE)+(G2638-1))</f>
        <v>3778908</v>
      </c>
    </row>
    <row r="2639" spans="1:15" s="1" customFormat="1" ht="15" customHeight="1" x14ac:dyDescent="0.25">
      <c r="A2639" s="18" t="s">
        <v>317</v>
      </c>
      <c r="B2639" s="18" t="s">
        <v>129</v>
      </c>
      <c r="C2639" s="5" t="s">
        <v>1725</v>
      </c>
      <c r="D2639" s="1" t="s">
        <v>12</v>
      </c>
      <c r="E2639" s="1" t="s">
        <v>2</v>
      </c>
      <c r="F2639" s="18">
        <v>2165</v>
      </c>
      <c r="G2639" s="18">
        <v>166</v>
      </c>
      <c r="H2639" s="5">
        <v>2</v>
      </c>
      <c r="I2639" s="1">
        <v>170</v>
      </c>
      <c r="J2639" s="1">
        <v>148</v>
      </c>
      <c r="L2639" t="str">
        <f t="shared" si="41"/>
        <v>http://www.badatelna.eu/reprodukce/?fondId=1073&amp;zaznamId=1108952&amp;reproId=3779027</v>
      </c>
      <c r="M2639">
        <f>VLOOKUP(F2639,Sheet2!$B$1:$E$19,2,FALSE)</f>
        <v>1073</v>
      </c>
      <c r="N2639">
        <f>VLOOKUP(F2639,Sheet2!$B$1:$E$19,3,FALSE)</f>
        <v>1108952</v>
      </c>
      <c r="O2639">
        <f>IF(G2639="Not available","",VLOOKUP(F2639,Sheet2!$B$1:$E$19,4,FALSE)+(G2639-1))</f>
        <v>3779027</v>
      </c>
    </row>
    <row r="2640" spans="1:15" s="1" customFormat="1" ht="15" customHeight="1" x14ac:dyDescent="0.25">
      <c r="A2640" s="19" t="s">
        <v>317</v>
      </c>
      <c r="B2640" s="18" t="s">
        <v>12</v>
      </c>
      <c r="C2640" s="5">
        <v>1826</v>
      </c>
      <c r="E2640" s="1" t="s">
        <v>2</v>
      </c>
      <c r="F2640" s="18">
        <v>2173</v>
      </c>
      <c r="G2640" s="18">
        <v>79</v>
      </c>
      <c r="H2640" s="5">
        <v>151</v>
      </c>
      <c r="I2640" s="1">
        <v>106</v>
      </c>
      <c r="J2640" s="1">
        <v>227</v>
      </c>
      <c r="L2640" t="str">
        <f t="shared" si="41"/>
        <v>http://www.badatelna.eu/reprodukce/?fondId=1073&amp;zaznamId=1108959&amp;reproId=3780072</v>
      </c>
      <c r="M2640">
        <f>VLOOKUP(F2640,Sheet2!$B$1:$E$19,2,FALSE)</f>
        <v>1073</v>
      </c>
      <c r="N2640">
        <f>VLOOKUP(F2640,Sheet2!$B$1:$E$19,3,FALSE)</f>
        <v>1108959</v>
      </c>
      <c r="O2640">
        <f>IF(G2640="Not available","",VLOOKUP(F2640,Sheet2!$B$1:$E$19,4,FALSE)+(G2640-1))</f>
        <v>3780072</v>
      </c>
    </row>
    <row r="2641" spans="1:15" s="1" customFormat="1" ht="15" customHeight="1" x14ac:dyDescent="0.25">
      <c r="A2641" s="18" t="s">
        <v>317</v>
      </c>
      <c r="B2641" s="18" t="s">
        <v>2007</v>
      </c>
      <c r="C2641" s="10" t="s">
        <v>2015</v>
      </c>
      <c r="D2641" s="3" t="s">
        <v>2462</v>
      </c>
      <c r="E2641" s="4" t="s">
        <v>2</v>
      </c>
      <c r="F2641" s="18">
        <v>2176</v>
      </c>
      <c r="G2641" s="18" t="s">
        <v>3271</v>
      </c>
      <c r="H2641" s="10" t="s">
        <v>1994</v>
      </c>
      <c r="I2641" s="3">
        <v>26</v>
      </c>
      <c r="J2641" s="3" t="s">
        <v>3271</v>
      </c>
      <c r="K2641" s="3"/>
      <c r="L2641" t="str">
        <f t="shared" si="41"/>
        <v/>
      </c>
      <c r="M2641">
        <f>VLOOKUP(F2641,Sheet2!$B$1:$E$19,2,FALSE)</f>
        <v>1073</v>
      </c>
      <c r="N2641">
        <f>VLOOKUP(F2641,Sheet2!$B$1:$E$19,3,FALSE)</f>
        <v>1108963</v>
      </c>
      <c r="O2641" t="str">
        <f>IF(G2641="Not available","",VLOOKUP(F2641,Sheet2!$B$1:$E$19,4,FALSE)+(G2641-1))</f>
        <v/>
      </c>
    </row>
    <row r="2642" spans="1:15" s="1" customFormat="1" ht="15" customHeight="1" x14ac:dyDescent="0.25">
      <c r="A2642" s="18" t="s">
        <v>317</v>
      </c>
      <c r="B2642" s="18" t="s">
        <v>26</v>
      </c>
      <c r="C2642" s="6" t="s">
        <v>2953</v>
      </c>
      <c r="E2642" s="1" t="s">
        <v>2</v>
      </c>
      <c r="F2642" s="18">
        <v>2173</v>
      </c>
      <c r="G2642" s="18">
        <v>77</v>
      </c>
      <c r="H2642" s="5">
        <v>146</v>
      </c>
      <c r="I2642" s="1">
        <v>106</v>
      </c>
      <c r="J2642" s="1">
        <v>227</v>
      </c>
      <c r="L2642" t="str">
        <f t="shared" si="41"/>
        <v>http://www.badatelna.eu/reprodukce/?fondId=1073&amp;zaznamId=1108959&amp;reproId=3780070</v>
      </c>
      <c r="M2642">
        <f>VLOOKUP(F2642,Sheet2!$B$1:$E$19,2,FALSE)</f>
        <v>1073</v>
      </c>
      <c r="N2642">
        <f>VLOOKUP(F2642,Sheet2!$B$1:$E$19,3,FALSE)</f>
        <v>1108959</v>
      </c>
      <c r="O2642">
        <f>IF(G2642="Not available","",VLOOKUP(F2642,Sheet2!$B$1:$E$19,4,FALSE)+(G2642-1))</f>
        <v>3780070</v>
      </c>
    </row>
    <row r="2643" spans="1:15" s="1" customFormat="1" ht="15" customHeight="1" x14ac:dyDescent="0.25">
      <c r="A2643" s="19" t="s">
        <v>317</v>
      </c>
      <c r="B2643" s="18" t="s">
        <v>233</v>
      </c>
      <c r="C2643" s="10" t="s">
        <v>2093</v>
      </c>
      <c r="D2643" s="3" t="s">
        <v>2482</v>
      </c>
      <c r="E2643" s="4" t="s">
        <v>2</v>
      </c>
      <c r="F2643" s="18">
        <v>2176</v>
      </c>
      <c r="G2643" s="18" t="s">
        <v>3271</v>
      </c>
      <c r="H2643" s="10" t="s">
        <v>2037</v>
      </c>
      <c r="I2643" s="3">
        <v>27</v>
      </c>
      <c r="J2643" s="3" t="s">
        <v>3271</v>
      </c>
      <c r="K2643" s="3"/>
      <c r="L2643" t="str">
        <f t="shared" si="41"/>
        <v/>
      </c>
      <c r="M2643">
        <f>VLOOKUP(F2643,Sheet2!$B$1:$E$19,2,FALSE)</f>
        <v>1073</v>
      </c>
      <c r="N2643">
        <f>VLOOKUP(F2643,Sheet2!$B$1:$E$19,3,FALSE)</f>
        <v>1108963</v>
      </c>
      <c r="O2643" t="str">
        <f>IF(G2643="Not available","",VLOOKUP(F2643,Sheet2!$B$1:$E$19,4,FALSE)+(G2643-1))</f>
        <v/>
      </c>
    </row>
    <row r="2644" spans="1:15" s="1" customFormat="1" ht="15" customHeight="1" x14ac:dyDescent="0.25">
      <c r="A2644" s="18" t="s">
        <v>317</v>
      </c>
      <c r="B2644" s="18" t="s">
        <v>398</v>
      </c>
      <c r="C2644" s="5" t="s">
        <v>1493</v>
      </c>
      <c r="D2644" s="1" t="s">
        <v>12</v>
      </c>
      <c r="E2644" s="1" t="s">
        <v>2</v>
      </c>
      <c r="F2644" s="18">
        <v>2165</v>
      </c>
      <c r="G2644" s="18">
        <v>67</v>
      </c>
      <c r="H2644" s="5">
        <v>64</v>
      </c>
      <c r="I2644" s="1">
        <v>86</v>
      </c>
      <c r="J2644" s="1" t="s">
        <v>3271</v>
      </c>
      <c r="L2644" t="str">
        <f t="shared" si="41"/>
        <v>http://www.badatelna.eu/reprodukce/?fondId=1073&amp;zaznamId=1108952&amp;reproId=3778928</v>
      </c>
      <c r="M2644">
        <f>VLOOKUP(F2644,Sheet2!$B$1:$E$19,2,FALSE)</f>
        <v>1073</v>
      </c>
      <c r="N2644">
        <f>VLOOKUP(F2644,Sheet2!$B$1:$E$19,3,FALSE)</f>
        <v>1108952</v>
      </c>
      <c r="O2644">
        <f>IF(G2644="Not available","",VLOOKUP(F2644,Sheet2!$B$1:$E$19,4,FALSE)+(G2644-1))</f>
        <v>3778928</v>
      </c>
    </row>
    <row r="2645" spans="1:15" s="1" customFormat="1" ht="15" customHeight="1" x14ac:dyDescent="0.25">
      <c r="A2645" s="18" t="s">
        <v>317</v>
      </c>
      <c r="B2645" s="18" t="s">
        <v>17</v>
      </c>
      <c r="C2645" s="5">
        <v>1785</v>
      </c>
      <c r="D2645" s="1" t="s">
        <v>245</v>
      </c>
      <c r="E2645" s="1" t="s">
        <v>2</v>
      </c>
      <c r="F2645" s="18">
        <v>2173</v>
      </c>
      <c r="G2645" s="18">
        <v>11</v>
      </c>
      <c r="H2645" s="5">
        <v>16</v>
      </c>
      <c r="I2645" s="1">
        <v>105</v>
      </c>
      <c r="J2645" s="1" t="s">
        <v>294</v>
      </c>
      <c r="L2645" t="str">
        <f t="shared" si="41"/>
        <v>http://www.badatelna.eu/reprodukce/?fondId=1073&amp;zaznamId=1108959&amp;reproId=3780004</v>
      </c>
      <c r="M2645">
        <f>VLOOKUP(F2645,Sheet2!$B$1:$E$19,2,FALSE)</f>
        <v>1073</v>
      </c>
      <c r="N2645">
        <f>VLOOKUP(F2645,Sheet2!$B$1:$E$19,3,FALSE)</f>
        <v>1108959</v>
      </c>
      <c r="O2645">
        <f>IF(G2645="Not available","",VLOOKUP(F2645,Sheet2!$B$1:$E$19,4,FALSE)+(G2645-1))</f>
        <v>3780004</v>
      </c>
    </row>
    <row r="2646" spans="1:15" s="1" customFormat="1" ht="15" customHeight="1" x14ac:dyDescent="0.25">
      <c r="A2646" s="18" t="s">
        <v>317</v>
      </c>
      <c r="B2646" s="18" t="s">
        <v>1044</v>
      </c>
      <c r="C2646" s="5" t="s">
        <v>1480</v>
      </c>
      <c r="D2646" s="1" t="s">
        <v>197</v>
      </c>
      <c r="E2646" s="1" t="s">
        <v>2</v>
      </c>
      <c r="F2646" s="18">
        <v>2165</v>
      </c>
      <c r="G2646" s="18">
        <v>27</v>
      </c>
      <c r="H2646" s="5">
        <v>24</v>
      </c>
      <c r="I2646" s="1">
        <v>86</v>
      </c>
      <c r="J2646" s="1" t="s">
        <v>3271</v>
      </c>
      <c r="L2646" t="str">
        <f t="shared" si="41"/>
        <v>http://www.badatelna.eu/reprodukce/?fondId=1073&amp;zaznamId=1108952&amp;reproId=3778888</v>
      </c>
      <c r="M2646">
        <f>VLOOKUP(F2646,Sheet2!$B$1:$E$19,2,FALSE)</f>
        <v>1073</v>
      </c>
      <c r="N2646">
        <f>VLOOKUP(F2646,Sheet2!$B$1:$E$19,3,FALSE)</f>
        <v>1108952</v>
      </c>
      <c r="O2646">
        <f>IF(G2646="Not available","",VLOOKUP(F2646,Sheet2!$B$1:$E$19,4,FALSE)+(G2646-1))</f>
        <v>3778888</v>
      </c>
    </row>
    <row r="2647" spans="1:15" s="1" customFormat="1" ht="15" customHeight="1" x14ac:dyDescent="0.25">
      <c r="A2647" s="18" t="s">
        <v>317</v>
      </c>
      <c r="B2647" s="18" t="s">
        <v>545</v>
      </c>
      <c r="C2647" s="5" t="s">
        <v>1479</v>
      </c>
      <c r="D2647" s="1" t="s">
        <v>197</v>
      </c>
      <c r="E2647" s="1" t="s">
        <v>2</v>
      </c>
      <c r="F2647" s="18">
        <v>2165</v>
      </c>
      <c r="G2647" s="18">
        <v>27</v>
      </c>
      <c r="H2647" s="5">
        <v>24</v>
      </c>
      <c r="I2647" s="1">
        <v>86</v>
      </c>
      <c r="J2647" s="1" t="s">
        <v>3271</v>
      </c>
      <c r="L2647" t="str">
        <f t="shared" si="41"/>
        <v>http://www.badatelna.eu/reprodukce/?fondId=1073&amp;zaznamId=1108952&amp;reproId=3778888</v>
      </c>
      <c r="M2647">
        <f>VLOOKUP(F2647,Sheet2!$B$1:$E$19,2,FALSE)</f>
        <v>1073</v>
      </c>
      <c r="N2647">
        <f>VLOOKUP(F2647,Sheet2!$B$1:$E$19,3,FALSE)</f>
        <v>1108952</v>
      </c>
      <c r="O2647">
        <f>IF(G2647="Not available","",VLOOKUP(F2647,Sheet2!$B$1:$E$19,4,FALSE)+(G2647-1))</f>
        <v>3778888</v>
      </c>
    </row>
    <row r="2648" spans="1:15" s="1" customFormat="1" ht="15" customHeight="1" x14ac:dyDescent="0.25">
      <c r="A2648" s="19" t="s">
        <v>317</v>
      </c>
      <c r="B2648" s="18" t="s">
        <v>93</v>
      </c>
      <c r="C2648" s="5">
        <v>1797</v>
      </c>
      <c r="D2648" s="1" t="s">
        <v>44</v>
      </c>
      <c r="E2648" s="1" t="s">
        <v>2</v>
      </c>
      <c r="F2648" s="18">
        <v>2173</v>
      </c>
      <c r="G2648" s="18">
        <v>36</v>
      </c>
      <c r="H2648" s="5">
        <v>66</v>
      </c>
      <c r="I2648" s="1">
        <v>105</v>
      </c>
      <c r="J2648" s="1">
        <v>225</v>
      </c>
      <c r="L2648" t="str">
        <f t="shared" si="41"/>
        <v>http://www.badatelna.eu/reprodukce/?fondId=1073&amp;zaznamId=1108959&amp;reproId=3780029</v>
      </c>
      <c r="M2648">
        <f>VLOOKUP(F2648,Sheet2!$B$1:$E$19,2,FALSE)</f>
        <v>1073</v>
      </c>
      <c r="N2648">
        <f>VLOOKUP(F2648,Sheet2!$B$1:$E$19,3,FALSE)</f>
        <v>1108959</v>
      </c>
      <c r="O2648">
        <f>IF(G2648="Not available","",VLOOKUP(F2648,Sheet2!$B$1:$E$19,4,FALSE)+(G2648-1))</f>
        <v>3780029</v>
      </c>
    </row>
    <row r="2649" spans="1:15" s="1" customFormat="1" ht="15" customHeight="1" x14ac:dyDescent="0.25">
      <c r="A2649" s="18" t="s">
        <v>697</v>
      </c>
      <c r="B2649" s="18" t="s">
        <v>698</v>
      </c>
      <c r="C2649" s="5">
        <v>1836</v>
      </c>
      <c r="D2649" s="1" t="s">
        <v>21</v>
      </c>
      <c r="E2649" s="1" t="s">
        <v>2</v>
      </c>
      <c r="F2649" s="18">
        <v>2174</v>
      </c>
      <c r="G2649" s="18">
        <v>91</v>
      </c>
      <c r="H2649" s="6" t="s">
        <v>3157</v>
      </c>
      <c r="I2649" s="1">
        <v>191</v>
      </c>
      <c r="J2649" s="1">
        <v>222</v>
      </c>
      <c r="L2649" t="str">
        <f t="shared" si="41"/>
        <v>http://www.badatelna.eu/reprodukce/?fondId=1073&amp;zaznamId=1108960&amp;reproId=3780315</v>
      </c>
      <c r="M2649">
        <f>VLOOKUP(F2649,Sheet2!$B$1:$E$19,2,FALSE)</f>
        <v>1073</v>
      </c>
      <c r="N2649">
        <f>VLOOKUP(F2649,Sheet2!$B$1:$E$19,3,FALSE)</f>
        <v>1108960</v>
      </c>
      <c r="O2649">
        <f>IF(G2649="Not available","",VLOOKUP(F2649,Sheet2!$B$1:$E$19,4,FALSE)+(G2649-1))</f>
        <v>3780315</v>
      </c>
    </row>
    <row r="2650" spans="1:15" s="1" customFormat="1" ht="15" customHeight="1" x14ac:dyDescent="0.25">
      <c r="A2650" s="18" t="s">
        <v>693</v>
      </c>
      <c r="B2650" s="18" t="s">
        <v>809</v>
      </c>
      <c r="C2650" s="5" t="s">
        <v>1473</v>
      </c>
      <c r="D2650" s="1" t="s">
        <v>1028</v>
      </c>
      <c r="E2650" s="1" t="s">
        <v>2</v>
      </c>
      <c r="F2650" s="18">
        <v>2165</v>
      </c>
      <c r="G2650" s="18">
        <v>10</v>
      </c>
      <c r="H2650" s="5">
        <v>7</v>
      </c>
      <c r="I2650" s="1">
        <v>86</v>
      </c>
      <c r="J2650" s="1" t="s">
        <v>3271</v>
      </c>
      <c r="L2650" t="str">
        <f t="shared" si="41"/>
        <v>http://www.badatelna.eu/reprodukce/?fondId=1073&amp;zaznamId=1108952&amp;reproId=3778871</v>
      </c>
      <c r="M2650">
        <f>VLOOKUP(F2650,Sheet2!$B$1:$E$19,2,FALSE)</f>
        <v>1073</v>
      </c>
      <c r="N2650">
        <f>VLOOKUP(F2650,Sheet2!$B$1:$E$19,3,FALSE)</f>
        <v>1108952</v>
      </c>
      <c r="O2650">
        <f>IF(G2650="Not available","",VLOOKUP(F2650,Sheet2!$B$1:$E$19,4,FALSE)+(G2650-1))</f>
        <v>3778871</v>
      </c>
    </row>
    <row r="2651" spans="1:15" s="1" customFormat="1" ht="15" customHeight="1" x14ac:dyDescent="0.25">
      <c r="A2651" s="18" t="s">
        <v>693</v>
      </c>
      <c r="B2651" s="18" t="s">
        <v>44</v>
      </c>
      <c r="C2651" s="5">
        <v>1833</v>
      </c>
      <c r="E2651" s="1" t="s">
        <v>2</v>
      </c>
      <c r="F2651" s="18">
        <v>2174</v>
      </c>
      <c r="G2651" s="18">
        <v>73</v>
      </c>
      <c r="H2651" s="6" t="s">
        <v>3138</v>
      </c>
      <c r="I2651" s="1">
        <v>191</v>
      </c>
      <c r="J2651" s="1">
        <v>222</v>
      </c>
      <c r="L2651" t="str">
        <f t="shared" si="41"/>
        <v>http://www.badatelna.eu/reprodukce/?fondId=1073&amp;zaznamId=1108960&amp;reproId=3780297</v>
      </c>
      <c r="M2651">
        <f>VLOOKUP(F2651,Sheet2!$B$1:$E$19,2,FALSE)</f>
        <v>1073</v>
      </c>
      <c r="N2651">
        <f>VLOOKUP(F2651,Sheet2!$B$1:$E$19,3,FALSE)</f>
        <v>1108960</v>
      </c>
      <c r="O2651">
        <f>IF(G2651="Not available","",VLOOKUP(F2651,Sheet2!$B$1:$E$19,4,FALSE)+(G2651-1))</f>
        <v>3780297</v>
      </c>
    </row>
    <row r="2652" spans="1:15" s="1" customFormat="1" ht="15" customHeight="1" x14ac:dyDescent="0.25">
      <c r="A2652" s="18" t="s">
        <v>315</v>
      </c>
      <c r="B2652" s="18" t="s">
        <v>92</v>
      </c>
      <c r="C2652" s="5" t="s">
        <v>1307</v>
      </c>
      <c r="D2652" s="1" t="s">
        <v>1028</v>
      </c>
      <c r="E2652" s="1" t="s">
        <v>2</v>
      </c>
      <c r="F2652" s="18">
        <v>2165</v>
      </c>
      <c r="G2652" s="18">
        <v>24</v>
      </c>
      <c r="H2652" s="5">
        <v>21</v>
      </c>
      <c r="I2652" s="1">
        <v>86</v>
      </c>
      <c r="J2652" s="1" t="s">
        <v>3271</v>
      </c>
      <c r="L2652" t="str">
        <f t="shared" si="41"/>
        <v>http://www.badatelna.eu/reprodukce/?fondId=1073&amp;zaznamId=1108952&amp;reproId=3778885</v>
      </c>
      <c r="M2652">
        <f>VLOOKUP(F2652,Sheet2!$B$1:$E$19,2,FALSE)</f>
        <v>1073</v>
      </c>
      <c r="N2652">
        <f>VLOOKUP(F2652,Sheet2!$B$1:$E$19,3,FALSE)</f>
        <v>1108952</v>
      </c>
      <c r="O2652">
        <f>IF(G2652="Not available","",VLOOKUP(F2652,Sheet2!$B$1:$E$19,4,FALSE)+(G2652-1))</f>
        <v>3778885</v>
      </c>
    </row>
    <row r="2653" spans="1:15" s="1" customFormat="1" ht="15" customHeight="1" x14ac:dyDescent="0.25">
      <c r="A2653" s="18" t="s">
        <v>315</v>
      </c>
      <c r="B2653" s="18" t="s">
        <v>985</v>
      </c>
      <c r="C2653" s="5" t="s">
        <v>1727</v>
      </c>
      <c r="D2653" s="1" t="s">
        <v>1028</v>
      </c>
      <c r="E2653" s="1" t="s">
        <v>2</v>
      </c>
      <c r="F2653" s="18">
        <v>2165</v>
      </c>
      <c r="G2653" s="19">
        <v>169</v>
      </c>
      <c r="H2653" s="5">
        <v>5</v>
      </c>
      <c r="I2653" s="1">
        <v>170</v>
      </c>
      <c r="J2653" s="1">
        <v>148</v>
      </c>
      <c r="L2653" t="str">
        <f t="shared" si="41"/>
        <v>http://www.badatelna.eu/reprodukce/?fondId=1073&amp;zaznamId=1108952&amp;reproId=3779030</v>
      </c>
      <c r="M2653">
        <f>VLOOKUP(F2653,Sheet2!$B$1:$E$19,2,FALSE)</f>
        <v>1073</v>
      </c>
      <c r="N2653">
        <f>VLOOKUP(F2653,Sheet2!$B$1:$E$19,3,FALSE)</f>
        <v>1108952</v>
      </c>
      <c r="O2653">
        <f>IF(G2653="Not available","",VLOOKUP(F2653,Sheet2!$B$1:$E$19,4,FALSE)+(G2653-1))</f>
        <v>3779030</v>
      </c>
    </row>
    <row r="2654" spans="1:15" s="1" customFormat="1" ht="15" customHeight="1" x14ac:dyDescent="0.25">
      <c r="A2654" s="18" t="s">
        <v>315</v>
      </c>
      <c r="B2654" s="18" t="s">
        <v>2154</v>
      </c>
      <c r="C2654" s="10" t="s">
        <v>2475</v>
      </c>
      <c r="D2654" s="3" t="s">
        <v>2464</v>
      </c>
      <c r="E2654" s="4" t="s">
        <v>2</v>
      </c>
      <c r="F2654" s="18">
        <v>2176</v>
      </c>
      <c r="G2654" s="18" t="s">
        <v>3271</v>
      </c>
      <c r="H2654" s="10" t="s">
        <v>2283</v>
      </c>
      <c r="I2654" s="3">
        <v>26</v>
      </c>
      <c r="J2654" s="3" t="s">
        <v>3271</v>
      </c>
      <c r="L2654" t="str">
        <f t="shared" si="41"/>
        <v/>
      </c>
      <c r="M2654">
        <f>VLOOKUP(F2654,Sheet2!$B$1:$E$19,2,FALSE)</f>
        <v>1073</v>
      </c>
      <c r="N2654">
        <f>VLOOKUP(F2654,Sheet2!$B$1:$E$19,3,FALSE)</f>
        <v>1108963</v>
      </c>
      <c r="O2654" t="str">
        <f>IF(G2654="Not available","",VLOOKUP(F2654,Sheet2!$B$1:$E$19,4,FALSE)+(G2654-1))</f>
        <v/>
      </c>
    </row>
    <row r="2655" spans="1:15" s="1" customFormat="1" ht="15" customHeight="1" x14ac:dyDescent="0.25">
      <c r="A2655" s="18" t="s">
        <v>315</v>
      </c>
      <c r="B2655" s="18" t="s">
        <v>816</v>
      </c>
      <c r="C2655" s="5" t="s">
        <v>1728</v>
      </c>
      <c r="D2655" s="1" t="s">
        <v>1028</v>
      </c>
      <c r="E2655" s="1" t="s">
        <v>2</v>
      </c>
      <c r="F2655" s="18">
        <v>2165</v>
      </c>
      <c r="G2655" s="19">
        <v>169</v>
      </c>
      <c r="H2655" s="5">
        <v>5</v>
      </c>
      <c r="I2655" s="1">
        <v>170</v>
      </c>
      <c r="J2655" s="1">
        <v>148</v>
      </c>
      <c r="L2655" t="str">
        <f t="shared" si="41"/>
        <v>http://www.badatelna.eu/reprodukce/?fondId=1073&amp;zaznamId=1108952&amp;reproId=3779030</v>
      </c>
      <c r="M2655">
        <f>VLOOKUP(F2655,Sheet2!$B$1:$E$19,2,FALSE)</f>
        <v>1073</v>
      </c>
      <c r="N2655">
        <f>VLOOKUP(F2655,Sheet2!$B$1:$E$19,3,FALSE)</f>
        <v>1108952</v>
      </c>
      <c r="O2655">
        <f>IF(G2655="Not available","",VLOOKUP(F2655,Sheet2!$B$1:$E$19,4,FALSE)+(G2655-1))</f>
        <v>3779030</v>
      </c>
    </row>
    <row r="2656" spans="1:15" s="1" customFormat="1" ht="15" customHeight="1" x14ac:dyDescent="0.25">
      <c r="A2656" s="18" t="s">
        <v>315</v>
      </c>
      <c r="B2656" s="18" t="s">
        <v>249</v>
      </c>
      <c r="C2656" s="5">
        <v>1813</v>
      </c>
      <c r="E2656" s="1" t="s">
        <v>2</v>
      </c>
      <c r="F2656" s="18">
        <v>2173</v>
      </c>
      <c r="G2656" s="18">
        <v>59</v>
      </c>
      <c r="H2656" s="5">
        <v>113</v>
      </c>
      <c r="I2656" s="1">
        <v>106</v>
      </c>
      <c r="J2656" s="1">
        <v>226</v>
      </c>
      <c r="L2656" t="str">
        <f t="shared" si="41"/>
        <v>http://www.badatelna.eu/reprodukce/?fondId=1073&amp;zaznamId=1108959&amp;reproId=3780052</v>
      </c>
      <c r="M2656">
        <f>VLOOKUP(F2656,Sheet2!$B$1:$E$19,2,FALSE)</f>
        <v>1073</v>
      </c>
      <c r="N2656">
        <f>VLOOKUP(F2656,Sheet2!$B$1:$E$19,3,FALSE)</f>
        <v>1108959</v>
      </c>
      <c r="O2656">
        <f>IF(G2656="Not available","",VLOOKUP(F2656,Sheet2!$B$1:$E$19,4,FALSE)+(G2656-1))</f>
        <v>3780052</v>
      </c>
    </row>
    <row r="2657" spans="1:15" s="1" customFormat="1" ht="15" customHeight="1" x14ac:dyDescent="0.25">
      <c r="A2657" s="18" t="s">
        <v>315</v>
      </c>
      <c r="B2657" s="18" t="s">
        <v>6</v>
      </c>
      <c r="C2657" s="6" t="s">
        <v>3341</v>
      </c>
      <c r="E2657" s="1" t="s">
        <v>2</v>
      </c>
      <c r="F2657" s="18">
        <v>2173</v>
      </c>
      <c r="G2657" s="18">
        <v>59</v>
      </c>
      <c r="H2657" s="6" t="s">
        <v>2985</v>
      </c>
      <c r="I2657" s="1">
        <v>106</v>
      </c>
      <c r="J2657" s="1">
        <v>226</v>
      </c>
      <c r="L2657" t="str">
        <f t="shared" si="41"/>
        <v>http://www.badatelna.eu/reprodukce/?fondId=1073&amp;zaznamId=1108959&amp;reproId=3780052</v>
      </c>
      <c r="M2657">
        <f>VLOOKUP(F2657,Sheet2!$B$1:$E$19,2,FALSE)</f>
        <v>1073</v>
      </c>
      <c r="N2657">
        <f>VLOOKUP(F2657,Sheet2!$B$1:$E$19,3,FALSE)</f>
        <v>1108959</v>
      </c>
      <c r="O2657">
        <f>IF(G2657="Not available","",VLOOKUP(F2657,Sheet2!$B$1:$E$19,4,FALSE)+(G2657-1))</f>
        <v>3780052</v>
      </c>
    </row>
    <row r="2658" spans="1:15" s="1" customFormat="1" ht="15" customHeight="1" x14ac:dyDescent="0.25">
      <c r="A2658" s="18" t="s">
        <v>315</v>
      </c>
      <c r="B2658" s="18" t="s">
        <v>6</v>
      </c>
      <c r="C2658" s="6" t="s">
        <v>2953</v>
      </c>
      <c r="E2658" s="1" t="s">
        <v>2</v>
      </c>
      <c r="F2658" s="18">
        <v>2173</v>
      </c>
      <c r="G2658" s="18">
        <v>77</v>
      </c>
      <c r="H2658" s="5">
        <v>147</v>
      </c>
      <c r="I2658" s="1">
        <v>106</v>
      </c>
      <c r="J2658" s="1">
        <v>227</v>
      </c>
      <c r="L2658" t="str">
        <f t="shared" si="41"/>
        <v>http://www.badatelna.eu/reprodukce/?fondId=1073&amp;zaznamId=1108959&amp;reproId=3780070</v>
      </c>
      <c r="M2658">
        <f>VLOOKUP(F2658,Sheet2!$B$1:$E$19,2,FALSE)</f>
        <v>1073</v>
      </c>
      <c r="N2658">
        <f>VLOOKUP(F2658,Sheet2!$B$1:$E$19,3,FALSE)</f>
        <v>1108959</v>
      </c>
      <c r="O2658">
        <f>IF(G2658="Not available","",VLOOKUP(F2658,Sheet2!$B$1:$E$19,4,FALSE)+(G2658-1))</f>
        <v>3780070</v>
      </c>
    </row>
    <row r="2659" spans="1:15" s="1" customFormat="1" ht="15" customHeight="1" x14ac:dyDescent="0.25">
      <c r="A2659" s="18" t="s">
        <v>315</v>
      </c>
      <c r="B2659" s="18" t="s">
        <v>769</v>
      </c>
      <c r="C2659" s="5">
        <v>1864</v>
      </c>
      <c r="E2659" s="1" t="s">
        <v>939</v>
      </c>
      <c r="F2659" s="18">
        <v>999</v>
      </c>
      <c r="G2659" s="18">
        <v>48</v>
      </c>
      <c r="H2659" s="5">
        <v>46</v>
      </c>
      <c r="I2659" s="1">
        <v>71</v>
      </c>
      <c r="J2659" s="1">
        <v>105</v>
      </c>
      <c r="L2659" t="str">
        <f t="shared" si="41"/>
        <v>http://www.badatelna.eu/reprodukce/?fondId=241&amp;zaznamId=1133739&amp;reproId=3885777</v>
      </c>
      <c r="M2659">
        <f>VLOOKUP(F2659,Sheet2!$B$1:$E$19,2,FALSE)</f>
        <v>241</v>
      </c>
      <c r="N2659">
        <f>VLOOKUP(F2659,Sheet2!$B$1:$E$19,3,FALSE)</f>
        <v>1133739</v>
      </c>
      <c r="O2659">
        <f>IF(G2659="Not available","",VLOOKUP(F2659,Sheet2!$B$1:$E$19,4,FALSE)+(G2659-1))</f>
        <v>3885777</v>
      </c>
    </row>
    <row r="2660" spans="1:15" s="1" customFormat="1" ht="15" customHeight="1" x14ac:dyDescent="0.25">
      <c r="A2660" s="18" t="s">
        <v>315</v>
      </c>
      <c r="B2660" s="18" t="s">
        <v>59</v>
      </c>
      <c r="C2660" s="5">
        <v>1821</v>
      </c>
      <c r="E2660" s="1" t="s">
        <v>2</v>
      </c>
      <c r="F2660" s="18">
        <v>2173</v>
      </c>
      <c r="G2660" s="18">
        <v>72</v>
      </c>
      <c r="H2660" s="5">
        <v>137</v>
      </c>
      <c r="I2660" s="1">
        <v>106</v>
      </c>
      <c r="J2660" s="1">
        <v>227</v>
      </c>
      <c r="L2660" t="str">
        <f t="shared" si="41"/>
        <v>http://www.badatelna.eu/reprodukce/?fondId=1073&amp;zaznamId=1108959&amp;reproId=3780065</v>
      </c>
      <c r="M2660">
        <f>VLOOKUP(F2660,Sheet2!$B$1:$E$19,2,FALSE)</f>
        <v>1073</v>
      </c>
      <c r="N2660">
        <f>VLOOKUP(F2660,Sheet2!$B$1:$E$19,3,FALSE)</f>
        <v>1108959</v>
      </c>
      <c r="O2660">
        <f>IF(G2660="Not available","",VLOOKUP(F2660,Sheet2!$B$1:$E$19,4,FALSE)+(G2660-1))</f>
        <v>3780065</v>
      </c>
    </row>
    <row r="2661" spans="1:15" s="1" customFormat="1" ht="15" customHeight="1" x14ac:dyDescent="0.25">
      <c r="A2661" s="18" t="s">
        <v>315</v>
      </c>
      <c r="B2661" s="18" t="s">
        <v>484</v>
      </c>
      <c r="C2661" s="5" t="s">
        <v>1484</v>
      </c>
      <c r="D2661" s="1" t="s">
        <v>1028</v>
      </c>
      <c r="E2661" s="1" t="s">
        <v>2</v>
      </c>
      <c r="F2661" s="18">
        <v>2165</v>
      </c>
      <c r="G2661" s="18">
        <v>42</v>
      </c>
      <c r="H2661" s="5">
        <v>39</v>
      </c>
      <c r="I2661" s="1">
        <v>86</v>
      </c>
      <c r="J2661" s="1" t="s">
        <v>3271</v>
      </c>
      <c r="L2661" t="str">
        <f t="shared" si="41"/>
        <v>http://www.badatelna.eu/reprodukce/?fondId=1073&amp;zaznamId=1108952&amp;reproId=3778903</v>
      </c>
      <c r="M2661">
        <f>VLOOKUP(F2661,Sheet2!$B$1:$E$19,2,FALSE)</f>
        <v>1073</v>
      </c>
      <c r="N2661">
        <f>VLOOKUP(F2661,Sheet2!$B$1:$E$19,3,FALSE)</f>
        <v>1108952</v>
      </c>
      <c r="O2661">
        <f>IF(G2661="Not available","",VLOOKUP(F2661,Sheet2!$B$1:$E$19,4,FALSE)+(G2661-1))</f>
        <v>3778903</v>
      </c>
    </row>
    <row r="2662" spans="1:15" s="1" customFormat="1" ht="15" customHeight="1" x14ac:dyDescent="0.25">
      <c r="A2662" s="18" t="s">
        <v>315</v>
      </c>
      <c r="B2662" s="18" t="s">
        <v>129</v>
      </c>
      <c r="C2662" s="5">
        <v>1857</v>
      </c>
      <c r="D2662" s="1" t="s">
        <v>40</v>
      </c>
      <c r="E2662" s="1" t="s">
        <v>2</v>
      </c>
      <c r="F2662" s="18">
        <v>2164</v>
      </c>
      <c r="G2662" s="18">
        <v>120</v>
      </c>
      <c r="H2662" s="5">
        <v>118</v>
      </c>
      <c r="I2662" s="1">
        <v>132</v>
      </c>
      <c r="J2662" s="1" t="s">
        <v>2821</v>
      </c>
      <c r="L2662" t="str">
        <f t="shared" si="41"/>
        <v>http://www.badatelna.eu/reprodukce/?fondId=1073&amp;zaznamId=1108951&amp;reproId=3778834</v>
      </c>
      <c r="M2662">
        <f>VLOOKUP(F2662,Sheet2!$B$1:$E$19,2,FALSE)</f>
        <v>1073</v>
      </c>
      <c r="N2662">
        <f>VLOOKUP(F2662,Sheet2!$B$1:$E$19,3,FALSE)</f>
        <v>1108951</v>
      </c>
      <c r="O2662">
        <f>IF(G2662="Not available","",VLOOKUP(F2662,Sheet2!$B$1:$E$19,4,FALSE)+(G2662-1))</f>
        <v>3778834</v>
      </c>
    </row>
    <row r="2663" spans="1:15" s="1" customFormat="1" ht="15" customHeight="1" x14ac:dyDescent="0.25">
      <c r="A2663" s="18" t="s">
        <v>315</v>
      </c>
      <c r="B2663" s="18" t="s">
        <v>495</v>
      </c>
      <c r="C2663" s="5">
        <v>1841</v>
      </c>
      <c r="D2663" s="1" t="s">
        <v>196</v>
      </c>
      <c r="E2663" s="1" t="s">
        <v>2</v>
      </c>
      <c r="F2663" s="18">
        <v>2174</v>
      </c>
      <c r="G2663" s="18">
        <v>119</v>
      </c>
      <c r="H2663" s="6" t="s">
        <v>3188</v>
      </c>
      <c r="I2663" s="1">
        <v>191</v>
      </c>
      <c r="J2663" s="1">
        <v>222</v>
      </c>
      <c r="L2663" t="str">
        <f t="shared" si="41"/>
        <v>http://www.badatelna.eu/reprodukce/?fondId=1073&amp;zaznamId=1108960&amp;reproId=3780343</v>
      </c>
      <c r="M2663">
        <f>VLOOKUP(F2663,Sheet2!$B$1:$E$19,2,FALSE)</f>
        <v>1073</v>
      </c>
      <c r="N2663">
        <f>VLOOKUP(F2663,Sheet2!$B$1:$E$19,3,FALSE)</f>
        <v>1108960</v>
      </c>
      <c r="O2663">
        <f>IF(G2663="Not available","",VLOOKUP(F2663,Sheet2!$B$1:$E$19,4,FALSE)+(G2663-1))</f>
        <v>3780343</v>
      </c>
    </row>
    <row r="2664" spans="1:15" s="1" customFormat="1" ht="15" customHeight="1" x14ac:dyDescent="0.25">
      <c r="A2664" s="18" t="s">
        <v>315</v>
      </c>
      <c r="B2664" s="18" t="s">
        <v>75</v>
      </c>
      <c r="C2664" s="5">
        <v>1799</v>
      </c>
      <c r="E2664" s="1" t="s">
        <v>2</v>
      </c>
      <c r="F2664" s="18">
        <v>2173</v>
      </c>
      <c r="G2664" s="18">
        <v>41</v>
      </c>
      <c r="H2664" s="5">
        <v>77</v>
      </c>
      <c r="I2664" s="1">
        <v>105</v>
      </c>
      <c r="J2664" s="1">
        <v>225</v>
      </c>
      <c r="L2664" t="str">
        <f t="shared" si="41"/>
        <v>http://www.badatelna.eu/reprodukce/?fondId=1073&amp;zaznamId=1108959&amp;reproId=3780034</v>
      </c>
      <c r="M2664">
        <f>VLOOKUP(F2664,Sheet2!$B$1:$E$19,2,FALSE)</f>
        <v>1073</v>
      </c>
      <c r="N2664">
        <f>VLOOKUP(F2664,Sheet2!$B$1:$E$19,3,FALSE)</f>
        <v>1108959</v>
      </c>
      <c r="O2664">
        <f>IF(G2664="Not available","",VLOOKUP(F2664,Sheet2!$B$1:$E$19,4,FALSE)+(G2664-1))</f>
        <v>3780034</v>
      </c>
    </row>
    <row r="2665" spans="1:15" s="1" customFormat="1" ht="15" customHeight="1" x14ac:dyDescent="0.25">
      <c r="A2665" s="18" t="s">
        <v>315</v>
      </c>
      <c r="B2665" s="18" t="s">
        <v>1029</v>
      </c>
      <c r="C2665" s="5" t="s">
        <v>1497</v>
      </c>
      <c r="D2665" s="1" t="s">
        <v>1028</v>
      </c>
      <c r="E2665" s="1" t="s">
        <v>2</v>
      </c>
      <c r="F2665" s="18">
        <v>2165</v>
      </c>
      <c r="G2665" s="18">
        <v>73</v>
      </c>
      <c r="H2665" s="5">
        <v>70</v>
      </c>
      <c r="I2665" s="1">
        <v>86</v>
      </c>
      <c r="J2665" s="1" t="s">
        <v>3271</v>
      </c>
      <c r="L2665" t="str">
        <f t="shared" si="41"/>
        <v>http://www.badatelna.eu/reprodukce/?fondId=1073&amp;zaznamId=1108952&amp;reproId=3778934</v>
      </c>
      <c r="M2665">
        <f>VLOOKUP(F2665,Sheet2!$B$1:$E$19,2,FALSE)</f>
        <v>1073</v>
      </c>
      <c r="N2665">
        <f>VLOOKUP(F2665,Sheet2!$B$1:$E$19,3,FALSE)</f>
        <v>1108952</v>
      </c>
      <c r="O2665">
        <f>IF(G2665="Not available","",VLOOKUP(F2665,Sheet2!$B$1:$E$19,4,FALSE)+(G2665-1))</f>
        <v>3778934</v>
      </c>
    </row>
    <row r="2666" spans="1:15" s="1" customFormat="1" ht="15" customHeight="1" x14ac:dyDescent="0.25">
      <c r="A2666" s="18" t="s">
        <v>315</v>
      </c>
      <c r="B2666" s="18" t="s">
        <v>809</v>
      </c>
      <c r="C2666" s="5">
        <v>1852</v>
      </c>
      <c r="D2666" s="1" t="s">
        <v>40</v>
      </c>
      <c r="E2666" s="1" t="s">
        <v>2</v>
      </c>
      <c r="F2666" s="18">
        <v>2164</v>
      </c>
      <c r="G2666" s="18">
        <v>94</v>
      </c>
      <c r="H2666" s="5">
        <v>92</v>
      </c>
      <c r="I2666" s="1">
        <v>132</v>
      </c>
      <c r="J2666" s="3" t="s">
        <v>3271</v>
      </c>
      <c r="L2666" t="str">
        <f t="shared" si="41"/>
        <v>http://www.badatelna.eu/reprodukce/?fondId=1073&amp;zaznamId=1108951&amp;reproId=3778808</v>
      </c>
      <c r="M2666">
        <f>VLOOKUP(F2666,Sheet2!$B$1:$E$19,2,FALSE)</f>
        <v>1073</v>
      </c>
      <c r="N2666">
        <f>VLOOKUP(F2666,Sheet2!$B$1:$E$19,3,FALSE)</f>
        <v>1108951</v>
      </c>
      <c r="O2666">
        <f>IF(G2666="Not available","",VLOOKUP(F2666,Sheet2!$B$1:$E$19,4,FALSE)+(G2666-1))</f>
        <v>3778808</v>
      </c>
    </row>
    <row r="2667" spans="1:15" s="1" customFormat="1" ht="15" customHeight="1" x14ac:dyDescent="0.25">
      <c r="A2667" s="18" t="s">
        <v>315</v>
      </c>
      <c r="B2667" s="19" t="s">
        <v>809</v>
      </c>
      <c r="C2667" s="5">
        <v>1859</v>
      </c>
      <c r="E2667" s="1" t="s">
        <v>939</v>
      </c>
      <c r="F2667" s="18">
        <v>999</v>
      </c>
      <c r="G2667" s="18">
        <v>18</v>
      </c>
      <c r="H2667" s="5">
        <v>16</v>
      </c>
      <c r="I2667" s="1">
        <v>71</v>
      </c>
      <c r="J2667" s="1">
        <v>105</v>
      </c>
      <c r="L2667" t="str">
        <f t="shared" si="41"/>
        <v>http://www.badatelna.eu/reprodukce/?fondId=241&amp;zaznamId=1133739&amp;reproId=3885747</v>
      </c>
      <c r="M2667">
        <f>VLOOKUP(F2667,Sheet2!$B$1:$E$19,2,FALSE)</f>
        <v>241</v>
      </c>
      <c r="N2667">
        <f>VLOOKUP(F2667,Sheet2!$B$1:$E$19,3,FALSE)</f>
        <v>1133739</v>
      </c>
      <c r="O2667">
        <f>IF(G2667="Not available","",VLOOKUP(F2667,Sheet2!$B$1:$E$19,4,FALSE)+(G2667-1))</f>
        <v>3885747</v>
      </c>
    </row>
    <row r="2668" spans="1:15" s="1" customFormat="1" ht="15" customHeight="1" x14ac:dyDescent="0.25">
      <c r="A2668" s="18" t="s">
        <v>315</v>
      </c>
      <c r="B2668" s="18" t="s">
        <v>809</v>
      </c>
      <c r="C2668" s="5">
        <v>1865</v>
      </c>
      <c r="E2668" s="1" t="s">
        <v>939</v>
      </c>
      <c r="F2668" s="18">
        <v>999</v>
      </c>
      <c r="G2668" s="18">
        <v>56</v>
      </c>
      <c r="H2668" s="5">
        <v>54</v>
      </c>
      <c r="I2668" s="1">
        <v>71</v>
      </c>
      <c r="J2668" s="1">
        <v>105</v>
      </c>
      <c r="L2668" t="str">
        <f t="shared" si="41"/>
        <v>http://www.badatelna.eu/reprodukce/?fondId=241&amp;zaznamId=1133739&amp;reproId=3885785</v>
      </c>
      <c r="M2668">
        <f>VLOOKUP(F2668,Sheet2!$B$1:$E$19,2,FALSE)</f>
        <v>241</v>
      </c>
      <c r="N2668">
        <f>VLOOKUP(F2668,Sheet2!$B$1:$E$19,3,FALSE)</f>
        <v>1133739</v>
      </c>
      <c r="O2668">
        <f>IF(G2668="Not available","",VLOOKUP(F2668,Sheet2!$B$1:$E$19,4,FALSE)+(G2668-1))</f>
        <v>3885785</v>
      </c>
    </row>
    <row r="2669" spans="1:15" s="1" customFormat="1" ht="15" customHeight="1" x14ac:dyDescent="0.25">
      <c r="A2669" s="18" t="s">
        <v>315</v>
      </c>
      <c r="B2669" s="18" t="s">
        <v>160</v>
      </c>
      <c r="C2669" s="5">
        <v>1813</v>
      </c>
      <c r="E2669" s="1" t="s">
        <v>2</v>
      </c>
      <c r="F2669" s="18">
        <v>2173</v>
      </c>
      <c r="G2669" s="18">
        <v>61</v>
      </c>
      <c r="H2669" s="5">
        <v>117</v>
      </c>
      <c r="I2669" s="1">
        <v>106</v>
      </c>
      <c r="J2669" s="1">
        <v>226</v>
      </c>
      <c r="L2669" t="str">
        <f t="shared" si="41"/>
        <v>http://www.badatelna.eu/reprodukce/?fondId=1073&amp;zaznamId=1108959&amp;reproId=3780054</v>
      </c>
      <c r="M2669">
        <f>VLOOKUP(F2669,Sheet2!$B$1:$E$19,2,FALSE)</f>
        <v>1073</v>
      </c>
      <c r="N2669">
        <f>VLOOKUP(F2669,Sheet2!$B$1:$E$19,3,FALSE)</f>
        <v>1108959</v>
      </c>
      <c r="O2669">
        <f>IF(G2669="Not available","",VLOOKUP(F2669,Sheet2!$B$1:$E$19,4,FALSE)+(G2669-1))</f>
        <v>3780054</v>
      </c>
    </row>
    <row r="2670" spans="1:15" s="1" customFormat="1" ht="15" customHeight="1" x14ac:dyDescent="0.25">
      <c r="A2670" s="18" t="s">
        <v>315</v>
      </c>
      <c r="B2670" s="18" t="s">
        <v>428</v>
      </c>
      <c r="C2670" s="5">
        <v>1839</v>
      </c>
      <c r="D2670" s="1" t="s">
        <v>264</v>
      </c>
      <c r="E2670" s="1" t="s">
        <v>2</v>
      </c>
      <c r="F2670" s="18">
        <v>2174</v>
      </c>
      <c r="G2670" s="18">
        <v>107</v>
      </c>
      <c r="H2670" s="6" t="s">
        <v>3177</v>
      </c>
      <c r="I2670" s="1">
        <v>191</v>
      </c>
      <c r="J2670" s="1">
        <v>222</v>
      </c>
      <c r="L2670" t="str">
        <f t="shared" si="41"/>
        <v>http://www.badatelna.eu/reprodukce/?fondId=1073&amp;zaznamId=1108960&amp;reproId=3780331</v>
      </c>
      <c r="M2670">
        <f>VLOOKUP(F2670,Sheet2!$B$1:$E$19,2,FALSE)</f>
        <v>1073</v>
      </c>
      <c r="N2670">
        <f>VLOOKUP(F2670,Sheet2!$B$1:$E$19,3,FALSE)</f>
        <v>1108960</v>
      </c>
      <c r="O2670">
        <f>IF(G2670="Not available","",VLOOKUP(F2670,Sheet2!$B$1:$E$19,4,FALSE)+(G2670-1))</f>
        <v>3780331</v>
      </c>
    </row>
    <row r="2671" spans="1:15" s="1" customFormat="1" ht="15" customHeight="1" x14ac:dyDescent="0.25">
      <c r="A2671" s="18" t="s">
        <v>315</v>
      </c>
      <c r="B2671" s="18" t="s">
        <v>120</v>
      </c>
      <c r="C2671" s="5">
        <v>1818</v>
      </c>
      <c r="E2671" s="1" t="s">
        <v>2</v>
      </c>
      <c r="F2671" s="18">
        <v>2173</v>
      </c>
      <c r="G2671" s="18">
        <v>68</v>
      </c>
      <c r="H2671" s="5">
        <v>129</v>
      </c>
      <c r="I2671" s="1">
        <v>106</v>
      </c>
      <c r="J2671" s="1">
        <v>227</v>
      </c>
      <c r="L2671" t="str">
        <f t="shared" si="41"/>
        <v>http://www.badatelna.eu/reprodukce/?fondId=1073&amp;zaznamId=1108959&amp;reproId=3780061</v>
      </c>
      <c r="M2671">
        <f>VLOOKUP(F2671,Sheet2!$B$1:$E$19,2,FALSE)</f>
        <v>1073</v>
      </c>
      <c r="N2671">
        <f>VLOOKUP(F2671,Sheet2!$B$1:$E$19,3,FALSE)</f>
        <v>1108959</v>
      </c>
      <c r="O2671">
        <f>IF(G2671="Not available","",VLOOKUP(F2671,Sheet2!$B$1:$E$19,4,FALSE)+(G2671-1))</f>
        <v>3780061</v>
      </c>
    </row>
    <row r="2672" spans="1:15" s="1" customFormat="1" ht="15" customHeight="1" x14ac:dyDescent="0.25">
      <c r="A2672" s="18" t="s">
        <v>315</v>
      </c>
      <c r="B2672" s="18" t="s">
        <v>137</v>
      </c>
      <c r="C2672" s="5">
        <v>1817</v>
      </c>
      <c r="E2672" s="1" t="s">
        <v>2</v>
      </c>
      <c r="F2672" s="18">
        <v>2173</v>
      </c>
      <c r="G2672" s="18">
        <v>66</v>
      </c>
      <c r="H2672" s="5">
        <v>127</v>
      </c>
      <c r="I2672" s="1">
        <v>106</v>
      </c>
      <c r="J2672" s="1">
        <v>227</v>
      </c>
      <c r="L2672" t="str">
        <f t="shared" si="41"/>
        <v>http://www.badatelna.eu/reprodukce/?fondId=1073&amp;zaznamId=1108959&amp;reproId=3780059</v>
      </c>
      <c r="M2672">
        <f>VLOOKUP(F2672,Sheet2!$B$1:$E$19,2,FALSE)</f>
        <v>1073</v>
      </c>
      <c r="N2672">
        <f>VLOOKUP(F2672,Sheet2!$B$1:$E$19,3,FALSE)</f>
        <v>1108959</v>
      </c>
      <c r="O2672">
        <f>IF(G2672="Not available","",VLOOKUP(F2672,Sheet2!$B$1:$E$19,4,FALSE)+(G2672-1))</f>
        <v>3780059</v>
      </c>
    </row>
    <row r="2673" spans="1:15" s="1" customFormat="1" ht="15" customHeight="1" x14ac:dyDescent="0.25">
      <c r="A2673" s="18" t="s">
        <v>315</v>
      </c>
      <c r="B2673" s="18" t="s">
        <v>602</v>
      </c>
      <c r="C2673" s="5">
        <v>1861</v>
      </c>
      <c r="D2673" s="4" t="s">
        <v>3303</v>
      </c>
      <c r="E2673" s="1" t="s">
        <v>939</v>
      </c>
      <c r="F2673" s="18">
        <v>999</v>
      </c>
      <c r="G2673" s="18">
        <v>15</v>
      </c>
      <c r="H2673" s="5">
        <v>25</v>
      </c>
      <c r="I2673" s="1">
        <v>71</v>
      </c>
      <c r="J2673" s="1">
        <v>105</v>
      </c>
      <c r="L2673" t="str">
        <f t="shared" si="41"/>
        <v>http://www.badatelna.eu/reprodukce/?fondId=241&amp;zaznamId=1133739&amp;reproId=3885744</v>
      </c>
      <c r="M2673">
        <f>VLOOKUP(F2673,Sheet2!$B$1:$E$19,2,FALSE)</f>
        <v>241</v>
      </c>
      <c r="N2673">
        <f>VLOOKUP(F2673,Sheet2!$B$1:$E$19,3,FALSE)</f>
        <v>1133739</v>
      </c>
      <c r="O2673">
        <f>IF(G2673="Not available","",VLOOKUP(F2673,Sheet2!$B$1:$E$19,4,FALSE)+(G2673-1))</f>
        <v>3885744</v>
      </c>
    </row>
    <row r="2674" spans="1:15" s="1" customFormat="1" ht="15" customHeight="1" x14ac:dyDescent="0.25">
      <c r="A2674" s="18" t="s">
        <v>315</v>
      </c>
      <c r="B2674" s="18" t="s">
        <v>602</v>
      </c>
      <c r="C2674" s="5">
        <v>1862</v>
      </c>
      <c r="D2674" s="4" t="s">
        <v>3302</v>
      </c>
      <c r="E2674" s="1" t="s">
        <v>939</v>
      </c>
      <c r="F2674" s="18">
        <v>999</v>
      </c>
      <c r="G2674" s="18">
        <v>35</v>
      </c>
      <c r="H2674" s="5">
        <v>33</v>
      </c>
      <c r="I2674" s="1">
        <v>71</v>
      </c>
      <c r="J2674" s="1">
        <v>105</v>
      </c>
      <c r="L2674" t="str">
        <f t="shared" si="41"/>
        <v>http://www.badatelna.eu/reprodukce/?fondId=241&amp;zaznamId=1133739&amp;reproId=3885764</v>
      </c>
      <c r="M2674">
        <f>VLOOKUP(F2674,Sheet2!$B$1:$E$19,2,FALSE)</f>
        <v>241</v>
      </c>
      <c r="N2674">
        <f>VLOOKUP(F2674,Sheet2!$B$1:$E$19,3,FALSE)</f>
        <v>1133739</v>
      </c>
      <c r="O2674">
        <f>IF(G2674="Not available","",VLOOKUP(F2674,Sheet2!$B$1:$E$19,4,FALSE)+(G2674-1))</f>
        <v>3885764</v>
      </c>
    </row>
    <row r="2675" spans="1:15" s="1" customFormat="1" ht="15" customHeight="1" x14ac:dyDescent="0.25">
      <c r="A2675" s="18" t="s">
        <v>315</v>
      </c>
      <c r="B2675" s="18" t="s">
        <v>2027</v>
      </c>
      <c r="C2675" s="10" t="s">
        <v>1969</v>
      </c>
      <c r="D2675" s="3" t="s">
        <v>2464</v>
      </c>
      <c r="E2675" s="4" t="s">
        <v>2</v>
      </c>
      <c r="F2675" s="18">
        <v>2176</v>
      </c>
      <c r="G2675" s="18" t="s">
        <v>3271</v>
      </c>
      <c r="H2675" s="10" t="s">
        <v>2049</v>
      </c>
      <c r="I2675" s="3">
        <v>26</v>
      </c>
      <c r="J2675" s="3" t="s">
        <v>3271</v>
      </c>
      <c r="L2675" t="str">
        <f t="shared" si="41"/>
        <v/>
      </c>
      <c r="M2675">
        <f>VLOOKUP(F2675,Sheet2!$B$1:$E$19,2,FALSE)</f>
        <v>1073</v>
      </c>
      <c r="N2675">
        <f>VLOOKUP(F2675,Sheet2!$B$1:$E$19,3,FALSE)</f>
        <v>1108963</v>
      </c>
      <c r="O2675" t="str">
        <f>IF(G2675="Not available","",VLOOKUP(F2675,Sheet2!$B$1:$E$19,4,FALSE)+(G2675-1))</f>
        <v/>
      </c>
    </row>
    <row r="2676" spans="1:15" s="1" customFormat="1" ht="15" customHeight="1" x14ac:dyDescent="0.25">
      <c r="A2676" s="18" t="s">
        <v>315</v>
      </c>
      <c r="B2676" s="18" t="s">
        <v>172</v>
      </c>
      <c r="C2676" s="5">
        <v>1836</v>
      </c>
      <c r="D2676" s="1" t="s">
        <v>495</v>
      </c>
      <c r="E2676" s="1" t="s">
        <v>2</v>
      </c>
      <c r="F2676" s="18">
        <v>2174</v>
      </c>
      <c r="G2676" s="18">
        <v>86</v>
      </c>
      <c r="H2676" s="6" t="s">
        <v>3153</v>
      </c>
      <c r="I2676" s="1">
        <v>191</v>
      </c>
      <c r="J2676" s="1">
        <v>222</v>
      </c>
      <c r="L2676" t="str">
        <f t="shared" si="41"/>
        <v>http://www.badatelna.eu/reprodukce/?fondId=1073&amp;zaznamId=1108960&amp;reproId=3780310</v>
      </c>
      <c r="M2676">
        <f>VLOOKUP(F2676,Sheet2!$B$1:$E$19,2,FALSE)</f>
        <v>1073</v>
      </c>
      <c r="N2676">
        <f>VLOOKUP(F2676,Sheet2!$B$1:$E$19,3,FALSE)</f>
        <v>1108960</v>
      </c>
      <c r="O2676">
        <f>IF(G2676="Not available","",VLOOKUP(F2676,Sheet2!$B$1:$E$19,4,FALSE)+(G2676-1))</f>
        <v>3780310</v>
      </c>
    </row>
    <row r="2677" spans="1:15" s="1" customFormat="1" ht="15" customHeight="1" x14ac:dyDescent="0.25">
      <c r="A2677" s="18" t="s">
        <v>315</v>
      </c>
      <c r="B2677" s="18" t="s">
        <v>233</v>
      </c>
      <c r="C2677" s="5">
        <v>1852</v>
      </c>
      <c r="D2677" s="1" t="s">
        <v>40</v>
      </c>
      <c r="E2677" s="1" t="s">
        <v>2</v>
      </c>
      <c r="F2677" s="18">
        <v>2164</v>
      </c>
      <c r="G2677" s="18">
        <v>104</v>
      </c>
      <c r="H2677" s="5">
        <v>102</v>
      </c>
      <c r="I2677" s="1">
        <v>132</v>
      </c>
      <c r="J2677" s="3" t="s">
        <v>3271</v>
      </c>
      <c r="L2677" t="str">
        <f t="shared" si="41"/>
        <v>http://www.badatelna.eu/reprodukce/?fondId=1073&amp;zaznamId=1108951&amp;reproId=3778818</v>
      </c>
      <c r="M2677">
        <f>VLOOKUP(F2677,Sheet2!$B$1:$E$19,2,FALSE)</f>
        <v>1073</v>
      </c>
      <c r="N2677">
        <f>VLOOKUP(F2677,Sheet2!$B$1:$E$19,3,FALSE)</f>
        <v>1108951</v>
      </c>
      <c r="O2677">
        <f>IF(G2677="Not available","",VLOOKUP(F2677,Sheet2!$B$1:$E$19,4,FALSE)+(G2677-1))</f>
        <v>3778818</v>
      </c>
    </row>
    <row r="2678" spans="1:15" s="1" customFormat="1" ht="15" customHeight="1" x14ac:dyDescent="0.25">
      <c r="A2678" s="18" t="s">
        <v>315</v>
      </c>
      <c r="B2678" s="18" t="s">
        <v>19</v>
      </c>
      <c r="C2678" s="5">
        <v>1805</v>
      </c>
      <c r="E2678" s="1" t="s">
        <v>2</v>
      </c>
      <c r="F2678" s="18">
        <v>2173</v>
      </c>
      <c r="G2678" s="18">
        <v>50</v>
      </c>
      <c r="H2678" s="5">
        <v>95</v>
      </c>
      <c r="I2678" s="1">
        <v>106</v>
      </c>
      <c r="J2678" s="1">
        <v>226</v>
      </c>
      <c r="L2678" t="str">
        <f t="shared" si="41"/>
        <v>http://www.badatelna.eu/reprodukce/?fondId=1073&amp;zaznamId=1108959&amp;reproId=3780043</v>
      </c>
      <c r="M2678">
        <f>VLOOKUP(F2678,Sheet2!$B$1:$E$19,2,FALSE)</f>
        <v>1073</v>
      </c>
      <c r="N2678">
        <f>VLOOKUP(F2678,Sheet2!$B$1:$E$19,3,FALSE)</f>
        <v>1108959</v>
      </c>
      <c r="O2678">
        <f>IF(G2678="Not available","",VLOOKUP(F2678,Sheet2!$B$1:$E$19,4,FALSE)+(G2678-1))</f>
        <v>3780043</v>
      </c>
    </row>
    <row r="2679" spans="1:15" s="1" customFormat="1" ht="15" customHeight="1" x14ac:dyDescent="0.25">
      <c r="A2679" s="18" t="s">
        <v>315</v>
      </c>
      <c r="B2679" s="18" t="s">
        <v>25</v>
      </c>
      <c r="C2679" s="10" t="s">
        <v>1987</v>
      </c>
      <c r="D2679" s="3" t="s">
        <v>2464</v>
      </c>
      <c r="E2679" s="4" t="s">
        <v>2</v>
      </c>
      <c r="F2679" s="18">
        <v>2176</v>
      </c>
      <c r="G2679" s="18" t="s">
        <v>3271</v>
      </c>
      <c r="H2679" s="10" t="s">
        <v>2465</v>
      </c>
      <c r="I2679" s="3">
        <v>26</v>
      </c>
      <c r="J2679" s="3" t="s">
        <v>3271</v>
      </c>
      <c r="L2679" t="str">
        <f t="shared" si="41"/>
        <v/>
      </c>
      <c r="M2679">
        <f>VLOOKUP(F2679,Sheet2!$B$1:$E$19,2,FALSE)</f>
        <v>1073</v>
      </c>
      <c r="N2679">
        <f>VLOOKUP(F2679,Sheet2!$B$1:$E$19,3,FALSE)</f>
        <v>1108963</v>
      </c>
      <c r="O2679" t="str">
        <f>IF(G2679="Not available","",VLOOKUP(F2679,Sheet2!$B$1:$E$19,4,FALSE)+(G2679-1))</f>
        <v/>
      </c>
    </row>
    <row r="2680" spans="1:15" s="1" customFormat="1" ht="15" customHeight="1" x14ac:dyDescent="0.25">
      <c r="A2680" s="18" t="s">
        <v>315</v>
      </c>
      <c r="B2680" s="18" t="s">
        <v>21</v>
      </c>
      <c r="C2680" s="5">
        <v>1803</v>
      </c>
      <c r="E2680" s="1" t="s">
        <v>2</v>
      </c>
      <c r="F2680" s="18">
        <v>2173</v>
      </c>
      <c r="G2680" s="18">
        <v>47</v>
      </c>
      <c r="H2680" s="5">
        <v>89</v>
      </c>
      <c r="I2680" s="1">
        <v>106</v>
      </c>
      <c r="J2680" s="1">
        <v>226</v>
      </c>
      <c r="L2680" t="str">
        <f t="shared" si="41"/>
        <v>http://www.badatelna.eu/reprodukce/?fondId=1073&amp;zaznamId=1108959&amp;reproId=3780040</v>
      </c>
      <c r="M2680">
        <f>VLOOKUP(F2680,Sheet2!$B$1:$E$19,2,FALSE)</f>
        <v>1073</v>
      </c>
      <c r="N2680">
        <f>VLOOKUP(F2680,Sheet2!$B$1:$E$19,3,FALSE)</f>
        <v>1108959</v>
      </c>
      <c r="O2680">
        <f>IF(G2680="Not available","",VLOOKUP(F2680,Sheet2!$B$1:$E$19,4,FALSE)+(G2680-1))</f>
        <v>3780040</v>
      </c>
    </row>
    <row r="2681" spans="1:15" s="1" customFormat="1" ht="15" customHeight="1" x14ac:dyDescent="0.25">
      <c r="A2681" s="18" t="s">
        <v>315</v>
      </c>
      <c r="B2681" s="18" t="s">
        <v>432</v>
      </c>
      <c r="C2681" s="5">
        <v>1848</v>
      </c>
      <c r="D2681" s="1" t="s">
        <v>495</v>
      </c>
      <c r="E2681" s="1" t="s">
        <v>2</v>
      </c>
      <c r="F2681" s="18">
        <v>2164</v>
      </c>
      <c r="G2681" s="18">
        <v>29</v>
      </c>
      <c r="H2681" s="5">
        <v>27</v>
      </c>
      <c r="I2681" s="1">
        <v>132</v>
      </c>
      <c r="J2681" s="3" t="s">
        <v>3271</v>
      </c>
      <c r="L2681" t="str">
        <f t="shared" si="41"/>
        <v>http://www.badatelna.eu/reprodukce/?fondId=1073&amp;zaznamId=1108951&amp;reproId=3778743</v>
      </c>
      <c r="M2681">
        <f>VLOOKUP(F2681,Sheet2!$B$1:$E$19,2,FALSE)</f>
        <v>1073</v>
      </c>
      <c r="N2681">
        <f>VLOOKUP(F2681,Sheet2!$B$1:$E$19,3,FALSE)</f>
        <v>1108951</v>
      </c>
      <c r="O2681">
        <f>IF(G2681="Not available","",VLOOKUP(F2681,Sheet2!$B$1:$E$19,4,FALSE)+(G2681-1))</f>
        <v>3778743</v>
      </c>
    </row>
    <row r="2682" spans="1:15" s="1" customFormat="1" ht="15" customHeight="1" x14ac:dyDescent="0.25">
      <c r="A2682" s="18" t="s">
        <v>315</v>
      </c>
      <c r="B2682" s="18" t="s">
        <v>432</v>
      </c>
      <c r="C2682" s="5">
        <v>1861</v>
      </c>
      <c r="E2682" s="1" t="s">
        <v>939</v>
      </c>
      <c r="F2682" s="18">
        <v>999</v>
      </c>
      <c r="G2682" s="18">
        <v>25</v>
      </c>
      <c r="H2682" s="5">
        <v>23</v>
      </c>
      <c r="I2682" s="1">
        <v>71</v>
      </c>
      <c r="J2682" s="1">
        <v>105</v>
      </c>
      <c r="L2682" t="str">
        <f t="shared" si="41"/>
        <v>http://www.badatelna.eu/reprodukce/?fondId=241&amp;zaznamId=1133739&amp;reproId=3885754</v>
      </c>
      <c r="M2682">
        <f>VLOOKUP(F2682,Sheet2!$B$1:$E$19,2,FALSE)</f>
        <v>241</v>
      </c>
      <c r="N2682">
        <f>VLOOKUP(F2682,Sheet2!$B$1:$E$19,3,FALSE)</f>
        <v>1133739</v>
      </c>
      <c r="O2682">
        <f>IF(G2682="Not available","",VLOOKUP(F2682,Sheet2!$B$1:$E$19,4,FALSE)+(G2682-1))</f>
        <v>3885754</v>
      </c>
    </row>
    <row r="2683" spans="1:15" s="1" customFormat="1" ht="15" customHeight="1" x14ac:dyDescent="0.25">
      <c r="A2683" s="18" t="s">
        <v>315</v>
      </c>
      <c r="B2683" s="18" t="s">
        <v>434</v>
      </c>
      <c r="C2683" s="5">
        <v>1859</v>
      </c>
      <c r="E2683" s="1" t="s">
        <v>939</v>
      </c>
      <c r="F2683" s="18">
        <v>999</v>
      </c>
      <c r="G2683" s="18">
        <v>13</v>
      </c>
      <c r="H2683" s="5">
        <v>11</v>
      </c>
      <c r="I2683" s="1">
        <v>71</v>
      </c>
      <c r="J2683" s="1">
        <v>105</v>
      </c>
      <c r="L2683" t="str">
        <f t="shared" si="41"/>
        <v>http://www.badatelna.eu/reprodukce/?fondId=241&amp;zaznamId=1133739&amp;reproId=3885742</v>
      </c>
      <c r="M2683">
        <f>VLOOKUP(F2683,Sheet2!$B$1:$E$19,2,FALSE)</f>
        <v>241</v>
      </c>
      <c r="N2683">
        <f>VLOOKUP(F2683,Sheet2!$B$1:$E$19,3,FALSE)</f>
        <v>1133739</v>
      </c>
      <c r="O2683">
        <f>IF(G2683="Not available","",VLOOKUP(F2683,Sheet2!$B$1:$E$19,4,FALSE)+(G2683-1))</f>
        <v>3885742</v>
      </c>
    </row>
    <row r="2684" spans="1:15" s="1" customFormat="1" ht="15" customHeight="1" x14ac:dyDescent="0.25">
      <c r="A2684" s="18" t="s">
        <v>315</v>
      </c>
      <c r="B2684" s="18" t="s">
        <v>13</v>
      </c>
      <c r="C2684" s="5">
        <v>1805</v>
      </c>
      <c r="E2684" s="1" t="s">
        <v>2</v>
      </c>
      <c r="F2684" s="18">
        <v>2173</v>
      </c>
      <c r="G2684" s="18">
        <v>50</v>
      </c>
      <c r="H2684" s="5">
        <v>94</v>
      </c>
      <c r="I2684" s="1">
        <v>106</v>
      </c>
      <c r="J2684" s="1">
        <v>226</v>
      </c>
      <c r="L2684" t="str">
        <f t="shared" si="41"/>
        <v>http://www.badatelna.eu/reprodukce/?fondId=1073&amp;zaznamId=1108959&amp;reproId=3780043</v>
      </c>
      <c r="M2684">
        <f>VLOOKUP(F2684,Sheet2!$B$1:$E$19,2,FALSE)</f>
        <v>1073</v>
      </c>
      <c r="N2684">
        <f>VLOOKUP(F2684,Sheet2!$B$1:$E$19,3,FALSE)</f>
        <v>1108959</v>
      </c>
      <c r="O2684">
        <f>IF(G2684="Not available","",VLOOKUP(F2684,Sheet2!$B$1:$E$19,4,FALSE)+(G2684-1))</f>
        <v>3780043</v>
      </c>
    </row>
    <row r="2685" spans="1:15" s="1" customFormat="1" ht="15" customHeight="1" x14ac:dyDescent="0.25">
      <c r="A2685" s="18" t="s">
        <v>315</v>
      </c>
      <c r="B2685" s="18" t="s">
        <v>13</v>
      </c>
      <c r="C2685" s="5">
        <v>1815</v>
      </c>
      <c r="E2685" s="1" t="s">
        <v>2</v>
      </c>
      <c r="F2685" s="18">
        <v>2173</v>
      </c>
      <c r="G2685" s="18">
        <v>64</v>
      </c>
      <c r="H2685" s="5">
        <v>122</v>
      </c>
      <c r="I2685" s="1">
        <v>106</v>
      </c>
      <c r="J2685" s="1">
        <v>226</v>
      </c>
      <c r="L2685" t="str">
        <f t="shared" si="41"/>
        <v>http://www.badatelna.eu/reprodukce/?fondId=1073&amp;zaznamId=1108959&amp;reproId=3780057</v>
      </c>
      <c r="M2685">
        <f>VLOOKUP(F2685,Sheet2!$B$1:$E$19,2,FALSE)</f>
        <v>1073</v>
      </c>
      <c r="N2685">
        <f>VLOOKUP(F2685,Sheet2!$B$1:$E$19,3,FALSE)</f>
        <v>1108959</v>
      </c>
      <c r="O2685">
        <f>IF(G2685="Not available","",VLOOKUP(F2685,Sheet2!$B$1:$E$19,4,FALSE)+(G2685-1))</f>
        <v>3780057</v>
      </c>
    </row>
    <row r="2686" spans="1:15" s="1" customFormat="1" ht="15" customHeight="1" x14ac:dyDescent="0.25">
      <c r="A2686" s="18" t="s">
        <v>315</v>
      </c>
      <c r="B2686" s="18" t="s">
        <v>476</v>
      </c>
      <c r="C2686" s="5">
        <v>1834</v>
      </c>
      <c r="D2686" s="1" t="s">
        <v>21</v>
      </c>
      <c r="E2686" s="1" t="s">
        <v>2</v>
      </c>
      <c r="F2686" s="18">
        <v>2174</v>
      </c>
      <c r="G2686" s="18">
        <v>83</v>
      </c>
      <c r="H2686" s="6" t="s">
        <v>3147</v>
      </c>
      <c r="I2686" s="1">
        <v>191</v>
      </c>
      <c r="J2686" s="1">
        <v>222</v>
      </c>
      <c r="L2686" t="str">
        <f t="shared" si="41"/>
        <v>http://www.badatelna.eu/reprodukce/?fondId=1073&amp;zaznamId=1108960&amp;reproId=3780307</v>
      </c>
      <c r="M2686">
        <f>VLOOKUP(F2686,Sheet2!$B$1:$E$19,2,FALSE)</f>
        <v>1073</v>
      </c>
      <c r="N2686">
        <f>VLOOKUP(F2686,Sheet2!$B$1:$E$19,3,FALSE)</f>
        <v>1108960</v>
      </c>
      <c r="O2686">
        <f>IF(G2686="Not available","",VLOOKUP(F2686,Sheet2!$B$1:$E$19,4,FALSE)+(G2686-1))</f>
        <v>3780307</v>
      </c>
    </row>
    <row r="2687" spans="1:15" s="1" customFormat="1" ht="15" customHeight="1" x14ac:dyDescent="0.25">
      <c r="A2687" s="18" t="s">
        <v>315</v>
      </c>
      <c r="B2687" s="19" t="s">
        <v>1068</v>
      </c>
      <c r="C2687" s="6" t="s">
        <v>2870</v>
      </c>
      <c r="E2687" s="1" t="s">
        <v>939</v>
      </c>
      <c r="F2687" s="18">
        <v>999</v>
      </c>
      <c r="G2687" s="18">
        <v>10</v>
      </c>
      <c r="H2687" s="5">
        <v>8</v>
      </c>
      <c r="I2687" s="1">
        <v>71</v>
      </c>
      <c r="J2687" s="1">
        <v>105</v>
      </c>
      <c r="L2687" t="str">
        <f t="shared" si="41"/>
        <v>http://www.badatelna.eu/reprodukce/?fondId=241&amp;zaznamId=1133739&amp;reproId=3885739</v>
      </c>
      <c r="M2687">
        <f>VLOOKUP(F2687,Sheet2!$B$1:$E$19,2,FALSE)</f>
        <v>241</v>
      </c>
      <c r="N2687">
        <f>VLOOKUP(F2687,Sheet2!$B$1:$E$19,3,FALSE)</f>
        <v>1133739</v>
      </c>
      <c r="O2687">
        <f>IF(G2687="Not available","",VLOOKUP(F2687,Sheet2!$B$1:$E$19,4,FALSE)+(G2687-1))</f>
        <v>3885739</v>
      </c>
    </row>
    <row r="2688" spans="1:15" s="1" customFormat="1" ht="15" customHeight="1" x14ac:dyDescent="0.25">
      <c r="A2688" s="18" t="s">
        <v>315</v>
      </c>
      <c r="B2688" s="18" t="s">
        <v>11</v>
      </c>
      <c r="C2688" s="5">
        <v>1810</v>
      </c>
      <c r="E2688" s="1" t="s">
        <v>2</v>
      </c>
      <c r="F2688" s="18">
        <v>2173</v>
      </c>
      <c r="G2688" s="18">
        <v>57</v>
      </c>
      <c r="H2688" s="5">
        <v>108</v>
      </c>
      <c r="I2688" s="1">
        <v>106</v>
      </c>
      <c r="J2688" s="1">
        <v>226</v>
      </c>
      <c r="L2688" t="str">
        <f t="shared" si="41"/>
        <v>http://www.badatelna.eu/reprodukce/?fondId=1073&amp;zaznamId=1108959&amp;reproId=3780050</v>
      </c>
      <c r="M2688">
        <f>VLOOKUP(F2688,Sheet2!$B$1:$E$19,2,FALSE)</f>
        <v>1073</v>
      </c>
      <c r="N2688">
        <f>VLOOKUP(F2688,Sheet2!$B$1:$E$19,3,FALSE)</f>
        <v>1108959</v>
      </c>
      <c r="O2688">
        <f>IF(G2688="Not available","",VLOOKUP(F2688,Sheet2!$B$1:$E$19,4,FALSE)+(G2688-1))</f>
        <v>3780050</v>
      </c>
    </row>
    <row r="2689" spans="1:15" s="1" customFormat="1" ht="15" customHeight="1" x14ac:dyDescent="0.25">
      <c r="A2689" s="18" t="s">
        <v>315</v>
      </c>
      <c r="B2689" s="18" t="s">
        <v>23</v>
      </c>
      <c r="C2689" s="5">
        <v>1801</v>
      </c>
      <c r="E2689" s="1" t="s">
        <v>2</v>
      </c>
      <c r="F2689" s="18">
        <v>2173</v>
      </c>
      <c r="G2689" s="18">
        <v>44</v>
      </c>
      <c r="H2689" s="5">
        <v>83</v>
      </c>
      <c r="I2689" s="1">
        <v>106</v>
      </c>
      <c r="J2689" s="1">
        <v>226</v>
      </c>
      <c r="L2689" t="str">
        <f t="shared" si="41"/>
        <v>http://www.badatelna.eu/reprodukce/?fondId=1073&amp;zaznamId=1108959&amp;reproId=3780037</v>
      </c>
      <c r="M2689">
        <f>VLOOKUP(F2689,Sheet2!$B$1:$E$19,2,FALSE)</f>
        <v>1073</v>
      </c>
      <c r="N2689">
        <f>VLOOKUP(F2689,Sheet2!$B$1:$E$19,3,FALSE)</f>
        <v>1108959</v>
      </c>
      <c r="O2689">
        <f>IF(G2689="Not available","",VLOOKUP(F2689,Sheet2!$B$1:$E$19,4,FALSE)+(G2689-1))</f>
        <v>3780037</v>
      </c>
    </row>
    <row r="2690" spans="1:15" s="1" customFormat="1" ht="15" customHeight="1" x14ac:dyDescent="0.25">
      <c r="A2690" s="18" t="s">
        <v>315</v>
      </c>
      <c r="B2690" s="18" t="s">
        <v>23</v>
      </c>
      <c r="C2690" s="5">
        <v>1810</v>
      </c>
      <c r="E2690" s="1" t="s">
        <v>2</v>
      </c>
      <c r="F2690" s="18">
        <v>2173</v>
      </c>
      <c r="G2690" s="18">
        <v>57</v>
      </c>
      <c r="H2690" s="5">
        <v>106</v>
      </c>
      <c r="I2690" s="1">
        <v>106</v>
      </c>
      <c r="J2690" s="1">
        <v>226</v>
      </c>
      <c r="L2690" t="str">
        <f t="shared" si="41"/>
        <v>http://www.badatelna.eu/reprodukce/?fondId=1073&amp;zaznamId=1108959&amp;reproId=3780050</v>
      </c>
      <c r="M2690">
        <f>VLOOKUP(F2690,Sheet2!$B$1:$E$19,2,FALSE)</f>
        <v>1073</v>
      </c>
      <c r="N2690">
        <f>VLOOKUP(F2690,Sheet2!$B$1:$E$19,3,FALSE)</f>
        <v>1108959</v>
      </c>
      <c r="O2690">
        <f>IF(G2690="Not available","",VLOOKUP(F2690,Sheet2!$B$1:$E$19,4,FALSE)+(G2690-1))</f>
        <v>3780050</v>
      </c>
    </row>
    <row r="2691" spans="1:15" s="1" customFormat="1" ht="15" customHeight="1" x14ac:dyDescent="0.25">
      <c r="A2691" s="18" t="s">
        <v>315</v>
      </c>
      <c r="B2691" s="18" t="s">
        <v>281</v>
      </c>
      <c r="C2691" s="5">
        <v>1803</v>
      </c>
      <c r="E2691" s="1" t="s">
        <v>2</v>
      </c>
      <c r="F2691" s="18">
        <v>2173</v>
      </c>
      <c r="G2691" s="18">
        <v>47</v>
      </c>
      <c r="H2691" s="5">
        <v>89</v>
      </c>
      <c r="I2691" s="1">
        <v>106</v>
      </c>
      <c r="J2691" s="1">
        <v>226</v>
      </c>
      <c r="L2691" t="str">
        <f t="shared" ref="L2691:L2754" si="42">IF(G2691="Not available","","http://www.badatelna.eu/reprodukce/?fondId="&amp;M2691&amp;"&amp;zaznamId="&amp;N2691&amp;"&amp;reproId="&amp;O2691)</f>
        <v>http://www.badatelna.eu/reprodukce/?fondId=1073&amp;zaznamId=1108959&amp;reproId=3780040</v>
      </c>
      <c r="M2691">
        <f>VLOOKUP(F2691,Sheet2!$B$1:$E$19,2,FALSE)</f>
        <v>1073</v>
      </c>
      <c r="N2691">
        <f>VLOOKUP(F2691,Sheet2!$B$1:$E$19,3,FALSE)</f>
        <v>1108959</v>
      </c>
      <c r="O2691">
        <f>IF(G2691="Not available","",VLOOKUP(F2691,Sheet2!$B$1:$E$19,4,FALSE)+(G2691-1))</f>
        <v>3780040</v>
      </c>
    </row>
    <row r="2692" spans="1:15" s="1" customFormat="1" ht="15" customHeight="1" x14ac:dyDescent="0.25">
      <c r="A2692" s="18" t="s">
        <v>315</v>
      </c>
      <c r="B2692" s="18" t="s">
        <v>304</v>
      </c>
      <c r="C2692" s="5">
        <v>1862</v>
      </c>
      <c r="E2692" s="1" t="s">
        <v>939</v>
      </c>
      <c r="F2692" s="18">
        <v>999</v>
      </c>
      <c r="G2692" s="18">
        <v>37</v>
      </c>
      <c r="H2692" s="5">
        <v>35</v>
      </c>
      <c r="I2692" s="1">
        <v>71</v>
      </c>
      <c r="J2692" s="1">
        <v>105</v>
      </c>
      <c r="L2692" t="str">
        <f t="shared" si="42"/>
        <v>http://www.badatelna.eu/reprodukce/?fondId=241&amp;zaznamId=1133739&amp;reproId=3885766</v>
      </c>
      <c r="M2692">
        <f>VLOOKUP(F2692,Sheet2!$B$1:$E$19,2,FALSE)</f>
        <v>241</v>
      </c>
      <c r="N2692">
        <f>VLOOKUP(F2692,Sheet2!$B$1:$E$19,3,FALSE)</f>
        <v>1133739</v>
      </c>
      <c r="O2692">
        <f>IF(G2692="Not available","",VLOOKUP(F2692,Sheet2!$B$1:$E$19,4,FALSE)+(G2692-1))</f>
        <v>3885766</v>
      </c>
    </row>
    <row r="2693" spans="1:15" s="1" customFormat="1" ht="15" customHeight="1" x14ac:dyDescent="0.25">
      <c r="A2693" s="18" t="s">
        <v>321</v>
      </c>
      <c r="B2693" s="18" t="s">
        <v>120</v>
      </c>
      <c r="C2693" s="5">
        <v>1807</v>
      </c>
      <c r="E2693" s="1" t="s">
        <v>2</v>
      </c>
      <c r="F2693" s="18">
        <v>2173</v>
      </c>
      <c r="G2693" s="18">
        <v>54</v>
      </c>
      <c r="H2693" s="5">
        <v>102</v>
      </c>
      <c r="I2693" s="1">
        <v>106</v>
      </c>
      <c r="J2693" s="1">
        <v>226</v>
      </c>
      <c r="L2693" t="str">
        <f t="shared" si="42"/>
        <v>http://www.badatelna.eu/reprodukce/?fondId=1073&amp;zaznamId=1108959&amp;reproId=3780047</v>
      </c>
      <c r="M2693">
        <f>VLOOKUP(F2693,Sheet2!$B$1:$E$19,2,FALSE)</f>
        <v>1073</v>
      </c>
      <c r="N2693">
        <f>VLOOKUP(F2693,Sheet2!$B$1:$E$19,3,FALSE)</f>
        <v>1108959</v>
      </c>
      <c r="O2693">
        <f>IF(G2693="Not available","",VLOOKUP(F2693,Sheet2!$B$1:$E$19,4,FALSE)+(G2693-1))</f>
        <v>3780047</v>
      </c>
    </row>
    <row r="2694" spans="1:15" s="1" customFormat="1" ht="15" customHeight="1" x14ac:dyDescent="0.25">
      <c r="A2694" s="18" t="s">
        <v>321</v>
      </c>
      <c r="B2694" s="18" t="s">
        <v>422</v>
      </c>
      <c r="C2694" s="5">
        <v>1838</v>
      </c>
      <c r="D2694" s="1" t="s">
        <v>495</v>
      </c>
      <c r="E2694" s="1" t="s">
        <v>2</v>
      </c>
      <c r="F2694" s="18">
        <v>2174</v>
      </c>
      <c r="G2694" s="18">
        <v>97</v>
      </c>
      <c r="H2694" s="6" t="s">
        <v>3167</v>
      </c>
      <c r="I2694" s="1">
        <v>191</v>
      </c>
      <c r="J2694" s="1">
        <v>222</v>
      </c>
      <c r="L2694" t="str">
        <f t="shared" si="42"/>
        <v>http://www.badatelna.eu/reprodukce/?fondId=1073&amp;zaznamId=1108960&amp;reproId=3780321</v>
      </c>
      <c r="M2694">
        <f>VLOOKUP(F2694,Sheet2!$B$1:$E$19,2,FALSE)</f>
        <v>1073</v>
      </c>
      <c r="N2694">
        <f>VLOOKUP(F2694,Sheet2!$B$1:$E$19,3,FALSE)</f>
        <v>1108960</v>
      </c>
      <c r="O2694">
        <f>IF(G2694="Not available","",VLOOKUP(F2694,Sheet2!$B$1:$E$19,4,FALSE)+(G2694-1))</f>
        <v>3780321</v>
      </c>
    </row>
    <row r="2695" spans="1:15" s="1" customFormat="1" ht="15" customHeight="1" x14ac:dyDescent="0.25">
      <c r="A2695" s="18" t="s">
        <v>321</v>
      </c>
      <c r="B2695" s="18" t="s">
        <v>398</v>
      </c>
      <c r="C2695" s="5">
        <v>1843</v>
      </c>
      <c r="D2695" s="1" t="s">
        <v>495</v>
      </c>
      <c r="E2695" s="1" t="s">
        <v>2</v>
      </c>
      <c r="F2695" s="18">
        <v>2174</v>
      </c>
      <c r="G2695" s="18">
        <v>138</v>
      </c>
      <c r="H2695" s="6" t="s">
        <v>3207</v>
      </c>
      <c r="I2695" s="1">
        <v>192</v>
      </c>
      <c r="J2695" s="1">
        <v>223</v>
      </c>
      <c r="L2695" t="str">
        <f t="shared" si="42"/>
        <v>http://www.badatelna.eu/reprodukce/?fondId=1073&amp;zaznamId=1108960&amp;reproId=3780362</v>
      </c>
      <c r="M2695">
        <f>VLOOKUP(F2695,Sheet2!$B$1:$E$19,2,FALSE)</f>
        <v>1073</v>
      </c>
      <c r="N2695">
        <f>VLOOKUP(F2695,Sheet2!$B$1:$E$19,3,FALSE)</f>
        <v>1108960</v>
      </c>
      <c r="O2695">
        <f>IF(G2695="Not available","",VLOOKUP(F2695,Sheet2!$B$1:$E$19,4,FALSE)+(G2695-1))</f>
        <v>3780362</v>
      </c>
    </row>
    <row r="2696" spans="1:15" s="1" customFormat="1" ht="15" customHeight="1" x14ac:dyDescent="0.25">
      <c r="A2696" s="18" t="s">
        <v>1242</v>
      </c>
      <c r="B2696" s="18" t="s">
        <v>2376</v>
      </c>
      <c r="C2696" s="10" t="s">
        <v>2097</v>
      </c>
      <c r="D2696" s="3" t="s">
        <v>2481</v>
      </c>
      <c r="E2696" s="4" t="s">
        <v>2</v>
      </c>
      <c r="F2696" s="18">
        <v>2176</v>
      </c>
      <c r="G2696" s="18" t="s">
        <v>3271</v>
      </c>
      <c r="H2696" s="10" t="s">
        <v>2075</v>
      </c>
      <c r="I2696" s="3">
        <v>27</v>
      </c>
      <c r="J2696" s="3" t="s">
        <v>3271</v>
      </c>
      <c r="K2696" s="3"/>
      <c r="L2696" t="str">
        <f t="shared" si="42"/>
        <v/>
      </c>
      <c r="M2696">
        <f>VLOOKUP(F2696,Sheet2!$B$1:$E$19,2,FALSE)</f>
        <v>1073</v>
      </c>
      <c r="N2696">
        <f>VLOOKUP(F2696,Sheet2!$B$1:$E$19,3,FALSE)</f>
        <v>1108963</v>
      </c>
      <c r="O2696" t="str">
        <f>IF(G2696="Not available","",VLOOKUP(F2696,Sheet2!$B$1:$E$19,4,FALSE)+(G2696-1))</f>
        <v/>
      </c>
    </row>
    <row r="2697" spans="1:15" s="1" customFormat="1" ht="15" customHeight="1" x14ac:dyDescent="0.25">
      <c r="A2697" s="18" t="s">
        <v>1242</v>
      </c>
      <c r="B2697" s="18" t="s">
        <v>889</v>
      </c>
      <c r="C2697" s="14" t="s">
        <v>2097</v>
      </c>
      <c r="D2697" s="4" t="s">
        <v>996</v>
      </c>
      <c r="E2697" s="1" t="s">
        <v>2</v>
      </c>
      <c r="F2697" s="18">
        <v>2165</v>
      </c>
      <c r="G2697" s="18">
        <v>292</v>
      </c>
      <c r="H2697" s="5">
        <v>1</v>
      </c>
      <c r="I2697" s="1">
        <v>295</v>
      </c>
      <c r="J2697" s="1">
        <v>268</v>
      </c>
      <c r="L2697" t="str">
        <f t="shared" si="42"/>
        <v>http://www.badatelna.eu/reprodukce/?fondId=1073&amp;zaznamId=1108952&amp;reproId=3779153</v>
      </c>
      <c r="M2697">
        <f>VLOOKUP(F2697,Sheet2!$B$1:$E$19,2,FALSE)</f>
        <v>1073</v>
      </c>
      <c r="N2697">
        <f>VLOOKUP(F2697,Sheet2!$B$1:$E$19,3,FALSE)</f>
        <v>1108952</v>
      </c>
      <c r="O2697">
        <f>IF(G2697="Not available","",VLOOKUP(F2697,Sheet2!$B$1:$E$19,4,FALSE)+(G2697-1))</f>
        <v>3779153</v>
      </c>
    </row>
    <row r="2698" spans="1:15" s="1" customFormat="1" ht="15" customHeight="1" x14ac:dyDescent="0.25">
      <c r="A2698" s="18" t="s">
        <v>1242</v>
      </c>
      <c r="B2698" s="18" t="s">
        <v>863</v>
      </c>
      <c r="C2698" s="10" t="s">
        <v>1957</v>
      </c>
      <c r="D2698" s="3" t="s">
        <v>2481</v>
      </c>
      <c r="E2698" s="4" t="s">
        <v>2</v>
      </c>
      <c r="F2698" s="18">
        <v>2176</v>
      </c>
      <c r="G2698" s="18" t="s">
        <v>3271</v>
      </c>
      <c r="H2698" s="10" t="s">
        <v>2061</v>
      </c>
      <c r="I2698" s="3">
        <v>27</v>
      </c>
      <c r="J2698" s="3" t="s">
        <v>3271</v>
      </c>
      <c r="K2698" s="3"/>
      <c r="L2698" t="str">
        <f t="shared" si="42"/>
        <v/>
      </c>
      <c r="M2698">
        <f>VLOOKUP(F2698,Sheet2!$B$1:$E$19,2,FALSE)</f>
        <v>1073</v>
      </c>
      <c r="N2698">
        <f>VLOOKUP(F2698,Sheet2!$B$1:$E$19,3,FALSE)</f>
        <v>1108963</v>
      </c>
      <c r="O2698" t="str">
        <f>IF(G2698="Not available","",VLOOKUP(F2698,Sheet2!$B$1:$E$19,4,FALSE)+(G2698-1))</f>
        <v/>
      </c>
    </row>
    <row r="2699" spans="1:15" s="1" customFormat="1" ht="15" customHeight="1" x14ac:dyDescent="0.25">
      <c r="A2699" s="18" t="s">
        <v>1242</v>
      </c>
      <c r="B2699" s="18" t="s">
        <v>863</v>
      </c>
      <c r="C2699" s="5" t="s">
        <v>1928</v>
      </c>
      <c r="D2699" s="1" t="s">
        <v>996</v>
      </c>
      <c r="E2699" s="1" t="s">
        <v>2</v>
      </c>
      <c r="F2699" s="18">
        <v>2165</v>
      </c>
      <c r="G2699" s="18">
        <v>282</v>
      </c>
      <c r="H2699" s="5">
        <v>2</v>
      </c>
      <c r="I2699" s="1">
        <v>284</v>
      </c>
      <c r="J2699" s="1">
        <v>258</v>
      </c>
      <c r="L2699" t="str">
        <f t="shared" si="42"/>
        <v>http://www.badatelna.eu/reprodukce/?fondId=1073&amp;zaznamId=1108952&amp;reproId=3779143</v>
      </c>
      <c r="M2699">
        <f>VLOOKUP(F2699,Sheet2!$B$1:$E$19,2,FALSE)</f>
        <v>1073</v>
      </c>
      <c r="N2699">
        <f>VLOOKUP(F2699,Sheet2!$B$1:$E$19,3,FALSE)</f>
        <v>1108952</v>
      </c>
      <c r="O2699">
        <f>IF(G2699="Not available","",VLOOKUP(F2699,Sheet2!$B$1:$E$19,4,FALSE)+(G2699-1))</f>
        <v>3779143</v>
      </c>
    </row>
    <row r="2700" spans="1:15" s="1" customFormat="1" ht="15" customHeight="1" x14ac:dyDescent="0.25">
      <c r="A2700" s="18" t="s">
        <v>1242</v>
      </c>
      <c r="B2700" s="18" t="s">
        <v>1033</v>
      </c>
      <c r="C2700" s="10" t="s">
        <v>2092</v>
      </c>
      <c r="D2700" s="3" t="s">
        <v>2481</v>
      </c>
      <c r="E2700" s="4" t="s">
        <v>2</v>
      </c>
      <c r="F2700" s="18">
        <v>2176</v>
      </c>
      <c r="G2700" s="18" t="s">
        <v>3271</v>
      </c>
      <c r="H2700" s="10" t="s">
        <v>2136</v>
      </c>
      <c r="I2700" s="3">
        <v>27</v>
      </c>
      <c r="J2700" s="3" t="s">
        <v>3271</v>
      </c>
      <c r="K2700" s="3"/>
      <c r="L2700" t="str">
        <f t="shared" si="42"/>
        <v/>
      </c>
      <c r="M2700">
        <f>VLOOKUP(F2700,Sheet2!$B$1:$E$19,2,FALSE)</f>
        <v>1073</v>
      </c>
      <c r="N2700">
        <f>VLOOKUP(F2700,Sheet2!$B$1:$E$19,3,FALSE)</f>
        <v>1108963</v>
      </c>
      <c r="O2700" t="str">
        <f>IF(G2700="Not available","",VLOOKUP(F2700,Sheet2!$B$1:$E$19,4,FALSE)+(G2700-1))</f>
        <v/>
      </c>
    </row>
    <row r="2701" spans="1:15" s="1" customFormat="1" ht="15" customHeight="1" x14ac:dyDescent="0.25">
      <c r="A2701" s="18" t="s">
        <v>1242</v>
      </c>
      <c r="B2701" s="18" t="s">
        <v>1033</v>
      </c>
      <c r="C2701" s="5" t="s">
        <v>1898</v>
      </c>
      <c r="D2701" s="1" t="s">
        <v>809</v>
      </c>
      <c r="E2701" s="1" t="s">
        <v>2</v>
      </c>
      <c r="F2701" s="18">
        <v>2165</v>
      </c>
      <c r="G2701" s="18">
        <v>271</v>
      </c>
      <c r="H2701" s="5">
        <v>3</v>
      </c>
      <c r="I2701" s="1">
        <v>272</v>
      </c>
      <c r="J2701" s="1">
        <v>246</v>
      </c>
      <c r="L2701" t="str">
        <f t="shared" si="42"/>
        <v>http://www.badatelna.eu/reprodukce/?fondId=1073&amp;zaznamId=1108952&amp;reproId=3779132</v>
      </c>
      <c r="M2701">
        <f>VLOOKUP(F2701,Sheet2!$B$1:$E$19,2,FALSE)</f>
        <v>1073</v>
      </c>
      <c r="N2701">
        <f>VLOOKUP(F2701,Sheet2!$B$1:$E$19,3,FALSE)</f>
        <v>1108952</v>
      </c>
      <c r="O2701">
        <f>IF(G2701="Not available","",VLOOKUP(F2701,Sheet2!$B$1:$E$19,4,FALSE)+(G2701-1))</f>
        <v>3779132</v>
      </c>
    </row>
    <row r="2702" spans="1:15" s="1" customFormat="1" ht="15" customHeight="1" x14ac:dyDescent="0.25">
      <c r="A2702" s="18" t="s">
        <v>960</v>
      </c>
      <c r="B2702" s="18" t="s">
        <v>546</v>
      </c>
      <c r="C2702" s="5">
        <v>1862</v>
      </c>
      <c r="E2702" s="1" t="s">
        <v>939</v>
      </c>
      <c r="F2702" s="18">
        <v>999</v>
      </c>
      <c r="G2702" s="18">
        <v>36</v>
      </c>
      <c r="H2702" s="5">
        <v>34</v>
      </c>
      <c r="I2702" s="1">
        <v>71</v>
      </c>
      <c r="J2702" s="1">
        <v>105</v>
      </c>
      <c r="L2702" t="str">
        <f t="shared" si="42"/>
        <v>http://www.badatelna.eu/reprodukce/?fondId=241&amp;zaznamId=1133739&amp;reproId=3885765</v>
      </c>
      <c r="M2702">
        <f>VLOOKUP(F2702,Sheet2!$B$1:$E$19,2,FALSE)</f>
        <v>241</v>
      </c>
      <c r="N2702">
        <f>VLOOKUP(F2702,Sheet2!$B$1:$E$19,3,FALSE)</f>
        <v>1133739</v>
      </c>
      <c r="O2702">
        <f>IF(G2702="Not available","",VLOOKUP(F2702,Sheet2!$B$1:$E$19,4,FALSE)+(G2702-1))</f>
        <v>3885765</v>
      </c>
    </row>
    <row r="2703" spans="1:15" s="1" customFormat="1" ht="15" customHeight="1" x14ac:dyDescent="0.25">
      <c r="A2703" s="18" t="s">
        <v>1219</v>
      </c>
      <c r="B2703" s="18" t="s">
        <v>1223</v>
      </c>
      <c r="C2703" s="10" t="s">
        <v>2102</v>
      </c>
      <c r="D2703" s="3" t="s">
        <v>2479</v>
      </c>
      <c r="E2703" s="4" t="s">
        <v>2</v>
      </c>
      <c r="F2703" s="18">
        <v>2176</v>
      </c>
      <c r="G2703" s="18" t="s">
        <v>3271</v>
      </c>
      <c r="H2703" s="10" t="s">
        <v>2061</v>
      </c>
      <c r="I2703" s="3">
        <v>27</v>
      </c>
      <c r="J2703" s="3" t="s">
        <v>3271</v>
      </c>
      <c r="K2703" s="3"/>
      <c r="L2703" t="str">
        <f t="shared" si="42"/>
        <v/>
      </c>
      <c r="M2703">
        <f>VLOOKUP(F2703,Sheet2!$B$1:$E$19,2,FALSE)</f>
        <v>1073</v>
      </c>
      <c r="N2703">
        <f>VLOOKUP(F2703,Sheet2!$B$1:$E$19,3,FALSE)</f>
        <v>1108963</v>
      </c>
      <c r="O2703" t="str">
        <f>IF(G2703="Not available","",VLOOKUP(F2703,Sheet2!$B$1:$E$19,4,FALSE)+(G2703-1))</f>
        <v/>
      </c>
    </row>
    <row r="2704" spans="1:15" s="1" customFormat="1" ht="15" customHeight="1" x14ac:dyDescent="0.25">
      <c r="A2704" s="18" t="s">
        <v>1219</v>
      </c>
      <c r="B2704" s="18" t="s">
        <v>2376</v>
      </c>
      <c r="C2704" s="10" t="s">
        <v>2488</v>
      </c>
      <c r="D2704" s="3" t="s">
        <v>2487</v>
      </c>
      <c r="E2704" s="4" t="s">
        <v>2</v>
      </c>
      <c r="F2704" s="18">
        <v>2176</v>
      </c>
      <c r="G2704" s="18" t="s">
        <v>3271</v>
      </c>
      <c r="H2704" s="10" t="s">
        <v>1954</v>
      </c>
      <c r="I2704" s="3">
        <v>27</v>
      </c>
      <c r="J2704" s="3" t="s">
        <v>3271</v>
      </c>
      <c r="K2704" s="3"/>
      <c r="L2704" t="str">
        <f t="shared" si="42"/>
        <v/>
      </c>
      <c r="M2704">
        <f>VLOOKUP(F2704,Sheet2!$B$1:$E$19,2,FALSE)</f>
        <v>1073</v>
      </c>
      <c r="N2704">
        <f>VLOOKUP(F2704,Sheet2!$B$1:$E$19,3,FALSE)</f>
        <v>1108963</v>
      </c>
      <c r="O2704" t="str">
        <f>IF(G2704="Not available","",VLOOKUP(F2704,Sheet2!$B$1:$E$19,4,FALSE)+(G2704-1))</f>
        <v/>
      </c>
    </row>
    <row r="2705" spans="1:15" s="1" customFormat="1" ht="15" customHeight="1" x14ac:dyDescent="0.25">
      <c r="A2705" s="18" t="s">
        <v>1219</v>
      </c>
      <c r="B2705" s="18" t="s">
        <v>992</v>
      </c>
      <c r="C2705" s="10" t="s">
        <v>2025</v>
      </c>
      <c r="D2705" s="3" t="s">
        <v>2469</v>
      </c>
      <c r="E2705" s="4" t="s">
        <v>2</v>
      </c>
      <c r="F2705" s="18">
        <v>2176</v>
      </c>
      <c r="G2705" s="18" t="s">
        <v>3271</v>
      </c>
      <c r="H2705" s="10" t="s">
        <v>2035</v>
      </c>
      <c r="I2705" s="3">
        <v>26</v>
      </c>
      <c r="J2705" s="3" t="s">
        <v>3271</v>
      </c>
      <c r="K2705" s="3"/>
      <c r="L2705" t="str">
        <f t="shared" si="42"/>
        <v/>
      </c>
      <c r="M2705">
        <f>VLOOKUP(F2705,Sheet2!$B$1:$E$19,2,FALSE)</f>
        <v>1073</v>
      </c>
      <c r="N2705">
        <f>VLOOKUP(F2705,Sheet2!$B$1:$E$19,3,FALSE)</f>
        <v>1108963</v>
      </c>
      <c r="O2705" t="str">
        <f>IF(G2705="Not available","",VLOOKUP(F2705,Sheet2!$B$1:$E$19,4,FALSE)+(G2705-1))</f>
        <v/>
      </c>
    </row>
    <row r="2706" spans="1:15" s="1" customFormat="1" ht="15" customHeight="1" x14ac:dyDescent="0.25">
      <c r="A2706" s="18" t="s">
        <v>1219</v>
      </c>
      <c r="B2706" s="18" t="s">
        <v>992</v>
      </c>
      <c r="C2706" s="10" t="s">
        <v>2486</v>
      </c>
      <c r="D2706" s="3" t="s">
        <v>2487</v>
      </c>
      <c r="E2706" s="4" t="s">
        <v>2</v>
      </c>
      <c r="F2706" s="18">
        <v>2176</v>
      </c>
      <c r="G2706" s="18" t="s">
        <v>3271</v>
      </c>
      <c r="H2706" s="10" t="s">
        <v>1954</v>
      </c>
      <c r="I2706" s="3">
        <v>27</v>
      </c>
      <c r="J2706" s="3" t="s">
        <v>3271</v>
      </c>
      <c r="K2706" s="3"/>
      <c r="L2706" t="str">
        <f t="shared" si="42"/>
        <v/>
      </c>
      <c r="M2706">
        <f>VLOOKUP(F2706,Sheet2!$B$1:$E$19,2,FALSE)</f>
        <v>1073</v>
      </c>
      <c r="N2706">
        <f>VLOOKUP(F2706,Sheet2!$B$1:$E$19,3,FALSE)</f>
        <v>1108963</v>
      </c>
      <c r="O2706" t="str">
        <f>IF(G2706="Not available","",VLOOKUP(F2706,Sheet2!$B$1:$E$19,4,FALSE)+(G2706-1))</f>
        <v/>
      </c>
    </row>
    <row r="2707" spans="1:15" s="1" customFormat="1" ht="15" customHeight="1" x14ac:dyDescent="0.25">
      <c r="A2707" s="18" t="s">
        <v>1219</v>
      </c>
      <c r="B2707" s="18" t="s">
        <v>2134</v>
      </c>
      <c r="C2707" s="10" t="s">
        <v>2015</v>
      </c>
      <c r="D2707" s="3" t="s">
        <v>2469</v>
      </c>
      <c r="E2707" s="4" t="s">
        <v>2</v>
      </c>
      <c r="F2707" s="18">
        <v>2176</v>
      </c>
      <c r="G2707" s="18" t="s">
        <v>3271</v>
      </c>
      <c r="H2707" s="10" t="s">
        <v>2470</v>
      </c>
      <c r="I2707" s="3">
        <v>26</v>
      </c>
      <c r="J2707" s="3" t="s">
        <v>3271</v>
      </c>
      <c r="K2707" s="3"/>
      <c r="L2707" t="str">
        <f t="shared" si="42"/>
        <v/>
      </c>
      <c r="M2707">
        <f>VLOOKUP(F2707,Sheet2!$B$1:$E$19,2,FALSE)</f>
        <v>1073</v>
      </c>
      <c r="N2707">
        <f>VLOOKUP(F2707,Sheet2!$B$1:$E$19,3,FALSE)</f>
        <v>1108963</v>
      </c>
      <c r="O2707" t="str">
        <f>IF(G2707="Not available","",VLOOKUP(F2707,Sheet2!$B$1:$E$19,4,FALSE)+(G2707-1))</f>
        <v/>
      </c>
    </row>
    <row r="2708" spans="1:15" s="1" customFormat="1" ht="15" customHeight="1" x14ac:dyDescent="0.25">
      <c r="A2708" s="18" t="s">
        <v>1219</v>
      </c>
      <c r="B2708" s="18" t="s">
        <v>2224</v>
      </c>
      <c r="C2708" s="10" t="s">
        <v>2087</v>
      </c>
      <c r="D2708" s="3" t="s">
        <v>2479</v>
      </c>
      <c r="E2708" s="4" t="s">
        <v>2</v>
      </c>
      <c r="F2708" s="18">
        <v>2176</v>
      </c>
      <c r="G2708" s="18" t="s">
        <v>3271</v>
      </c>
      <c r="H2708" s="10" t="s">
        <v>1954</v>
      </c>
      <c r="I2708" s="3">
        <v>27</v>
      </c>
      <c r="J2708" s="3" t="s">
        <v>3271</v>
      </c>
      <c r="K2708" s="3"/>
      <c r="L2708" t="str">
        <f t="shared" si="42"/>
        <v/>
      </c>
      <c r="M2708">
        <f>VLOOKUP(F2708,Sheet2!$B$1:$E$19,2,FALSE)</f>
        <v>1073</v>
      </c>
      <c r="N2708">
        <f>VLOOKUP(F2708,Sheet2!$B$1:$E$19,3,FALSE)</f>
        <v>1108963</v>
      </c>
      <c r="O2708" t="str">
        <f>IF(G2708="Not available","",VLOOKUP(F2708,Sheet2!$B$1:$E$19,4,FALSE)+(G2708-1))</f>
        <v/>
      </c>
    </row>
    <row r="2709" spans="1:15" s="1" customFormat="1" ht="15" customHeight="1" x14ac:dyDescent="0.25">
      <c r="A2709" s="18" t="s">
        <v>1219</v>
      </c>
      <c r="B2709" s="18" t="s">
        <v>1158</v>
      </c>
      <c r="C2709" s="5" t="s">
        <v>1870</v>
      </c>
      <c r="D2709" s="1" t="s">
        <v>377</v>
      </c>
      <c r="E2709" s="1" t="s">
        <v>2</v>
      </c>
      <c r="F2709" s="18">
        <v>2165</v>
      </c>
      <c r="G2709" s="18">
        <v>260</v>
      </c>
      <c r="H2709" s="5">
        <v>1</v>
      </c>
      <c r="I2709" s="1">
        <v>265</v>
      </c>
      <c r="J2709" s="1">
        <v>239</v>
      </c>
      <c r="L2709" t="str">
        <f t="shared" si="42"/>
        <v>http://www.badatelna.eu/reprodukce/?fondId=1073&amp;zaznamId=1108952&amp;reproId=3779121</v>
      </c>
      <c r="M2709">
        <f>VLOOKUP(F2709,Sheet2!$B$1:$E$19,2,FALSE)</f>
        <v>1073</v>
      </c>
      <c r="N2709">
        <f>VLOOKUP(F2709,Sheet2!$B$1:$E$19,3,FALSE)</f>
        <v>1108952</v>
      </c>
      <c r="O2709">
        <f>IF(G2709="Not available","",VLOOKUP(F2709,Sheet2!$B$1:$E$19,4,FALSE)+(G2709-1))</f>
        <v>3779121</v>
      </c>
    </row>
    <row r="2710" spans="1:15" s="1" customFormat="1" ht="15" customHeight="1" x14ac:dyDescent="0.25">
      <c r="A2710" s="18" t="s">
        <v>1219</v>
      </c>
      <c r="B2710" s="18" t="s">
        <v>809</v>
      </c>
      <c r="C2710" s="10" t="s">
        <v>1285</v>
      </c>
      <c r="D2710" s="3" t="s">
        <v>2469</v>
      </c>
      <c r="E2710" s="4" t="s">
        <v>2</v>
      </c>
      <c r="F2710" s="18">
        <v>2176</v>
      </c>
      <c r="G2710" s="18" t="s">
        <v>3271</v>
      </c>
      <c r="H2710" s="10" t="s">
        <v>2073</v>
      </c>
      <c r="I2710" s="3">
        <v>26</v>
      </c>
      <c r="J2710" s="3" t="s">
        <v>3271</v>
      </c>
      <c r="K2710" s="3"/>
      <c r="L2710" t="str">
        <f t="shared" si="42"/>
        <v/>
      </c>
      <c r="M2710">
        <f>VLOOKUP(F2710,Sheet2!$B$1:$E$19,2,FALSE)</f>
        <v>1073</v>
      </c>
      <c r="N2710">
        <f>VLOOKUP(F2710,Sheet2!$B$1:$E$19,3,FALSE)</f>
        <v>1108963</v>
      </c>
      <c r="O2710" t="str">
        <f>IF(G2710="Not available","",VLOOKUP(F2710,Sheet2!$B$1:$E$19,4,FALSE)+(G2710-1))</f>
        <v/>
      </c>
    </row>
    <row r="2711" spans="1:15" s="1" customFormat="1" ht="15" customHeight="1" x14ac:dyDescent="0.25">
      <c r="A2711" s="18" t="s">
        <v>1219</v>
      </c>
      <c r="B2711" s="18" t="s">
        <v>432</v>
      </c>
      <c r="C2711" s="10" t="s">
        <v>2081</v>
      </c>
      <c r="D2711" s="3" t="s">
        <v>2479</v>
      </c>
      <c r="E2711" s="4" t="s">
        <v>2</v>
      </c>
      <c r="F2711" s="18">
        <v>2176</v>
      </c>
      <c r="G2711" s="18" t="s">
        <v>3271</v>
      </c>
      <c r="H2711" s="10" t="s">
        <v>2480</v>
      </c>
      <c r="I2711" s="3">
        <v>27</v>
      </c>
      <c r="J2711" s="3" t="s">
        <v>3271</v>
      </c>
      <c r="K2711" s="3"/>
      <c r="L2711" t="str">
        <f t="shared" si="42"/>
        <v/>
      </c>
      <c r="M2711">
        <f>VLOOKUP(F2711,Sheet2!$B$1:$E$19,2,FALSE)</f>
        <v>1073</v>
      </c>
      <c r="N2711">
        <f>VLOOKUP(F2711,Sheet2!$B$1:$E$19,3,FALSE)</f>
        <v>1108963</v>
      </c>
      <c r="O2711" t="str">
        <f>IF(G2711="Not available","",VLOOKUP(F2711,Sheet2!$B$1:$E$19,4,FALSE)+(G2711-1))</f>
        <v/>
      </c>
    </row>
    <row r="2712" spans="1:15" s="1" customFormat="1" ht="15" customHeight="1" x14ac:dyDescent="0.25">
      <c r="A2712" s="18" t="s">
        <v>1219</v>
      </c>
      <c r="B2712" s="18" t="s">
        <v>432</v>
      </c>
      <c r="C2712" s="5" t="s">
        <v>1822</v>
      </c>
      <c r="D2712" s="1" t="s">
        <v>377</v>
      </c>
      <c r="E2712" s="1" t="s">
        <v>2</v>
      </c>
      <c r="F2712" s="18">
        <v>2165</v>
      </c>
      <c r="G2712" s="18">
        <v>249</v>
      </c>
      <c r="H2712" s="5">
        <v>3</v>
      </c>
      <c r="I2712" s="1">
        <v>250</v>
      </c>
      <c r="J2712" s="1">
        <v>226</v>
      </c>
      <c r="L2712" t="str">
        <f t="shared" si="42"/>
        <v>http://www.badatelna.eu/reprodukce/?fondId=1073&amp;zaznamId=1108952&amp;reproId=3779110</v>
      </c>
      <c r="M2712">
        <f>VLOOKUP(F2712,Sheet2!$B$1:$E$19,2,FALSE)</f>
        <v>1073</v>
      </c>
      <c r="N2712">
        <f>VLOOKUP(F2712,Sheet2!$B$1:$E$19,3,FALSE)</f>
        <v>1108952</v>
      </c>
      <c r="O2712">
        <f>IF(G2712="Not available","",VLOOKUP(F2712,Sheet2!$B$1:$E$19,4,FALSE)+(G2712-1))</f>
        <v>3779110</v>
      </c>
    </row>
    <row r="2713" spans="1:15" s="1" customFormat="1" ht="15" customHeight="1" x14ac:dyDescent="0.25">
      <c r="A2713" s="18" t="s">
        <v>1219</v>
      </c>
      <c r="B2713" s="18" t="s">
        <v>593</v>
      </c>
      <c r="C2713" s="10" t="s">
        <v>2036</v>
      </c>
      <c r="D2713" s="3" t="s">
        <v>2469</v>
      </c>
      <c r="E2713" s="4" t="s">
        <v>2</v>
      </c>
      <c r="F2713" s="18">
        <v>2176</v>
      </c>
      <c r="G2713" s="18" t="s">
        <v>3271</v>
      </c>
      <c r="H2713" s="10" t="s">
        <v>2091</v>
      </c>
      <c r="I2713" s="3">
        <v>26</v>
      </c>
      <c r="J2713" s="3" t="s">
        <v>3271</v>
      </c>
      <c r="K2713" s="3"/>
      <c r="L2713" t="str">
        <f t="shared" si="42"/>
        <v/>
      </c>
      <c r="M2713">
        <f>VLOOKUP(F2713,Sheet2!$B$1:$E$19,2,FALSE)</f>
        <v>1073</v>
      </c>
      <c r="N2713">
        <f>VLOOKUP(F2713,Sheet2!$B$1:$E$19,3,FALSE)</f>
        <v>1108963</v>
      </c>
      <c r="O2713" t="str">
        <f>IF(G2713="Not available","",VLOOKUP(F2713,Sheet2!$B$1:$E$19,4,FALSE)+(G2713-1))</f>
        <v/>
      </c>
    </row>
    <row r="2714" spans="1:15" s="1" customFormat="1" ht="15" customHeight="1" x14ac:dyDescent="0.25">
      <c r="A2714" s="18" t="s">
        <v>297</v>
      </c>
      <c r="B2714" s="19" t="s">
        <v>49</v>
      </c>
      <c r="C2714" s="5">
        <v>1785</v>
      </c>
      <c r="D2714" s="1" t="s">
        <v>34</v>
      </c>
      <c r="E2714" s="1" t="s">
        <v>2</v>
      </c>
      <c r="F2714" s="18">
        <v>2173</v>
      </c>
      <c r="G2714" s="18">
        <v>7</v>
      </c>
      <c r="H2714" s="5">
        <v>9</v>
      </c>
      <c r="I2714" s="1">
        <v>105</v>
      </c>
      <c r="J2714" s="1" t="s">
        <v>294</v>
      </c>
      <c r="L2714" t="str">
        <f t="shared" si="42"/>
        <v>http://www.badatelna.eu/reprodukce/?fondId=1073&amp;zaznamId=1108959&amp;reproId=3780000</v>
      </c>
      <c r="M2714">
        <f>VLOOKUP(F2714,Sheet2!$B$1:$E$19,2,FALSE)</f>
        <v>1073</v>
      </c>
      <c r="N2714">
        <f>VLOOKUP(F2714,Sheet2!$B$1:$E$19,3,FALSE)</f>
        <v>1108959</v>
      </c>
      <c r="O2714">
        <f>IF(G2714="Not available","",VLOOKUP(F2714,Sheet2!$B$1:$E$19,4,FALSE)+(G2714-1))</f>
        <v>3780000</v>
      </c>
    </row>
    <row r="2715" spans="1:15" s="1" customFormat="1" ht="15" customHeight="1" x14ac:dyDescent="0.25">
      <c r="A2715" s="18" t="s">
        <v>961</v>
      </c>
      <c r="B2715" s="18" t="s">
        <v>6</v>
      </c>
      <c r="C2715" s="5">
        <v>1862</v>
      </c>
      <c r="E2715" s="1" t="s">
        <v>939</v>
      </c>
      <c r="F2715" s="18">
        <v>999</v>
      </c>
      <c r="G2715" s="18">
        <v>35</v>
      </c>
      <c r="H2715" s="5">
        <v>33</v>
      </c>
      <c r="I2715" s="1">
        <v>71</v>
      </c>
      <c r="J2715" s="1">
        <v>105</v>
      </c>
      <c r="L2715" t="str">
        <f t="shared" si="42"/>
        <v>http://www.badatelna.eu/reprodukce/?fondId=241&amp;zaznamId=1133739&amp;reproId=3885764</v>
      </c>
      <c r="M2715">
        <f>VLOOKUP(F2715,Sheet2!$B$1:$E$19,2,FALSE)</f>
        <v>241</v>
      </c>
      <c r="N2715">
        <f>VLOOKUP(F2715,Sheet2!$B$1:$E$19,3,FALSE)</f>
        <v>1133739</v>
      </c>
      <c r="O2715">
        <f>IF(G2715="Not available","",VLOOKUP(F2715,Sheet2!$B$1:$E$19,4,FALSE)+(G2715-1))</f>
        <v>3885764</v>
      </c>
    </row>
    <row r="2716" spans="1:15" s="1" customFormat="1" ht="15" customHeight="1" x14ac:dyDescent="0.25">
      <c r="A2716" s="19" t="s">
        <v>2964</v>
      </c>
      <c r="B2716" s="18" t="s">
        <v>4</v>
      </c>
      <c r="C2716" s="5">
        <v>1788</v>
      </c>
      <c r="D2716" s="1" t="s">
        <v>49</v>
      </c>
      <c r="E2716" s="1" t="s">
        <v>2</v>
      </c>
      <c r="F2716" s="18">
        <v>2173</v>
      </c>
      <c r="G2716" s="18">
        <v>17</v>
      </c>
      <c r="H2716" s="5">
        <v>28</v>
      </c>
      <c r="I2716" s="1">
        <v>107</v>
      </c>
      <c r="J2716" s="1">
        <v>229</v>
      </c>
      <c r="L2716" t="str">
        <f t="shared" si="42"/>
        <v>http://www.badatelna.eu/reprodukce/?fondId=1073&amp;zaznamId=1108959&amp;reproId=3780010</v>
      </c>
      <c r="M2716">
        <f>VLOOKUP(F2716,Sheet2!$B$1:$E$19,2,FALSE)</f>
        <v>1073</v>
      </c>
      <c r="N2716">
        <f>VLOOKUP(F2716,Sheet2!$B$1:$E$19,3,FALSE)</f>
        <v>1108959</v>
      </c>
      <c r="O2716">
        <f>IF(G2716="Not available","",VLOOKUP(F2716,Sheet2!$B$1:$E$19,4,FALSE)+(G2716-1))</f>
        <v>3780010</v>
      </c>
    </row>
    <row r="2717" spans="1:15" s="1" customFormat="1" ht="15" customHeight="1" x14ac:dyDescent="0.25">
      <c r="A2717" s="18" t="s">
        <v>2498</v>
      </c>
      <c r="B2717" s="18" t="s">
        <v>963</v>
      </c>
      <c r="C2717" s="10" t="s">
        <v>2043</v>
      </c>
      <c r="D2717" s="3" t="s">
        <v>2499</v>
      </c>
      <c r="E2717" s="4" t="s">
        <v>2</v>
      </c>
      <c r="F2717" s="18">
        <v>2176</v>
      </c>
      <c r="G2717" s="18" t="s">
        <v>3271</v>
      </c>
      <c r="H2717" s="10" t="s">
        <v>2230</v>
      </c>
      <c r="I2717" s="3">
        <v>28</v>
      </c>
      <c r="J2717" s="3" t="s">
        <v>3271</v>
      </c>
      <c r="K2717" s="3"/>
      <c r="L2717" t="str">
        <f t="shared" si="42"/>
        <v/>
      </c>
      <c r="M2717">
        <f>VLOOKUP(F2717,Sheet2!$B$1:$E$19,2,FALSE)</f>
        <v>1073</v>
      </c>
      <c r="N2717">
        <f>VLOOKUP(F2717,Sheet2!$B$1:$E$19,3,FALSE)</f>
        <v>1108963</v>
      </c>
      <c r="O2717" t="str">
        <f>IF(G2717="Not available","",VLOOKUP(F2717,Sheet2!$B$1:$E$19,4,FALSE)+(G2717-1))</f>
        <v/>
      </c>
    </row>
    <row r="2718" spans="1:15" s="1" customFormat="1" ht="15" customHeight="1" x14ac:dyDescent="0.25">
      <c r="A2718" s="19" t="s">
        <v>2498</v>
      </c>
      <c r="B2718" s="18" t="s">
        <v>977</v>
      </c>
      <c r="C2718" s="5" t="s">
        <v>1502</v>
      </c>
      <c r="D2718" s="1" t="s">
        <v>138</v>
      </c>
      <c r="E2718" s="1" t="s">
        <v>2</v>
      </c>
      <c r="F2718" s="18">
        <v>2165</v>
      </c>
      <c r="G2718" s="18">
        <v>52</v>
      </c>
      <c r="H2718" s="5">
        <v>49</v>
      </c>
      <c r="I2718" s="1">
        <v>87</v>
      </c>
      <c r="J2718" s="1" t="s">
        <v>3271</v>
      </c>
      <c r="L2718" t="str">
        <f t="shared" si="42"/>
        <v>http://www.badatelna.eu/reprodukce/?fondId=1073&amp;zaznamId=1108952&amp;reproId=3778913</v>
      </c>
      <c r="M2718">
        <f>VLOOKUP(F2718,Sheet2!$B$1:$E$19,2,FALSE)</f>
        <v>1073</v>
      </c>
      <c r="N2718">
        <f>VLOOKUP(F2718,Sheet2!$B$1:$E$19,3,FALSE)</f>
        <v>1108952</v>
      </c>
      <c r="O2718">
        <f>IF(G2718="Not available","",VLOOKUP(F2718,Sheet2!$B$1:$E$19,4,FALSE)+(G2718-1))</f>
        <v>3778913</v>
      </c>
    </row>
    <row r="2719" spans="1:15" s="1" customFormat="1" ht="15" customHeight="1" x14ac:dyDescent="0.25">
      <c r="A2719" s="19" t="s">
        <v>2498</v>
      </c>
      <c r="B2719" s="19" t="s">
        <v>351</v>
      </c>
      <c r="C2719" s="5">
        <v>1805</v>
      </c>
      <c r="D2719" s="12" t="s">
        <v>3263</v>
      </c>
      <c r="E2719" s="1" t="s">
        <v>2</v>
      </c>
      <c r="F2719" s="18">
        <v>2173</v>
      </c>
      <c r="G2719" s="18">
        <v>50</v>
      </c>
      <c r="H2719" s="6" t="s">
        <v>3003</v>
      </c>
      <c r="I2719" s="1">
        <v>107</v>
      </c>
      <c r="J2719" s="1">
        <v>229</v>
      </c>
      <c r="L2719" t="str">
        <f t="shared" si="42"/>
        <v>http://www.badatelna.eu/reprodukce/?fondId=1073&amp;zaznamId=1108959&amp;reproId=3780043</v>
      </c>
      <c r="M2719">
        <f>VLOOKUP(F2719,Sheet2!$B$1:$E$19,2,FALSE)</f>
        <v>1073</v>
      </c>
      <c r="N2719">
        <f>VLOOKUP(F2719,Sheet2!$B$1:$E$19,3,FALSE)</f>
        <v>1108959</v>
      </c>
      <c r="O2719">
        <f>IF(G2719="Not available","",VLOOKUP(F2719,Sheet2!$B$1:$E$19,4,FALSE)+(G2719-1))</f>
        <v>3780043</v>
      </c>
    </row>
    <row r="2720" spans="1:15" s="1" customFormat="1" ht="15" customHeight="1" x14ac:dyDescent="0.25">
      <c r="A2720" s="19" t="s">
        <v>2498</v>
      </c>
      <c r="B2720" s="19" t="s">
        <v>86</v>
      </c>
      <c r="C2720" s="5">
        <v>1861</v>
      </c>
      <c r="D2720" s="4" t="s">
        <v>3264</v>
      </c>
      <c r="E2720" s="1" t="s">
        <v>939</v>
      </c>
      <c r="F2720" s="18">
        <v>999</v>
      </c>
      <c r="G2720" s="18">
        <v>27</v>
      </c>
      <c r="H2720" s="5">
        <v>25</v>
      </c>
      <c r="I2720" s="1">
        <v>72</v>
      </c>
      <c r="J2720" s="1">
        <v>106</v>
      </c>
      <c r="L2720" t="str">
        <f t="shared" si="42"/>
        <v>http://www.badatelna.eu/reprodukce/?fondId=241&amp;zaznamId=1133739&amp;reproId=3885756</v>
      </c>
      <c r="M2720">
        <f>VLOOKUP(F2720,Sheet2!$B$1:$E$19,2,FALSE)</f>
        <v>241</v>
      </c>
      <c r="N2720">
        <f>VLOOKUP(F2720,Sheet2!$B$1:$E$19,3,FALSE)</f>
        <v>1133739</v>
      </c>
      <c r="O2720">
        <f>IF(G2720="Not available","",VLOOKUP(F2720,Sheet2!$B$1:$E$19,4,FALSE)+(G2720-1))</f>
        <v>3885756</v>
      </c>
    </row>
    <row r="2721" spans="1:15" s="1" customFormat="1" ht="15" customHeight="1" x14ac:dyDescent="0.25">
      <c r="A2721" s="18" t="s">
        <v>2498</v>
      </c>
      <c r="B2721" s="18" t="s">
        <v>12</v>
      </c>
      <c r="C2721" s="5">
        <v>1863</v>
      </c>
      <c r="D2721" s="4" t="s">
        <v>3264</v>
      </c>
      <c r="E2721" s="1" t="s">
        <v>939</v>
      </c>
      <c r="F2721" s="18">
        <v>999</v>
      </c>
      <c r="G2721" s="18">
        <v>43</v>
      </c>
      <c r="H2721" s="5">
        <v>41</v>
      </c>
      <c r="I2721" s="1">
        <v>72</v>
      </c>
      <c r="J2721" s="1">
        <v>106</v>
      </c>
      <c r="L2721" t="str">
        <f t="shared" si="42"/>
        <v>http://www.badatelna.eu/reprodukce/?fondId=241&amp;zaznamId=1133739&amp;reproId=3885772</v>
      </c>
      <c r="M2721">
        <f>VLOOKUP(F2721,Sheet2!$B$1:$E$19,2,FALSE)</f>
        <v>241</v>
      </c>
      <c r="N2721">
        <f>VLOOKUP(F2721,Sheet2!$B$1:$E$19,3,FALSE)</f>
        <v>1133739</v>
      </c>
      <c r="O2721">
        <f>IF(G2721="Not available","",VLOOKUP(F2721,Sheet2!$B$1:$E$19,4,FALSE)+(G2721-1))</f>
        <v>3885772</v>
      </c>
    </row>
    <row r="2722" spans="1:15" s="1" customFormat="1" ht="15" customHeight="1" x14ac:dyDescent="0.25">
      <c r="A2722" s="18" t="s">
        <v>2498</v>
      </c>
      <c r="B2722" s="18" t="s">
        <v>540</v>
      </c>
      <c r="C2722" s="5">
        <v>1864</v>
      </c>
      <c r="D2722" s="4" t="s">
        <v>3265</v>
      </c>
      <c r="E2722" s="1" t="s">
        <v>939</v>
      </c>
      <c r="F2722" s="18">
        <v>999</v>
      </c>
      <c r="G2722" s="18">
        <v>52</v>
      </c>
      <c r="H2722" s="5">
        <v>50</v>
      </c>
      <c r="I2722" s="1">
        <v>72</v>
      </c>
      <c r="J2722" s="1">
        <v>106</v>
      </c>
      <c r="L2722" t="str">
        <f t="shared" si="42"/>
        <v>http://www.badatelna.eu/reprodukce/?fondId=241&amp;zaznamId=1133739&amp;reproId=3885781</v>
      </c>
      <c r="M2722">
        <f>VLOOKUP(F2722,Sheet2!$B$1:$E$19,2,FALSE)</f>
        <v>241</v>
      </c>
      <c r="N2722">
        <f>VLOOKUP(F2722,Sheet2!$B$1:$E$19,3,FALSE)</f>
        <v>1133739</v>
      </c>
      <c r="O2722">
        <f>IF(G2722="Not available","",VLOOKUP(F2722,Sheet2!$B$1:$E$19,4,FALSE)+(G2722-1))</f>
        <v>3885781</v>
      </c>
    </row>
    <row r="2723" spans="1:15" s="1" customFormat="1" ht="15" customHeight="1" x14ac:dyDescent="0.25">
      <c r="A2723" s="18" t="s">
        <v>2498</v>
      </c>
      <c r="B2723" s="18" t="s">
        <v>834</v>
      </c>
      <c r="C2723" s="5">
        <v>1859</v>
      </c>
      <c r="D2723" s="4" t="s">
        <v>3265</v>
      </c>
      <c r="E2723" s="1" t="s">
        <v>939</v>
      </c>
      <c r="F2723" s="18">
        <v>999</v>
      </c>
      <c r="G2723" s="18">
        <v>13</v>
      </c>
      <c r="H2723" s="5">
        <v>11</v>
      </c>
      <c r="I2723" s="1">
        <v>72</v>
      </c>
      <c r="J2723" s="1">
        <v>106</v>
      </c>
      <c r="L2723" t="str">
        <f t="shared" si="42"/>
        <v>http://www.badatelna.eu/reprodukce/?fondId=241&amp;zaznamId=1133739&amp;reproId=3885742</v>
      </c>
      <c r="M2723">
        <f>VLOOKUP(F2723,Sheet2!$B$1:$E$19,2,FALSE)</f>
        <v>241</v>
      </c>
      <c r="N2723">
        <f>VLOOKUP(F2723,Sheet2!$B$1:$E$19,3,FALSE)</f>
        <v>1133739</v>
      </c>
      <c r="O2723">
        <f>IF(G2723="Not available","",VLOOKUP(F2723,Sheet2!$B$1:$E$19,4,FALSE)+(G2723-1))</f>
        <v>3885742</v>
      </c>
    </row>
    <row r="2724" spans="1:15" s="1" customFormat="1" ht="15" customHeight="1" x14ac:dyDescent="0.25">
      <c r="A2724" s="18" t="s">
        <v>2498</v>
      </c>
      <c r="B2724" s="18" t="s">
        <v>398</v>
      </c>
      <c r="C2724" s="5">
        <v>1863</v>
      </c>
      <c r="D2724" s="4" t="s">
        <v>3266</v>
      </c>
      <c r="E2724" s="1" t="s">
        <v>939</v>
      </c>
      <c r="F2724" s="18">
        <v>999</v>
      </c>
      <c r="G2724" s="18">
        <v>41</v>
      </c>
      <c r="H2724" s="5">
        <v>39</v>
      </c>
      <c r="I2724" s="1">
        <v>72</v>
      </c>
      <c r="J2724" s="1">
        <v>106</v>
      </c>
      <c r="L2724" t="str">
        <f t="shared" si="42"/>
        <v>http://www.badatelna.eu/reprodukce/?fondId=241&amp;zaznamId=1133739&amp;reproId=3885770</v>
      </c>
      <c r="M2724">
        <f>VLOOKUP(F2724,Sheet2!$B$1:$E$19,2,FALSE)</f>
        <v>241</v>
      </c>
      <c r="N2724">
        <f>VLOOKUP(F2724,Sheet2!$B$1:$E$19,3,FALSE)</f>
        <v>1133739</v>
      </c>
      <c r="O2724">
        <f>IF(G2724="Not available","",VLOOKUP(F2724,Sheet2!$B$1:$E$19,4,FALSE)+(G2724-1))</f>
        <v>3885770</v>
      </c>
    </row>
    <row r="2725" spans="1:15" s="1" customFormat="1" ht="15" customHeight="1" x14ac:dyDescent="0.25">
      <c r="A2725" s="19" t="s">
        <v>350</v>
      </c>
      <c r="B2725" s="18" t="s">
        <v>370</v>
      </c>
      <c r="C2725" s="5" t="s">
        <v>1498</v>
      </c>
      <c r="D2725" s="4" t="s">
        <v>3261</v>
      </c>
      <c r="E2725" s="1" t="s">
        <v>2</v>
      </c>
      <c r="F2725" s="18">
        <v>2165</v>
      </c>
      <c r="G2725" s="18">
        <v>20</v>
      </c>
      <c r="H2725" s="5">
        <v>17</v>
      </c>
      <c r="I2725" s="1">
        <v>87</v>
      </c>
      <c r="J2725" s="1" t="s">
        <v>3271</v>
      </c>
      <c r="L2725" t="str">
        <f t="shared" si="42"/>
        <v>http://www.badatelna.eu/reprodukce/?fondId=1073&amp;zaznamId=1108952&amp;reproId=3778881</v>
      </c>
      <c r="M2725">
        <f>VLOOKUP(F2725,Sheet2!$B$1:$E$19,2,FALSE)</f>
        <v>1073</v>
      </c>
      <c r="N2725">
        <f>VLOOKUP(F2725,Sheet2!$B$1:$E$19,3,FALSE)</f>
        <v>1108952</v>
      </c>
      <c r="O2725">
        <f>IF(G2725="Not available","",VLOOKUP(F2725,Sheet2!$B$1:$E$19,4,FALSE)+(G2725-1))</f>
        <v>3778881</v>
      </c>
    </row>
    <row r="2726" spans="1:15" s="1" customFormat="1" ht="15" customHeight="1" x14ac:dyDescent="0.25">
      <c r="A2726" s="19" t="s">
        <v>350</v>
      </c>
      <c r="B2726" s="18" t="s">
        <v>12</v>
      </c>
      <c r="C2726" s="5" t="s">
        <v>1501</v>
      </c>
      <c r="D2726" s="4" t="s">
        <v>3260</v>
      </c>
      <c r="E2726" s="1" t="s">
        <v>2</v>
      </c>
      <c r="F2726" s="18">
        <v>2165</v>
      </c>
      <c r="G2726" s="18">
        <v>38</v>
      </c>
      <c r="H2726" s="5">
        <v>35</v>
      </c>
      <c r="I2726" s="1">
        <v>87</v>
      </c>
      <c r="J2726" s="1" t="s">
        <v>3271</v>
      </c>
      <c r="L2726" t="str">
        <f t="shared" si="42"/>
        <v>http://www.badatelna.eu/reprodukce/?fondId=1073&amp;zaznamId=1108952&amp;reproId=3778899</v>
      </c>
      <c r="M2726">
        <f>VLOOKUP(F2726,Sheet2!$B$1:$E$19,2,FALSE)</f>
        <v>1073</v>
      </c>
      <c r="N2726">
        <f>VLOOKUP(F2726,Sheet2!$B$1:$E$19,3,FALSE)</f>
        <v>1108952</v>
      </c>
      <c r="O2726">
        <f>IF(G2726="Not available","",VLOOKUP(F2726,Sheet2!$B$1:$E$19,4,FALSE)+(G2726-1))</f>
        <v>3778899</v>
      </c>
    </row>
    <row r="2727" spans="1:15" s="1" customFormat="1" ht="15" customHeight="1" x14ac:dyDescent="0.25">
      <c r="A2727" s="18" t="s">
        <v>709</v>
      </c>
      <c r="B2727" s="18" t="s">
        <v>469</v>
      </c>
      <c r="C2727" s="14" t="s">
        <v>3111</v>
      </c>
      <c r="D2727" s="1" t="s">
        <v>86</v>
      </c>
      <c r="E2727" s="1" t="s">
        <v>2</v>
      </c>
      <c r="F2727" s="18">
        <v>2174</v>
      </c>
      <c r="G2727" s="18">
        <v>69</v>
      </c>
      <c r="H2727" s="6" t="s">
        <v>3110</v>
      </c>
      <c r="I2727" s="1">
        <v>192</v>
      </c>
      <c r="J2727" s="1">
        <v>223</v>
      </c>
      <c r="L2727" t="str">
        <f t="shared" si="42"/>
        <v>http://www.badatelna.eu/reprodukce/?fondId=1073&amp;zaznamId=1108960&amp;reproId=3780293</v>
      </c>
      <c r="M2727">
        <f>VLOOKUP(F2727,Sheet2!$B$1:$E$19,2,FALSE)</f>
        <v>1073</v>
      </c>
      <c r="N2727">
        <f>VLOOKUP(F2727,Sheet2!$B$1:$E$19,3,FALSE)</f>
        <v>1108960</v>
      </c>
      <c r="O2727">
        <f>IF(G2727="Not available","",VLOOKUP(F2727,Sheet2!$B$1:$E$19,4,FALSE)+(G2727-1))</f>
        <v>3780293</v>
      </c>
    </row>
    <row r="2728" spans="1:15" s="1" customFormat="1" ht="15" customHeight="1" x14ac:dyDescent="0.25">
      <c r="A2728" s="18" t="s">
        <v>2492</v>
      </c>
      <c r="B2728" s="18" t="s">
        <v>963</v>
      </c>
      <c r="C2728" s="10" t="s">
        <v>2043</v>
      </c>
      <c r="D2728" s="3" t="s">
        <v>3267</v>
      </c>
      <c r="E2728" s="4" t="s">
        <v>2</v>
      </c>
      <c r="F2728" s="18">
        <v>2176</v>
      </c>
      <c r="G2728" s="18" t="s">
        <v>3271</v>
      </c>
      <c r="H2728" s="10" t="s">
        <v>2230</v>
      </c>
      <c r="I2728" s="3">
        <v>51</v>
      </c>
      <c r="J2728" s="3" t="s">
        <v>3271</v>
      </c>
      <c r="K2728" s="3"/>
      <c r="L2728" t="str">
        <f t="shared" si="42"/>
        <v/>
      </c>
      <c r="M2728">
        <f>VLOOKUP(F2728,Sheet2!$B$1:$E$19,2,FALSE)</f>
        <v>1073</v>
      </c>
      <c r="N2728">
        <f>VLOOKUP(F2728,Sheet2!$B$1:$E$19,3,FALSE)</f>
        <v>1108963</v>
      </c>
      <c r="O2728" t="str">
        <f>IF(G2728="Not available","",VLOOKUP(F2728,Sheet2!$B$1:$E$19,4,FALSE)+(G2728-1))</f>
        <v/>
      </c>
    </row>
    <row r="2729" spans="1:15" s="1" customFormat="1" ht="15" customHeight="1" x14ac:dyDescent="0.25">
      <c r="A2729" s="18" t="s">
        <v>2492</v>
      </c>
      <c r="B2729" s="18" t="s">
        <v>92</v>
      </c>
      <c r="C2729" s="10" t="s">
        <v>1987</v>
      </c>
      <c r="D2729" s="3" t="s">
        <v>3258</v>
      </c>
      <c r="E2729" s="4" t="s">
        <v>2</v>
      </c>
      <c r="F2729" s="18">
        <v>2176</v>
      </c>
      <c r="G2729" s="18" t="s">
        <v>3271</v>
      </c>
      <c r="H2729" s="10" t="s">
        <v>2491</v>
      </c>
      <c r="I2729" s="3">
        <v>28</v>
      </c>
      <c r="J2729" s="3" t="s">
        <v>3271</v>
      </c>
      <c r="L2729" t="str">
        <f t="shared" si="42"/>
        <v/>
      </c>
      <c r="M2729">
        <f>VLOOKUP(F2729,Sheet2!$B$1:$E$19,2,FALSE)</f>
        <v>1073</v>
      </c>
      <c r="N2729">
        <f>VLOOKUP(F2729,Sheet2!$B$1:$E$19,3,FALSE)</f>
        <v>1108963</v>
      </c>
      <c r="O2729" t="str">
        <f>IF(G2729="Not available","",VLOOKUP(F2729,Sheet2!$B$1:$E$19,4,FALSE)+(G2729-1))</f>
        <v/>
      </c>
    </row>
    <row r="2730" spans="1:15" s="1" customFormat="1" ht="15" customHeight="1" x14ac:dyDescent="0.25">
      <c r="A2730" s="18" t="s">
        <v>2492</v>
      </c>
      <c r="B2730" s="18" t="s">
        <v>2493</v>
      </c>
      <c r="C2730" s="10" t="s">
        <v>1987</v>
      </c>
      <c r="D2730" s="3" t="s">
        <v>2490</v>
      </c>
      <c r="E2730" s="4" t="s">
        <v>2</v>
      </c>
      <c r="F2730" s="18">
        <v>2176</v>
      </c>
      <c r="G2730" s="18" t="s">
        <v>3271</v>
      </c>
      <c r="H2730" s="10" t="s">
        <v>1284</v>
      </c>
      <c r="I2730" s="3">
        <v>28</v>
      </c>
      <c r="J2730" s="3" t="s">
        <v>3271</v>
      </c>
      <c r="L2730" t="str">
        <f t="shared" si="42"/>
        <v/>
      </c>
      <c r="M2730">
        <f>VLOOKUP(F2730,Sheet2!$B$1:$E$19,2,FALSE)</f>
        <v>1073</v>
      </c>
      <c r="N2730">
        <f>VLOOKUP(F2730,Sheet2!$B$1:$E$19,3,FALSE)</f>
        <v>1108963</v>
      </c>
      <c r="O2730" t="str">
        <f>IF(G2730="Not available","",VLOOKUP(F2730,Sheet2!$B$1:$E$19,4,FALSE)+(G2730-1))</f>
        <v/>
      </c>
    </row>
    <row r="2731" spans="1:15" s="1" customFormat="1" ht="15" customHeight="1" x14ac:dyDescent="0.25">
      <c r="A2731" s="18" t="s">
        <v>2492</v>
      </c>
      <c r="B2731" s="18" t="s">
        <v>398</v>
      </c>
      <c r="C2731" s="10" t="s">
        <v>1949</v>
      </c>
      <c r="D2731" s="3" t="s">
        <v>2501</v>
      </c>
      <c r="E2731" s="4" t="s">
        <v>2</v>
      </c>
      <c r="F2731" s="18">
        <v>2176</v>
      </c>
      <c r="G2731" s="18" t="s">
        <v>3271</v>
      </c>
      <c r="H2731" s="10" t="s">
        <v>2006</v>
      </c>
      <c r="I2731" s="3">
        <v>28</v>
      </c>
      <c r="J2731" s="3" t="s">
        <v>3271</v>
      </c>
      <c r="K2731" s="3"/>
      <c r="L2731" t="str">
        <f t="shared" si="42"/>
        <v/>
      </c>
      <c r="M2731">
        <f>VLOOKUP(F2731,Sheet2!$B$1:$E$19,2,FALSE)</f>
        <v>1073</v>
      </c>
      <c r="N2731">
        <f>VLOOKUP(F2731,Sheet2!$B$1:$E$19,3,FALSE)</f>
        <v>1108963</v>
      </c>
      <c r="O2731" t="str">
        <f>IF(G2731="Not available","",VLOOKUP(F2731,Sheet2!$B$1:$E$19,4,FALSE)+(G2731-1))</f>
        <v/>
      </c>
    </row>
    <row r="2732" spans="1:15" s="1" customFormat="1" ht="15" customHeight="1" x14ac:dyDescent="0.25">
      <c r="A2732" s="19" t="s">
        <v>3253</v>
      </c>
      <c r="B2732" s="18" t="s">
        <v>12</v>
      </c>
      <c r="C2732" s="5" t="s">
        <v>1499</v>
      </c>
      <c r="D2732" s="4" t="s">
        <v>3256</v>
      </c>
      <c r="E2732" s="1" t="s">
        <v>2</v>
      </c>
      <c r="F2732" s="18">
        <v>2165</v>
      </c>
      <c r="G2732" s="18">
        <v>25</v>
      </c>
      <c r="H2732" s="5">
        <v>22</v>
      </c>
      <c r="I2732" s="1">
        <v>87</v>
      </c>
      <c r="J2732" s="1" t="s">
        <v>3271</v>
      </c>
      <c r="L2732" t="str">
        <f t="shared" si="42"/>
        <v>http://www.badatelna.eu/reprodukce/?fondId=1073&amp;zaznamId=1108952&amp;reproId=3778886</v>
      </c>
      <c r="M2732">
        <f>VLOOKUP(F2732,Sheet2!$B$1:$E$19,2,FALSE)</f>
        <v>1073</v>
      </c>
      <c r="N2732">
        <f>VLOOKUP(F2732,Sheet2!$B$1:$E$19,3,FALSE)</f>
        <v>1108952</v>
      </c>
      <c r="O2732">
        <f>IF(G2732="Not available","",VLOOKUP(F2732,Sheet2!$B$1:$E$19,4,FALSE)+(G2732-1))</f>
        <v>3778886</v>
      </c>
    </row>
    <row r="2733" spans="1:15" s="1" customFormat="1" ht="15" customHeight="1" x14ac:dyDescent="0.25">
      <c r="A2733" s="19" t="s">
        <v>1046</v>
      </c>
      <c r="B2733" s="18" t="s">
        <v>428</v>
      </c>
      <c r="C2733" s="5" t="s">
        <v>1500</v>
      </c>
      <c r="D2733" s="4" t="s">
        <v>3257</v>
      </c>
      <c r="E2733" s="1" t="s">
        <v>2</v>
      </c>
      <c r="F2733" s="18">
        <v>2165</v>
      </c>
      <c r="G2733" s="18">
        <v>36</v>
      </c>
      <c r="H2733" s="5">
        <v>33</v>
      </c>
      <c r="I2733" s="1">
        <v>87</v>
      </c>
      <c r="J2733" s="1" t="s">
        <v>3271</v>
      </c>
      <c r="L2733" t="str">
        <f t="shared" si="42"/>
        <v>http://www.badatelna.eu/reprodukce/?fondId=1073&amp;zaznamId=1108952&amp;reproId=3778897</v>
      </c>
      <c r="M2733">
        <f>VLOOKUP(F2733,Sheet2!$B$1:$E$19,2,FALSE)</f>
        <v>1073</v>
      </c>
      <c r="N2733">
        <f>VLOOKUP(F2733,Sheet2!$B$1:$E$19,3,FALSE)</f>
        <v>1108952</v>
      </c>
      <c r="O2733">
        <f>IF(G2733="Not available","",VLOOKUP(F2733,Sheet2!$B$1:$E$19,4,FALSE)+(G2733-1))</f>
        <v>3778897</v>
      </c>
    </row>
    <row r="2734" spans="1:15" s="1" customFormat="1" ht="15" customHeight="1" x14ac:dyDescent="0.25">
      <c r="A2734" s="18" t="s">
        <v>1172</v>
      </c>
      <c r="B2734" s="18" t="s">
        <v>963</v>
      </c>
      <c r="C2734" s="6" t="s">
        <v>3255</v>
      </c>
      <c r="D2734" s="4" t="s">
        <v>3259</v>
      </c>
      <c r="E2734" s="1" t="s">
        <v>2</v>
      </c>
      <c r="F2734" s="18">
        <v>2165</v>
      </c>
      <c r="G2734" s="19">
        <v>201</v>
      </c>
      <c r="H2734" s="14" t="s">
        <v>2900</v>
      </c>
      <c r="I2734" s="1">
        <v>182</v>
      </c>
      <c r="J2734" s="1">
        <v>187</v>
      </c>
      <c r="L2734" t="str">
        <f t="shared" si="42"/>
        <v>http://www.badatelna.eu/reprodukce/?fondId=1073&amp;zaznamId=1108952&amp;reproId=3779062</v>
      </c>
      <c r="M2734">
        <f>VLOOKUP(F2734,Sheet2!$B$1:$E$19,2,FALSE)</f>
        <v>1073</v>
      </c>
      <c r="N2734">
        <f>VLOOKUP(F2734,Sheet2!$B$1:$E$19,3,FALSE)</f>
        <v>1108952</v>
      </c>
      <c r="O2734">
        <f>IF(G2734="Not available","",VLOOKUP(F2734,Sheet2!$B$1:$E$19,4,FALSE)+(G2734-1))</f>
        <v>3779062</v>
      </c>
    </row>
    <row r="2735" spans="1:15" s="1" customFormat="1" ht="15" customHeight="1" x14ac:dyDescent="0.25">
      <c r="A2735" s="18" t="s">
        <v>2495</v>
      </c>
      <c r="B2735" s="18" t="s">
        <v>2496</v>
      </c>
      <c r="C2735" s="10" t="s">
        <v>2024</v>
      </c>
      <c r="D2735" s="3" t="s">
        <v>2489</v>
      </c>
      <c r="E2735" s="4" t="s">
        <v>2</v>
      </c>
      <c r="F2735" s="18">
        <v>2176</v>
      </c>
      <c r="G2735" s="18" t="s">
        <v>3271</v>
      </c>
      <c r="H2735" s="10" t="s">
        <v>2497</v>
      </c>
      <c r="I2735" s="3">
        <v>28</v>
      </c>
      <c r="J2735" s="3" t="s">
        <v>3271</v>
      </c>
      <c r="K2735" s="3"/>
      <c r="L2735" t="str">
        <f t="shared" si="42"/>
        <v/>
      </c>
      <c r="M2735">
        <f>VLOOKUP(F2735,Sheet2!$B$1:$E$19,2,FALSE)</f>
        <v>1073</v>
      </c>
      <c r="N2735">
        <f>VLOOKUP(F2735,Sheet2!$B$1:$E$19,3,FALSE)</f>
        <v>1108963</v>
      </c>
      <c r="O2735" t="str">
        <f>IF(G2735="Not available","",VLOOKUP(F2735,Sheet2!$B$1:$E$19,4,FALSE)+(G2735-1))</f>
        <v/>
      </c>
    </row>
    <row r="2736" spans="1:15" s="1" customFormat="1" ht="15" customHeight="1" x14ac:dyDescent="0.25">
      <c r="A2736" s="18" t="s">
        <v>1047</v>
      </c>
      <c r="B2736" s="18" t="s">
        <v>632</v>
      </c>
      <c r="C2736" s="5" t="s">
        <v>1351</v>
      </c>
      <c r="D2736" s="1" t="s">
        <v>12</v>
      </c>
      <c r="E2736" s="1" t="s">
        <v>2</v>
      </c>
      <c r="F2736" s="18">
        <v>2165</v>
      </c>
      <c r="G2736" s="18">
        <v>58</v>
      </c>
      <c r="H2736" s="5">
        <v>55</v>
      </c>
      <c r="I2736" s="1">
        <v>87</v>
      </c>
      <c r="J2736" s="1" t="s">
        <v>3271</v>
      </c>
      <c r="L2736" t="str">
        <f t="shared" si="42"/>
        <v>http://www.badatelna.eu/reprodukce/?fondId=1073&amp;zaznamId=1108952&amp;reproId=3778919</v>
      </c>
      <c r="M2736">
        <f>VLOOKUP(F2736,Sheet2!$B$1:$E$19,2,FALSE)</f>
        <v>1073</v>
      </c>
      <c r="N2736">
        <f>VLOOKUP(F2736,Sheet2!$B$1:$E$19,3,FALSE)</f>
        <v>1108952</v>
      </c>
      <c r="O2736">
        <f>IF(G2736="Not available","",VLOOKUP(F2736,Sheet2!$B$1:$E$19,4,FALSE)+(G2736-1))</f>
        <v>3778919</v>
      </c>
    </row>
    <row r="2737" spans="1:15" s="1" customFormat="1" ht="15" customHeight="1" x14ac:dyDescent="0.25">
      <c r="A2737" s="18" t="s">
        <v>1047</v>
      </c>
      <c r="B2737" s="18" t="s">
        <v>196</v>
      </c>
      <c r="C2737" s="10" t="s">
        <v>2005</v>
      </c>
      <c r="D2737" s="3" t="s">
        <v>2489</v>
      </c>
      <c r="E2737" s="4" t="s">
        <v>2</v>
      </c>
      <c r="F2737" s="18">
        <v>2176</v>
      </c>
      <c r="G2737" s="18" t="s">
        <v>3271</v>
      </c>
      <c r="H2737" s="10" t="s">
        <v>2075</v>
      </c>
      <c r="I2737" s="3">
        <v>28</v>
      </c>
      <c r="J2737" s="3" t="s">
        <v>3271</v>
      </c>
      <c r="K2737" s="3"/>
      <c r="L2737" t="str">
        <f t="shared" si="42"/>
        <v/>
      </c>
      <c r="M2737">
        <f>VLOOKUP(F2737,Sheet2!$B$1:$E$19,2,FALSE)</f>
        <v>1073</v>
      </c>
      <c r="N2737">
        <f>VLOOKUP(F2737,Sheet2!$B$1:$E$19,3,FALSE)</f>
        <v>1108963</v>
      </c>
      <c r="O2737" t="str">
        <f>IF(G2737="Not available","",VLOOKUP(F2737,Sheet2!$B$1:$E$19,4,FALSE)+(G2737-1))</f>
        <v/>
      </c>
    </row>
    <row r="2738" spans="1:15" s="1" customFormat="1" ht="15" customHeight="1" x14ac:dyDescent="0.25">
      <c r="A2738" s="18" t="s">
        <v>1047</v>
      </c>
      <c r="B2738" s="18" t="s">
        <v>2494</v>
      </c>
      <c r="C2738" s="10" t="s">
        <v>2015</v>
      </c>
      <c r="D2738" s="3" t="s">
        <v>2489</v>
      </c>
      <c r="E2738" s="4" t="s">
        <v>2</v>
      </c>
      <c r="F2738" s="18">
        <v>2176</v>
      </c>
      <c r="G2738" s="18" t="s">
        <v>3271</v>
      </c>
      <c r="H2738" s="10" t="s">
        <v>2186</v>
      </c>
      <c r="I2738" s="3">
        <v>28</v>
      </c>
      <c r="J2738" s="3" t="s">
        <v>3271</v>
      </c>
      <c r="K2738" s="3"/>
      <c r="L2738" t="str">
        <f t="shared" si="42"/>
        <v/>
      </c>
      <c r="M2738">
        <f>VLOOKUP(F2738,Sheet2!$B$1:$E$19,2,FALSE)</f>
        <v>1073</v>
      </c>
      <c r="N2738">
        <f>VLOOKUP(F2738,Sheet2!$B$1:$E$19,3,FALSE)</f>
        <v>1108963</v>
      </c>
      <c r="O2738" t="str">
        <f>IF(G2738="Not available","",VLOOKUP(F2738,Sheet2!$B$1:$E$19,4,FALSE)+(G2738-1))</f>
        <v/>
      </c>
    </row>
    <row r="2739" spans="1:15" s="1" customFormat="1" ht="15" customHeight="1" x14ac:dyDescent="0.25">
      <c r="A2739" s="18" t="s">
        <v>1047</v>
      </c>
      <c r="B2739" s="18" t="s">
        <v>494</v>
      </c>
      <c r="C2739" s="10" t="s">
        <v>1969</v>
      </c>
      <c r="D2739" s="3" t="s">
        <v>2489</v>
      </c>
      <c r="E2739" s="4" t="s">
        <v>2</v>
      </c>
      <c r="F2739" s="18">
        <v>2176</v>
      </c>
      <c r="G2739" s="18" t="s">
        <v>3271</v>
      </c>
      <c r="H2739" s="10" t="s">
        <v>2073</v>
      </c>
      <c r="I2739" s="3">
        <v>28</v>
      </c>
      <c r="J2739" s="3" t="s">
        <v>3271</v>
      </c>
      <c r="L2739" t="str">
        <f t="shared" si="42"/>
        <v/>
      </c>
      <c r="M2739">
        <f>VLOOKUP(F2739,Sheet2!$B$1:$E$19,2,FALSE)</f>
        <v>1073</v>
      </c>
      <c r="N2739">
        <f>VLOOKUP(F2739,Sheet2!$B$1:$E$19,3,FALSE)</f>
        <v>1108963</v>
      </c>
      <c r="O2739" t="str">
        <f>IF(G2739="Not available","",VLOOKUP(F2739,Sheet2!$B$1:$E$19,4,FALSE)+(G2739-1))</f>
        <v/>
      </c>
    </row>
    <row r="2740" spans="1:15" s="1" customFormat="1" ht="15" customHeight="1" x14ac:dyDescent="0.25">
      <c r="A2740" s="18" t="s">
        <v>1047</v>
      </c>
      <c r="B2740" s="18" t="s">
        <v>484</v>
      </c>
      <c r="C2740" s="5" t="s">
        <v>1503</v>
      </c>
      <c r="D2740" s="1" t="s">
        <v>12</v>
      </c>
      <c r="E2740" s="1" t="s">
        <v>2</v>
      </c>
      <c r="F2740" s="18">
        <v>2165</v>
      </c>
      <c r="G2740" s="18">
        <v>68</v>
      </c>
      <c r="H2740" s="5">
        <v>65</v>
      </c>
      <c r="I2740" s="1">
        <v>87</v>
      </c>
      <c r="J2740" s="1" t="s">
        <v>3271</v>
      </c>
      <c r="L2740" t="str">
        <f t="shared" si="42"/>
        <v>http://www.badatelna.eu/reprodukce/?fondId=1073&amp;zaznamId=1108952&amp;reproId=3778929</v>
      </c>
      <c r="M2740">
        <f>VLOOKUP(F2740,Sheet2!$B$1:$E$19,2,FALSE)</f>
        <v>1073</v>
      </c>
      <c r="N2740">
        <f>VLOOKUP(F2740,Sheet2!$B$1:$E$19,3,FALSE)</f>
        <v>1108952</v>
      </c>
      <c r="O2740">
        <f>IF(G2740="Not available","",VLOOKUP(F2740,Sheet2!$B$1:$E$19,4,FALSE)+(G2740-1))</f>
        <v>3778929</v>
      </c>
    </row>
    <row r="2741" spans="1:15" s="1" customFormat="1" ht="15" customHeight="1" x14ac:dyDescent="0.25">
      <c r="A2741" s="18" t="s">
        <v>344</v>
      </c>
      <c r="B2741" s="18" t="s">
        <v>8</v>
      </c>
      <c r="C2741" s="5">
        <v>1788</v>
      </c>
      <c r="D2741" s="1" t="s">
        <v>166</v>
      </c>
      <c r="E2741" s="1" t="s">
        <v>2</v>
      </c>
      <c r="F2741" s="18">
        <v>2173</v>
      </c>
      <c r="G2741" s="18">
        <v>17</v>
      </c>
      <c r="H2741" s="5">
        <v>28</v>
      </c>
      <c r="I2741" s="1">
        <v>107</v>
      </c>
      <c r="J2741" s="1">
        <v>229</v>
      </c>
      <c r="L2741" t="str">
        <f t="shared" si="42"/>
        <v>http://www.badatelna.eu/reprodukce/?fondId=1073&amp;zaznamId=1108959&amp;reproId=3780010</v>
      </c>
      <c r="M2741">
        <f>VLOOKUP(F2741,Sheet2!$B$1:$E$19,2,FALSE)</f>
        <v>1073</v>
      </c>
      <c r="N2741">
        <f>VLOOKUP(F2741,Sheet2!$B$1:$E$19,3,FALSE)</f>
        <v>1108959</v>
      </c>
      <c r="O2741">
        <f>IF(G2741="Not available","",VLOOKUP(F2741,Sheet2!$B$1:$E$19,4,FALSE)+(G2741-1))</f>
        <v>3780010</v>
      </c>
    </row>
    <row r="2742" spans="1:15" s="1" customFormat="1" ht="15" customHeight="1" x14ac:dyDescent="0.25">
      <c r="A2742" s="18" t="s">
        <v>344</v>
      </c>
      <c r="B2742" s="18" t="s">
        <v>349</v>
      </c>
      <c r="C2742" s="5">
        <v>1796</v>
      </c>
      <c r="D2742" s="1" t="s">
        <v>166</v>
      </c>
      <c r="E2742" s="1" t="s">
        <v>2</v>
      </c>
      <c r="F2742" s="18">
        <v>2173</v>
      </c>
      <c r="G2742" s="18">
        <v>35</v>
      </c>
      <c r="H2742" s="5">
        <v>64</v>
      </c>
      <c r="I2742" s="1">
        <v>107</v>
      </c>
      <c r="J2742" s="1">
        <v>229</v>
      </c>
      <c r="L2742" t="str">
        <f t="shared" si="42"/>
        <v>http://www.badatelna.eu/reprodukce/?fondId=1073&amp;zaznamId=1108959&amp;reproId=3780028</v>
      </c>
      <c r="M2742">
        <f>VLOOKUP(F2742,Sheet2!$B$1:$E$19,2,FALSE)</f>
        <v>1073</v>
      </c>
      <c r="N2742">
        <f>VLOOKUP(F2742,Sheet2!$B$1:$E$19,3,FALSE)</f>
        <v>1108959</v>
      </c>
      <c r="O2742">
        <f>IF(G2742="Not available","",VLOOKUP(F2742,Sheet2!$B$1:$E$19,4,FALSE)+(G2742-1))</f>
        <v>3780028</v>
      </c>
    </row>
    <row r="2743" spans="1:15" s="1" customFormat="1" ht="15" customHeight="1" x14ac:dyDescent="0.25">
      <c r="A2743" s="18" t="s">
        <v>344</v>
      </c>
      <c r="B2743" s="18" t="s">
        <v>343</v>
      </c>
      <c r="C2743" s="5">
        <v>1786</v>
      </c>
      <c r="D2743" s="1" t="s">
        <v>166</v>
      </c>
      <c r="E2743" s="1" t="s">
        <v>2</v>
      </c>
      <c r="F2743" s="18">
        <v>2173</v>
      </c>
      <c r="G2743" s="18">
        <v>11</v>
      </c>
      <c r="H2743" s="5">
        <v>16</v>
      </c>
      <c r="I2743" s="1">
        <v>107</v>
      </c>
      <c r="J2743" s="1">
        <v>229</v>
      </c>
      <c r="L2743" t="str">
        <f t="shared" si="42"/>
        <v>http://www.badatelna.eu/reprodukce/?fondId=1073&amp;zaznamId=1108959&amp;reproId=3780004</v>
      </c>
      <c r="M2743">
        <f>VLOOKUP(F2743,Sheet2!$B$1:$E$19,2,FALSE)</f>
        <v>1073</v>
      </c>
      <c r="N2743">
        <f>VLOOKUP(F2743,Sheet2!$B$1:$E$19,3,FALSE)</f>
        <v>1108959</v>
      </c>
      <c r="O2743">
        <f>IF(G2743="Not available","",VLOOKUP(F2743,Sheet2!$B$1:$E$19,4,FALSE)+(G2743-1))</f>
        <v>3780004</v>
      </c>
    </row>
    <row r="2744" spans="1:15" s="1" customFormat="1" ht="15" customHeight="1" x14ac:dyDescent="0.25">
      <c r="A2744" s="18" t="s">
        <v>348</v>
      </c>
      <c r="B2744" s="18" t="s">
        <v>99</v>
      </c>
      <c r="C2744" s="5">
        <v>1817</v>
      </c>
      <c r="E2744" s="1" t="s">
        <v>2</v>
      </c>
      <c r="F2744" s="18">
        <v>2173</v>
      </c>
      <c r="G2744" s="18">
        <v>67</v>
      </c>
      <c r="H2744" s="6" t="s">
        <v>3347</v>
      </c>
      <c r="I2744" s="1">
        <v>107</v>
      </c>
      <c r="J2744" s="1">
        <v>229</v>
      </c>
      <c r="L2744" t="str">
        <f t="shared" si="42"/>
        <v>http://www.badatelna.eu/reprodukce/?fondId=1073&amp;zaznamId=1108959&amp;reproId=3780060</v>
      </c>
      <c r="M2744">
        <f>VLOOKUP(F2744,Sheet2!$B$1:$E$19,2,FALSE)</f>
        <v>1073</v>
      </c>
      <c r="N2744">
        <f>VLOOKUP(F2744,Sheet2!$B$1:$E$19,3,FALSE)</f>
        <v>1108959</v>
      </c>
      <c r="O2744">
        <f>IF(G2744="Not available","",VLOOKUP(F2744,Sheet2!$B$1:$E$19,4,FALSE)+(G2744-1))</f>
        <v>3780060</v>
      </c>
    </row>
    <row r="2745" spans="1:15" s="1" customFormat="1" ht="15" customHeight="1" x14ac:dyDescent="0.25">
      <c r="A2745" s="18" t="s">
        <v>348</v>
      </c>
      <c r="B2745" s="18" t="s">
        <v>310</v>
      </c>
      <c r="C2745" s="14" t="s">
        <v>3103</v>
      </c>
      <c r="E2745" s="1" t="s">
        <v>2</v>
      </c>
      <c r="F2745" s="18">
        <v>2174</v>
      </c>
      <c r="G2745" s="18">
        <v>62</v>
      </c>
      <c r="H2745" s="6" t="s">
        <v>3106</v>
      </c>
      <c r="I2745" s="1">
        <v>192</v>
      </c>
      <c r="J2745" s="1">
        <v>223</v>
      </c>
      <c r="L2745" t="str">
        <f t="shared" si="42"/>
        <v>http://www.badatelna.eu/reprodukce/?fondId=1073&amp;zaznamId=1108960&amp;reproId=3780286</v>
      </c>
      <c r="M2745">
        <f>VLOOKUP(F2745,Sheet2!$B$1:$E$19,2,FALSE)</f>
        <v>1073</v>
      </c>
      <c r="N2745">
        <f>VLOOKUP(F2745,Sheet2!$B$1:$E$19,3,FALSE)</f>
        <v>1108960</v>
      </c>
      <c r="O2745">
        <f>IF(G2745="Not available","",VLOOKUP(F2745,Sheet2!$B$1:$E$19,4,FALSE)+(G2745-1))</f>
        <v>3780286</v>
      </c>
    </row>
    <row r="2746" spans="1:15" s="1" customFormat="1" ht="15" customHeight="1" x14ac:dyDescent="0.25">
      <c r="A2746" s="18" t="s">
        <v>348</v>
      </c>
      <c r="B2746" s="18" t="s">
        <v>21</v>
      </c>
      <c r="C2746" s="5">
        <v>1790</v>
      </c>
      <c r="D2746" s="1" t="s">
        <v>166</v>
      </c>
      <c r="E2746" s="1" t="s">
        <v>2</v>
      </c>
      <c r="F2746" s="18">
        <v>2173</v>
      </c>
      <c r="G2746" s="18">
        <v>27</v>
      </c>
      <c r="H2746" s="5">
        <v>49</v>
      </c>
      <c r="I2746" s="1">
        <v>107</v>
      </c>
      <c r="J2746" s="1">
        <v>229</v>
      </c>
      <c r="L2746" t="str">
        <f t="shared" si="42"/>
        <v>http://www.badatelna.eu/reprodukce/?fondId=1073&amp;zaznamId=1108959&amp;reproId=3780020</v>
      </c>
      <c r="M2746">
        <f>VLOOKUP(F2746,Sheet2!$B$1:$E$19,2,FALSE)</f>
        <v>1073</v>
      </c>
      <c r="N2746">
        <f>VLOOKUP(F2746,Sheet2!$B$1:$E$19,3,FALSE)</f>
        <v>1108959</v>
      </c>
      <c r="O2746">
        <f>IF(G2746="Not available","",VLOOKUP(F2746,Sheet2!$B$1:$E$19,4,FALSE)+(G2746-1))</f>
        <v>3780020</v>
      </c>
    </row>
    <row r="2747" spans="1:15" s="1" customFormat="1" ht="15" customHeight="1" x14ac:dyDescent="0.25">
      <c r="A2747" s="18" t="s">
        <v>348</v>
      </c>
      <c r="B2747" s="18" t="s">
        <v>21</v>
      </c>
      <c r="C2747" s="5">
        <v>1810</v>
      </c>
      <c r="E2747" s="1" t="s">
        <v>2</v>
      </c>
      <c r="F2747" s="18">
        <v>2173</v>
      </c>
      <c r="G2747" s="18">
        <v>57</v>
      </c>
      <c r="H2747" s="5">
        <v>108</v>
      </c>
      <c r="I2747" s="1">
        <v>107</v>
      </c>
      <c r="J2747" s="1">
        <v>229</v>
      </c>
      <c r="L2747" t="str">
        <f t="shared" si="42"/>
        <v>http://www.badatelna.eu/reprodukce/?fondId=1073&amp;zaznamId=1108959&amp;reproId=3780050</v>
      </c>
      <c r="M2747">
        <f>VLOOKUP(F2747,Sheet2!$B$1:$E$19,2,FALSE)</f>
        <v>1073</v>
      </c>
      <c r="N2747">
        <f>VLOOKUP(F2747,Sheet2!$B$1:$E$19,3,FALSE)</f>
        <v>1108959</v>
      </c>
      <c r="O2747">
        <f>IF(G2747="Not available","",VLOOKUP(F2747,Sheet2!$B$1:$E$19,4,FALSE)+(G2747-1))</f>
        <v>3780050</v>
      </c>
    </row>
    <row r="2748" spans="1:15" s="1" customFormat="1" ht="15" customHeight="1" x14ac:dyDescent="0.25">
      <c r="A2748" s="18" t="s">
        <v>348</v>
      </c>
      <c r="B2748" s="18" t="s">
        <v>100</v>
      </c>
      <c r="C2748" s="5">
        <v>1815</v>
      </c>
      <c r="E2748" s="1" t="s">
        <v>2</v>
      </c>
      <c r="F2748" s="18">
        <v>2173</v>
      </c>
      <c r="G2748" s="18">
        <v>65</v>
      </c>
      <c r="H2748" s="5">
        <v>124</v>
      </c>
      <c r="I2748" s="1">
        <v>107</v>
      </c>
      <c r="J2748" s="1">
        <v>229</v>
      </c>
      <c r="L2748" t="str">
        <f t="shared" si="42"/>
        <v>http://www.badatelna.eu/reprodukce/?fondId=1073&amp;zaznamId=1108959&amp;reproId=3780058</v>
      </c>
      <c r="M2748">
        <f>VLOOKUP(F2748,Sheet2!$B$1:$E$19,2,FALSE)</f>
        <v>1073</v>
      </c>
      <c r="N2748">
        <f>VLOOKUP(F2748,Sheet2!$B$1:$E$19,3,FALSE)</f>
        <v>1108959</v>
      </c>
      <c r="O2748">
        <f>IF(G2748="Not available","",VLOOKUP(F2748,Sheet2!$B$1:$E$19,4,FALSE)+(G2748-1))</f>
        <v>3780058</v>
      </c>
    </row>
    <row r="2749" spans="1:15" s="1" customFormat="1" ht="15" customHeight="1" x14ac:dyDescent="0.25">
      <c r="A2749" s="18" t="s">
        <v>348</v>
      </c>
      <c r="B2749" s="18" t="s">
        <v>145</v>
      </c>
      <c r="C2749" s="5">
        <v>1828</v>
      </c>
      <c r="E2749" s="1" t="s">
        <v>2</v>
      </c>
      <c r="F2749" s="18">
        <v>2173</v>
      </c>
      <c r="G2749" s="18">
        <v>80</v>
      </c>
      <c r="H2749" s="5">
        <v>153</v>
      </c>
      <c r="I2749" s="1">
        <v>107</v>
      </c>
      <c r="J2749" s="1">
        <v>229</v>
      </c>
      <c r="L2749" t="str">
        <f t="shared" si="42"/>
        <v>http://www.badatelna.eu/reprodukce/?fondId=1073&amp;zaznamId=1108959&amp;reproId=3780073</v>
      </c>
      <c r="M2749">
        <f>VLOOKUP(F2749,Sheet2!$B$1:$E$19,2,FALSE)</f>
        <v>1073</v>
      </c>
      <c r="N2749">
        <f>VLOOKUP(F2749,Sheet2!$B$1:$E$19,3,FALSE)</f>
        <v>1108959</v>
      </c>
      <c r="O2749">
        <f>IF(G2749="Not available","",VLOOKUP(F2749,Sheet2!$B$1:$E$19,4,FALSE)+(G2749-1))</f>
        <v>3780073</v>
      </c>
    </row>
    <row r="2750" spans="1:15" s="1" customFormat="1" ht="15" customHeight="1" x14ac:dyDescent="0.25">
      <c r="A2750" s="18" t="s">
        <v>348</v>
      </c>
      <c r="B2750" s="18" t="s">
        <v>44</v>
      </c>
      <c r="C2750" s="5">
        <v>1812</v>
      </c>
      <c r="E2750" s="1" t="s">
        <v>2</v>
      </c>
      <c r="F2750" s="18">
        <v>2173</v>
      </c>
      <c r="G2750" s="18">
        <v>60</v>
      </c>
      <c r="H2750" s="5">
        <v>114</v>
      </c>
      <c r="I2750" s="1">
        <v>107</v>
      </c>
      <c r="J2750" s="1">
        <v>229</v>
      </c>
      <c r="L2750" t="str">
        <f t="shared" si="42"/>
        <v>http://www.badatelna.eu/reprodukce/?fondId=1073&amp;zaznamId=1108959&amp;reproId=3780053</v>
      </c>
      <c r="M2750">
        <f>VLOOKUP(F2750,Sheet2!$B$1:$E$19,2,FALSE)</f>
        <v>1073</v>
      </c>
      <c r="N2750">
        <f>VLOOKUP(F2750,Sheet2!$B$1:$E$19,3,FALSE)</f>
        <v>1108959</v>
      </c>
      <c r="O2750">
        <f>IF(G2750="Not available","",VLOOKUP(F2750,Sheet2!$B$1:$E$19,4,FALSE)+(G2750-1))</f>
        <v>3780053</v>
      </c>
    </row>
    <row r="2751" spans="1:15" s="1" customFormat="1" ht="15" customHeight="1" x14ac:dyDescent="0.25">
      <c r="A2751" s="18" t="s">
        <v>348</v>
      </c>
      <c r="B2751" s="18" t="s">
        <v>83</v>
      </c>
      <c r="C2751" s="5">
        <v>1835</v>
      </c>
      <c r="D2751" s="1" t="s">
        <v>4</v>
      </c>
      <c r="E2751" s="1" t="s">
        <v>2</v>
      </c>
      <c r="F2751" s="18">
        <v>2174</v>
      </c>
      <c r="G2751" s="18">
        <v>85</v>
      </c>
      <c r="H2751" s="6" t="s">
        <v>3152</v>
      </c>
      <c r="I2751" s="1">
        <v>192</v>
      </c>
      <c r="J2751" s="1">
        <v>223</v>
      </c>
      <c r="L2751" t="str">
        <f t="shared" si="42"/>
        <v>http://www.badatelna.eu/reprodukce/?fondId=1073&amp;zaznamId=1108960&amp;reproId=3780309</v>
      </c>
      <c r="M2751">
        <f>VLOOKUP(F2751,Sheet2!$B$1:$E$19,2,FALSE)</f>
        <v>1073</v>
      </c>
      <c r="N2751">
        <f>VLOOKUP(F2751,Sheet2!$B$1:$E$19,3,FALSE)</f>
        <v>1108960</v>
      </c>
      <c r="O2751">
        <f>IF(G2751="Not available","",VLOOKUP(F2751,Sheet2!$B$1:$E$19,4,FALSE)+(G2751-1))</f>
        <v>3780309</v>
      </c>
    </row>
    <row r="2752" spans="1:15" s="1" customFormat="1" ht="15" customHeight="1" x14ac:dyDescent="0.25">
      <c r="A2752" s="18" t="s">
        <v>348</v>
      </c>
      <c r="B2752" s="18" t="s">
        <v>38</v>
      </c>
      <c r="C2752" s="5">
        <v>1814</v>
      </c>
      <c r="E2752" s="1" t="s">
        <v>2</v>
      </c>
      <c r="F2752" s="18">
        <v>2173</v>
      </c>
      <c r="G2752" s="18">
        <v>62</v>
      </c>
      <c r="H2752" s="5">
        <v>118</v>
      </c>
      <c r="I2752" s="1">
        <v>107</v>
      </c>
      <c r="J2752" s="1">
        <v>229</v>
      </c>
      <c r="L2752" t="str">
        <f t="shared" si="42"/>
        <v>http://www.badatelna.eu/reprodukce/?fondId=1073&amp;zaznamId=1108959&amp;reproId=3780055</v>
      </c>
      <c r="M2752">
        <f>VLOOKUP(F2752,Sheet2!$B$1:$E$19,2,FALSE)</f>
        <v>1073</v>
      </c>
      <c r="N2752">
        <f>VLOOKUP(F2752,Sheet2!$B$1:$E$19,3,FALSE)</f>
        <v>1108959</v>
      </c>
      <c r="O2752">
        <f>IF(G2752="Not available","",VLOOKUP(F2752,Sheet2!$B$1:$E$19,4,FALSE)+(G2752-1))</f>
        <v>3780055</v>
      </c>
    </row>
    <row r="2753" spans="1:15" s="1" customFormat="1" ht="15" customHeight="1" x14ac:dyDescent="0.25">
      <c r="A2753" s="19" t="s">
        <v>3262</v>
      </c>
      <c r="B2753" s="19" t="s">
        <v>58</v>
      </c>
      <c r="C2753" s="5">
        <v>1808</v>
      </c>
      <c r="D2753" s="12" t="s">
        <v>71</v>
      </c>
      <c r="E2753" s="1" t="s">
        <v>2</v>
      </c>
      <c r="F2753" s="18">
        <v>2173</v>
      </c>
      <c r="G2753" s="18">
        <v>53</v>
      </c>
      <c r="H2753" s="5">
        <v>100</v>
      </c>
      <c r="I2753" s="1">
        <v>107</v>
      </c>
      <c r="J2753" s="1">
        <v>229</v>
      </c>
      <c r="L2753" t="str">
        <f t="shared" si="42"/>
        <v>http://www.badatelna.eu/reprodukce/?fondId=1073&amp;zaznamId=1108959&amp;reproId=3780046</v>
      </c>
      <c r="M2753">
        <f>VLOOKUP(F2753,Sheet2!$B$1:$E$19,2,FALSE)</f>
        <v>1073</v>
      </c>
      <c r="N2753">
        <f>VLOOKUP(F2753,Sheet2!$B$1:$E$19,3,FALSE)</f>
        <v>1108959</v>
      </c>
      <c r="O2753">
        <f>IF(G2753="Not available","",VLOOKUP(F2753,Sheet2!$B$1:$E$19,4,FALSE)+(G2753-1))</f>
        <v>3780046</v>
      </c>
    </row>
    <row r="2754" spans="1:15" s="1" customFormat="1" ht="15" customHeight="1" x14ac:dyDescent="0.25">
      <c r="A2754" s="19" t="s">
        <v>350</v>
      </c>
      <c r="B2754" s="19" t="s">
        <v>3281</v>
      </c>
      <c r="C2754" s="5"/>
      <c r="D2754" s="12"/>
      <c r="F2754" s="18"/>
      <c r="G2754" s="18"/>
      <c r="H2754" s="5"/>
      <c r="L2754" t="e">
        <f t="shared" si="42"/>
        <v>#N/A</v>
      </c>
      <c r="M2754" t="e">
        <f>VLOOKUP(F2754,Sheet2!$B$1:$E$19,2,FALSE)</f>
        <v>#N/A</v>
      </c>
      <c r="N2754" t="e">
        <f>VLOOKUP(F2754,Sheet2!$B$1:$E$19,3,FALSE)</f>
        <v>#N/A</v>
      </c>
      <c r="O2754" t="e">
        <f>IF(G2754="Not available","",VLOOKUP(F2754,Sheet2!$B$1:$E$19,4,FALSE)+(G2754-1))</f>
        <v>#N/A</v>
      </c>
    </row>
    <row r="2755" spans="1:15" s="1" customFormat="1" ht="15" customHeight="1" x14ac:dyDescent="0.25">
      <c r="A2755" s="18" t="s">
        <v>345</v>
      </c>
      <c r="B2755" s="18" t="s">
        <v>426</v>
      </c>
      <c r="C2755" s="5">
        <v>1844</v>
      </c>
      <c r="D2755" s="1" t="s">
        <v>710</v>
      </c>
      <c r="E2755" s="1" t="s">
        <v>2</v>
      </c>
      <c r="F2755" s="18">
        <v>2174</v>
      </c>
      <c r="G2755" s="18">
        <v>149</v>
      </c>
      <c r="H2755" s="6" t="s">
        <v>3216</v>
      </c>
      <c r="I2755" s="1">
        <v>192</v>
      </c>
      <c r="J2755" s="1">
        <v>223</v>
      </c>
      <c r="L2755" t="str">
        <f t="shared" ref="L2755:L2818" si="43">IF(G2755="Not available","","http://www.badatelna.eu/reprodukce/?fondId="&amp;M2755&amp;"&amp;zaznamId="&amp;N2755&amp;"&amp;reproId="&amp;O2755)</f>
        <v>http://www.badatelna.eu/reprodukce/?fondId=1073&amp;zaznamId=1108960&amp;reproId=3780373</v>
      </c>
      <c r="M2755">
        <f>VLOOKUP(F2755,Sheet2!$B$1:$E$19,2,FALSE)</f>
        <v>1073</v>
      </c>
      <c r="N2755">
        <f>VLOOKUP(F2755,Sheet2!$B$1:$E$19,3,FALSE)</f>
        <v>1108960</v>
      </c>
      <c r="O2755">
        <f>IF(G2755="Not available","",VLOOKUP(F2755,Sheet2!$B$1:$E$19,4,FALSE)+(G2755-1))</f>
        <v>3780373</v>
      </c>
    </row>
    <row r="2756" spans="1:15" s="1" customFormat="1" ht="15" customHeight="1" x14ac:dyDescent="0.25">
      <c r="A2756" s="18" t="s">
        <v>345</v>
      </c>
      <c r="B2756" s="18" t="s">
        <v>347</v>
      </c>
      <c r="C2756" s="5">
        <v>1790</v>
      </c>
      <c r="D2756" s="1" t="s">
        <v>49</v>
      </c>
      <c r="E2756" s="1" t="s">
        <v>2</v>
      </c>
      <c r="F2756" s="18">
        <v>2173</v>
      </c>
      <c r="G2756" s="18">
        <v>22</v>
      </c>
      <c r="H2756" s="5">
        <v>39</v>
      </c>
      <c r="I2756" s="1">
        <v>107</v>
      </c>
      <c r="J2756" s="1">
        <v>229</v>
      </c>
      <c r="L2756" t="str">
        <f t="shared" si="43"/>
        <v>http://www.badatelna.eu/reprodukce/?fondId=1073&amp;zaznamId=1108959&amp;reproId=3780015</v>
      </c>
      <c r="M2756">
        <f>VLOOKUP(F2756,Sheet2!$B$1:$E$19,2,FALSE)</f>
        <v>1073</v>
      </c>
      <c r="N2756">
        <f>VLOOKUP(F2756,Sheet2!$B$1:$E$19,3,FALSE)</f>
        <v>1108959</v>
      </c>
      <c r="O2756">
        <f>IF(G2756="Not available","",VLOOKUP(F2756,Sheet2!$B$1:$E$19,4,FALSE)+(G2756-1))</f>
        <v>3780015</v>
      </c>
    </row>
    <row r="2757" spans="1:15" s="1" customFormat="1" ht="15" customHeight="1" x14ac:dyDescent="0.25">
      <c r="A2757" s="18" t="s">
        <v>1173</v>
      </c>
      <c r="B2757" s="18" t="s">
        <v>2017</v>
      </c>
      <c r="C2757" s="10" t="s">
        <v>2043</v>
      </c>
      <c r="D2757" s="3" t="s">
        <v>2500</v>
      </c>
      <c r="E2757" s="4" t="s">
        <v>2</v>
      </c>
      <c r="F2757" s="18">
        <v>2176</v>
      </c>
      <c r="G2757" s="18" t="s">
        <v>3271</v>
      </c>
      <c r="H2757" s="10" t="s">
        <v>2283</v>
      </c>
      <c r="I2757" s="3">
        <v>28</v>
      </c>
      <c r="J2757" s="3" t="s">
        <v>3271</v>
      </c>
      <c r="K2757" s="3"/>
      <c r="L2757" t="str">
        <f t="shared" si="43"/>
        <v/>
      </c>
      <c r="M2757">
        <f>VLOOKUP(F2757,Sheet2!$B$1:$E$19,2,FALSE)</f>
        <v>1073</v>
      </c>
      <c r="N2757">
        <f>VLOOKUP(F2757,Sheet2!$B$1:$E$19,3,FALSE)</f>
        <v>1108963</v>
      </c>
      <c r="O2757" t="str">
        <f>IF(G2757="Not available","",VLOOKUP(F2757,Sheet2!$B$1:$E$19,4,FALSE)+(G2757-1))</f>
        <v/>
      </c>
    </row>
    <row r="2758" spans="1:15" s="1" customFormat="1" ht="15" customHeight="1" x14ac:dyDescent="0.25">
      <c r="A2758" s="18" t="s">
        <v>1173</v>
      </c>
      <c r="B2758" s="18" t="s">
        <v>439</v>
      </c>
      <c r="C2758" s="5">
        <v>1885</v>
      </c>
      <c r="D2758" s="1" t="s">
        <v>434</v>
      </c>
      <c r="E2758" s="1" t="s">
        <v>2</v>
      </c>
      <c r="F2758" s="18">
        <v>2165</v>
      </c>
      <c r="G2758" s="18">
        <v>203</v>
      </c>
      <c r="H2758" s="5">
        <v>5</v>
      </c>
      <c r="I2758" s="1">
        <v>204</v>
      </c>
      <c r="J2758" s="1">
        <v>187</v>
      </c>
      <c r="L2758" t="str">
        <f t="shared" si="43"/>
        <v>http://www.badatelna.eu/reprodukce/?fondId=1073&amp;zaznamId=1108952&amp;reproId=3779064</v>
      </c>
      <c r="M2758">
        <f>VLOOKUP(F2758,Sheet2!$B$1:$E$19,2,FALSE)</f>
        <v>1073</v>
      </c>
      <c r="N2758">
        <f>VLOOKUP(F2758,Sheet2!$B$1:$E$19,3,FALSE)</f>
        <v>1108952</v>
      </c>
      <c r="O2758">
        <f>IF(G2758="Not available","",VLOOKUP(F2758,Sheet2!$B$1:$E$19,4,FALSE)+(G2758-1))</f>
        <v>3779064</v>
      </c>
    </row>
    <row r="2759" spans="1:15" s="1" customFormat="1" ht="15" customHeight="1" x14ac:dyDescent="0.25">
      <c r="A2759" s="18" t="s">
        <v>2526</v>
      </c>
      <c r="B2759" s="18" t="s">
        <v>2527</v>
      </c>
      <c r="C2759" s="10" t="s">
        <v>2116</v>
      </c>
      <c r="D2759" s="3" t="s">
        <v>2528</v>
      </c>
      <c r="E2759" s="4" t="s">
        <v>2</v>
      </c>
      <c r="F2759" s="18">
        <v>2176</v>
      </c>
      <c r="G2759" s="18" t="s">
        <v>3271</v>
      </c>
      <c r="H2759" s="10" t="s">
        <v>2088</v>
      </c>
      <c r="I2759" s="3">
        <v>29</v>
      </c>
      <c r="J2759" s="3" t="s">
        <v>3271</v>
      </c>
      <c r="K2759" s="3"/>
      <c r="L2759" t="str">
        <f t="shared" si="43"/>
        <v/>
      </c>
      <c r="M2759">
        <f>VLOOKUP(F2759,Sheet2!$B$1:$E$19,2,FALSE)</f>
        <v>1073</v>
      </c>
      <c r="N2759">
        <f>VLOOKUP(F2759,Sheet2!$B$1:$E$19,3,FALSE)</f>
        <v>1108963</v>
      </c>
      <c r="O2759" t="str">
        <f>IF(G2759="Not available","",VLOOKUP(F2759,Sheet2!$B$1:$E$19,4,FALSE)+(G2759-1))</f>
        <v/>
      </c>
    </row>
    <row r="2760" spans="1:15" s="1" customFormat="1" ht="15" customHeight="1" x14ac:dyDescent="0.25">
      <c r="A2760" s="18" t="s">
        <v>2965</v>
      </c>
      <c r="B2760" s="18" t="s">
        <v>3280</v>
      </c>
      <c r="C2760" s="10"/>
      <c r="D2760" s="3"/>
      <c r="E2760" s="4"/>
      <c r="F2760" s="18"/>
      <c r="G2760" s="18"/>
      <c r="H2760" s="10"/>
      <c r="I2760" s="3"/>
      <c r="J2760" s="3"/>
      <c r="K2760" s="3"/>
      <c r="L2760" t="e">
        <f t="shared" si="43"/>
        <v>#N/A</v>
      </c>
      <c r="M2760" t="e">
        <f>VLOOKUP(F2760,Sheet2!$B$1:$E$19,2,FALSE)</f>
        <v>#N/A</v>
      </c>
      <c r="N2760" t="e">
        <f>VLOOKUP(F2760,Sheet2!$B$1:$E$19,3,FALSE)</f>
        <v>#N/A</v>
      </c>
      <c r="O2760" t="e">
        <f>IF(G2760="Not available","",VLOOKUP(F2760,Sheet2!$B$1:$E$19,4,FALSE)+(G2760-1))</f>
        <v>#N/A</v>
      </c>
    </row>
    <row r="2761" spans="1:15" s="1" customFormat="1" ht="15" customHeight="1" x14ac:dyDescent="0.25">
      <c r="A2761" s="18" t="s">
        <v>2514</v>
      </c>
      <c r="B2761" s="18" t="s">
        <v>92</v>
      </c>
      <c r="C2761" s="10" t="s">
        <v>2870</v>
      </c>
      <c r="D2761" s="3" t="s">
        <v>2515</v>
      </c>
      <c r="E2761" s="4" t="s">
        <v>2</v>
      </c>
      <c r="F2761" s="18">
        <v>2176</v>
      </c>
      <c r="G2761" s="18" t="s">
        <v>3271</v>
      </c>
      <c r="H2761" s="10" t="s">
        <v>2075</v>
      </c>
      <c r="I2761" s="3">
        <v>29</v>
      </c>
      <c r="J2761" s="3" t="s">
        <v>3271</v>
      </c>
      <c r="K2761" s="3"/>
      <c r="L2761" t="str">
        <f t="shared" si="43"/>
        <v/>
      </c>
      <c r="M2761">
        <f>VLOOKUP(F2761,Sheet2!$B$1:$E$19,2,FALSE)</f>
        <v>1073</v>
      </c>
      <c r="N2761">
        <f>VLOOKUP(F2761,Sheet2!$B$1:$E$19,3,FALSE)</f>
        <v>1108963</v>
      </c>
      <c r="O2761" t="str">
        <f>IF(G2761="Not available","",VLOOKUP(F2761,Sheet2!$B$1:$E$19,4,FALSE)+(G2761-1))</f>
        <v/>
      </c>
    </row>
    <row r="2762" spans="1:15" s="1" customFormat="1" ht="15" customHeight="1" x14ac:dyDescent="0.25">
      <c r="A2762" s="18" t="s">
        <v>888</v>
      </c>
      <c r="B2762" s="18" t="s">
        <v>2529</v>
      </c>
      <c r="C2762" s="10" t="s">
        <v>2121</v>
      </c>
      <c r="D2762" s="3" t="s">
        <v>2530</v>
      </c>
      <c r="E2762" s="4" t="s">
        <v>2</v>
      </c>
      <c r="F2762" s="18">
        <v>2176</v>
      </c>
      <c r="G2762" s="18" t="s">
        <v>3271</v>
      </c>
      <c r="H2762" s="10" t="s">
        <v>2083</v>
      </c>
      <c r="I2762" s="3">
        <v>29</v>
      </c>
      <c r="J2762" s="3" t="s">
        <v>3271</v>
      </c>
      <c r="K2762" s="3"/>
      <c r="L2762" t="str">
        <f t="shared" si="43"/>
        <v/>
      </c>
      <c r="M2762">
        <f>VLOOKUP(F2762,Sheet2!$B$1:$E$19,2,FALSE)</f>
        <v>1073</v>
      </c>
      <c r="N2762">
        <f>VLOOKUP(F2762,Sheet2!$B$1:$E$19,3,FALSE)</f>
        <v>1108963</v>
      </c>
      <c r="O2762" t="str">
        <f>IF(G2762="Not available","",VLOOKUP(F2762,Sheet2!$B$1:$E$19,4,FALSE)+(G2762-1))</f>
        <v/>
      </c>
    </row>
    <row r="2763" spans="1:15" s="1" customFormat="1" ht="15" customHeight="1" x14ac:dyDescent="0.25">
      <c r="A2763" s="18" t="s">
        <v>888</v>
      </c>
      <c r="B2763" s="18" t="s">
        <v>819</v>
      </c>
      <c r="C2763" s="5">
        <v>1851</v>
      </c>
      <c r="D2763" s="1" t="s">
        <v>889</v>
      </c>
      <c r="E2763" s="1" t="s">
        <v>2</v>
      </c>
      <c r="F2763" s="18">
        <v>2164</v>
      </c>
      <c r="G2763" s="18">
        <v>77</v>
      </c>
      <c r="H2763" s="5">
        <v>75</v>
      </c>
      <c r="I2763" s="1">
        <v>134</v>
      </c>
      <c r="J2763" s="3" t="s">
        <v>3271</v>
      </c>
      <c r="L2763" t="str">
        <f t="shared" si="43"/>
        <v>http://www.badatelna.eu/reprodukce/?fondId=1073&amp;zaznamId=1108951&amp;reproId=3778791</v>
      </c>
      <c r="M2763">
        <f>VLOOKUP(F2763,Sheet2!$B$1:$E$19,2,FALSE)</f>
        <v>1073</v>
      </c>
      <c r="N2763">
        <f>VLOOKUP(F2763,Sheet2!$B$1:$E$19,3,FALSE)</f>
        <v>1108951</v>
      </c>
      <c r="O2763">
        <f>IF(G2763="Not available","",VLOOKUP(F2763,Sheet2!$B$1:$E$19,4,FALSE)+(G2763-1))</f>
        <v>3778791</v>
      </c>
    </row>
    <row r="2764" spans="1:15" s="1" customFormat="1" ht="15" customHeight="1" x14ac:dyDescent="0.25">
      <c r="A2764" s="18" t="s">
        <v>888</v>
      </c>
      <c r="B2764" s="18" t="s">
        <v>1968</v>
      </c>
      <c r="C2764" s="10" t="s">
        <v>2267</v>
      </c>
      <c r="D2764" s="3" t="s">
        <v>2524</v>
      </c>
      <c r="E2764" s="4" t="s">
        <v>2</v>
      </c>
      <c r="F2764" s="18">
        <v>2176</v>
      </c>
      <c r="G2764" s="18" t="s">
        <v>3271</v>
      </c>
      <c r="H2764" s="10" t="s">
        <v>2142</v>
      </c>
      <c r="I2764" s="3">
        <v>29</v>
      </c>
      <c r="J2764" s="3" t="s">
        <v>3271</v>
      </c>
      <c r="K2764" s="3"/>
      <c r="L2764" t="str">
        <f t="shared" si="43"/>
        <v/>
      </c>
      <c r="M2764">
        <f>VLOOKUP(F2764,Sheet2!$B$1:$E$19,2,FALSE)</f>
        <v>1073</v>
      </c>
      <c r="N2764">
        <f>VLOOKUP(F2764,Sheet2!$B$1:$E$19,3,FALSE)</f>
        <v>1108963</v>
      </c>
      <c r="O2764" t="str">
        <f>IF(G2764="Not available","",VLOOKUP(F2764,Sheet2!$B$1:$E$19,4,FALSE)+(G2764-1))</f>
        <v/>
      </c>
    </row>
    <row r="2765" spans="1:15" s="1" customFormat="1" ht="15" customHeight="1" x14ac:dyDescent="0.25">
      <c r="A2765" s="18" t="s">
        <v>888</v>
      </c>
      <c r="B2765" s="18" t="s">
        <v>2510</v>
      </c>
      <c r="C2765" s="10" t="s">
        <v>2026</v>
      </c>
      <c r="D2765" s="3" t="s">
        <v>2511</v>
      </c>
      <c r="E2765" s="4" t="s">
        <v>2</v>
      </c>
      <c r="F2765" s="18">
        <v>2176</v>
      </c>
      <c r="G2765" s="18" t="s">
        <v>3271</v>
      </c>
      <c r="H2765" s="10" t="s">
        <v>1979</v>
      </c>
      <c r="I2765" s="3">
        <v>29</v>
      </c>
      <c r="J2765" s="3" t="s">
        <v>3271</v>
      </c>
      <c r="K2765" s="3"/>
      <c r="L2765" t="str">
        <f t="shared" si="43"/>
        <v/>
      </c>
      <c r="M2765">
        <f>VLOOKUP(F2765,Sheet2!$B$1:$E$19,2,FALSE)</f>
        <v>1073</v>
      </c>
      <c r="N2765">
        <f>VLOOKUP(F2765,Sheet2!$B$1:$E$19,3,FALSE)</f>
        <v>1108963</v>
      </c>
      <c r="O2765" t="str">
        <f>IF(G2765="Not available","",VLOOKUP(F2765,Sheet2!$B$1:$E$19,4,FALSE)+(G2765-1))</f>
        <v/>
      </c>
    </row>
    <row r="2766" spans="1:15" s="1" customFormat="1" ht="15" customHeight="1" x14ac:dyDescent="0.25">
      <c r="A2766" s="18" t="s">
        <v>888</v>
      </c>
      <c r="B2766" s="18" t="s">
        <v>849</v>
      </c>
      <c r="C2766" s="5" t="s">
        <v>1729</v>
      </c>
      <c r="D2766" s="1" t="s">
        <v>21</v>
      </c>
      <c r="E2766" s="1" t="s">
        <v>2</v>
      </c>
      <c r="F2766" s="18">
        <v>2165</v>
      </c>
      <c r="G2766" s="18">
        <v>166</v>
      </c>
      <c r="H2766" s="5">
        <v>2</v>
      </c>
      <c r="I2766" s="1">
        <v>170</v>
      </c>
      <c r="J2766" s="1">
        <v>148</v>
      </c>
      <c r="L2766" t="str">
        <f t="shared" si="43"/>
        <v>http://www.badatelna.eu/reprodukce/?fondId=1073&amp;zaznamId=1108952&amp;reproId=3779027</v>
      </c>
      <c r="M2766">
        <f>VLOOKUP(F2766,Sheet2!$B$1:$E$19,2,FALSE)</f>
        <v>1073</v>
      </c>
      <c r="N2766">
        <f>VLOOKUP(F2766,Sheet2!$B$1:$E$19,3,FALSE)</f>
        <v>1108952</v>
      </c>
      <c r="O2766">
        <f>IF(G2766="Not available","",VLOOKUP(F2766,Sheet2!$B$1:$E$19,4,FALSE)+(G2766-1))</f>
        <v>3779027</v>
      </c>
    </row>
    <row r="2767" spans="1:15" s="1" customFormat="1" ht="15" customHeight="1" x14ac:dyDescent="0.25">
      <c r="A2767" s="18" t="s">
        <v>888</v>
      </c>
      <c r="B2767" s="18" t="s">
        <v>2017</v>
      </c>
      <c r="C2767" s="10" t="s">
        <v>1285</v>
      </c>
      <c r="D2767" s="3" t="s">
        <v>2511</v>
      </c>
      <c r="E2767" s="4" t="s">
        <v>2</v>
      </c>
      <c r="F2767" s="18">
        <v>2176</v>
      </c>
      <c r="G2767" s="18" t="s">
        <v>3271</v>
      </c>
      <c r="H2767" s="10" t="s">
        <v>2516</v>
      </c>
      <c r="I2767" s="3">
        <v>29</v>
      </c>
      <c r="J2767" s="3" t="s">
        <v>3271</v>
      </c>
      <c r="K2767" s="3"/>
      <c r="L2767" t="str">
        <f t="shared" si="43"/>
        <v/>
      </c>
      <c r="M2767">
        <f>VLOOKUP(F2767,Sheet2!$B$1:$E$19,2,FALSE)</f>
        <v>1073</v>
      </c>
      <c r="N2767">
        <f>VLOOKUP(F2767,Sheet2!$B$1:$E$19,3,FALSE)</f>
        <v>1108963</v>
      </c>
      <c r="O2767" t="str">
        <f>IF(G2767="Not available","",VLOOKUP(F2767,Sheet2!$B$1:$E$19,4,FALSE)+(G2767-1))</f>
        <v/>
      </c>
    </row>
    <row r="2768" spans="1:15" s="1" customFormat="1" ht="15" customHeight="1" x14ac:dyDescent="0.25">
      <c r="A2768" s="18" t="s">
        <v>888</v>
      </c>
      <c r="B2768" s="18" t="s">
        <v>439</v>
      </c>
      <c r="C2768" s="5">
        <v>1882</v>
      </c>
      <c r="D2768" s="1" t="s">
        <v>21</v>
      </c>
      <c r="E2768" s="1" t="s">
        <v>2</v>
      </c>
      <c r="F2768" s="18">
        <v>2165</v>
      </c>
      <c r="G2768" s="18">
        <v>181</v>
      </c>
      <c r="H2768" s="5">
        <v>5</v>
      </c>
      <c r="I2768" s="1">
        <v>183</v>
      </c>
      <c r="J2768" s="1">
        <v>160</v>
      </c>
      <c r="L2768" t="str">
        <f t="shared" si="43"/>
        <v>http://www.badatelna.eu/reprodukce/?fondId=1073&amp;zaznamId=1108952&amp;reproId=3779042</v>
      </c>
      <c r="M2768">
        <f>VLOOKUP(F2768,Sheet2!$B$1:$E$19,2,FALSE)</f>
        <v>1073</v>
      </c>
      <c r="N2768">
        <f>VLOOKUP(F2768,Sheet2!$B$1:$E$19,3,FALSE)</f>
        <v>1108952</v>
      </c>
      <c r="O2768">
        <f>IF(G2768="Not available","",VLOOKUP(F2768,Sheet2!$B$1:$E$19,4,FALSE)+(G2768-1))</f>
        <v>3779042</v>
      </c>
    </row>
    <row r="2769" spans="1:15" s="1" customFormat="1" ht="15" customHeight="1" x14ac:dyDescent="0.25">
      <c r="A2769" s="18" t="s">
        <v>888</v>
      </c>
      <c r="B2769" s="18" t="s">
        <v>490</v>
      </c>
      <c r="C2769" s="5">
        <v>1850</v>
      </c>
      <c r="D2769" s="1" t="s">
        <v>889</v>
      </c>
      <c r="E2769" s="1" t="s">
        <v>2</v>
      </c>
      <c r="F2769" s="18">
        <v>2164</v>
      </c>
      <c r="G2769" s="18">
        <v>68</v>
      </c>
      <c r="H2769" s="5">
        <v>66</v>
      </c>
      <c r="I2769" s="1">
        <v>134</v>
      </c>
      <c r="J2769" s="3" t="s">
        <v>3271</v>
      </c>
      <c r="L2769" t="str">
        <f t="shared" si="43"/>
        <v>http://www.badatelna.eu/reprodukce/?fondId=1073&amp;zaznamId=1108951&amp;reproId=3778782</v>
      </c>
      <c r="M2769">
        <f>VLOOKUP(F2769,Sheet2!$B$1:$E$19,2,FALSE)</f>
        <v>1073</v>
      </c>
      <c r="N2769">
        <f>VLOOKUP(F2769,Sheet2!$B$1:$E$19,3,FALSE)</f>
        <v>1108951</v>
      </c>
      <c r="O2769">
        <f>IF(G2769="Not available","",VLOOKUP(F2769,Sheet2!$B$1:$E$19,4,FALSE)+(G2769-1))</f>
        <v>3778782</v>
      </c>
    </row>
    <row r="2770" spans="1:15" s="1" customFormat="1" ht="15" customHeight="1" x14ac:dyDescent="0.25">
      <c r="A2770" s="18" t="s">
        <v>888</v>
      </c>
      <c r="B2770" s="18" t="s">
        <v>1223</v>
      </c>
      <c r="C2770" s="10" t="s">
        <v>2257</v>
      </c>
      <c r="D2770" s="3" t="s">
        <v>2524</v>
      </c>
      <c r="E2770" s="4" t="s">
        <v>2</v>
      </c>
      <c r="F2770" s="18">
        <v>2176</v>
      </c>
      <c r="G2770" s="18" t="s">
        <v>3271</v>
      </c>
      <c r="H2770" s="10" t="s">
        <v>2094</v>
      </c>
      <c r="I2770" s="3">
        <v>29</v>
      </c>
      <c r="J2770" s="3" t="s">
        <v>3271</v>
      </c>
      <c r="K2770" s="3"/>
      <c r="L2770" t="str">
        <f t="shared" si="43"/>
        <v/>
      </c>
      <c r="M2770">
        <f>VLOOKUP(F2770,Sheet2!$B$1:$E$19,2,FALSE)</f>
        <v>1073</v>
      </c>
      <c r="N2770">
        <f>VLOOKUP(F2770,Sheet2!$B$1:$E$19,3,FALSE)</f>
        <v>1108963</v>
      </c>
      <c r="O2770" t="str">
        <f>IF(G2770="Not available","",VLOOKUP(F2770,Sheet2!$B$1:$E$19,4,FALSE)+(G2770-1))</f>
        <v/>
      </c>
    </row>
    <row r="2771" spans="1:15" s="1" customFormat="1" ht="15" customHeight="1" x14ac:dyDescent="0.25">
      <c r="A2771" s="18" t="s">
        <v>888</v>
      </c>
      <c r="B2771" s="18" t="s">
        <v>2531</v>
      </c>
      <c r="C2771" s="10" t="s">
        <v>1966</v>
      </c>
      <c r="D2771" s="3" t="s">
        <v>2530</v>
      </c>
      <c r="E2771" s="4" t="s">
        <v>2</v>
      </c>
      <c r="F2771" s="18">
        <v>2176</v>
      </c>
      <c r="G2771" s="18" t="s">
        <v>3271</v>
      </c>
      <c r="H2771" s="10" t="s">
        <v>2088</v>
      </c>
      <c r="I2771" s="3">
        <v>29</v>
      </c>
      <c r="J2771" s="3" t="s">
        <v>3271</v>
      </c>
      <c r="K2771" s="3"/>
      <c r="L2771" t="str">
        <f t="shared" si="43"/>
        <v/>
      </c>
      <c r="M2771">
        <f>VLOOKUP(F2771,Sheet2!$B$1:$E$19,2,FALSE)</f>
        <v>1073</v>
      </c>
      <c r="N2771">
        <f>VLOOKUP(F2771,Sheet2!$B$1:$E$19,3,FALSE)</f>
        <v>1108963</v>
      </c>
      <c r="O2771" t="str">
        <f>IF(G2771="Not available","",VLOOKUP(F2771,Sheet2!$B$1:$E$19,4,FALSE)+(G2771-1))</f>
        <v/>
      </c>
    </row>
    <row r="2772" spans="1:15" s="1" customFormat="1" ht="15" customHeight="1" x14ac:dyDescent="0.25">
      <c r="A2772" s="18" t="s">
        <v>888</v>
      </c>
      <c r="B2772" s="18" t="s">
        <v>21</v>
      </c>
      <c r="C2772" s="5">
        <v>1853</v>
      </c>
      <c r="D2772" s="1" t="s">
        <v>25</v>
      </c>
      <c r="E2772" s="1" t="s">
        <v>2</v>
      </c>
      <c r="F2772" s="18">
        <v>2164</v>
      </c>
      <c r="G2772" s="18">
        <v>98</v>
      </c>
      <c r="H2772" s="5">
        <v>96</v>
      </c>
      <c r="I2772" s="1">
        <v>134</v>
      </c>
      <c r="J2772" s="3" t="s">
        <v>3271</v>
      </c>
      <c r="L2772" t="str">
        <f t="shared" si="43"/>
        <v>http://www.badatelna.eu/reprodukce/?fondId=1073&amp;zaznamId=1108951&amp;reproId=3778812</v>
      </c>
      <c r="M2772">
        <f>VLOOKUP(F2772,Sheet2!$B$1:$E$19,2,FALSE)</f>
        <v>1073</v>
      </c>
      <c r="N2772">
        <f>VLOOKUP(F2772,Sheet2!$B$1:$E$19,3,FALSE)</f>
        <v>1108951</v>
      </c>
      <c r="O2772">
        <f>IF(G2772="Not available","",VLOOKUP(F2772,Sheet2!$B$1:$E$19,4,FALSE)+(G2772-1))</f>
        <v>3778812</v>
      </c>
    </row>
    <row r="2773" spans="1:15" s="1" customFormat="1" ht="15" customHeight="1" x14ac:dyDescent="0.25">
      <c r="A2773" s="18" t="s">
        <v>888</v>
      </c>
      <c r="B2773" s="18" t="s">
        <v>2204</v>
      </c>
      <c r="C2773" s="10" t="s">
        <v>2015</v>
      </c>
      <c r="D2773" s="3" t="s">
        <v>2508</v>
      </c>
      <c r="E2773" s="4" t="s">
        <v>2</v>
      </c>
      <c r="F2773" s="18">
        <v>2176</v>
      </c>
      <c r="G2773" s="18" t="s">
        <v>3271</v>
      </c>
      <c r="H2773" s="10" t="s">
        <v>2509</v>
      </c>
      <c r="I2773" s="3">
        <v>29</v>
      </c>
      <c r="J2773" s="3" t="s">
        <v>3271</v>
      </c>
      <c r="K2773" s="3"/>
      <c r="L2773" t="str">
        <f t="shared" si="43"/>
        <v/>
      </c>
      <c r="M2773">
        <f>VLOOKUP(F2773,Sheet2!$B$1:$E$19,2,FALSE)</f>
        <v>1073</v>
      </c>
      <c r="N2773">
        <f>VLOOKUP(F2773,Sheet2!$B$1:$E$19,3,FALSE)</f>
        <v>1108963</v>
      </c>
      <c r="O2773" t="str">
        <f>IF(G2773="Not available","",VLOOKUP(F2773,Sheet2!$B$1:$E$19,4,FALSE)+(G2773-1))</f>
        <v/>
      </c>
    </row>
    <row r="2774" spans="1:15" s="1" customFormat="1" ht="15" customHeight="1" x14ac:dyDescent="0.25">
      <c r="A2774" s="18" t="s">
        <v>888</v>
      </c>
      <c r="B2774" s="18" t="s">
        <v>1078</v>
      </c>
      <c r="C2774" s="10" t="s">
        <v>2110</v>
      </c>
      <c r="D2774" s="3" t="s">
        <v>2524</v>
      </c>
      <c r="E2774" s="4" t="s">
        <v>2</v>
      </c>
      <c r="F2774" s="18">
        <v>2176</v>
      </c>
      <c r="G2774" s="18" t="s">
        <v>3271</v>
      </c>
      <c r="H2774" s="10" t="s">
        <v>1954</v>
      </c>
      <c r="I2774" s="3">
        <v>29</v>
      </c>
      <c r="J2774" s="3" t="s">
        <v>3271</v>
      </c>
      <c r="K2774" s="3"/>
      <c r="L2774" t="str">
        <f t="shared" si="43"/>
        <v/>
      </c>
      <c r="M2774">
        <f>VLOOKUP(F2774,Sheet2!$B$1:$E$19,2,FALSE)</f>
        <v>1073</v>
      </c>
      <c r="N2774">
        <f>VLOOKUP(F2774,Sheet2!$B$1:$E$19,3,FALSE)</f>
        <v>1108963</v>
      </c>
      <c r="O2774" t="str">
        <f>IF(G2774="Not available","",VLOOKUP(F2774,Sheet2!$B$1:$E$19,4,FALSE)+(G2774-1))</f>
        <v/>
      </c>
    </row>
    <row r="2775" spans="1:15" s="1" customFormat="1" ht="15" customHeight="1" x14ac:dyDescent="0.25">
      <c r="A2775" s="19" t="s">
        <v>2965</v>
      </c>
      <c r="B2775" s="18" t="s">
        <v>356</v>
      </c>
      <c r="C2775" s="5">
        <v>1812</v>
      </c>
      <c r="E2775" s="1" t="s">
        <v>2</v>
      </c>
      <c r="F2775" s="18">
        <v>2173</v>
      </c>
      <c r="G2775" s="18">
        <v>59</v>
      </c>
      <c r="H2775" s="5">
        <v>112</v>
      </c>
      <c r="I2775" s="1">
        <v>108</v>
      </c>
      <c r="J2775" s="1">
        <v>233</v>
      </c>
      <c r="L2775" t="str">
        <f t="shared" si="43"/>
        <v>http://www.badatelna.eu/reprodukce/?fondId=1073&amp;zaznamId=1108959&amp;reproId=3780052</v>
      </c>
      <c r="M2775">
        <f>VLOOKUP(F2775,Sheet2!$B$1:$E$19,2,FALSE)</f>
        <v>1073</v>
      </c>
      <c r="N2775">
        <f>VLOOKUP(F2775,Sheet2!$B$1:$E$19,3,FALSE)</f>
        <v>1108959</v>
      </c>
      <c r="O2775">
        <f>IF(G2775="Not available","",VLOOKUP(F2775,Sheet2!$B$1:$E$19,4,FALSE)+(G2775-1))</f>
        <v>3780052</v>
      </c>
    </row>
    <row r="2776" spans="1:15" s="1" customFormat="1" ht="15" customHeight="1" x14ac:dyDescent="0.25">
      <c r="A2776" s="19" t="s">
        <v>2965</v>
      </c>
      <c r="B2776" s="18" t="s">
        <v>26</v>
      </c>
      <c r="C2776" s="5">
        <v>1812</v>
      </c>
      <c r="E2776" s="1" t="s">
        <v>2</v>
      </c>
      <c r="F2776" s="18">
        <v>2173</v>
      </c>
      <c r="G2776" s="18">
        <v>60</v>
      </c>
      <c r="H2776" s="5">
        <v>114</v>
      </c>
      <c r="I2776" s="1">
        <v>108</v>
      </c>
      <c r="J2776" s="1">
        <v>233</v>
      </c>
      <c r="L2776" t="str">
        <f t="shared" si="43"/>
        <v>http://www.badatelna.eu/reprodukce/?fondId=1073&amp;zaznamId=1108959&amp;reproId=3780053</v>
      </c>
      <c r="M2776">
        <f>VLOOKUP(F2776,Sheet2!$B$1:$E$19,2,FALSE)</f>
        <v>1073</v>
      </c>
      <c r="N2776">
        <f>VLOOKUP(F2776,Sheet2!$B$1:$E$19,3,FALSE)</f>
        <v>1108959</v>
      </c>
      <c r="O2776">
        <f>IF(G2776="Not available","",VLOOKUP(F2776,Sheet2!$B$1:$E$19,4,FALSE)+(G2776-1))</f>
        <v>3780053</v>
      </c>
    </row>
    <row r="2777" spans="1:15" s="1" customFormat="1" ht="15" customHeight="1" x14ac:dyDescent="0.25">
      <c r="A2777" s="19" t="s">
        <v>2965</v>
      </c>
      <c r="B2777" s="18" t="s">
        <v>38</v>
      </c>
      <c r="C2777" s="5">
        <v>1814</v>
      </c>
      <c r="E2777" s="1" t="s">
        <v>2</v>
      </c>
      <c r="F2777" s="18">
        <v>2173</v>
      </c>
      <c r="G2777" s="18">
        <v>62</v>
      </c>
      <c r="H2777" s="5">
        <v>118</v>
      </c>
      <c r="I2777" s="1">
        <v>108</v>
      </c>
      <c r="J2777" s="1">
        <v>233</v>
      </c>
      <c r="L2777" t="str">
        <f t="shared" si="43"/>
        <v>http://www.badatelna.eu/reprodukce/?fondId=1073&amp;zaznamId=1108959&amp;reproId=3780055</v>
      </c>
      <c r="M2777">
        <f>VLOOKUP(F2777,Sheet2!$B$1:$E$19,2,FALSE)</f>
        <v>1073</v>
      </c>
      <c r="N2777">
        <f>VLOOKUP(F2777,Sheet2!$B$1:$E$19,3,FALSE)</f>
        <v>1108959</v>
      </c>
      <c r="O2777">
        <f>IF(G2777="Not available","",VLOOKUP(F2777,Sheet2!$B$1:$E$19,4,FALSE)+(G2777-1))</f>
        <v>3780055</v>
      </c>
    </row>
    <row r="2778" spans="1:15" s="1" customFormat="1" ht="15" customHeight="1" x14ac:dyDescent="0.25">
      <c r="A2778" s="19" t="s">
        <v>711</v>
      </c>
      <c r="B2778" s="18" t="s">
        <v>93</v>
      </c>
      <c r="C2778" s="5">
        <v>1832</v>
      </c>
      <c r="D2778" s="1" t="s">
        <v>422</v>
      </c>
      <c r="E2778" s="1" t="s">
        <v>2</v>
      </c>
      <c r="F2778" s="18">
        <v>2174</v>
      </c>
      <c r="G2778" s="18">
        <v>68</v>
      </c>
      <c r="H2778" s="6" t="s">
        <v>3112</v>
      </c>
      <c r="I2778" s="1">
        <v>194</v>
      </c>
      <c r="J2778" s="1">
        <v>227</v>
      </c>
      <c r="K2778" s="2"/>
      <c r="L2778" t="str">
        <f t="shared" si="43"/>
        <v>http://www.badatelna.eu/reprodukce/?fondId=1073&amp;zaznamId=1108960&amp;reproId=3780292</v>
      </c>
      <c r="M2778">
        <f>VLOOKUP(F2778,Sheet2!$B$1:$E$19,2,FALSE)</f>
        <v>1073</v>
      </c>
      <c r="N2778">
        <f>VLOOKUP(F2778,Sheet2!$B$1:$E$19,3,FALSE)</f>
        <v>1108960</v>
      </c>
      <c r="O2778">
        <f>IF(G2778="Not available","",VLOOKUP(F2778,Sheet2!$B$1:$E$19,4,FALSE)+(G2778-1))</f>
        <v>3780292</v>
      </c>
    </row>
    <row r="2779" spans="1:15" s="1" customFormat="1" ht="15" customHeight="1" x14ac:dyDescent="0.25">
      <c r="A2779" s="18" t="s">
        <v>357</v>
      </c>
      <c r="B2779" s="18" t="s">
        <v>50</v>
      </c>
      <c r="C2779" s="5">
        <v>1818</v>
      </c>
      <c r="E2779" s="1" t="s">
        <v>2</v>
      </c>
      <c r="F2779" s="18">
        <v>2173</v>
      </c>
      <c r="G2779" s="18">
        <v>68</v>
      </c>
      <c r="H2779" s="5">
        <v>129</v>
      </c>
      <c r="I2779" s="1">
        <v>108</v>
      </c>
      <c r="J2779" s="1">
        <v>233</v>
      </c>
      <c r="L2779" t="str">
        <f t="shared" si="43"/>
        <v>http://www.badatelna.eu/reprodukce/?fondId=1073&amp;zaznamId=1108959&amp;reproId=3780061</v>
      </c>
      <c r="M2779">
        <f>VLOOKUP(F2779,Sheet2!$B$1:$E$19,2,FALSE)</f>
        <v>1073</v>
      </c>
      <c r="N2779">
        <f>VLOOKUP(F2779,Sheet2!$B$1:$E$19,3,FALSE)</f>
        <v>1108959</v>
      </c>
      <c r="O2779">
        <f>IF(G2779="Not available","",VLOOKUP(F2779,Sheet2!$B$1:$E$19,4,FALSE)+(G2779-1))</f>
        <v>3780061</v>
      </c>
    </row>
    <row r="2780" spans="1:15" s="1" customFormat="1" ht="15" customHeight="1" x14ac:dyDescent="0.25">
      <c r="A2780" s="18" t="s">
        <v>357</v>
      </c>
      <c r="B2780" s="18" t="s">
        <v>50</v>
      </c>
      <c r="C2780" s="5">
        <v>1839</v>
      </c>
      <c r="D2780" s="1" t="s">
        <v>24</v>
      </c>
      <c r="E2780" s="1" t="s">
        <v>2</v>
      </c>
      <c r="F2780" s="18">
        <v>2174</v>
      </c>
      <c r="G2780" s="18">
        <v>104</v>
      </c>
      <c r="H2780" s="6" t="s">
        <v>3174</v>
      </c>
      <c r="I2780" s="1">
        <v>194</v>
      </c>
      <c r="J2780" s="1">
        <v>227</v>
      </c>
      <c r="L2780" t="str">
        <f t="shared" si="43"/>
        <v>http://www.badatelna.eu/reprodukce/?fondId=1073&amp;zaznamId=1108960&amp;reproId=3780328</v>
      </c>
      <c r="M2780">
        <f>VLOOKUP(F2780,Sheet2!$B$1:$E$19,2,FALSE)</f>
        <v>1073</v>
      </c>
      <c r="N2780">
        <f>VLOOKUP(F2780,Sheet2!$B$1:$E$19,3,FALSE)</f>
        <v>1108960</v>
      </c>
      <c r="O2780">
        <f>IF(G2780="Not available","",VLOOKUP(F2780,Sheet2!$B$1:$E$19,4,FALSE)+(G2780-1))</f>
        <v>3780328</v>
      </c>
    </row>
    <row r="2781" spans="1:15" s="1" customFormat="1" ht="15" customHeight="1" x14ac:dyDescent="0.25">
      <c r="A2781" s="18" t="s">
        <v>357</v>
      </c>
      <c r="B2781" s="18" t="s">
        <v>632</v>
      </c>
      <c r="C2781" s="5">
        <v>1865</v>
      </c>
      <c r="E2781" s="1" t="s">
        <v>939</v>
      </c>
      <c r="F2781" s="18">
        <v>999</v>
      </c>
      <c r="G2781" s="18">
        <v>53</v>
      </c>
      <c r="H2781" s="5">
        <v>51</v>
      </c>
      <c r="I2781" s="1">
        <v>73</v>
      </c>
      <c r="J2781" s="1">
        <v>107</v>
      </c>
      <c r="L2781" t="str">
        <f t="shared" si="43"/>
        <v>http://www.badatelna.eu/reprodukce/?fondId=241&amp;zaznamId=1133739&amp;reproId=3885782</v>
      </c>
      <c r="M2781">
        <f>VLOOKUP(F2781,Sheet2!$B$1:$E$19,2,FALSE)</f>
        <v>241</v>
      </c>
      <c r="N2781">
        <f>VLOOKUP(F2781,Sheet2!$B$1:$E$19,3,FALSE)</f>
        <v>1133739</v>
      </c>
      <c r="O2781">
        <f>IF(G2781="Not available","",VLOOKUP(F2781,Sheet2!$B$1:$E$19,4,FALSE)+(G2781-1))</f>
        <v>3885782</v>
      </c>
    </row>
    <row r="2782" spans="1:15" s="1" customFormat="1" ht="15" customHeight="1" x14ac:dyDescent="0.25">
      <c r="A2782" s="18" t="s">
        <v>357</v>
      </c>
      <c r="B2782" s="18" t="s">
        <v>632</v>
      </c>
      <c r="C2782" s="5" t="s">
        <v>1504</v>
      </c>
      <c r="D2782" s="1" t="s">
        <v>55</v>
      </c>
      <c r="E2782" s="1" t="s">
        <v>2</v>
      </c>
      <c r="F2782" s="18">
        <v>2165</v>
      </c>
      <c r="G2782" s="18">
        <v>5</v>
      </c>
      <c r="H2782" s="5">
        <v>2</v>
      </c>
      <c r="I2782" s="1">
        <v>88</v>
      </c>
      <c r="J2782" s="1" t="s">
        <v>3271</v>
      </c>
      <c r="L2782" t="str">
        <f t="shared" si="43"/>
        <v>http://www.badatelna.eu/reprodukce/?fondId=1073&amp;zaznamId=1108952&amp;reproId=3778866</v>
      </c>
      <c r="M2782">
        <f>VLOOKUP(F2782,Sheet2!$B$1:$E$19,2,FALSE)</f>
        <v>1073</v>
      </c>
      <c r="N2782">
        <f>VLOOKUP(F2782,Sheet2!$B$1:$E$19,3,FALSE)</f>
        <v>1108952</v>
      </c>
      <c r="O2782">
        <f>IF(G2782="Not available","",VLOOKUP(F2782,Sheet2!$B$1:$E$19,4,FALSE)+(G2782-1))</f>
        <v>3778866</v>
      </c>
    </row>
    <row r="2783" spans="1:15" s="1" customFormat="1" ht="15" customHeight="1" x14ac:dyDescent="0.25">
      <c r="A2783" s="18" t="s">
        <v>357</v>
      </c>
      <c r="B2783" s="18" t="s">
        <v>963</v>
      </c>
      <c r="C2783" s="5">
        <v>1866</v>
      </c>
      <c r="E2783" s="1" t="s">
        <v>939</v>
      </c>
      <c r="F2783" s="18">
        <v>999</v>
      </c>
      <c r="G2783" s="18">
        <v>60</v>
      </c>
      <c r="H2783" s="5">
        <v>58</v>
      </c>
      <c r="I2783" s="1">
        <v>73</v>
      </c>
      <c r="J2783" s="1">
        <v>107</v>
      </c>
      <c r="L2783" t="str">
        <f t="shared" si="43"/>
        <v>http://www.badatelna.eu/reprodukce/?fondId=241&amp;zaznamId=1133739&amp;reproId=3885789</v>
      </c>
      <c r="M2783">
        <f>VLOOKUP(F2783,Sheet2!$B$1:$E$19,2,FALSE)</f>
        <v>241</v>
      </c>
      <c r="N2783">
        <f>VLOOKUP(F2783,Sheet2!$B$1:$E$19,3,FALSE)</f>
        <v>1133739</v>
      </c>
      <c r="O2783">
        <f>IF(G2783="Not available","",VLOOKUP(F2783,Sheet2!$B$1:$E$19,4,FALSE)+(G2783-1))</f>
        <v>3885789</v>
      </c>
    </row>
    <row r="2784" spans="1:15" s="1" customFormat="1" ht="15" customHeight="1" x14ac:dyDescent="0.25">
      <c r="A2784" s="18" t="s">
        <v>357</v>
      </c>
      <c r="B2784" s="18" t="s">
        <v>963</v>
      </c>
      <c r="C2784" s="5" t="s">
        <v>1507</v>
      </c>
      <c r="D2784" s="1" t="s">
        <v>377</v>
      </c>
      <c r="E2784" s="1" t="s">
        <v>2</v>
      </c>
      <c r="F2784" s="18">
        <v>2165</v>
      </c>
      <c r="G2784" s="18">
        <v>14</v>
      </c>
      <c r="H2784" s="5">
        <v>11</v>
      </c>
      <c r="I2784" s="1">
        <v>88</v>
      </c>
      <c r="J2784" s="1" t="s">
        <v>3271</v>
      </c>
      <c r="L2784" t="str">
        <f t="shared" si="43"/>
        <v>http://www.badatelna.eu/reprodukce/?fondId=1073&amp;zaznamId=1108952&amp;reproId=3778875</v>
      </c>
      <c r="M2784">
        <f>VLOOKUP(F2784,Sheet2!$B$1:$E$19,2,FALSE)</f>
        <v>1073</v>
      </c>
      <c r="N2784">
        <f>VLOOKUP(F2784,Sheet2!$B$1:$E$19,3,FALSE)</f>
        <v>1108952</v>
      </c>
      <c r="O2784">
        <f>IF(G2784="Not available","",VLOOKUP(F2784,Sheet2!$B$1:$E$19,4,FALSE)+(G2784-1))</f>
        <v>3778875</v>
      </c>
    </row>
    <row r="2785" spans="1:15" s="1" customFormat="1" ht="15" customHeight="1" x14ac:dyDescent="0.25">
      <c r="A2785" s="18" t="s">
        <v>357</v>
      </c>
      <c r="B2785" s="18" t="s">
        <v>963</v>
      </c>
      <c r="C2785" s="5" t="s">
        <v>1516</v>
      </c>
      <c r="D2785" s="1" t="s">
        <v>632</v>
      </c>
      <c r="E2785" s="1" t="s">
        <v>2</v>
      </c>
      <c r="F2785" s="18">
        <v>2165</v>
      </c>
      <c r="G2785" s="18">
        <v>72</v>
      </c>
      <c r="H2785" s="5">
        <v>69</v>
      </c>
      <c r="I2785" s="1">
        <v>88</v>
      </c>
      <c r="J2785" s="1" t="s">
        <v>3271</v>
      </c>
      <c r="L2785" t="str">
        <f t="shared" si="43"/>
        <v>http://www.badatelna.eu/reprodukce/?fondId=1073&amp;zaznamId=1108952&amp;reproId=3778933</v>
      </c>
      <c r="M2785">
        <f>VLOOKUP(F2785,Sheet2!$B$1:$E$19,2,FALSE)</f>
        <v>1073</v>
      </c>
      <c r="N2785">
        <f>VLOOKUP(F2785,Sheet2!$B$1:$E$19,3,FALSE)</f>
        <v>1108952</v>
      </c>
      <c r="O2785">
        <f>IF(G2785="Not available","",VLOOKUP(F2785,Sheet2!$B$1:$E$19,4,FALSE)+(G2785-1))</f>
        <v>3778933</v>
      </c>
    </row>
    <row r="2786" spans="1:15" s="1" customFormat="1" ht="15" customHeight="1" x14ac:dyDescent="0.25">
      <c r="A2786" s="18" t="s">
        <v>357</v>
      </c>
      <c r="B2786" s="18" t="s">
        <v>1149</v>
      </c>
      <c r="C2786" s="10" t="s">
        <v>2036</v>
      </c>
      <c r="D2786" s="3" t="s">
        <v>2505</v>
      </c>
      <c r="E2786" s="4" t="s">
        <v>2</v>
      </c>
      <c r="F2786" s="18">
        <v>2176</v>
      </c>
      <c r="G2786" s="18" t="s">
        <v>3271</v>
      </c>
      <c r="H2786" s="10" t="s">
        <v>1959</v>
      </c>
      <c r="I2786" s="3">
        <v>29</v>
      </c>
      <c r="J2786" s="3" t="s">
        <v>3271</v>
      </c>
      <c r="K2786" s="3"/>
      <c r="L2786" t="str">
        <f t="shared" si="43"/>
        <v/>
      </c>
      <c r="M2786">
        <f>VLOOKUP(F2786,Sheet2!$B$1:$E$19,2,FALSE)</f>
        <v>1073</v>
      </c>
      <c r="N2786">
        <f>VLOOKUP(F2786,Sheet2!$B$1:$E$19,3,FALSE)</f>
        <v>1108963</v>
      </c>
      <c r="O2786" t="str">
        <f>IF(G2786="Not available","",VLOOKUP(F2786,Sheet2!$B$1:$E$19,4,FALSE)+(G2786-1))</f>
        <v/>
      </c>
    </row>
    <row r="2787" spans="1:15" s="1" customFormat="1" ht="15" customHeight="1" x14ac:dyDescent="0.25">
      <c r="A2787" s="18" t="s">
        <v>357</v>
      </c>
      <c r="B2787" s="18" t="s">
        <v>1149</v>
      </c>
      <c r="C2787" s="5">
        <v>1883</v>
      </c>
      <c r="D2787" s="1" t="s">
        <v>377</v>
      </c>
      <c r="E2787" s="1" t="s">
        <v>2</v>
      </c>
      <c r="F2787" s="18">
        <v>2165</v>
      </c>
      <c r="G2787" s="18">
        <v>187</v>
      </c>
      <c r="H2787" s="5">
        <v>3</v>
      </c>
      <c r="I2787" s="1">
        <v>190</v>
      </c>
      <c r="J2787" s="1">
        <v>167</v>
      </c>
      <c r="L2787" t="str">
        <f t="shared" si="43"/>
        <v>http://www.badatelna.eu/reprodukce/?fondId=1073&amp;zaznamId=1108952&amp;reproId=3779048</v>
      </c>
      <c r="M2787">
        <f>VLOOKUP(F2787,Sheet2!$B$1:$E$19,2,FALSE)</f>
        <v>1073</v>
      </c>
      <c r="N2787">
        <f>VLOOKUP(F2787,Sheet2!$B$1:$E$19,3,FALSE)</f>
        <v>1108952</v>
      </c>
      <c r="O2787">
        <f>IF(G2787="Not available","",VLOOKUP(F2787,Sheet2!$B$1:$E$19,4,FALSE)+(G2787-1))</f>
        <v>3779048</v>
      </c>
    </row>
    <row r="2788" spans="1:15" s="1" customFormat="1" ht="15" customHeight="1" x14ac:dyDescent="0.25">
      <c r="A2788" s="18" t="s">
        <v>357</v>
      </c>
      <c r="B2788" s="18" t="s">
        <v>92</v>
      </c>
      <c r="C2788" s="10" t="s">
        <v>1987</v>
      </c>
      <c r="D2788" s="3" t="s">
        <v>2503</v>
      </c>
      <c r="E2788" s="4" t="s">
        <v>2</v>
      </c>
      <c r="F2788" s="18">
        <v>2176</v>
      </c>
      <c r="G2788" s="18" t="s">
        <v>3271</v>
      </c>
      <c r="H2788" s="10" t="s">
        <v>2351</v>
      </c>
      <c r="I2788" s="3">
        <v>29</v>
      </c>
      <c r="J2788" s="3" t="s">
        <v>3271</v>
      </c>
      <c r="L2788" t="str">
        <f t="shared" si="43"/>
        <v/>
      </c>
      <c r="M2788">
        <f>VLOOKUP(F2788,Sheet2!$B$1:$E$19,2,FALSE)</f>
        <v>1073</v>
      </c>
      <c r="N2788">
        <f>VLOOKUP(F2788,Sheet2!$B$1:$E$19,3,FALSE)</f>
        <v>1108963</v>
      </c>
      <c r="O2788" t="str">
        <f>IF(G2788="Not available","",VLOOKUP(F2788,Sheet2!$B$1:$E$19,4,FALSE)+(G2788-1))</f>
        <v/>
      </c>
    </row>
    <row r="2789" spans="1:15" s="1" customFormat="1" ht="15" customHeight="1" x14ac:dyDescent="0.25">
      <c r="A2789" s="18" t="s">
        <v>357</v>
      </c>
      <c r="B2789" s="18" t="s">
        <v>2504</v>
      </c>
      <c r="C2789" s="10" t="s">
        <v>1987</v>
      </c>
      <c r="D2789" s="3" t="s">
        <v>2505</v>
      </c>
      <c r="E2789" s="4" t="s">
        <v>2</v>
      </c>
      <c r="F2789" s="18">
        <v>2176</v>
      </c>
      <c r="G2789" s="18" t="s">
        <v>3271</v>
      </c>
      <c r="H2789" s="10" t="s">
        <v>2506</v>
      </c>
      <c r="I2789" s="3">
        <v>29</v>
      </c>
      <c r="J2789" s="3" t="s">
        <v>3271</v>
      </c>
      <c r="L2789" t="str">
        <f t="shared" si="43"/>
        <v/>
      </c>
      <c r="M2789">
        <f>VLOOKUP(F2789,Sheet2!$B$1:$E$19,2,FALSE)</f>
        <v>1073</v>
      </c>
      <c r="N2789">
        <f>VLOOKUP(F2789,Sheet2!$B$1:$E$19,3,FALSE)</f>
        <v>1108963</v>
      </c>
      <c r="O2789" t="str">
        <f>IF(G2789="Not available","",VLOOKUP(F2789,Sheet2!$B$1:$E$19,4,FALSE)+(G2789-1))</f>
        <v/>
      </c>
    </row>
    <row r="2790" spans="1:15" s="1" customFormat="1" ht="15" customHeight="1" x14ac:dyDescent="0.25">
      <c r="A2790" s="18" t="s">
        <v>357</v>
      </c>
      <c r="B2790" s="18" t="s">
        <v>1968</v>
      </c>
      <c r="C2790" s="10" t="s">
        <v>2074</v>
      </c>
      <c r="D2790" s="3" t="s">
        <v>2518</v>
      </c>
      <c r="E2790" s="4" t="s">
        <v>2</v>
      </c>
      <c r="F2790" s="18">
        <v>2176</v>
      </c>
      <c r="G2790" s="18" t="s">
        <v>3271</v>
      </c>
      <c r="H2790" s="10" t="s">
        <v>2230</v>
      </c>
      <c r="I2790" s="3">
        <v>29</v>
      </c>
      <c r="J2790" s="3" t="s">
        <v>3271</v>
      </c>
      <c r="K2790" s="3"/>
      <c r="L2790" t="str">
        <f t="shared" si="43"/>
        <v/>
      </c>
      <c r="M2790">
        <f>VLOOKUP(F2790,Sheet2!$B$1:$E$19,2,FALSE)</f>
        <v>1073</v>
      </c>
      <c r="N2790">
        <f>VLOOKUP(F2790,Sheet2!$B$1:$E$19,3,FALSE)</f>
        <v>1108963</v>
      </c>
      <c r="O2790" t="str">
        <f>IF(G2790="Not available","",VLOOKUP(F2790,Sheet2!$B$1:$E$19,4,FALSE)+(G2790-1))</f>
        <v/>
      </c>
    </row>
    <row r="2791" spans="1:15" s="1" customFormat="1" ht="15" customHeight="1" x14ac:dyDescent="0.25">
      <c r="A2791" s="18" t="s">
        <v>357</v>
      </c>
      <c r="B2791" s="18" t="s">
        <v>1968</v>
      </c>
      <c r="C2791" s="10" t="s">
        <v>2158</v>
      </c>
      <c r="D2791" s="3" t="s">
        <v>2521</v>
      </c>
      <c r="E2791" s="4" t="s">
        <v>2</v>
      </c>
      <c r="F2791" s="18">
        <v>2176</v>
      </c>
      <c r="G2791" s="18" t="s">
        <v>3271</v>
      </c>
      <c r="H2791" s="10" t="s">
        <v>2069</v>
      </c>
      <c r="I2791" s="3">
        <v>29</v>
      </c>
      <c r="J2791" s="3" t="s">
        <v>3271</v>
      </c>
      <c r="K2791" s="3"/>
      <c r="L2791" t="str">
        <f t="shared" si="43"/>
        <v/>
      </c>
      <c r="M2791">
        <f>VLOOKUP(F2791,Sheet2!$B$1:$E$19,2,FALSE)</f>
        <v>1073</v>
      </c>
      <c r="N2791">
        <f>VLOOKUP(F2791,Sheet2!$B$1:$E$19,3,FALSE)</f>
        <v>1108963</v>
      </c>
      <c r="O2791" t="str">
        <f>IF(G2791="Not available","",VLOOKUP(F2791,Sheet2!$B$1:$E$19,4,FALSE)+(G2791-1))</f>
        <v/>
      </c>
    </row>
    <row r="2792" spans="1:15" s="1" customFormat="1" ht="15" customHeight="1" x14ac:dyDescent="0.25">
      <c r="A2792" s="18" t="s">
        <v>357</v>
      </c>
      <c r="B2792" s="18" t="s">
        <v>74</v>
      </c>
      <c r="C2792" s="5">
        <v>1813</v>
      </c>
      <c r="E2792" s="1" t="s">
        <v>2</v>
      </c>
      <c r="F2792" s="18">
        <v>2173</v>
      </c>
      <c r="G2792" s="18">
        <v>61</v>
      </c>
      <c r="H2792" s="14" t="s">
        <v>3098</v>
      </c>
      <c r="I2792" s="1">
        <v>108</v>
      </c>
      <c r="J2792" s="1">
        <v>233</v>
      </c>
      <c r="L2792" t="str">
        <f t="shared" si="43"/>
        <v>http://www.badatelna.eu/reprodukce/?fondId=1073&amp;zaznamId=1108959&amp;reproId=3780054</v>
      </c>
      <c r="M2792">
        <f>VLOOKUP(F2792,Sheet2!$B$1:$E$19,2,FALSE)</f>
        <v>1073</v>
      </c>
      <c r="N2792">
        <f>VLOOKUP(F2792,Sheet2!$B$1:$E$19,3,FALSE)</f>
        <v>1108959</v>
      </c>
      <c r="O2792">
        <f>IF(G2792="Not available","",VLOOKUP(F2792,Sheet2!$B$1:$E$19,4,FALSE)+(G2792-1))</f>
        <v>3780054</v>
      </c>
    </row>
    <row r="2793" spans="1:15" s="1" customFormat="1" ht="15" customHeight="1" x14ac:dyDescent="0.25">
      <c r="A2793" s="18" t="s">
        <v>357</v>
      </c>
      <c r="B2793" s="18" t="s">
        <v>985</v>
      </c>
      <c r="C2793" s="5">
        <v>1884</v>
      </c>
      <c r="D2793" s="1" t="s">
        <v>96</v>
      </c>
      <c r="E2793" s="1" t="s">
        <v>2</v>
      </c>
      <c r="F2793" s="18">
        <v>2165</v>
      </c>
      <c r="G2793" s="18">
        <v>194</v>
      </c>
      <c r="H2793" s="5">
        <v>2</v>
      </c>
      <c r="I2793" s="1">
        <v>196</v>
      </c>
      <c r="J2793" s="1">
        <v>173</v>
      </c>
      <c r="L2793" t="str">
        <f t="shared" si="43"/>
        <v>http://www.badatelna.eu/reprodukce/?fondId=1073&amp;zaznamId=1108952&amp;reproId=3779055</v>
      </c>
      <c r="M2793">
        <f>VLOOKUP(F2793,Sheet2!$B$1:$E$19,2,FALSE)</f>
        <v>1073</v>
      </c>
      <c r="N2793">
        <f>VLOOKUP(F2793,Sheet2!$B$1:$E$19,3,FALSE)</f>
        <v>1108952</v>
      </c>
      <c r="O2793">
        <f>IF(G2793="Not available","",VLOOKUP(F2793,Sheet2!$B$1:$E$19,4,FALSE)+(G2793-1))</f>
        <v>3779055</v>
      </c>
    </row>
    <row r="2794" spans="1:15" s="1" customFormat="1" ht="15" customHeight="1" x14ac:dyDescent="0.25">
      <c r="A2794" s="18" t="s">
        <v>357</v>
      </c>
      <c r="B2794" s="18" t="s">
        <v>2154</v>
      </c>
      <c r="C2794" s="10" t="s">
        <v>2041</v>
      </c>
      <c r="D2794" s="3" t="s">
        <v>2517</v>
      </c>
      <c r="E2794" s="4" t="s">
        <v>2</v>
      </c>
      <c r="F2794" s="18">
        <v>2176</v>
      </c>
      <c r="G2794" s="18" t="s">
        <v>3271</v>
      </c>
      <c r="H2794" s="10" t="s">
        <v>2061</v>
      </c>
      <c r="I2794" s="3">
        <v>29</v>
      </c>
      <c r="J2794" s="3" t="s">
        <v>3271</v>
      </c>
      <c r="K2794" s="3"/>
      <c r="L2794" t="str">
        <f t="shared" si="43"/>
        <v/>
      </c>
      <c r="M2794">
        <f>VLOOKUP(F2794,Sheet2!$B$1:$E$19,2,FALSE)</f>
        <v>1073</v>
      </c>
      <c r="N2794">
        <f>VLOOKUP(F2794,Sheet2!$B$1:$E$19,3,FALSE)</f>
        <v>1108963</v>
      </c>
      <c r="O2794" t="str">
        <f>IF(G2794="Not available","",VLOOKUP(F2794,Sheet2!$B$1:$E$19,4,FALSE)+(G2794-1))</f>
        <v/>
      </c>
    </row>
    <row r="2795" spans="1:15" s="1" customFormat="1" ht="15" customHeight="1" x14ac:dyDescent="0.25">
      <c r="A2795" s="18" t="s">
        <v>357</v>
      </c>
      <c r="B2795" s="18" t="s">
        <v>1043</v>
      </c>
      <c r="C2795" s="5" t="s">
        <v>1411</v>
      </c>
      <c r="D2795" s="1" t="s">
        <v>546</v>
      </c>
      <c r="E2795" s="1" t="s">
        <v>2</v>
      </c>
      <c r="F2795" s="18">
        <v>2165</v>
      </c>
      <c r="G2795" s="18">
        <v>30</v>
      </c>
      <c r="H2795" s="5">
        <v>27</v>
      </c>
      <c r="I2795" s="1">
        <v>88</v>
      </c>
      <c r="J2795" s="1" t="s">
        <v>3271</v>
      </c>
      <c r="L2795" t="str">
        <f t="shared" si="43"/>
        <v>http://www.badatelna.eu/reprodukce/?fondId=1073&amp;zaznamId=1108952&amp;reproId=3778891</v>
      </c>
      <c r="M2795">
        <f>VLOOKUP(F2795,Sheet2!$B$1:$E$19,2,FALSE)</f>
        <v>1073</v>
      </c>
      <c r="N2795">
        <f>VLOOKUP(F2795,Sheet2!$B$1:$E$19,3,FALSE)</f>
        <v>1108952</v>
      </c>
      <c r="O2795">
        <f>IF(G2795="Not available","",VLOOKUP(F2795,Sheet2!$B$1:$E$19,4,FALSE)+(G2795-1))</f>
        <v>3778891</v>
      </c>
    </row>
    <row r="2796" spans="1:15" s="1" customFormat="1" ht="15" customHeight="1" x14ac:dyDescent="0.25">
      <c r="A2796" s="18" t="s">
        <v>357</v>
      </c>
      <c r="B2796" s="19" t="s">
        <v>2917</v>
      </c>
      <c r="C2796" s="5" t="s">
        <v>1511</v>
      </c>
      <c r="D2796" s="1" t="s">
        <v>370</v>
      </c>
      <c r="E2796" s="1" t="s">
        <v>2</v>
      </c>
      <c r="F2796" s="18">
        <v>2165</v>
      </c>
      <c r="G2796" s="18">
        <v>45</v>
      </c>
      <c r="H2796" s="5">
        <v>42</v>
      </c>
      <c r="I2796" s="1">
        <v>88</v>
      </c>
      <c r="J2796" s="1" t="s">
        <v>3271</v>
      </c>
      <c r="L2796" t="str">
        <f t="shared" si="43"/>
        <v>http://www.badatelna.eu/reprodukce/?fondId=1073&amp;zaznamId=1108952&amp;reproId=3778906</v>
      </c>
      <c r="M2796">
        <f>VLOOKUP(F2796,Sheet2!$B$1:$E$19,2,FALSE)</f>
        <v>1073</v>
      </c>
      <c r="N2796">
        <f>VLOOKUP(F2796,Sheet2!$B$1:$E$19,3,FALSE)</f>
        <v>1108952</v>
      </c>
      <c r="O2796">
        <f>IF(G2796="Not available","",VLOOKUP(F2796,Sheet2!$B$1:$E$19,4,FALSE)+(G2796-1))</f>
        <v>3778906</v>
      </c>
    </row>
    <row r="2797" spans="1:15" s="1" customFormat="1" ht="15" customHeight="1" x14ac:dyDescent="0.25">
      <c r="A2797" s="18" t="s">
        <v>357</v>
      </c>
      <c r="B2797" s="18" t="s">
        <v>482</v>
      </c>
      <c r="C2797" s="5">
        <v>1834</v>
      </c>
      <c r="D2797" s="1" t="s">
        <v>12</v>
      </c>
      <c r="E2797" s="1" t="s">
        <v>2</v>
      </c>
      <c r="F2797" s="18">
        <v>2174</v>
      </c>
      <c r="G2797" s="18">
        <v>79</v>
      </c>
      <c r="H2797" s="6" t="s">
        <v>3145</v>
      </c>
      <c r="I2797" s="1">
        <v>194</v>
      </c>
      <c r="J2797" s="1">
        <v>227</v>
      </c>
      <c r="L2797" t="str">
        <f t="shared" si="43"/>
        <v>http://www.badatelna.eu/reprodukce/?fondId=1073&amp;zaznamId=1108960&amp;reproId=3780303</v>
      </c>
      <c r="M2797">
        <f>VLOOKUP(F2797,Sheet2!$B$1:$E$19,2,FALSE)</f>
        <v>1073</v>
      </c>
      <c r="N2797">
        <f>VLOOKUP(F2797,Sheet2!$B$1:$E$19,3,FALSE)</f>
        <v>1108960</v>
      </c>
      <c r="O2797">
        <f>IF(G2797="Not available","",VLOOKUP(F2797,Sheet2!$B$1:$E$19,4,FALSE)+(G2797-1))</f>
        <v>3780303</v>
      </c>
    </row>
    <row r="2798" spans="1:15" s="1" customFormat="1" ht="15" customHeight="1" x14ac:dyDescent="0.25">
      <c r="A2798" s="18" t="s">
        <v>357</v>
      </c>
      <c r="B2798" s="18" t="s">
        <v>482</v>
      </c>
      <c r="C2798" s="5">
        <v>1837</v>
      </c>
      <c r="D2798" s="1" t="s">
        <v>24</v>
      </c>
      <c r="E2798" s="1" t="s">
        <v>2</v>
      </c>
      <c r="F2798" s="18">
        <v>2174</v>
      </c>
      <c r="G2798" s="18">
        <v>94</v>
      </c>
      <c r="H2798" s="6" t="s">
        <v>3162</v>
      </c>
      <c r="I2798" s="1">
        <v>194</v>
      </c>
      <c r="J2798" s="1">
        <v>227</v>
      </c>
      <c r="L2798" t="str">
        <f t="shared" si="43"/>
        <v>http://www.badatelna.eu/reprodukce/?fondId=1073&amp;zaznamId=1108960&amp;reproId=3780318</v>
      </c>
      <c r="M2798">
        <f>VLOOKUP(F2798,Sheet2!$B$1:$E$19,2,FALSE)</f>
        <v>1073</v>
      </c>
      <c r="N2798">
        <f>VLOOKUP(F2798,Sheet2!$B$1:$E$19,3,FALSE)</f>
        <v>1108960</v>
      </c>
      <c r="O2798">
        <f>IF(G2798="Not available","",VLOOKUP(F2798,Sheet2!$B$1:$E$19,4,FALSE)+(G2798-1))</f>
        <v>3780318</v>
      </c>
    </row>
    <row r="2799" spans="1:15" s="1" customFormat="1" ht="15" customHeight="1" x14ac:dyDescent="0.25">
      <c r="A2799" s="18" t="s">
        <v>357</v>
      </c>
      <c r="B2799" s="18" t="s">
        <v>546</v>
      </c>
      <c r="C2799" s="5">
        <v>1841</v>
      </c>
      <c r="D2799" s="1" t="s">
        <v>712</v>
      </c>
      <c r="E2799" s="1" t="s">
        <v>2</v>
      </c>
      <c r="F2799" s="18">
        <v>2174</v>
      </c>
      <c r="G2799" s="18">
        <v>115</v>
      </c>
      <c r="H2799" s="6" t="s">
        <v>3184</v>
      </c>
      <c r="I2799" s="1">
        <v>194</v>
      </c>
      <c r="J2799" s="1">
        <v>227</v>
      </c>
      <c r="L2799" t="str">
        <f t="shared" si="43"/>
        <v>http://www.badatelna.eu/reprodukce/?fondId=1073&amp;zaznamId=1108960&amp;reproId=3780339</v>
      </c>
      <c r="M2799">
        <f>VLOOKUP(F2799,Sheet2!$B$1:$E$19,2,FALSE)</f>
        <v>1073</v>
      </c>
      <c r="N2799">
        <f>VLOOKUP(F2799,Sheet2!$B$1:$E$19,3,FALSE)</f>
        <v>1108960</v>
      </c>
      <c r="O2799">
        <f>IF(G2799="Not available","",VLOOKUP(F2799,Sheet2!$B$1:$E$19,4,FALSE)+(G2799-1))</f>
        <v>3780339</v>
      </c>
    </row>
    <row r="2800" spans="1:15" s="1" customFormat="1" ht="15" customHeight="1" x14ac:dyDescent="0.25">
      <c r="A2800" s="18" t="s">
        <v>357</v>
      </c>
      <c r="B2800" s="18" t="s">
        <v>546</v>
      </c>
      <c r="C2800" s="5">
        <v>1853</v>
      </c>
      <c r="D2800" s="1" t="s">
        <v>74</v>
      </c>
      <c r="E2800" s="1" t="s">
        <v>2</v>
      </c>
      <c r="F2800" s="18">
        <v>2164</v>
      </c>
      <c r="G2800" s="18">
        <v>89</v>
      </c>
      <c r="H2800" s="5">
        <v>87</v>
      </c>
      <c r="I2800" s="1">
        <v>134</v>
      </c>
      <c r="J2800" s="3" t="s">
        <v>3271</v>
      </c>
      <c r="L2800" t="str">
        <f t="shared" si="43"/>
        <v>http://www.badatelna.eu/reprodukce/?fondId=1073&amp;zaznamId=1108951&amp;reproId=3778803</v>
      </c>
      <c r="M2800">
        <f>VLOOKUP(F2800,Sheet2!$B$1:$E$19,2,FALSE)</f>
        <v>1073</v>
      </c>
      <c r="N2800">
        <f>VLOOKUP(F2800,Sheet2!$B$1:$E$19,3,FALSE)</f>
        <v>1108951</v>
      </c>
      <c r="O2800">
        <f>IF(G2800="Not available","",VLOOKUP(F2800,Sheet2!$B$1:$E$19,4,FALSE)+(G2800-1))</f>
        <v>3778803</v>
      </c>
    </row>
    <row r="2801" spans="1:15" s="1" customFormat="1" ht="15" customHeight="1" x14ac:dyDescent="0.25">
      <c r="A2801" s="18" t="s">
        <v>357</v>
      </c>
      <c r="B2801" s="18" t="s">
        <v>546</v>
      </c>
      <c r="C2801" s="5">
        <v>1856</v>
      </c>
      <c r="D2801" s="1" t="s">
        <v>34</v>
      </c>
      <c r="E2801" s="1" t="s">
        <v>2</v>
      </c>
      <c r="F2801" s="18">
        <v>2164</v>
      </c>
      <c r="G2801" s="18">
        <v>109</v>
      </c>
      <c r="H2801" s="5">
        <v>107</v>
      </c>
      <c r="I2801" s="1">
        <v>134</v>
      </c>
      <c r="J2801" s="3" t="s">
        <v>3271</v>
      </c>
      <c r="L2801" t="str">
        <f t="shared" si="43"/>
        <v>http://www.badatelna.eu/reprodukce/?fondId=1073&amp;zaznamId=1108951&amp;reproId=3778823</v>
      </c>
      <c r="M2801">
        <f>VLOOKUP(F2801,Sheet2!$B$1:$E$19,2,FALSE)</f>
        <v>1073</v>
      </c>
      <c r="N2801">
        <f>VLOOKUP(F2801,Sheet2!$B$1:$E$19,3,FALSE)</f>
        <v>1108951</v>
      </c>
      <c r="O2801">
        <f>IF(G2801="Not available","",VLOOKUP(F2801,Sheet2!$B$1:$E$19,4,FALSE)+(G2801-1))</f>
        <v>3778823</v>
      </c>
    </row>
    <row r="2802" spans="1:15" s="1" customFormat="1" ht="15" customHeight="1" x14ac:dyDescent="0.25">
      <c r="A2802" s="18" t="s">
        <v>357</v>
      </c>
      <c r="B2802" s="18" t="s">
        <v>2314</v>
      </c>
      <c r="C2802" s="10" t="s">
        <v>2025</v>
      </c>
      <c r="D2802" s="3" t="s">
        <v>2502</v>
      </c>
      <c r="E2802" s="4" t="s">
        <v>2</v>
      </c>
      <c r="F2802" s="18">
        <v>2176</v>
      </c>
      <c r="G2802" s="18" t="s">
        <v>3271</v>
      </c>
      <c r="H2802" s="10" t="s">
        <v>2069</v>
      </c>
      <c r="I2802" s="3">
        <v>29</v>
      </c>
      <c r="J2802" s="3" t="s">
        <v>3271</v>
      </c>
      <c r="K2802" s="3"/>
      <c r="L2802" t="str">
        <f t="shared" si="43"/>
        <v/>
      </c>
      <c r="M2802">
        <f>VLOOKUP(F2802,Sheet2!$B$1:$E$19,2,FALSE)</f>
        <v>1073</v>
      </c>
      <c r="N2802">
        <f>VLOOKUP(F2802,Sheet2!$B$1:$E$19,3,FALSE)</f>
        <v>1108963</v>
      </c>
      <c r="O2802" t="str">
        <f>IF(G2802="Not available","",VLOOKUP(F2802,Sheet2!$B$1:$E$19,4,FALSE)+(G2802-1))</f>
        <v/>
      </c>
    </row>
    <row r="2803" spans="1:15" s="1" customFormat="1" ht="15" customHeight="1" x14ac:dyDescent="0.25">
      <c r="A2803" s="18" t="s">
        <v>357</v>
      </c>
      <c r="B2803" s="19" t="s">
        <v>789</v>
      </c>
      <c r="C2803" s="5">
        <v>1864</v>
      </c>
      <c r="E2803" s="1" t="s">
        <v>939</v>
      </c>
      <c r="F2803" s="18">
        <v>999</v>
      </c>
      <c r="G2803" s="18">
        <v>48</v>
      </c>
      <c r="H2803" s="5">
        <v>46</v>
      </c>
      <c r="I2803" s="1">
        <v>73</v>
      </c>
      <c r="J2803" s="1">
        <v>107</v>
      </c>
      <c r="L2803" t="str">
        <f t="shared" si="43"/>
        <v>http://www.badatelna.eu/reprodukce/?fondId=241&amp;zaznamId=1133739&amp;reproId=3885777</v>
      </c>
      <c r="M2803">
        <f>VLOOKUP(F2803,Sheet2!$B$1:$E$19,2,FALSE)</f>
        <v>241</v>
      </c>
      <c r="N2803">
        <f>VLOOKUP(F2803,Sheet2!$B$1:$E$19,3,FALSE)</f>
        <v>1133739</v>
      </c>
      <c r="O2803">
        <f>IF(G2803="Not available","",VLOOKUP(F2803,Sheet2!$B$1:$E$19,4,FALSE)+(G2803-1))</f>
        <v>3885777</v>
      </c>
    </row>
    <row r="2804" spans="1:15" s="1" customFormat="1" ht="15" customHeight="1" x14ac:dyDescent="0.25">
      <c r="A2804" s="18" t="s">
        <v>357</v>
      </c>
      <c r="B2804" s="19" t="s">
        <v>774</v>
      </c>
      <c r="C2804" s="5">
        <v>1865</v>
      </c>
      <c r="E2804" s="1" t="s">
        <v>939</v>
      </c>
      <c r="F2804" s="18">
        <v>999</v>
      </c>
      <c r="G2804" s="18">
        <v>56</v>
      </c>
      <c r="H2804" s="5">
        <v>54</v>
      </c>
      <c r="I2804" s="1">
        <v>73</v>
      </c>
      <c r="J2804" s="1">
        <v>107</v>
      </c>
      <c r="L2804" t="str">
        <f t="shared" si="43"/>
        <v>http://www.badatelna.eu/reprodukce/?fondId=241&amp;zaznamId=1133739&amp;reproId=3885785</v>
      </c>
      <c r="M2804">
        <f>VLOOKUP(F2804,Sheet2!$B$1:$E$19,2,FALSE)</f>
        <v>241</v>
      </c>
      <c r="N2804">
        <f>VLOOKUP(F2804,Sheet2!$B$1:$E$19,3,FALSE)</f>
        <v>1133739</v>
      </c>
      <c r="O2804">
        <f>IF(G2804="Not available","",VLOOKUP(F2804,Sheet2!$B$1:$E$19,4,FALSE)+(G2804-1))</f>
        <v>3885785</v>
      </c>
    </row>
    <row r="2805" spans="1:15" s="1" customFormat="1" ht="15" customHeight="1" x14ac:dyDescent="0.25">
      <c r="A2805" s="18" t="s">
        <v>357</v>
      </c>
      <c r="B2805" s="18" t="s">
        <v>774</v>
      </c>
      <c r="C2805" s="5" t="s">
        <v>1505</v>
      </c>
      <c r="D2805" s="1" t="s">
        <v>546</v>
      </c>
      <c r="E2805" s="1" t="s">
        <v>2</v>
      </c>
      <c r="F2805" s="18">
        <v>2165</v>
      </c>
      <c r="G2805" s="18">
        <v>9</v>
      </c>
      <c r="H2805" s="5">
        <v>6</v>
      </c>
      <c r="I2805" s="1">
        <v>88</v>
      </c>
      <c r="J2805" s="1" t="s">
        <v>3271</v>
      </c>
      <c r="L2805" t="str">
        <f t="shared" si="43"/>
        <v>http://www.badatelna.eu/reprodukce/?fondId=1073&amp;zaznamId=1108952&amp;reproId=3778870</v>
      </c>
      <c r="M2805">
        <f>VLOOKUP(F2805,Sheet2!$B$1:$E$19,2,FALSE)</f>
        <v>1073</v>
      </c>
      <c r="N2805">
        <f>VLOOKUP(F2805,Sheet2!$B$1:$E$19,3,FALSE)</f>
        <v>1108952</v>
      </c>
      <c r="O2805">
        <f>IF(G2805="Not available","",VLOOKUP(F2805,Sheet2!$B$1:$E$19,4,FALSE)+(G2805-1))</f>
        <v>3778870</v>
      </c>
    </row>
    <row r="2806" spans="1:15" s="1" customFormat="1" ht="15" customHeight="1" x14ac:dyDescent="0.25">
      <c r="A2806" s="18" t="s">
        <v>357</v>
      </c>
      <c r="B2806" s="18" t="s">
        <v>1051</v>
      </c>
      <c r="C2806" s="6" t="s">
        <v>2158</v>
      </c>
      <c r="D2806" s="4" t="s">
        <v>1069</v>
      </c>
      <c r="E2806" s="1" t="s">
        <v>2</v>
      </c>
      <c r="F2806" s="18">
        <v>2165</v>
      </c>
      <c r="G2806" s="18">
        <v>313</v>
      </c>
      <c r="H2806" s="5">
        <v>1</v>
      </c>
      <c r="I2806" s="1">
        <v>314</v>
      </c>
      <c r="J2806" s="1">
        <v>287</v>
      </c>
      <c r="L2806" t="str">
        <f t="shared" si="43"/>
        <v>http://www.badatelna.eu/reprodukce/?fondId=1073&amp;zaznamId=1108952&amp;reproId=3779174</v>
      </c>
      <c r="M2806">
        <f>VLOOKUP(F2806,Sheet2!$B$1:$E$19,2,FALSE)</f>
        <v>1073</v>
      </c>
      <c r="N2806">
        <f>VLOOKUP(F2806,Sheet2!$B$1:$E$19,3,FALSE)</f>
        <v>1108952</v>
      </c>
      <c r="O2806">
        <f>IF(G2806="Not available","",VLOOKUP(F2806,Sheet2!$B$1:$E$19,4,FALSE)+(G2806-1))</f>
        <v>3779174</v>
      </c>
    </row>
    <row r="2807" spans="1:15" s="1" customFormat="1" ht="15" customHeight="1" x14ac:dyDescent="0.25">
      <c r="A2807" s="18" t="s">
        <v>357</v>
      </c>
      <c r="B2807" s="18" t="s">
        <v>1051</v>
      </c>
      <c r="C2807" s="5" t="s">
        <v>1513</v>
      </c>
      <c r="D2807" s="1" t="s">
        <v>370</v>
      </c>
      <c r="E2807" s="1" t="s">
        <v>2</v>
      </c>
      <c r="F2807" s="18">
        <v>2165</v>
      </c>
      <c r="G2807" s="18">
        <v>58</v>
      </c>
      <c r="H2807" s="5">
        <v>55</v>
      </c>
      <c r="I2807" s="1">
        <v>88</v>
      </c>
      <c r="J2807" s="1" t="s">
        <v>3271</v>
      </c>
      <c r="L2807" t="str">
        <f t="shared" si="43"/>
        <v>http://www.badatelna.eu/reprodukce/?fondId=1073&amp;zaznamId=1108952&amp;reproId=3778919</v>
      </c>
      <c r="M2807">
        <f>VLOOKUP(F2807,Sheet2!$B$1:$E$19,2,FALSE)</f>
        <v>1073</v>
      </c>
      <c r="N2807">
        <f>VLOOKUP(F2807,Sheet2!$B$1:$E$19,3,FALSE)</f>
        <v>1108952</v>
      </c>
      <c r="O2807">
        <f>IF(G2807="Not available","",VLOOKUP(F2807,Sheet2!$B$1:$E$19,4,FALSE)+(G2807-1))</f>
        <v>3778919</v>
      </c>
    </row>
    <row r="2808" spans="1:15" s="1" customFormat="1" ht="15" customHeight="1" x14ac:dyDescent="0.25">
      <c r="A2808" s="18" t="s">
        <v>357</v>
      </c>
      <c r="B2808" s="18" t="s">
        <v>1051</v>
      </c>
      <c r="C2808" s="5" t="s">
        <v>1782</v>
      </c>
      <c r="D2808" s="1" t="s">
        <v>12</v>
      </c>
      <c r="E2808" s="1" t="s">
        <v>2</v>
      </c>
      <c r="F2808" s="18">
        <v>2165</v>
      </c>
      <c r="G2808" s="18">
        <v>236</v>
      </c>
      <c r="H2808" s="5">
        <v>3</v>
      </c>
      <c r="I2808" s="1">
        <v>238</v>
      </c>
      <c r="J2808" s="1">
        <v>214</v>
      </c>
      <c r="L2808" t="str">
        <f t="shared" si="43"/>
        <v>http://www.badatelna.eu/reprodukce/?fondId=1073&amp;zaznamId=1108952&amp;reproId=3779097</v>
      </c>
      <c r="M2808">
        <f>VLOOKUP(F2808,Sheet2!$B$1:$E$19,2,FALSE)</f>
        <v>1073</v>
      </c>
      <c r="N2808">
        <f>VLOOKUP(F2808,Sheet2!$B$1:$E$19,3,FALSE)</f>
        <v>1108952</v>
      </c>
      <c r="O2808">
        <f>IF(G2808="Not available","",VLOOKUP(F2808,Sheet2!$B$1:$E$19,4,FALSE)+(G2808-1))</f>
        <v>3779097</v>
      </c>
    </row>
    <row r="2809" spans="1:15" s="1" customFormat="1" ht="15" customHeight="1" x14ac:dyDescent="0.25">
      <c r="A2809" s="18" t="s">
        <v>357</v>
      </c>
      <c r="B2809" s="18" t="s">
        <v>1066</v>
      </c>
      <c r="C2809" s="5" t="s">
        <v>1929</v>
      </c>
      <c r="D2809" s="1" t="s">
        <v>1115</v>
      </c>
      <c r="E2809" s="1" t="s">
        <v>2</v>
      </c>
      <c r="F2809" s="18">
        <v>2165</v>
      </c>
      <c r="G2809" s="18">
        <v>282</v>
      </c>
      <c r="H2809" s="5">
        <v>2</v>
      </c>
      <c r="I2809" s="1">
        <v>284</v>
      </c>
      <c r="J2809" s="1">
        <v>258</v>
      </c>
      <c r="L2809" t="str">
        <f t="shared" si="43"/>
        <v>http://www.badatelna.eu/reprodukce/?fondId=1073&amp;zaznamId=1108952&amp;reproId=3779143</v>
      </c>
      <c r="M2809">
        <f>VLOOKUP(F2809,Sheet2!$B$1:$E$19,2,FALSE)</f>
        <v>1073</v>
      </c>
      <c r="N2809">
        <f>VLOOKUP(F2809,Sheet2!$B$1:$E$19,3,FALSE)</f>
        <v>1108952</v>
      </c>
      <c r="O2809">
        <f>IF(G2809="Not available","",VLOOKUP(F2809,Sheet2!$B$1:$E$19,4,FALSE)+(G2809-1))</f>
        <v>3779143</v>
      </c>
    </row>
    <row r="2810" spans="1:15" s="1" customFormat="1" ht="15" customHeight="1" x14ac:dyDescent="0.25">
      <c r="A2810" s="18" t="s">
        <v>357</v>
      </c>
      <c r="B2810" s="18" t="s">
        <v>2341</v>
      </c>
      <c r="C2810" s="10" t="s">
        <v>1957</v>
      </c>
      <c r="D2810" s="3" t="s">
        <v>2520</v>
      </c>
      <c r="E2810" s="4" t="s">
        <v>2</v>
      </c>
      <c r="F2810" s="18">
        <v>2176</v>
      </c>
      <c r="G2810" s="18" t="s">
        <v>3271</v>
      </c>
      <c r="H2810" s="10" t="s">
        <v>2006</v>
      </c>
      <c r="I2810" s="3">
        <v>29</v>
      </c>
      <c r="J2810" s="3" t="s">
        <v>3271</v>
      </c>
      <c r="K2810" s="3"/>
      <c r="L2810" t="str">
        <f t="shared" si="43"/>
        <v/>
      </c>
      <c r="M2810">
        <f>VLOOKUP(F2810,Sheet2!$B$1:$E$19,2,FALSE)</f>
        <v>1073</v>
      </c>
      <c r="N2810">
        <f>VLOOKUP(F2810,Sheet2!$B$1:$E$19,3,FALSE)</f>
        <v>1108963</v>
      </c>
      <c r="O2810" t="str">
        <f>IF(G2810="Not available","",VLOOKUP(F2810,Sheet2!$B$1:$E$19,4,FALSE)+(G2810-1))</f>
        <v/>
      </c>
    </row>
    <row r="2811" spans="1:15" s="1" customFormat="1" ht="15" customHeight="1" x14ac:dyDescent="0.25">
      <c r="A2811" s="18" t="s">
        <v>357</v>
      </c>
      <c r="B2811" s="18" t="s">
        <v>88</v>
      </c>
      <c r="C2811" s="5">
        <v>1825</v>
      </c>
      <c r="E2811" s="1" t="s">
        <v>2</v>
      </c>
      <c r="F2811" s="18">
        <v>2173</v>
      </c>
      <c r="G2811" s="18">
        <v>75</v>
      </c>
      <c r="H2811" s="5">
        <v>145</v>
      </c>
      <c r="I2811" s="1">
        <v>108</v>
      </c>
      <c r="J2811" s="1">
        <v>233</v>
      </c>
      <c r="L2811" t="str">
        <f t="shared" si="43"/>
        <v>http://www.badatelna.eu/reprodukce/?fondId=1073&amp;zaznamId=1108959&amp;reproId=3780068</v>
      </c>
      <c r="M2811">
        <f>VLOOKUP(F2811,Sheet2!$B$1:$E$19,2,FALSE)</f>
        <v>1073</v>
      </c>
      <c r="N2811">
        <f>VLOOKUP(F2811,Sheet2!$B$1:$E$19,3,FALSE)</f>
        <v>1108959</v>
      </c>
      <c r="O2811">
        <f>IF(G2811="Not available","",VLOOKUP(F2811,Sheet2!$B$1:$E$19,4,FALSE)+(G2811-1))</f>
        <v>3780068</v>
      </c>
    </row>
    <row r="2812" spans="1:15" s="1" customFormat="1" ht="15" customHeight="1" x14ac:dyDescent="0.25">
      <c r="A2812" s="18" t="s">
        <v>357</v>
      </c>
      <c r="B2812" s="18" t="s">
        <v>181</v>
      </c>
      <c r="C2812" s="5">
        <v>1887</v>
      </c>
      <c r="D2812" s="1" t="s">
        <v>377</v>
      </c>
      <c r="E2812" s="1" t="s">
        <v>2</v>
      </c>
      <c r="F2812" s="18">
        <v>2165</v>
      </c>
      <c r="G2812" s="18">
        <v>214</v>
      </c>
      <c r="H2812" s="5">
        <v>3</v>
      </c>
      <c r="I2812" s="1">
        <v>216</v>
      </c>
      <c r="J2812" s="1">
        <v>192</v>
      </c>
      <c r="L2812" t="str">
        <f t="shared" si="43"/>
        <v>http://www.badatelna.eu/reprodukce/?fondId=1073&amp;zaznamId=1108952&amp;reproId=3779075</v>
      </c>
      <c r="M2812">
        <f>VLOOKUP(F2812,Sheet2!$B$1:$E$19,2,FALSE)</f>
        <v>1073</v>
      </c>
      <c r="N2812">
        <f>VLOOKUP(F2812,Sheet2!$B$1:$E$19,3,FALSE)</f>
        <v>1108952</v>
      </c>
      <c r="O2812">
        <f>IF(G2812="Not available","",VLOOKUP(F2812,Sheet2!$B$1:$E$19,4,FALSE)+(G2812-1))</f>
        <v>3779075</v>
      </c>
    </row>
    <row r="2813" spans="1:15" s="1" customFormat="1" ht="15" customHeight="1" x14ac:dyDescent="0.25">
      <c r="A2813" s="18" t="s">
        <v>357</v>
      </c>
      <c r="B2813" s="18" t="s">
        <v>2112</v>
      </c>
      <c r="C2813" s="10" t="s">
        <v>2259</v>
      </c>
      <c r="D2813" s="3" t="s">
        <v>2523</v>
      </c>
      <c r="E2813" s="4" t="s">
        <v>2</v>
      </c>
      <c r="F2813" s="18">
        <v>2176</v>
      </c>
      <c r="G2813" s="18" t="s">
        <v>3271</v>
      </c>
      <c r="H2813" s="10" t="s">
        <v>1954</v>
      </c>
      <c r="I2813" s="3">
        <v>29</v>
      </c>
      <c r="J2813" s="3" t="s">
        <v>3271</v>
      </c>
      <c r="K2813" s="3"/>
      <c r="L2813" t="str">
        <f t="shared" si="43"/>
        <v/>
      </c>
      <c r="M2813">
        <f>VLOOKUP(F2813,Sheet2!$B$1:$E$19,2,FALSE)</f>
        <v>1073</v>
      </c>
      <c r="N2813">
        <f>VLOOKUP(F2813,Sheet2!$B$1:$E$19,3,FALSE)</f>
        <v>1108963</v>
      </c>
      <c r="O2813" t="str">
        <f>IF(G2813="Not available","",VLOOKUP(F2813,Sheet2!$B$1:$E$19,4,FALSE)+(G2813-1))</f>
        <v/>
      </c>
    </row>
    <row r="2814" spans="1:15" s="1" customFormat="1" ht="15" customHeight="1" x14ac:dyDescent="0.25">
      <c r="A2814" s="18" t="s">
        <v>357</v>
      </c>
      <c r="B2814" s="18" t="s">
        <v>1049</v>
      </c>
      <c r="C2814" s="5" t="s">
        <v>1509</v>
      </c>
      <c r="D2814" s="1" t="s">
        <v>1050</v>
      </c>
      <c r="E2814" s="1" t="s">
        <v>2</v>
      </c>
      <c r="F2814" s="18">
        <v>2165</v>
      </c>
      <c r="G2814" s="18">
        <v>30</v>
      </c>
      <c r="H2814" s="5">
        <v>27</v>
      </c>
      <c r="I2814" s="1">
        <v>88</v>
      </c>
      <c r="J2814" s="1" t="s">
        <v>3271</v>
      </c>
      <c r="L2814" t="str">
        <f t="shared" si="43"/>
        <v>http://www.badatelna.eu/reprodukce/?fondId=1073&amp;zaznamId=1108952&amp;reproId=3778891</v>
      </c>
      <c r="M2814">
        <f>VLOOKUP(F2814,Sheet2!$B$1:$E$19,2,FALSE)</f>
        <v>1073</v>
      </c>
      <c r="N2814">
        <f>VLOOKUP(F2814,Sheet2!$B$1:$E$19,3,FALSE)</f>
        <v>1108952</v>
      </c>
      <c r="O2814">
        <f>IF(G2814="Not available","",VLOOKUP(F2814,Sheet2!$B$1:$E$19,4,FALSE)+(G2814-1))</f>
        <v>3778891</v>
      </c>
    </row>
    <row r="2815" spans="1:15" s="1" customFormat="1" ht="15" customHeight="1" x14ac:dyDescent="0.25">
      <c r="A2815" s="18" t="s">
        <v>357</v>
      </c>
      <c r="B2815" s="18" t="s">
        <v>484</v>
      </c>
      <c r="C2815" s="5" t="s">
        <v>1755</v>
      </c>
      <c r="D2815" s="1" t="s">
        <v>377</v>
      </c>
      <c r="E2815" s="1" t="s">
        <v>2</v>
      </c>
      <c r="F2815" s="18">
        <v>2165</v>
      </c>
      <c r="G2815" s="18">
        <v>228</v>
      </c>
      <c r="H2815" s="5">
        <v>1</v>
      </c>
      <c r="I2815" s="1">
        <v>231</v>
      </c>
      <c r="J2815" s="1">
        <v>207</v>
      </c>
      <c r="L2815" t="str">
        <f t="shared" si="43"/>
        <v>http://www.badatelna.eu/reprodukce/?fondId=1073&amp;zaznamId=1108952&amp;reproId=3779089</v>
      </c>
      <c r="M2815">
        <f>VLOOKUP(F2815,Sheet2!$B$1:$E$19,2,FALSE)</f>
        <v>1073</v>
      </c>
      <c r="N2815">
        <f>VLOOKUP(F2815,Sheet2!$B$1:$E$19,3,FALSE)</f>
        <v>1108952</v>
      </c>
      <c r="O2815">
        <f>IF(G2815="Not available","",VLOOKUP(F2815,Sheet2!$B$1:$E$19,4,FALSE)+(G2815-1))</f>
        <v>3779089</v>
      </c>
    </row>
    <row r="2816" spans="1:15" s="1" customFormat="1" ht="15" customHeight="1" x14ac:dyDescent="0.25">
      <c r="A2816" s="18" t="s">
        <v>357</v>
      </c>
      <c r="B2816" s="18" t="s">
        <v>436</v>
      </c>
      <c r="C2816" s="5">
        <v>1849</v>
      </c>
      <c r="D2816" s="1" t="s">
        <v>24</v>
      </c>
      <c r="E2816" s="1" t="s">
        <v>2</v>
      </c>
      <c r="F2816" s="18">
        <v>2164</v>
      </c>
      <c r="G2816" s="18">
        <v>55</v>
      </c>
      <c r="H2816" s="5">
        <v>53</v>
      </c>
      <c r="I2816" s="1">
        <v>134</v>
      </c>
      <c r="J2816" s="3" t="s">
        <v>3271</v>
      </c>
      <c r="L2816" t="str">
        <f t="shared" si="43"/>
        <v>http://www.badatelna.eu/reprodukce/?fondId=1073&amp;zaznamId=1108951&amp;reproId=3778769</v>
      </c>
      <c r="M2816">
        <f>VLOOKUP(F2816,Sheet2!$B$1:$E$19,2,FALSE)</f>
        <v>1073</v>
      </c>
      <c r="N2816">
        <f>VLOOKUP(F2816,Sheet2!$B$1:$E$19,3,FALSE)</f>
        <v>1108951</v>
      </c>
      <c r="O2816">
        <f>IF(G2816="Not available","",VLOOKUP(F2816,Sheet2!$B$1:$E$19,4,FALSE)+(G2816-1))</f>
        <v>3778769</v>
      </c>
    </row>
    <row r="2817" spans="1:15" s="1" customFormat="1" ht="15" customHeight="1" x14ac:dyDescent="0.25">
      <c r="A2817" s="18" t="s">
        <v>357</v>
      </c>
      <c r="B2817" s="18" t="s">
        <v>481</v>
      </c>
      <c r="C2817" s="5">
        <v>1851</v>
      </c>
      <c r="D2817" s="1" t="s">
        <v>24</v>
      </c>
      <c r="E2817" s="1" t="s">
        <v>2</v>
      </c>
      <c r="F2817" s="18">
        <v>2164</v>
      </c>
      <c r="G2817" s="18">
        <v>71</v>
      </c>
      <c r="H2817" s="5">
        <v>69</v>
      </c>
      <c r="I2817" s="1">
        <v>134</v>
      </c>
      <c r="J2817" s="3" t="s">
        <v>3271</v>
      </c>
      <c r="L2817" t="str">
        <f t="shared" si="43"/>
        <v>http://www.badatelna.eu/reprodukce/?fondId=1073&amp;zaznamId=1108951&amp;reproId=3778785</v>
      </c>
      <c r="M2817">
        <f>VLOOKUP(F2817,Sheet2!$B$1:$E$19,2,FALSE)</f>
        <v>1073</v>
      </c>
      <c r="N2817">
        <f>VLOOKUP(F2817,Sheet2!$B$1:$E$19,3,FALSE)</f>
        <v>1108951</v>
      </c>
      <c r="O2817">
        <f>IF(G2817="Not available","",VLOOKUP(F2817,Sheet2!$B$1:$E$19,4,FALSE)+(G2817-1))</f>
        <v>3778785</v>
      </c>
    </row>
    <row r="2818" spans="1:15" s="1" customFormat="1" ht="15" customHeight="1" x14ac:dyDescent="0.25">
      <c r="A2818" s="18" t="s">
        <v>357</v>
      </c>
      <c r="B2818" s="18" t="s">
        <v>1052</v>
      </c>
      <c r="C2818" s="5" t="s">
        <v>1514</v>
      </c>
      <c r="D2818" s="1" t="s">
        <v>632</v>
      </c>
      <c r="E2818" s="1" t="s">
        <v>2</v>
      </c>
      <c r="F2818" s="18">
        <v>2165</v>
      </c>
      <c r="G2818" s="18">
        <v>62</v>
      </c>
      <c r="H2818" s="5">
        <v>59</v>
      </c>
      <c r="I2818" s="1">
        <v>88</v>
      </c>
      <c r="J2818" s="1" t="s">
        <v>3271</v>
      </c>
      <c r="L2818" t="str">
        <f t="shared" si="43"/>
        <v>http://www.badatelna.eu/reprodukce/?fondId=1073&amp;zaznamId=1108952&amp;reproId=3778923</v>
      </c>
      <c r="M2818">
        <f>VLOOKUP(F2818,Sheet2!$B$1:$E$19,2,FALSE)</f>
        <v>1073</v>
      </c>
      <c r="N2818">
        <f>VLOOKUP(F2818,Sheet2!$B$1:$E$19,3,FALSE)</f>
        <v>1108952</v>
      </c>
      <c r="O2818">
        <f>IF(G2818="Not available","",VLOOKUP(F2818,Sheet2!$B$1:$E$19,4,FALSE)+(G2818-1))</f>
        <v>3778923</v>
      </c>
    </row>
    <row r="2819" spans="1:15" s="1" customFormat="1" ht="15" customHeight="1" x14ac:dyDescent="0.25">
      <c r="A2819" s="18" t="s">
        <v>357</v>
      </c>
      <c r="B2819" s="18" t="s">
        <v>370</v>
      </c>
      <c r="C2819" s="5">
        <v>1843</v>
      </c>
      <c r="D2819" s="1" t="s">
        <v>24</v>
      </c>
      <c r="E2819" s="1" t="s">
        <v>2</v>
      </c>
      <c r="F2819" s="18">
        <v>2174</v>
      </c>
      <c r="G2819" s="18">
        <v>139</v>
      </c>
      <c r="H2819" s="6" t="s">
        <v>3206</v>
      </c>
      <c r="I2819" s="1">
        <v>194</v>
      </c>
      <c r="J2819" s="1">
        <v>227</v>
      </c>
      <c r="L2819" t="str">
        <f t="shared" ref="L2819:L2882" si="44">IF(G2819="Not available","","http://www.badatelna.eu/reprodukce/?fondId="&amp;M2819&amp;"&amp;zaznamId="&amp;N2819&amp;"&amp;reproId="&amp;O2819)</f>
        <v>http://www.badatelna.eu/reprodukce/?fondId=1073&amp;zaznamId=1108960&amp;reproId=3780363</v>
      </c>
      <c r="M2819">
        <f>VLOOKUP(F2819,Sheet2!$B$1:$E$19,2,FALSE)</f>
        <v>1073</v>
      </c>
      <c r="N2819">
        <f>VLOOKUP(F2819,Sheet2!$B$1:$E$19,3,FALSE)</f>
        <v>1108960</v>
      </c>
      <c r="O2819">
        <f>IF(G2819="Not available","",VLOOKUP(F2819,Sheet2!$B$1:$E$19,4,FALSE)+(G2819-1))</f>
        <v>3780363</v>
      </c>
    </row>
    <row r="2820" spans="1:15" s="1" customFormat="1" ht="15" customHeight="1" x14ac:dyDescent="0.25">
      <c r="A2820" s="19" t="s">
        <v>357</v>
      </c>
      <c r="B2820" s="18" t="s">
        <v>34</v>
      </c>
      <c r="C2820" s="5">
        <v>1816</v>
      </c>
      <c r="E2820" s="1" t="s">
        <v>2</v>
      </c>
      <c r="F2820" s="18">
        <v>2173</v>
      </c>
      <c r="G2820" s="18">
        <v>65</v>
      </c>
      <c r="H2820" s="5">
        <v>125</v>
      </c>
      <c r="I2820" s="1">
        <v>108</v>
      </c>
      <c r="J2820" s="1">
        <v>233</v>
      </c>
      <c r="L2820" t="str">
        <f t="shared" si="44"/>
        <v>http://www.badatelna.eu/reprodukce/?fondId=1073&amp;zaznamId=1108959&amp;reproId=3780058</v>
      </c>
      <c r="M2820">
        <f>VLOOKUP(F2820,Sheet2!$B$1:$E$19,2,FALSE)</f>
        <v>1073</v>
      </c>
      <c r="N2820">
        <f>VLOOKUP(F2820,Sheet2!$B$1:$E$19,3,FALSE)</f>
        <v>1108959</v>
      </c>
      <c r="O2820">
        <f>IF(G2820="Not available","",VLOOKUP(F2820,Sheet2!$B$1:$E$19,4,FALSE)+(G2820-1))</f>
        <v>3780058</v>
      </c>
    </row>
    <row r="2821" spans="1:15" s="1" customFormat="1" ht="15" customHeight="1" x14ac:dyDescent="0.25">
      <c r="A2821" s="18" t="s">
        <v>357</v>
      </c>
      <c r="B2821" s="18" t="s">
        <v>962</v>
      </c>
      <c r="C2821" s="5">
        <v>1866</v>
      </c>
      <c r="E2821" s="1" t="s">
        <v>939</v>
      </c>
      <c r="F2821" s="18">
        <v>999</v>
      </c>
      <c r="G2821" s="18">
        <v>58</v>
      </c>
      <c r="H2821" s="5">
        <v>56</v>
      </c>
      <c r="I2821" s="1">
        <v>73</v>
      </c>
      <c r="J2821" s="1">
        <v>107</v>
      </c>
      <c r="L2821" t="str">
        <f t="shared" si="44"/>
        <v>http://www.badatelna.eu/reprodukce/?fondId=241&amp;zaznamId=1133739&amp;reproId=3885787</v>
      </c>
      <c r="M2821">
        <f>VLOOKUP(F2821,Sheet2!$B$1:$E$19,2,FALSE)</f>
        <v>241</v>
      </c>
      <c r="N2821">
        <f>VLOOKUP(F2821,Sheet2!$B$1:$E$19,3,FALSE)</f>
        <v>1133739</v>
      </c>
      <c r="O2821">
        <f>IF(G2821="Not available","",VLOOKUP(F2821,Sheet2!$B$1:$E$19,4,FALSE)+(G2821-1))</f>
        <v>3885787</v>
      </c>
    </row>
    <row r="2822" spans="1:15" s="1" customFormat="1" ht="15" customHeight="1" x14ac:dyDescent="0.25">
      <c r="A2822" s="18" t="s">
        <v>357</v>
      </c>
      <c r="B2822" s="18" t="s">
        <v>1048</v>
      </c>
      <c r="C2822" s="5" t="s">
        <v>1506</v>
      </c>
      <c r="D2822" s="1" t="s">
        <v>632</v>
      </c>
      <c r="E2822" s="1" t="s">
        <v>2</v>
      </c>
      <c r="F2822" s="18">
        <v>2165</v>
      </c>
      <c r="G2822" s="18">
        <v>13</v>
      </c>
      <c r="H2822" s="5">
        <v>10</v>
      </c>
      <c r="I2822" s="1">
        <v>88</v>
      </c>
      <c r="J2822" s="1" t="s">
        <v>3271</v>
      </c>
      <c r="L2822" t="str">
        <f t="shared" si="44"/>
        <v>http://www.badatelna.eu/reprodukce/?fondId=1073&amp;zaznamId=1108952&amp;reproId=3778874</v>
      </c>
      <c r="M2822">
        <f>VLOOKUP(F2822,Sheet2!$B$1:$E$19,2,FALSE)</f>
        <v>1073</v>
      </c>
      <c r="N2822">
        <f>VLOOKUP(F2822,Sheet2!$B$1:$E$19,3,FALSE)</f>
        <v>1108952</v>
      </c>
      <c r="O2822">
        <f>IF(G2822="Not available","",VLOOKUP(F2822,Sheet2!$B$1:$E$19,4,FALSE)+(G2822-1))</f>
        <v>3778874</v>
      </c>
    </row>
    <row r="2823" spans="1:15" s="1" customFormat="1" ht="15" customHeight="1" x14ac:dyDescent="0.25">
      <c r="A2823" s="18" t="s">
        <v>357</v>
      </c>
      <c r="B2823" s="18" t="s">
        <v>12</v>
      </c>
      <c r="C2823" s="5">
        <v>1851</v>
      </c>
      <c r="D2823" s="1" t="s">
        <v>74</v>
      </c>
      <c r="E2823" s="1" t="s">
        <v>2</v>
      </c>
      <c r="F2823" s="18">
        <v>2164</v>
      </c>
      <c r="G2823" s="18">
        <v>76</v>
      </c>
      <c r="H2823" s="5">
        <v>74</v>
      </c>
      <c r="I2823" s="1">
        <v>134</v>
      </c>
      <c r="J2823" s="3" t="s">
        <v>3271</v>
      </c>
      <c r="L2823" t="str">
        <f t="shared" si="44"/>
        <v>http://www.badatelna.eu/reprodukce/?fondId=1073&amp;zaznamId=1108951&amp;reproId=3778790</v>
      </c>
      <c r="M2823">
        <f>VLOOKUP(F2823,Sheet2!$B$1:$E$19,2,FALSE)</f>
        <v>1073</v>
      </c>
      <c r="N2823">
        <f>VLOOKUP(F2823,Sheet2!$B$1:$E$19,3,FALSE)</f>
        <v>1108951</v>
      </c>
      <c r="O2823">
        <f>IF(G2823="Not available","",VLOOKUP(F2823,Sheet2!$B$1:$E$19,4,FALSE)+(G2823-1))</f>
        <v>3778790</v>
      </c>
    </row>
    <row r="2824" spans="1:15" s="1" customFormat="1" ht="15" customHeight="1" x14ac:dyDescent="0.25">
      <c r="A2824" s="18" t="s">
        <v>357</v>
      </c>
      <c r="B2824" s="18" t="s">
        <v>12</v>
      </c>
      <c r="C2824" s="5">
        <v>1857</v>
      </c>
      <c r="D2824" s="1" t="s">
        <v>74</v>
      </c>
      <c r="E2824" s="1" t="s">
        <v>2</v>
      </c>
      <c r="F2824" s="18">
        <v>2164</v>
      </c>
      <c r="G2824" s="18">
        <v>120</v>
      </c>
      <c r="H2824" s="5">
        <v>118</v>
      </c>
      <c r="I2824" s="1">
        <v>134</v>
      </c>
      <c r="J2824" s="3" t="s">
        <v>3271</v>
      </c>
      <c r="L2824" t="str">
        <f t="shared" si="44"/>
        <v>http://www.badatelna.eu/reprodukce/?fondId=1073&amp;zaznamId=1108951&amp;reproId=3778834</v>
      </c>
      <c r="M2824">
        <f>VLOOKUP(F2824,Sheet2!$B$1:$E$19,2,FALSE)</f>
        <v>1073</v>
      </c>
      <c r="N2824">
        <f>VLOOKUP(F2824,Sheet2!$B$1:$E$19,3,FALSE)</f>
        <v>1108951</v>
      </c>
      <c r="O2824">
        <f>IF(G2824="Not available","",VLOOKUP(F2824,Sheet2!$B$1:$E$19,4,FALSE)+(G2824-1))</f>
        <v>3778834</v>
      </c>
    </row>
    <row r="2825" spans="1:15" s="1" customFormat="1" ht="15" customHeight="1" x14ac:dyDescent="0.25">
      <c r="A2825" s="18" t="s">
        <v>357</v>
      </c>
      <c r="B2825" s="18" t="s">
        <v>12</v>
      </c>
      <c r="C2825" s="5">
        <v>1863</v>
      </c>
      <c r="E2825" s="1" t="s">
        <v>939</v>
      </c>
      <c r="F2825" s="18">
        <v>999</v>
      </c>
      <c r="G2825" s="18">
        <v>42</v>
      </c>
      <c r="H2825" s="5">
        <v>40</v>
      </c>
      <c r="I2825" s="1">
        <v>73</v>
      </c>
      <c r="J2825" s="1">
        <v>107</v>
      </c>
      <c r="L2825" t="str">
        <f t="shared" si="44"/>
        <v>http://www.badatelna.eu/reprodukce/?fondId=241&amp;zaznamId=1133739&amp;reproId=3885771</v>
      </c>
      <c r="M2825">
        <f>VLOOKUP(F2825,Sheet2!$B$1:$E$19,2,FALSE)</f>
        <v>241</v>
      </c>
      <c r="N2825">
        <f>VLOOKUP(F2825,Sheet2!$B$1:$E$19,3,FALSE)</f>
        <v>1133739</v>
      </c>
      <c r="O2825">
        <f>IF(G2825="Not available","",VLOOKUP(F2825,Sheet2!$B$1:$E$19,4,FALSE)+(G2825-1))</f>
        <v>3885771</v>
      </c>
    </row>
    <row r="2826" spans="1:15" s="1" customFormat="1" ht="15" customHeight="1" x14ac:dyDescent="0.25">
      <c r="A2826" s="18" t="s">
        <v>357</v>
      </c>
      <c r="B2826" s="18" t="s">
        <v>2007</v>
      </c>
      <c r="C2826" s="10" t="s">
        <v>2072</v>
      </c>
      <c r="D2826" s="3" t="s">
        <v>2505</v>
      </c>
      <c r="E2826" s="4" t="s">
        <v>2</v>
      </c>
      <c r="F2826" s="18">
        <v>2176</v>
      </c>
      <c r="G2826" s="18" t="s">
        <v>3271</v>
      </c>
      <c r="H2826" s="10" t="s">
        <v>2075</v>
      </c>
      <c r="I2826" s="3">
        <v>29</v>
      </c>
      <c r="J2826" s="3" t="s">
        <v>3271</v>
      </c>
      <c r="K2826" s="3"/>
      <c r="L2826" t="str">
        <f t="shared" si="44"/>
        <v/>
      </c>
      <c r="M2826">
        <f>VLOOKUP(F2826,Sheet2!$B$1:$E$19,2,FALSE)</f>
        <v>1073</v>
      </c>
      <c r="N2826">
        <f>VLOOKUP(F2826,Sheet2!$B$1:$E$19,3,FALSE)</f>
        <v>1108963</v>
      </c>
      <c r="O2826" t="str">
        <f>IF(G2826="Not available","",VLOOKUP(F2826,Sheet2!$B$1:$E$19,4,FALSE)+(G2826-1))</f>
        <v/>
      </c>
    </row>
    <row r="2827" spans="1:15" s="1" customFormat="1" ht="15" customHeight="1" x14ac:dyDescent="0.25">
      <c r="A2827" s="19" t="s">
        <v>357</v>
      </c>
      <c r="B2827" s="18" t="s">
        <v>51</v>
      </c>
      <c r="C2827" s="5">
        <v>1824</v>
      </c>
      <c r="E2827" s="1" t="s">
        <v>2</v>
      </c>
      <c r="F2827" s="18">
        <v>2173</v>
      </c>
      <c r="G2827" s="18">
        <v>75</v>
      </c>
      <c r="H2827" s="5">
        <v>142</v>
      </c>
      <c r="I2827" s="1">
        <v>108</v>
      </c>
      <c r="J2827" s="1">
        <v>233</v>
      </c>
      <c r="L2827" t="str">
        <f t="shared" si="44"/>
        <v>http://www.badatelna.eu/reprodukce/?fondId=1073&amp;zaznamId=1108959&amp;reproId=3780068</v>
      </c>
      <c r="M2827">
        <f>VLOOKUP(F2827,Sheet2!$B$1:$E$19,2,FALSE)</f>
        <v>1073</v>
      </c>
      <c r="N2827">
        <f>VLOOKUP(F2827,Sheet2!$B$1:$E$19,3,FALSE)</f>
        <v>1108959</v>
      </c>
      <c r="O2827">
        <f>IF(G2827="Not available","",VLOOKUP(F2827,Sheet2!$B$1:$E$19,4,FALSE)+(G2827-1))</f>
        <v>3780068</v>
      </c>
    </row>
    <row r="2828" spans="1:15" s="1" customFormat="1" ht="15" customHeight="1" x14ac:dyDescent="0.25">
      <c r="A2828" s="18" t="s">
        <v>357</v>
      </c>
      <c r="B2828" s="18" t="s">
        <v>197</v>
      </c>
      <c r="C2828" s="10" t="s">
        <v>2024</v>
      </c>
      <c r="D2828" s="3" t="s">
        <v>2505</v>
      </c>
      <c r="E2828" s="4" t="s">
        <v>2</v>
      </c>
      <c r="F2828" s="18">
        <v>2176</v>
      </c>
      <c r="G2828" s="18" t="s">
        <v>3271</v>
      </c>
      <c r="H2828" s="10" t="s">
        <v>1954</v>
      </c>
      <c r="I2828" s="3">
        <v>29</v>
      </c>
      <c r="J2828" s="3" t="s">
        <v>3271</v>
      </c>
      <c r="K2828" s="3"/>
      <c r="L2828" t="str">
        <f t="shared" si="44"/>
        <v/>
      </c>
      <c r="M2828">
        <f>VLOOKUP(F2828,Sheet2!$B$1:$E$19,2,FALSE)</f>
        <v>1073</v>
      </c>
      <c r="N2828">
        <f>VLOOKUP(F2828,Sheet2!$B$1:$E$19,3,FALSE)</f>
        <v>1108963</v>
      </c>
      <c r="O2828" t="str">
        <f>IF(G2828="Not available","",VLOOKUP(F2828,Sheet2!$B$1:$E$19,4,FALSE)+(G2828-1))</f>
        <v/>
      </c>
    </row>
    <row r="2829" spans="1:15" s="1" customFormat="1" ht="15" customHeight="1" x14ac:dyDescent="0.25">
      <c r="A2829" s="18" t="s">
        <v>357</v>
      </c>
      <c r="B2829" s="18" t="s">
        <v>197</v>
      </c>
      <c r="C2829" s="5" t="s">
        <v>1512</v>
      </c>
      <c r="D2829" s="1" t="s">
        <v>632</v>
      </c>
      <c r="E2829" s="1" t="s">
        <v>2</v>
      </c>
      <c r="F2829" s="18">
        <v>2165</v>
      </c>
      <c r="G2829" s="18">
        <v>55</v>
      </c>
      <c r="H2829" s="5">
        <v>52</v>
      </c>
      <c r="I2829" s="1">
        <v>88</v>
      </c>
      <c r="J2829" s="1" t="s">
        <v>3271</v>
      </c>
      <c r="L2829" t="str">
        <f t="shared" si="44"/>
        <v>http://www.badatelna.eu/reprodukce/?fondId=1073&amp;zaznamId=1108952&amp;reproId=3778916</v>
      </c>
      <c r="M2829">
        <f>VLOOKUP(F2829,Sheet2!$B$1:$E$19,2,FALSE)</f>
        <v>1073</v>
      </c>
      <c r="N2829">
        <f>VLOOKUP(F2829,Sheet2!$B$1:$E$19,3,FALSE)</f>
        <v>1108952</v>
      </c>
      <c r="O2829">
        <f>IF(G2829="Not available","",VLOOKUP(F2829,Sheet2!$B$1:$E$19,4,FALSE)+(G2829-1))</f>
        <v>3778916</v>
      </c>
    </row>
    <row r="2830" spans="1:15" s="1" customFormat="1" ht="15" customHeight="1" x14ac:dyDescent="0.25">
      <c r="A2830" s="18" t="s">
        <v>357</v>
      </c>
      <c r="B2830" s="18" t="s">
        <v>602</v>
      </c>
      <c r="C2830" s="5">
        <v>1847</v>
      </c>
      <c r="D2830" s="1" t="s">
        <v>24</v>
      </c>
      <c r="E2830" s="1" t="s">
        <v>2</v>
      </c>
      <c r="F2830" s="18">
        <v>2164</v>
      </c>
      <c r="G2830" s="18">
        <v>3</v>
      </c>
      <c r="H2830" s="5">
        <v>1</v>
      </c>
      <c r="I2830" s="1">
        <v>134</v>
      </c>
      <c r="J2830" s="3" t="s">
        <v>3271</v>
      </c>
      <c r="L2830" t="str">
        <f t="shared" si="44"/>
        <v>http://www.badatelna.eu/reprodukce/?fondId=1073&amp;zaznamId=1108951&amp;reproId=3778717</v>
      </c>
      <c r="M2830">
        <f>VLOOKUP(F2830,Sheet2!$B$1:$E$19,2,FALSE)</f>
        <v>1073</v>
      </c>
      <c r="N2830">
        <f>VLOOKUP(F2830,Sheet2!$B$1:$E$19,3,FALSE)</f>
        <v>1108951</v>
      </c>
      <c r="O2830">
        <f>IF(G2830="Not available","",VLOOKUP(F2830,Sheet2!$B$1:$E$19,4,FALSE)+(G2830-1))</f>
        <v>3778717</v>
      </c>
    </row>
    <row r="2831" spans="1:15" s="1" customFormat="1" ht="15" customHeight="1" x14ac:dyDescent="0.25">
      <c r="A2831" s="18" t="s">
        <v>357</v>
      </c>
      <c r="B2831" s="18" t="s">
        <v>2027</v>
      </c>
      <c r="C2831" s="10" t="s">
        <v>2087</v>
      </c>
      <c r="D2831" s="3" t="s">
        <v>2214</v>
      </c>
      <c r="E2831" s="4" t="s">
        <v>2</v>
      </c>
      <c r="F2831" s="18">
        <v>2176</v>
      </c>
      <c r="G2831" s="18" t="s">
        <v>3271</v>
      </c>
      <c r="H2831" s="10" t="s">
        <v>1959</v>
      </c>
      <c r="I2831" s="3">
        <v>29</v>
      </c>
      <c r="J2831" s="3" t="s">
        <v>3271</v>
      </c>
      <c r="K2831" s="3"/>
      <c r="L2831" t="str">
        <f t="shared" si="44"/>
        <v/>
      </c>
      <c r="M2831">
        <f>VLOOKUP(F2831,Sheet2!$B$1:$E$19,2,FALSE)</f>
        <v>1073</v>
      </c>
      <c r="N2831">
        <f>VLOOKUP(F2831,Sheet2!$B$1:$E$19,3,FALSE)</f>
        <v>1108963</v>
      </c>
      <c r="O2831" t="str">
        <f>IF(G2831="Not available","",VLOOKUP(F2831,Sheet2!$B$1:$E$19,4,FALSE)+(G2831-1))</f>
        <v/>
      </c>
    </row>
    <row r="2832" spans="1:15" s="1" customFormat="1" ht="15" customHeight="1" x14ac:dyDescent="0.25">
      <c r="A2832" s="18" t="s">
        <v>357</v>
      </c>
      <c r="B2832" s="18" t="s">
        <v>847</v>
      </c>
      <c r="C2832" s="5" t="s">
        <v>1871</v>
      </c>
      <c r="D2832" s="1" t="s">
        <v>1115</v>
      </c>
      <c r="E2832" s="1" t="s">
        <v>2</v>
      </c>
      <c r="F2832" s="18">
        <v>2165</v>
      </c>
      <c r="G2832" s="18">
        <v>262</v>
      </c>
      <c r="H2832" s="5">
        <v>3</v>
      </c>
      <c r="I2832" s="1">
        <v>265</v>
      </c>
      <c r="J2832" s="1">
        <v>239</v>
      </c>
      <c r="L2832" t="str">
        <f t="shared" si="44"/>
        <v>http://www.badatelna.eu/reprodukce/?fondId=1073&amp;zaznamId=1108952&amp;reproId=3779123</v>
      </c>
      <c r="M2832">
        <f>VLOOKUP(F2832,Sheet2!$B$1:$E$19,2,FALSE)</f>
        <v>1073</v>
      </c>
      <c r="N2832">
        <f>VLOOKUP(F2832,Sheet2!$B$1:$E$19,3,FALSE)</f>
        <v>1108952</v>
      </c>
      <c r="O2832">
        <f>IF(G2832="Not available","",VLOOKUP(F2832,Sheet2!$B$1:$E$19,4,FALSE)+(G2832-1))</f>
        <v>3779123</v>
      </c>
    </row>
    <row r="2833" spans="1:15" s="1" customFormat="1" ht="15" customHeight="1" x14ac:dyDescent="0.25">
      <c r="A2833" s="18" t="s">
        <v>357</v>
      </c>
      <c r="B2833" s="18" t="s">
        <v>172</v>
      </c>
      <c r="C2833" s="10" t="s">
        <v>1969</v>
      </c>
      <c r="D2833" s="3" t="s">
        <v>2502</v>
      </c>
      <c r="E2833" s="4" t="s">
        <v>2</v>
      </c>
      <c r="F2833" s="18">
        <v>2176</v>
      </c>
      <c r="G2833" s="18" t="s">
        <v>3271</v>
      </c>
      <c r="H2833" s="10" t="s">
        <v>1959</v>
      </c>
      <c r="I2833" s="3">
        <v>29</v>
      </c>
      <c r="J2833" s="3" t="s">
        <v>3271</v>
      </c>
      <c r="L2833" t="str">
        <f t="shared" si="44"/>
        <v/>
      </c>
      <c r="M2833">
        <f>VLOOKUP(F2833,Sheet2!$B$1:$E$19,2,FALSE)</f>
        <v>1073</v>
      </c>
      <c r="N2833">
        <f>VLOOKUP(F2833,Sheet2!$B$1:$E$19,3,FALSE)</f>
        <v>1108963</v>
      </c>
      <c r="O2833" t="str">
        <f>IF(G2833="Not available","",VLOOKUP(F2833,Sheet2!$B$1:$E$19,4,FALSE)+(G2833-1))</f>
        <v/>
      </c>
    </row>
    <row r="2834" spans="1:15" s="1" customFormat="1" ht="15" customHeight="1" x14ac:dyDescent="0.25">
      <c r="A2834" s="19" t="s">
        <v>357</v>
      </c>
      <c r="B2834" s="18" t="s">
        <v>56</v>
      </c>
      <c r="C2834" s="5">
        <v>1809</v>
      </c>
      <c r="E2834" s="1" t="s">
        <v>2</v>
      </c>
      <c r="F2834" s="18">
        <v>2173</v>
      </c>
      <c r="G2834" s="18">
        <v>55</v>
      </c>
      <c r="H2834" s="5">
        <v>105</v>
      </c>
      <c r="I2834" s="1">
        <v>108</v>
      </c>
      <c r="J2834" s="1">
        <v>233</v>
      </c>
      <c r="L2834" t="str">
        <f t="shared" si="44"/>
        <v>http://www.badatelna.eu/reprodukce/?fondId=1073&amp;zaznamId=1108959&amp;reproId=3780048</v>
      </c>
      <c r="M2834">
        <f>VLOOKUP(F2834,Sheet2!$B$1:$E$19,2,FALSE)</f>
        <v>1073</v>
      </c>
      <c r="N2834">
        <f>VLOOKUP(F2834,Sheet2!$B$1:$E$19,3,FALSE)</f>
        <v>1108959</v>
      </c>
      <c r="O2834">
        <f>IF(G2834="Not available","",VLOOKUP(F2834,Sheet2!$B$1:$E$19,4,FALSE)+(G2834-1))</f>
        <v>3780048</v>
      </c>
    </row>
    <row r="2835" spans="1:15" s="1" customFormat="1" ht="15" customHeight="1" x14ac:dyDescent="0.25">
      <c r="A2835" s="19" t="s">
        <v>357</v>
      </c>
      <c r="B2835" s="18" t="s">
        <v>56</v>
      </c>
      <c r="C2835" s="5">
        <v>1832</v>
      </c>
      <c r="D2835" s="1" t="s">
        <v>12</v>
      </c>
      <c r="E2835" s="1" t="s">
        <v>2</v>
      </c>
      <c r="F2835" s="18">
        <v>2174</v>
      </c>
      <c r="G2835" s="18">
        <v>69</v>
      </c>
      <c r="H2835" s="6" t="s">
        <v>3110</v>
      </c>
      <c r="I2835" s="1">
        <v>194</v>
      </c>
      <c r="J2835" s="1">
        <v>227</v>
      </c>
      <c r="L2835" t="str">
        <f t="shared" si="44"/>
        <v>http://www.badatelna.eu/reprodukce/?fondId=1073&amp;zaznamId=1108960&amp;reproId=3780293</v>
      </c>
      <c r="M2835">
        <f>VLOOKUP(F2835,Sheet2!$B$1:$E$19,2,FALSE)</f>
        <v>1073</v>
      </c>
      <c r="N2835">
        <f>VLOOKUP(F2835,Sheet2!$B$1:$E$19,3,FALSE)</f>
        <v>1108960</v>
      </c>
      <c r="O2835">
        <f>IF(G2835="Not available","",VLOOKUP(F2835,Sheet2!$B$1:$E$19,4,FALSE)+(G2835-1))</f>
        <v>3780293</v>
      </c>
    </row>
    <row r="2836" spans="1:15" s="1" customFormat="1" ht="15" customHeight="1" x14ac:dyDescent="0.25">
      <c r="A2836" s="18" t="s">
        <v>357</v>
      </c>
      <c r="B2836" s="18" t="s">
        <v>890</v>
      </c>
      <c r="C2836" s="5">
        <v>1851</v>
      </c>
      <c r="D2836" s="1" t="s">
        <v>34</v>
      </c>
      <c r="E2836" s="1" t="s">
        <v>2</v>
      </c>
      <c r="F2836" s="18">
        <v>2164</v>
      </c>
      <c r="G2836" s="18">
        <v>74</v>
      </c>
      <c r="H2836" s="5">
        <v>72</v>
      </c>
      <c r="I2836" s="1">
        <v>134</v>
      </c>
      <c r="J2836" s="3" t="s">
        <v>3271</v>
      </c>
      <c r="L2836" t="str">
        <f t="shared" si="44"/>
        <v>http://www.badatelna.eu/reprodukce/?fondId=1073&amp;zaznamId=1108951&amp;reproId=3778788</v>
      </c>
      <c r="M2836">
        <f>VLOOKUP(F2836,Sheet2!$B$1:$E$19,2,FALSE)</f>
        <v>1073</v>
      </c>
      <c r="N2836">
        <f>VLOOKUP(F2836,Sheet2!$B$1:$E$19,3,FALSE)</f>
        <v>1108951</v>
      </c>
      <c r="O2836">
        <f>IF(G2836="Not available","",VLOOKUP(F2836,Sheet2!$B$1:$E$19,4,FALSE)+(G2836-1))</f>
        <v>3778788</v>
      </c>
    </row>
    <row r="2837" spans="1:15" s="1" customFormat="1" ht="15" customHeight="1" x14ac:dyDescent="0.25">
      <c r="A2837" s="18" t="s">
        <v>357</v>
      </c>
      <c r="B2837" s="18" t="s">
        <v>49</v>
      </c>
      <c r="C2837" s="5">
        <v>1827</v>
      </c>
      <c r="E2837" s="1" t="s">
        <v>2</v>
      </c>
      <c r="F2837" s="18">
        <v>2173</v>
      </c>
      <c r="G2837" s="18">
        <v>79</v>
      </c>
      <c r="H2837" s="5">
        <v>151</v>
      </c>
      <c r="I2837" s="1">
        <v>108</v>
      </c>
      <c r="J2837" s="1">
        <v>233</v>
      </c>
      <c r="L2837" t="str">
        <f t="shared" si="44"/>
        <v>http://www.badatelna.eu/reprodukce/?fondId=1073&amp;zaznamId=1108959&amp;reproId=3780072</v>
      </c>
      <c r="M2837">
        <f>VLOOKUP(F2837,Sheet2!$B$1:$E$19,2,FALSE)</f>
        <v>1073</v>
      </c>
      <c r="N2837">
        <f>VLOOKUP(F2837,Sheet2!$B$1:$E$19,3,FALSE)</f>
        <v>1108959</v>
      </c>
      <c r="O2837">
        <f>IF(G2837="Not available","",VLOOKUP(F2837,Sheet2!$B$1:$E$19,4,FALSE)+(G2837-1))</f>
        <v>3780072</v>
      </c>
    </row>
    <row r="2838" spans="1:15" s="1" customFormat="1" ht="15" customHeight="1" x14ac:dyDescent="0.25">
      <c r="A2838" s="18" t="s">
        <v>357</v>
      </c>
      <c r="B2838" s="18" t="s">
        <v>887</v>
      </c>
      <c r="C2838" s="5">
        <v>1850</v>
      </c>
      <c r="D2838" s="1" t="s">
        <v>74</v>
      </c>
      <c r="E2838" s="1" t="s">
        <v>2</v>
      </c>
      <c r="F2838" s="18">
        <v>2164</v>
      </c>
      <c r="G2838" s="18">
        <v>67</v>
      </c>
      <c r="H2838" s="5">
        <v>65</v>
      </c>
      <c r="I2838" s="1">
        <v>134</v>
      </c>
      <c r="J2838" s="3" t="s">
        <v>3271</v>
      </c>
      <c r="L2838" t="str">
        <f t="shared" si="44"/>
        <v>http://www.badatelna.eu/reprodukce/?fondId=1073&amp;zaznamId=1108951&amp;reproId=3778781</v>
      </c>
      <c r="M2838">
        <f>VLOOKUP(F2838,Sheet2!$B$1:$E$19,2,FALSE)</f>
        <v>1073</v>
      </c>
      <c r="N2838">
        <f>VLOOKUP(F2838,Sheet2!$B$1:$E$19,3,FALSE)</f>
        <v>1108951</v>
      </c>
      <c r="O2838">
        <f>IF(G2838="Not available","",VLOOKUP(F2838,Sheet2!$B$1:$E$19,4,FALSE)+(G2838-1))</f>
        <v>3778781</v>
      </c>
    </row>
    <row r="2839" spans="1:15" s="1" customFormat="1" ht="15" customHeight="1" x14ac:dyDescent="0.25">
      <c r="A2839" s="18" t="s">
        <v>357</v>
      </c>
      <c r="B2839" s="18" t="s">
        <v>1175</v>
      </c>
      <c r="C2839" s="10" t="s">
        <v>2043</v>
      </c>
      <c r="D2839" s="3" t="s">
        <v>2505</v>
      </c>
      <c r="E2839" s="4" t="s">
        <v>2</v>
      </c>
      <c r="F2839" s="18">
        <v>2176</v>
      </c>
      <c r="G2839" s="18" t="s">
        <v>3271</v>
      </c>
      <c r="H2839" s="10" t="s">
        <v>1955</v>
      </c>
      <c r="I2839" s="3">
        <v>29</v>
      </c>
      <c r="J2839" s="3" t="s">
        <v>3271</v>
      </c>
      <c r="K2839" s="3"/>
      <c r="L2839" t="str">
        <f t="shared" si="44"/>
        <v/>
      </c>
      <c r="M2839">
        <f>VLOOKUP(F2839,Sheet2!$B$1:$E$19,2,FALSE)</f>
        <v>1073</v>
      </c>
      <c r="N2839">
        <f>VLOOKUP(F2839,Sheet2!$B$1:$E$19,3,FALSE)</f>
        <v>1108963</v>
      </c>
      <c r="O2839" t="str">
        <f>IF(G2839="Not available","",VLOOKUP(F2839,Sheet2!$B$1:$E$19,4,FALSE)+(G2839-1))</f>
        <v/>
      </c>
    </row>
    <row r="2840" spans="1:15" s="1" customFormat="1" ht="15" customHeight="1" x14ac:dyDescent="0.25">
      <c r="A2840" s="18" t="s">
        <v>357</v>
      </c>
      <c r="B2840" s="18" t="s">
        <v>1175</v>
      </c>
      <c r="C2840" s="5">
        <v>1885</v>
      </c>
      <c r="D2840" s="1" t="s">
        <v>377</v>
      </c>
      <c r="E2840" s="1" t="s">
        <v>2</v>
      </c>
      <c r="F2840" s="18">
        <v>2165</v>
      </c>
      <c r="G2840" s="18">
        <v>199</v>
      </c>
      <c r="H2840" s="5">
        <v>1</v>
      </c>
      <c r="I2840" s="1">
        <v>204</v>
      </c>
      <c r="J2840" s="1">
        <v>187</v>
      </c>
      <c r="L2840" t="str">
        <f t="shared" si="44"/>
        <v>http://www.badatelna.eu/reprodukce/?fondId=1073&amp;zaznamId=1108952&amp;reproId=3779060</v>
      </c>
      <c r="M2840">
        <f>VLOOKUP(F2840,Sheet2!$B$1:$E$19,2,FALSE)</f>
        <v>1073</v>
      </c>
      <c r="N2840">
        <f>VLOOKUP(F2840,Sheet2!$B$1:$E$19,3,FALSE)</f>
        <v>1108952</v>
      </c>
      <c r="O2840">
        <f>IF(G2840="Not available","",VLOOKUP(F2840,Sheet2!$B$1:$E$19,4,FALSE)+(G2840-1))</f>
        <v>3779060</v>
      </c>
    </row>
    <row r="2841" spans="1:15" s="1" customFormat="1" ht="15" customHeight="1" x14ac:dyDescent="0.25">
      <c r="A2841" s="18" t="s">
        <v>357</v>
      </c>
      <c r="B2841" s="18" t="s">
        <v>2141</v>
      </c>
      <c r="C2841" s="10" t="s">
        <v>2005</v>
      </c>
      <c r="D2841" s="3" t="s">
        <v>2507</v>
      </c>
      <c r="E2841" s="4" t="s">
        <v>2</v>
      </c>
      <c r="F2841" s="18">
        <v>2176</v>
      </c>
      <c r="G2841" s="18" t="s">
        <v>3271</v>
      </c>
      <c r="H2841" s="10" t="s">
        <v>2083</v>
      </c>
      <c r="I2841" s="3">
        <v>29</v>
      </c>
      <c r="J2841" s="3" t="s">
        <v>3271</v>
      </c>
      <c r="K2841" s="3"/>
      <c r="L2841" t="str">
        <f t="shared" si="44"/>
        <v/>
      </c>
      <c r="M2841">
        <f>VLOOKUP(F2841,Sheet2!$B$1:$E$19,2,FALSE)</f>
        <v>1073</v>
      </c>
      <c r="N2841">
        <f>VLOOKUP(F2841,Sheet2!$B$1:$E$19,3,FALSE)</f>
        <v>1108963</v>
      </c>
      <c r="O2841" t="str">
        <f>IF(G2841="Not available","",VLOOKUP(F2841,Sheet2!$B$1:$E$19,4,FALSE)+(G2841-1))</f>
        <v/>
      </c>
    </row>
    <row r="2842" spans="1:15" s="1" customFormat="1" ht="15" customHeight="1" x14ac:dyDescent="0.25">
      <c r="A2842" s="18" t="s">
        <v>357</v>
      </c>
      <c r="B2842" s="18" t="s">
        <v>549</v>
      </c>
      <c r="C2842" s="5" t="s">
        <v>1508</v>
      </c>
      <c r="D2842" s="1" t="s">
        <v>546</v>
      </c>
      <c r="E2842" s="1" t="s">
        <v>2</v>
      </c>
      <c r="F2842" s="18">
        <v>2165</v>
      </c>
      <c r="G2842" s="18">
        <v>20</v>
      </c>
      <c r="H2842" s="5">
        <v>17</v>
      </c>
      <c r="I2842" s="1">
        <v>88</v>
      </c>
      <c r="J2842" s="1" t="s">
        <v>3271</v>
      </c>
      <c r="L2842" t="str">
        <f t="shared" si="44"/>
        <v>http://www.badatelna.eu/reprodukce/?fondId=1073&amp;zaznamId=1108952&amp;reproId=3778881</v>
      </c>
      <c r="M2842">
        <f>VLOOKUP(F2842,Sheet2!$B$1:$E$19,2,FALSE)</f>
        <v>1073</v>
      </c>
      <c r="N2842">
        <f>VLOOKUP(F2842,Sheet2!$B$1:$E$19,3,FALSE)</f>
        <v>1108952</v>
      </c>
      <c r="O2842">
        <f>IF(G2842="Not available","",VLOOKUP(F2842,Sheet2!$B$1:$E$19,4,FALSE)+(G2842-1))</f>
        <v>3778881</v>
      </c>
    </row>
    <row r="2843" spans="1:15" s="1" customFormat="1" ht="15" customHeight="1" x14ac:dyDescent="0.25">
      <c r="A2843" s="18" t="s">
        <v>357</v>
      </c>
      <c r="B2843" s="18" t="s">
        <v>2525</v>
      </c>
      <c r="C2843" s="10" t="s">
        <v>2110</v>
      </c>
      <c r="D2843" s="3" t="s">
        <v>2521</v>
      </c>
      <c r="E2843" s="4" t="s">
        <v>2</v>
      </c>
      <c r="F2843" s="18">
        <v>2176</v>
      </c>
      <c r="G2843" s="18" t="s">
        <v>3271</v>
      </c>
      <c r="H2843" s="10" t="s">
        <v>2105</v>
      </c>
      <c r="I2843" s="3">
        <v>29</v>
      </c>
      <c r="J2843" s="3" t="s">
        <v>3271</v>
      </c>
      <c r="K2843" s="3"/>
      <c r="L2843" t="str">
        <f t="shared" si="44"/>
        <v/>
      </c>
      <c r="M2843">
        <f>VLOOKUP(F2843,Sheet2!$B$1:$E$19,2,FALSE)</f>
        <v>1073</v>
      </c>
      <c r="N2843">
        <f>VLOOKUP(F2843,Sheet2!$B$1:$E$19,3,FALSE)</f>
        <v>1108963</v>
      </c>
      <c r="O2843" t="str">
        <f>IF(G2843="Not available","",VLOOKUP(F2843,Sheet2!$B$1:$E$19,4,FALSE)+(G2843-1))</f>
        <v/>
      </c>
    </row>
    <row r="2844" spans="1:15" s="1" customFormat="1" ht="15" customHeight="1" x14ac:dyDescent="0.25">
      <c r="A2844" s="19" t="s">
        <v>357</v>
      </c>
      <c r="B2844" s="18" t="s">
        <v>19</v>
      </c>
      <c r="C2844" s="5">
        <v>1801</v>
      </c>
      <c r="E2844" s="1" t="s">
        <v>2</v>
      </c>
      <c r="F2844" s="18">
        <v>2173</v>
      </c>
      <c r="G2844" s="18">
        <v>43</v>
      </c>
      <c r="H2844" s="5">
        <v>81</v>
      </c>
      <c r="I2844" s="1">
        <v>108</v>
      </c>
      <c r="J2844" s="1">
        <v>233</v>
      </c>
      <c r="L2844" t="str">
        <f t="shared" si="44"/>
        <v>http://www.badatelna.eu/reprodukce/?fondId=1073&amp;zaznamId=1108959&amp;reproId=3780036</v>
      </c>
      <c r="M2844">
        <f>VLOOKUP(F2844,Sheet2!$B$1:$E$19,2,FALSE)</f>
        <v>1073</v>
      </c>
      <c r="N2844">
        <f>VLOOKUP(F2844,Sheet2!$B$1:$E$19,3,FALSE)</f>
        <v>1108959</v>
      </c>
      <c r="O2844">
        <f>IF(G2844="Not available","",VLOOKUP(F2844,Sheet2!$B$1:$E$19,4,FALSE)+(G2844-1))</f>
        <v>3780036</v>
      </c>
    </row>
    <row r="2845" spans="1:15" s="1" customFormat="1" ht="15" customHeight="1" x14ac:dyDescent="0.25">
      <c r="A2845" s="18" t="s">
        <v>357</v>
      </c>
      <c r="B2845" s="18" t="s">
        <v>19</v>
      </c>
      <c r="C2845" s="5">
        <v>1818</v>
      </c>
      <c r="E2845" s="1" t="s">
        <v>2</v>
      </c>
      <c r="F2845" s="18">
        <v>2173</v>
      </c>
      <c r="G2845" s="18">
        <v>68</v>
      </c>
      <c r="H2845" s="5">
        <v>128</v>
      </c>
      <c r="I2845" s="1">
        <v>108</v>
      </c>
      <c r="J2845" s="1">
        <v>233</v>
      </c>
      <c r="L2845" t="str">
        <f t="shared" si="44"/>
        <v>http://www.badatelna.eu/reprodukce/?fondId=1073&amp;zaznamId=1108959&amp;reproId=3780061</v>
      </c>
      <c r="M2845">
        <f>VLOOKUP(F2845,Sheet2!$B$1:$E$19,2,FALSE)</f>
        <v>1073</v>
      </c>
      <c r="N2845">
        <f>VLOOKUP(F2845,Sheet2!$B$1:$E$19,3,FALSE)</f>
        <v>1108959</v>
      </c>
      <c r="O2845">
        <f>IF(G2845="Not available","",VLOOKUP(F2845,Sheet2!$B$1:$E$19,4,FALSE)+(G2845-1))</f>
        <v>3780061</v>
      </c>
    </row>
    <row r="2846" spans="1:15" s="1" customFormat="1" ht="15" customHeight="1" x14ac:dyDescent="0.25">
      <c r="A2846" s="18" t="s">
        <v>357</v>
      </c>
      <c r="B2846" s="18" t="s">
        <v>25</v>
      </c>
      <c r="C2846" s="5">
        <v>1858</v>
      </c>
      <c r="E2846" s="1" t="s">
        <v>939</v>
      </c>
      <c r="F2846" s="18">
        <v>999</v>
      </c>
      <c r="G2846" s="18">
        <v>7</v>
      </c>
      <c r="H2846" s="5">
        <v>5</v>
      </c>
      <c r="I2846" s="1">
        <v>73</v>
      </c>
      <c r="J2846" s="1">
        <v>107</v>
      </c>
      <c r="L2846" t="str">
        <f t="shared" si="44"/>
        <v>http://www.badatelna.eu/reprodukce/?fondId=241&amp;zaznamId=1133739&amp;reproId=3885736</v>
      </c>
      <c r="M2846">
        <f>VLOOKUP(F2846,Sheet2!$B$1:$E$19,2,FALSE)</f>
        <v>241</v>
      </c>
      <c r="N2846">
        <f>VLOOKUP(F2846,Sheet2!$B$1:$E$19,3,FALSE)</f>
        <v>1133739</v>
      </c>
      <c r="O2846">
        <f>IF(G2846="Not available","",VLOOKUP(F2846,Sheet2!$B$1:$E$19,4,FALSE)+(G2846-1))</f>
        <v>3885736</v>
      </c>
    </row>
    <row r="2847" spans="1:15" s="1" customFormat="1" ht="15" customHeight="1" x14ac:dyDescent="0.25">
      <c r="A2847" s="18" t="s">
        <v>357</v>
      </c>
      <c r="B2847" s="18" t="s">
        <v>25</v>
      </c>
      <c r="C2847" s="10" t="s">
        <v>2092</v>
      </c>
      <c r="D2847" s="3" t="s">
        <v>2520</v>
      </c>
      <c r="E2847" s="4" t="s">
        <v>2</v>
      </c>
      <c r="F2847" s="18">
        <v>2176</v>
      </c>
      <c r="G2847" s="18" t="s">
        <v>3271</v>
      </c>
      <c r="H2847" s="10" t="s">
        <v>2080</v>
      </c>
      <c r="I2847" s="3">
        <v>29</v>
      </c>
      <c r="J2847" s="3" t="s">
        <v>3271</v>
      </c>
      <c r="K2847" s="3"/>
      <c r="L2847" t="str">
        <f t="shared" si="44"/>
        <v/>
      </c>
      <c r="M2847">
        <f>VLOOKUP(F2847,Sheet2!$B$1:$E$19,2,FALSE)</f>
        <v>1073</v>
      </c>
      <c r="N2847">
        <f>VLOOKUP(F2847,Sheet2!$B$1:$E$19,3,FALSE)</f>
        <v>1108963</v>
      </c>
      <c r="O2847" t="str">
        <f>IF(G2847="Not available","",VLOOKUP(F2847,Sheet2!$B$1:$E$19,4,FALSE)+(G2847-1))</f>
        <v/>
      </c>
    </row>
    <row r="2848" spans="1:15" s="1" customFormat="1" ht="15" customHeight="1" x14ac:dyDescent="0.25">
      <c r="A2848" s="18" t="s">
        <v>357</v>
      </c>
      <c r="B2848" s="18" t="s">
        <v>25</v>
      </c>
      <c r="C2848" s="5" t="s">
        <v>1510</v>
      </c>
      <c r="D2848" s="1" t="s">
        <v>632</v>
      </c>
      <c r="E2848" s="1" t="s">
        <v>2</v>
      </c>
      <c r="F2848" s="18">
        <v>2165</v>
      </c>
      <c r="G2848" s="18">
        <v>39</v>
      </c>
      <c r="H2848" s="5">
        <v>36</v>
      </c>
      <c r="I2848" s="1">
        <v>88</v>
      </c>
      <c r="J2848" s="1" t="s">
        <v>3271</v>
      </c>
      <c r="L2848" t="str">
        <f t="shared" si="44"/>
        <v>http://www.badatelna.eu/reprodukce/?fondId=1073&amp;zaznamId=1108952&amp;reproId=3778900</v>
      </c>
      <c r="M2848">
        <f>VLOOKUP(F2848,Sheet2!$B$1:$E$19,2,FALSE)</f>
        <v>1073</v>
      </c>
      <c r="N2848">
        <f>VLOOKUP(F2848,Sheet2!$B$1:$E$19,3,FALSE)</f>
        <v>1108952</v>
      </c>
      <c r="O2848">
        <f>IF(G2848="Not available","",VLOOKUP(F2848,Sheet2!$B$1:$E$19,4,FALSE)+(G2848-1))</f>
        <v>3778900</v>
      </c>
    </row>
    <row r="2849" spans="1:15" s="1" customFormat="1" ht="15" customHeight="1" x14ac:dyDescent="0.25">
      <c r="A2849" s="18" t="s">
        <v>357</v>
      </c>
      <c r="B2849" s="18" t="s">
        <v>25</v>
      </c>
      <c r="C2849" s="5" t="s">
        <v>1899</v>
      </c>
      <c r="D2849" s="1" t="s">
        <v>1115</v>
      </c>
      <c r="E2849" s="1" t="s">
        <v>2</v>
      </c>
      <c r="F2849" s="18">
        <v>2165</v>
      </c>
      <c r="G2849" s="18">
        <v>271</v>
      </c>
      <c r="H2849" s="5">
        <v>3</v>
      </c>
      <c r="I2849" s="1">
        <v>272</v>
      </c>
      <c r="J2849" s="1">
        <v>246</v>
      </c>
      <c r="L2849" t="str">
        <f t="shared" si="44"/>
        <v>http://www.badatelna.eu/reprodukce/?fondId=1073&amp;zaznamId=1108952&amp;reproId=3779132</v>
      </c>
      <c r="M2849">
        <f>VLOOKUP(F2849,Sheet2!$B$1:$E$19,2,FALSE)</f>
        <v>1073</v>
      </c>
      <c r="N2849">
        <f>VLOOKUP(F2849,Sheet2!$B$1:$E$19,3,FALSE)</f>
        <v>1108952</v>
      </c>
      <c r="O2849">
        <f>IF(G2849="Not available","",VLOOKUP(F2849,Sheet2!$B$1:$E$19,4,FALSE)+(G2849-1))</f>
        <v>3779132</v>
      </c>
    </row>
    <row r="2850" spans="1:15" s="1" customFormat="1" ht="15" customHeight="1" x14ac:dyDescent="0.25">
      <c r="A2850" s="18" t="s">
        <v>357</v>
      </c>
      <c r="B2850" s="18" t="s">
        <v>1119</v>
      </c>
      <c r="C2850" s="5" t="s">
        <v>1730</v>
      </c>
      <c r="D2850" s="1" t="s">
        <v>377</v>
      </c>
      <c r="E2850" s="1" t="s">
        <v>2</v>
      </c>
      <c r="F2850" s="18">
        <v>2165</v>
      </c>
      <c r="G2850" s="18">
        <v>168</v>
      </c>
      <c r="H2850" s="5">
        <v>4</v>
      </c>
      <c r="I2850" s="1">
        <v>170</v>
      </c>
      <c r="J2850" s="1">
        <v>148</v>
      </c>
      <c r="L2850" t="str">
        <f t="shared" si="44"/>
        <v>http://www.badatelna.eu/reprodukce/?fondId=1073&amp;zaznamId=1108952&amp;reproId=3779029</v>
      </c>
      <c r="M2850">
        <f>VLOOKUP(F2850,Sheet2!$B$1:$E$19,2,FALSE)</f>
        <v>1073</v>
      </c>
      <c r="N2850">
        <f>VLOOKUP(F2850,Sheet2!$B$1:$E$19,3,FALSE)</f>
        <v>1108952</v>
      </c>
      <c r="O2850">
        <f>IF(G2850="Not available","",VLOOKUP(F2850,Sheet2!$B$1:$E$19,4,FALSE)+(G2850-1))</f>
        <v>3779029</v>
      </c>
    </row>
    <row r="2851" spans="1:15" s="1" customFormat="1" ht="15" customHeight="1" x14ac:dyDescent="0.25">
      <c r="A2851" s="18" t="s">
        <v>357</v>
      </c>
      <c r="B2851" s="18" t="s">
        <v>1053</v>
      </c>
      <c r="C2851" s="5" t="s">
        <v>1515</v>
      </c>
      <c r="D2851" s="1" t="s">
        <v>370</v>
      </c>
      <c r="E2851" s="1" t="s">
        <v>2</v>
      </c>
      <c r="F2851" s="18">
        <v>2165</v>
      </c>
      <c r="G2851" s="18">
        <v>71</v>
      </c>
      <c r="H2851" s="5">
        <v>68</v>
      </c>
      <c r="I2851" s="1">
        <v>88</v>
      </c>
      <c r="J2851" s="1" t="s">
        <v>3271</v>
      </c>
      <c r="L2851" t="str">
        <f t="shared" si="44"/>
        <v>http://www.badatelna.eu/reprodukce/?fondId=1073&amp;zaznamId=1108952&amp;reproId=3778932</v>
      </c>
      <c r="M2851">
        <f>VLOOKUP(F2851,Sheet2!$B$1:$E$19,2,FALSE)</f>
        <v>1073</v>
      </c>
      <c r="N2851">
        <f>VLOOKUP(F2851,Sheet2!$B$1:$E$19,3,FALSE)</f>
        <v>1108952</v>
      </c>
      <c r="O2851">
        <f>IF(G2851="Not available","",VLOOKUP(F2851,Sheet2!$B$1:$E$19,4,FALSE)+(G2851-1))</f>
        <v>3778932</v>
      </c>
    </row>
    <row r="2852" spans="1:15" s="1" customFormat="1" ht="15" customHeight="1" x14ac:dyDescent="0.25">
      <c r="A2852" s="18" t="s">
        <v>357</v>
      </c>
      <c r="B2852" s="18" t="s">
        <v>937</v>
      </c>
      <c r="C2852" s="5">
        <v>1862</v>
      </c>
      <c r="E2852" s="1" t="s">
        <v>939</v>
      </c>
      <c r="F2852" s="18">
        <v>999</v>
      </c>
      <c r="G2852" s="18">
        <v>34</v>
      </c>
      <c r="H2852" s="5">
        <v>32</v>
      </c>
      <c r="I2852" s="1">
        <v>73</v>
      </c>
      <c r="J2852" s="1">
        <v>107</v>
      </c>
      <c r="L2852" t="str">
        <f t="shared" si="44"/>
        <v>http://www.badatelna.eu/reprodukce/?fondId=241&amp;zaznamId=1133739&amp;reproId=3885763</v>
      </c>
      <c r="M2852">
        <f>VLOOKUP(F2852,Sheet2!$B$1:$E$19,2,FALSE)</f>
        <v>241</v>
      </c>
      <c r="N2852">
        <f>VLOOKUP(F2852,Sheet2!$B$1:$E$19,3,FALSE)</f>
        <v>1133739</v>
      </c>
      <c r="O2852">
        <f>IF(G2852="Not available","",VLOOKUP(F2852,Sheet2!$B$1:$E$19,4,FALSE)+(G2852-1))</f>
        <v>3885763</v>
      </c>
    </row>
    <row r="2853" spans="1:15" s="1" customFormat="1" ht="15" customHeight="1" x14ac:dyDescent="0.25">
      <c r="A2853" s="18" t="s">
        <v>357</v>
      </c>
      <c r="B2853" s="18" t="s">
        <v>434</v>
      </c>
      <c r="C2853" s="5">
        <v>1849</v>
      </c>
      <c r="D2853" s="1" t="s">
        <v>590</v>
      </c>
      <c r="E2853" s="1" t="s">
        <v>2</v>
      </c>
      <c r="F2853" s="18">
        <v>2164</v>
      </c>
      <c r="G2853" s="18">
        <v>45</v>
      </c>
      <c r="H2853" s="5">
        <v>43</v>
      </c>
      <c r="I2853" s="1">
        <v>134</v>
      </c>
      <c r="J2853" s="3" t="s">
        <v>3271</v>
      </c>
      <c r="L2853" t="str">
        <f t="shared" si="44"/>
        <v>http://www.badatelna.eu/reprodukce/?fondId=1073&amp;zaznamId=1108951&amp;reproId=3778759</v>
      </c>
      <c r="M2853">
        <f>VLOOKUP(F2853,Sheet2!$B$1:$E$19,2,FALSE)</f>
        <v>1073</v>
      </c>
      <c r="N2853">
        <f>VLOOKUP(F2853,Sheet2!$B$1:$E$19,3,FALSE)</f>
        <v>1108951</v>
      </c>
      <c r="O2853">
        <f>IF(G2853="Not available","",VLOOKUP(F2853,Sheet2!$B$1:$E$19,4,FALSE)+(G2853-1))</f>
        <v>3778759</v>
      </c>
    </row>
    <row r="2854" spans="1:15" s="1" customFormat="1" ht="15" customHeight="1" x14ac:dyDescent="0.25">
      <c r="A2854" s="18" t="s">
        <v>357</v>
      </c>
      <c r="B2854" s="18" t="s">
        <v>1121</v>
      </c>
      <c r="C2854" s="10" t="s">
        <v>2103</v>
      </c>
      <c r="D2854" s="3" t="s">
        <v>2521</v>
      </c>
      <c r="E2854" s="4" t="s">
        <v>2</v>
      </c>
      <c r="F2854" s="18">
        <v>2176</v>
      </c>
      <c r="G2854" s="18" t="s">
        <v>3271</v>
      </c>
      <c r="H2854" s="10" t="s">
        <v>2351</v>
      </c>
      <c r="I2854" s="3">
        <v>29</v>
      </c>
      <c r="J2854" s="3" t="s">
        <v>3271</v>
      </c>
      <c r="K2854" s="3"/>
      <c r="L2854" t="str">
        <f t="shared" si="44"/>
        <v/>
      </c>
      <c r="M2854">
        <f>VLOOKUP(F2854,Sheet2!$B$1:$E$19,2,FALSE)</f>
        <v>1073</v>
      </c>
      <c r="N2854">
        <f>VLOOKUP(F2854,Sheet2!$B$1:$E$19,3,FALSE)</f>
        <v>1108963</v>
      </c>
      <c r="O2854" t="str">
        <f>IF(G2854="Not available","",VLOOKUP(F2854,Sheet2!$B$1:$E$19,4,FALSE)+(G2854-1))</f>
        <v/>
      </c>
    </row>
    <row r="2855" spans="1:15" s="1" customFormat="1" ht="15" customHeight="1" x14ac:dyDescent="0.25">
      <c r="A2855" s="18" t="s">
        <v>357</v>
      </c>
      <c r="B2855" s="18" t="s">
        <v>1078</v>
      </c>
      <c r="C2855" s="10" t="s">
        <v>2106</v>
      </c>
      <c r="D2855" s="3" t="s">
        <v>2521</v>
      </c>
      <c r="E2855" s="4" t="s">
        <v>2</v>
      </c>
      <c r="F2855" s="18">
        <v>2176</v>
      </c>
      <c r="G2855" s="18" t="s">
        <v>3271</v>
      </c>
      <c r="H2855" s="10" t="s">
        <v>2142</v>
      </c>
      <c r="I2855" s="3">
        <v>29</v>
      </c>
      <c r="J2855" s="3" t="s">
        <v>3271</v>
      </c>
      <c r="K2855" s="3"/>
      <c r="L2855" t="str">
        <f t="shared" si="44"/>
        <v/>
      </c>
      <c r="M2855">
        <f>VLOOKUP(F2855,Sheet2!$B$1:$E$19,2,FALSE)</f>
        <v>1073</v>
      </c>
      <c r="N2855">
        <f>VLOOKUP(F2855,Sheet2!$B$1:$E$19,3,FALSE)</f>
        <v>1108963</v>
      </c>
      <c r="O2855" t="str">
        <f>IF(G2855="Not available","",VLOOKUP(F2855,Sheet2!$B$1:$E$19,4,FALSE)+(G2855-1))</f>
        <v/>
      </c>
    </row>
    <row r="2856" spans="1:15" s="1" customFormat="1" ht="15" customHeight="1" x14ac:dyDescent="0.25">
      <c r="A2856" s="18" t="s">
        <v>357</v>
      </c>
      <c r="B2856" s="18" t="s">
        <v>2522</v>
      </c>
      <c r="C2856" s="10" t="s">
        <v>2257</v>
      </c>
      <c r="D2856" s="3" t="s">
        <v>2523</v>
      </c>
      <c r="E2856" s="4" t="s">
        <v>2</v>
      </c>
      <c r="F2856" s="18">
        <v>2176</v>
      </c>
      <c r="G2856" s="18" t="s">
        <v>3271</v>
      </c>
      <c r="H2856" s="10" t="s">
        <v>1955</v>
      </c>
      <c r="I2856" s="3">
        <v>29</v>
      </c>
      <c r="J2856" s="3" t="s">
        <v>3271</v>
      </c>
      <c r="K2856" s="3"/>
      <c r="L2856" t="str">
        <f t="shared" si="44"/>
        <v/>
      </c>
      <c r="M2856">
        <f>VLOOKUP(F2856,Sheet2!$B$1:$E$19,2,FALSE)</f>
        <v>1073</v>
      </c>
      <c r="N2856">
        <f>VLOOKUP(F2856,Sheet2!$B$1:$E$19,3,FALSE)</f>
        <v>1108963</v>
      </c>
      <c r="O2856" t="str">
        <f>IF(G2856="Not available","",VLOOKUP(F2856,Sheet2!$B$1:$E$19,4,FALSE)+(G2856-1))</f>
        <v/>
      </c>
    </row>
    <row r="2857" spans="1:15" s="1" customFormat="1" ht="15" customHeight="1" x14ac:dyDescent="0.25">
      <c r="A2857" s="18" t="s">
        <v>357</v>
      </c>
      <c r="B2857" s="18" t="s">
        <v>96</v>
      </c>
      <c r="C2857" s="5">
        <v>1855</v>
      </c>
      <c r="D2857" s="1" t="s">
        <v>74</v>
      </c>
      <c r="E2857" s="1" t="s">
        <v>2</v>
      </c>
      <c r="F2857" s="18">
        <v>2164</v>
      </c>
      <c r="G2857" s="18">
        <v>105</v>
      </c>
      <c r="H2857" s="5">
        <v>103</v>
      </c>
      <c r="I2857" s="1">
        <v>134</v>
      </c>
      <c r="J2857" s="3" t="s">
        <v>3271</v>
      </c>
      <c r="L2857" t="str">
        <f t="shared" si="44"/>
        <v>http://www.badatelna.eu/reprodukce/?fondId=1073&amp;zaznamId=1108951&amp;reproId=3778819</v>
      </c>
      <c r="M2857">
        <f>VLOOKUP(F2857,Sheet2!$B$1:$E$19,2,FALSE)</f>
        <v>1073</v>
      </c>
      <c r="N2857">
        <f>VLOOKUP(F2857,Sheet2!$B$1:$E$19,3,FALSE)</f>
        <v>1108951</v>
      </c>
      <c r="O2857">
        <f>IF(G2857="Not available","",VLOOKUP(F2857,Sheet2!$B$1:$E$19,4,FALSE)+(G2857-1))</f>
        <v>3778819</v>
      </c>
    </row>
    <row r="2858" spans="1:15" s="1" customFormat="1" ht="15" customHeight="1" x14ac:dyDescent="0.25">
      <c r="A2858" s="18" t="s">
        <v>357</v>
      </c>
      <c r="B2858" s="18" t="s">
        <v>1113</v>
      </c>
      <c r="C2858" s="10" t="s">
        <v>2087</v>
      </c>
      <c r="D2858" s="3" t="s">
        <v>2519</v>
      </c>
      <c r="E2858" s="4" t="s">
        <v>2</v>
      </c>
      <c r="F2858" s="18">
        <v>2176</v>
      </c>
      <c r="G2858" s="18" t="s">
        <v>3271</v>
      </c>
      <c r="H2858" s="10" t="s">
        <v>2086</v>
      </c>
      <c r="I2858" s="3">
        <v>29</v>
      </c>
      <c r="J2858" s="3" t="s">
        <v>3271</v>
      </c>
      <c r="K2858" s="3"/>
      <c r="L2858" t="str">
        <f t="shared" si="44"/>
        <v/>
      </c>
      <c r="M2858">
        <f>VLOOKUP(F2858,Sheet2!$B$1:$E$19,2,FALSE)</f>
        <v>1073</v>
      </c>
      <c r="N2858">
        <f>VLOOKUP(F2858,Sheet2!$B$1:$E$19,3,FALSE)</f>
        <v>1108963</v>
      </c>
      <c r="O2858" t="str">
        <f>IF(G2858="Not available","",VLOOKUP(F2858,Sheet2!$B$1:$E$19,4,FALSE)+(G2858-1))</f>
        <v/>
      </c>
    </row>
    <row r="2859" spans="1:15" s="1" customFormat="1" ht="15" customHeight="1" x14ac:dyDescent="0.25">
      <c r="A2859" s="18" t="s">
        <v>357</v>
      </c>
      <c r="B2859" s="18" t="s">
        <v>1113</v>
      </c>
      <c r="C2859" s="5" t="s">
        <v>1803</v>
      </c>
      <c r="D2859" s="1" t="s">
        <v>546</v>
      </c>
      <c r="E2859" s="1" t="s">
        <v>2</v>
      </c>
      <c r="F2859" s="18">
        <v>2165</v>
      </c>
      <c r="G2859" s="18">
        <v>243</v>
      </c>
      <c r="H2859" s="5">
        <v>3</v>
      </c>
      <c r="I2859" s="1">
        <v>244</v>
      </c>
      <c r="J2859" s="1">
        <v>220</v>
      </c>
      <c r="L2859" t="str">
        <f t="shared" si="44"/>
        <v>http://www.badatelna.eu/reprodukce/?fondId=1073&amp;zaznamId=1108952&amp;reproId=3779104</v>
      </c>
      <c r="M2859">
        <f>VLOOKUP(F2859,Sheet2!$B$1:$E$19,2,FALSE)</f>
        <v>1073</v>
      </c>
      <c r="N2859">
        <f>VLOOKUP(F2859,Sheet2!$B$1:$E$19,3,FALSE)</f>
        <v>1108952</v>
      </c>
      <c r="O2859">
        <f>IF(G2859="Not available","",VLOOKUP(F2859,Sheet2!$B$1:$E$19,4,FALSE)+(G2859-1))</f>
        <v>3779104</v>
      </c>
    </row>
    <row r="2860" spans="1:15" s="1" customFormat="1" ht="15" customHeight="1" x14ac:dyDescent="0.25">
      <c r="A2860" s="18" t="s">
        <v>357</v>
      </c>
      <c r="B2860" s="18" t="s">
        <v>713</v>
      </c>
      <c r="C2860" s="5">
        <v>1845</v>
      </c>
      <c r="D2860" s="1" t="s">
        <v>24</v>
      </c>
      <c r="E2860" s="1" t="s">
        <v>2</v>
      </c>
      <c r="F2860" s="18">
        <v>2174</v>
      </c>
      <c r="G2860" s="18">
        <v>154</v>
      </c>
      <c r="H2860" s="14" t="s">
        <v>3220</v>
      </c>
      <c r="I2860" s="1">
        <v>194</v>
      </c>
      <c r="J2860" s="1">
        <v>227</v>
      </c>
      <c r="L2860" t="str">
        <f t="shared" si="44"/>
        <v>http://www.badatelna.eu/reprodukce/?fondId=1073&amp;zaznamId=1108960&amp;reproId=3780378</v>
      </c>
      <c r="M2860">
        <f>VLOOKUP(F2860,Sheet2!$B$1:$E$19,2,FALSE)</f>
        <v>1073</v>
      </c>
      <c r="N2860">
        <f>VLOOKUP(F2860,Sheet2!$B$1:$E$19,3,FALSE)</f>
        <v>1108960</v>
      </c>
      <c r="O2860">
        <f>IF(G2860="Not available","",VLOOKUP(F2860,Sheet2!$B$1:$E$19,4,FALSE)+(G2860-1))</f>
        <v>3780378</v>
      </c>
    </row>
    <row r="2861" spans="1:15" s="1" customFormat="1" ht="15" customHeight="1" x14ac:dyDescent="0.25">
      <c r="A2861" s="18" t="s">
        <v>357</v>
      </c>
      <c r="B2861" s="18" t="s">
        <v>713</v>
      </c>
      <c r="C2861" s="5">
        <v>1850</v>
      </c>
      <c r="D2861" s="1" t="s">
        <v>34</v>
      </c>
      <c r="E2861" s="1" t="s">
        <v>2</v>
      </c>
      <c r="F2861" s="18">
        <v>2164</v>
      </c>
      <c r="G2861" s="18">
        <v>65</v>
      </c>
      <c r="H2861" s="5">
        <v>63</v>
      </c>
      <c r="I2861" s="1">
        <v>134</v>
      </c>
      <c r="J2861" s="3" t="s">
        <v>3271</v>
      </c>
      <c r="L2861" t="str">
        <f t="shared" si="44"/>
        <v>http://www.badatelna.eu/reprodukce/?fondId=1073&amp;zaznamId=1108951&amp;reproId=3778779</v>
      </c>
      <c r="M2861">
        <f>VLOOKUP(F2861,Sheet2!$B$1:$E$19,2,FALSE)</f>
        <v>1073</v>
      </c>
      <c r="N2861">
        <f>VLOOKUP(F2861,Sheet2!$B$1:$E$19,3,FALSE)</f>
        <v>1108951</v>
      </c>
      <c r="O2861">
        <f>IF(G2861="Not available","",VLOOKUP(F2861,Sheet2!$B$1:$E$19,4,FALSE)+(G2861-1))</f>
        <v>3778779</v>
      </c>
    </row>
    <row r="2862" spans="1:15" s="1" customFormat="1" ht="15" customHeight="1" x14ac:dyDescent="0.25">
      <c r="A2862" s="19" t="s">
        <v>357</v>
      </c>
      <c r="B2862" s="18" t="s">
        <v>17</v>
      </c>
      <c r="C2862" s="5">
        <v>1802</v>
      </c>
      <c r="E2862" s="1" t="s">
        <v>2</v>
      </c>
      <c r="F2862" s="18">
        <v>2173</v>
      </c>
      <c r="G2862" s="18">
        <v>45</v>
      </c>
      <c r="H2862" s="5">
        <v>85</v>
      </c>
      <c r="I2862" s="1">
        <v>108</v>
      </c>
      <c r="J2862" s="1">
        <v>233</v>
      </c>
      <c r="L2862" t="str">
        <f t="shared" si="44"/>
        <v>http://www.badatelna.eu/reprodukce/?fondId=1073&amp;zaznamId=1108959&amp;reproId=3780038</v>
      </c>
      <c r="M2862">
        <f>VLOOKUP(F2862,Sheet2!$B$1:$E$19,2,FALSE)</f>
        <v>1073</v>
      </c>
      <c r="N2862">
        <f>VLOOKUP(F2862,Sheet2!$B$1:$E$19,3,FALSE)</f>
        <v>1108959</v>
      </c>
      <c r="O2862">
        <f>IF(G2862="Not available","",VLOOKUP(F2862,Sheet2!$B$1:$E$19,4,FALSE)+(G2862-1))</f>
        <v>3780038</v>
      </c>
    </row>
    <row r="2863" spans="1:15" s="1" customFormat="1" ht="15" customHeight="1" x14ac:dyDescent="0.25">
      <c r="A2863" s="18" t="s">
        <v>357</v>
      </c>
      <c r="B2863" s="18" t="s">
        <v>17</v>
      </c>
      <c r="C2863" s="5">
        <v>1821</v>
      </c>
      <c r="E2863" s="1" t="s">
        <v>2</v>
      </c>
      <c r="F2863" s="18">
        <v>2173</v>
      </c>
      <c r="G2863" s="18">
        <v>71</v>
      </c>
      <c r="H2863" s="5">
        <v>135</v>
      </c>
      <c r="I2863" s="1">
        <v>108</v>
      </c>
      <c r="J2863" s="1">
        <v>233</v>
      </c>
      <c r="L2863" t="str">
        <f t="shared" si="44"/>
        <v>http://www.badatelna.eu/reprodukce/?fondId=1073&amp;zaznamId=1108959&amp;reproId=3780064</v>
      </c>
      <c r="M2863">
        <f>VLOOKUP(F2863,Sheet2!$B$1:$E$19,2,FALSE)</f>
        <v>1073</v>
      </c>
      <c r="N2863">
        <f>VLOOKUP(F2863,Sheet2!$B$1:$E$19,3,FALSE)</f>
        <v>1108959</v>
      </c>
      <c r="O2863">
        <f>IF(G2863="Not available","",VLOOKUP(F2863,Sheet2!$B$1:$E$19,4,FALSE)+(G2863-1))</f>
        <v>3780064</v>
      </c>
    </row>
    <row r="2864" spans="1:15" s="1" customFormat="1" ht="15" customHeight="1" x14ac:dyDescent="0.25">
      <c r="A2864" s="18" t="s">
        <v>357</v>
      </c>
      <c r="B2864" s="18" t="s">
        <v>24</v>
      </c>
      <c r="C2864" s="10" t="s">
        <v>2015</v>
      </c>
      <c r="D2864" s="3" t="s">
        <v>2505</v>
      </c>
      <c r="E2864" s="4" t="s">
        <v>2</v>
      </c>
      <c r="F2864" s="18">
        <v>2176</v>
      </c>
      <c r="G2864" s="18" t="s">
        <v>3271</v>
      </c>
      <c r="H2864" s="10" t="s">
        <v>2037</v>
      </c>
      <c r="I2864" s="3">
        <v>29</v>
      </c>
      <c r="J2864" s="3" t="s">
        <v>3271</v>
      </c>
      <c r="K2864" s="3"/>
      <c r="L2864" t="str">
        <f t="shared" si="44"/>
        <v/>
      </c>
      <c r="M2864">
        <f>VLOOKUP(F2864,Sheet2!$B$1:$E$19,2,FALSE)</f>
        <v>1073</v>
      </c>
      <c r="N2864">
        <f>VLOOKUP(F2864,Sheet2!$B$1:$E$19,3,FALSE)</f>
        <v>1108963</v>
      </c>
      <c r="O2864" t="str">
        <f>IF(G2864="Not available","",VLOOKUP(F2864,Sheet2!$B$1:$E$19,4,FALSE)+(G2864-1))</f>
        <v/>
      </c>
    </row>
    <row r="2865" spans="1:15" s="1" customFormat="1" ht="15" customHeight="1" x14ac:dyDescent="0.25">
      <c r="A2865" s="19" t="s">
        <v>357</v>
      </c>
      <c r="B2865" s="18" t="s">
        <v>58</v>
      </c>
      <c r="C2865" s="5">
        <v>1822</v>
      </c>
      <c r="E2865" s="1" t="s">
        <v>2</v>
      </c>
      <c r="F2865" s="18">
        <v>2173</v>
      </c>
      <c r="G2865" s="18">
        <v>73</v>
      </c>
      <c r="H2865" s="6" t="s">
        <v>2966</v>
      </c>
      <c r="I2865" s="1">
        <v>108</v>
      </c>
      <c r="J2865" s="1">
        <v>233</v>
      </c>
      <c r="L2865" t="str">
        <f t="shared" si="44"/>
        <v>http://www.badatelna.eu/reprodukce/?fondId=1073&amp;zaznamId=1108959&amp;reproId=3780066</v>
      </c>
      <c r="M2865">
        <f>VLOOKUP(F2865,Sheet2!$B$1:$E$19,2,FALSE)</f>
        <v>1073</v>
      </c>
      <c r="N2865">
        <f>VLOOKUP(F2865,Sheet2!$B$1:$E$19,3,FALSE)</f>
        <v>1108959</v>
      </c>
      <c r="O2865">
        <f>IF(G2865="Not available","",VLOOKUP(F2865,Sheet2!$B$1:$E$19,4,FALSE)+(G2865-1))</f>
        <v>3780066</v>
      </c>
    </row>
    <row r="2866" spans="1:15" s="1" customFormat="1" ht="15" customHeight="1" x14ac:dyDescent="0.25">
      <c r="A2866" s="19" t="s">
        <v>357</v>
      </c>
      <c r="B2866" s="18" t="s">
        <v>368</v>
      </c>
      <c r="C2866" s="5">
        <v>1799</v>
      </c>
      <c r="E2866" s="1" t="s">
        <v>2</v>
      </c>
      <c r="F2866" s="18">
        <v>2173</v>
      </c>
      <c r="G2866" s="18">
        <v>40</v>
      </c>
      <c r="H2866" s="5">
        <v>75</v>
      </c>
      <c r="I2866" s="1">
        <v>108</v>
      </c>
      <c r="J2866" s="1">
        <v>233</v>
      </c>
      <c r="L2866" t="str">
        <f t="shared" si="44"/>
        <v>http://www.badatelna.eu/reprodukce/?fondId=1073&amp;zaznamId=1108959&amp;reproId=3780033</v>
      </c>
      <c r="M2866">
        <f>VLOOKUP(F2866,Sheet2!$B$1:$E$19,2,FALSE)</f>
        <v>1073</v>
      </c>
      <c r="N2866">
        <f>VLOOKUP(F2866,Sheet2!$B$1:$E$19,3,FALSE)</f>
        <v>1108959</v>
      </c>
      <c r="O2866">
        <f>IF(G2866="Not available","",VLOOKUP(F2866,Sheet2!$B$1:$E$19,4,FALSE)+(G2866-1))</f>
        <v>3780033</v>
      </c>
    </row>
    <row r="2867" spans="1:15" s="1" customFormat="1" ht="15" customHeight="1" x14ac:dyDescent="0.25">
      <c r="A2867" s="19" t="s">
        <v>357</v>
      </c>
      <c r="B2867" s="18" t="s">
        <v>93</v>
      </c>
      <c r="C2867" s="5">
        <v>1807</v>
      </c>
      <c r="E2867" s="1" t="s">
        <v>2</v>
      </c>
      <c r="F2867" s="18">
        <v>2173</v>
      </c>
      <c r="G2867" s="18">
        <v>52</v>
      </c>
      <c r="H2867" s="5">
        <v>98</v>
      </c>
      <c r="I2867" s="1">
        <v>108</v>
      </c>
      <c r="J2867" s="1">
        <v>233</v>
      </c>
      <c r="L2867" t="str">
        <f t="shared" si="44"/>
        <v>http://www.badatelna.eu/reprodukce/?fondId=1073&amp;zaznamId=1108959&amp;reproId=3780045</v>
      </c>
      <c r="M2867">
        <f>VLOOKUP(F2867,Sheet2!$B$1:$E$19,2,FALSE)</f>
        <v>1073</v>
      </c>
      <c r="N2867">
        <f>VLOOKUP(F2867,Sheet2!$B$1:$E$19,3,FALSE)</f>
        <v>1108959</v>
      </c>
      <c r="O2867">
        <f>IF(G2867="Not available","",VLOOKUP(F2867,Sheet2!$B$1:$E$19,4,FALSE)+(G2867-1))</f>
        <v>3780045</v>
      </c>
    </row>
    <row r="2868" spans="1:15" s="1" customFormat="1" ht="15" customHeight="1" x14ac:dyDescent="0.25">
      <c r="A2868" s="18" t="s">
        <v>353</v>
      </c>
      <c r="B2868" s="18" t="s">
        <v>12</v>
      </c>
      <c r="C2868" s="5">
        <v>1791</v>
      </c>
      <c r="D2868" s="1" t="s">
        <v>60</v>
      </c>
      <c r="E2868" s="1" t="s">
        <v>2</v>
      </c>
      <c r="F2868" s="18">
        <v>2173</v>
      </c>
      <c r="G2868" s="18">
        <v>25</v>
      </c>
      <c r="H2868" s="5">
        <v>45</v>
      </c>
      <c r="I2868" s="1">
        <v>108</v>
      </c>
      <c r="J2868" s="1">
        <v>233</v>
      </c>
      <c r="L2868" t="str">
        <f t="shared" si="44"/>
        <v>http://www.badatelna.eu/reprodukce/?fondId=1073&amp;zaznamId=1108959&amp;reproId=3780018</v>
      </c>
      <c r="M2868">
        <f>VLOOKUP(F2868,Sheet2!$B$1:$E$19,2,FALSE)</f>
        <v>1073</v>
      </c>
      <c r="N2868">
        <f>VLOOKUP(F2868,Sheet2!$B$1:$E$19,3,FALSE)</f>
        <v>1108959</v>
      </c>
      <c r="O2868">
        <f>IF(G2868="Not available","",VLOOKUP(F2868,Sheet2!$B$1:$E$19,4,FALSE)+(G2868-1))</f>
        <v>3780018</v>
      </c>
    </row>
    <row r="2869" spans="1:15" s="1" customFormat="1" ht="15" customHeight="1" x14ac:dyDescent="0.25">
      <c r="A2869" s="18" t="s">
        <v>353</v>
      </c>
      <c r="B2869" s="18" t="s">
        <v>40</v>
      </c>
      <c r="C2869" s="5">
        <v>1797</v>
      </c>
      <c r="D2869" s="1" t="s">
        <v>60</v>
      </c>
      <c r="E2869" s="1" t="s">
        <v>2</v>
      </c>
      <c r="F2869" s="18">
        <v>2173</v>
      </c>
      <c r="G2869" s="18">
        <v>35</v>
      </c>
      <c r="H2869" s="5">
        <v>65</v>
      </c>
      <c r="I2869" s="1">
        <v>108</v>
      </c>
      <c r="J2869" s="1">
        <v>233</v>
      </c>
      <c r="L2869" t="str">
        <f t="shared" si="44"/>
        <v>http://www.badatelna.eu/reprodukce/?fondId=1073&amp;zaznamId=1108959&amp;reproId=3780028</v>
      </c>
      <c r="M2869">
        <f>VLOOKUP(F2869,Sheet2!$B$1:$E$19,2,FALSE)</f>
        <v>1073</v>
      </c>
      <c r="N2869">
        <f>VLOOKUP(F2869,Sheet2!$B$1:$E$19,3,FALSE)</f>
        <v>1108959</v>
      </c>
      <c r="O2869">
        <f>IF(G2869="Not available","",VLOOKUP(F2869,Sheet2!$B$1:$E$19,4,FALSE)+(G2869-1))</f>
        <v>3780028</v>
      </c>
    </row>
    <row r="2870" spans="1:15" s="1" customFormat="1" ht="15" customHeight="1" x14ac:dyDescent="0.25">
      <c r="A2870" s="18" t="s">
        <v>353</v>
      </c>
      <c r="B2870" s="18" t="s">
        <v>355</v>
      </c>
      <c r="C2870" s="5">
        <v>1804</v>
      </c>
      <c r="E2870" s="1" t="s">
        <v>2</v>
      </c>
      <c r="F2870" s="18">
        <v>2173</v>
      </c>
      <c r="G2870" s="18">
        <v>48</v>
      </c>
      <c r="H2870" s="5">
        <v>91</v>
      </c>
      <c r="I2870" s="1">
        <v>108</v>
      </c>
      <c r="J2870" s="1">
        <v>233</v>
      </c>
      <c r="L2870" t="str">
        <f t="shared" si="44"/>
        <v>http://www.badatelna.eu/reprodukce/?fondId=1073&amp;zaznamId=1108959&amp;reproId=3780041</v>
      </c>
      <c r="M2870">
        <f>VLOOKUP(F2870,Sheet2!$B$1:$E$19,2,FALSE)</f>
        <v>1073</v>
      </c>
      <c r="N2870">
        <f>VLOOKUP(F2870,Sheet2!$B$1:$E$19,3,FALSE)</f>
        <v>1108959</v>
      </c>
      <c r="O2870">
        <f>IF(G2870="Not available","",VLOOKUP(F2870,Sheet2!$B$1:$E$19,4,FALSE)+(G2870-1))</f>
        <v>3780041</v>
      </c>
    </row>
    <row r="2871" spans="1:15" s="1" customFormat="1" ht="15" customHeight="1" x14ac:dyDescent="0.25">
      <c r="A2871" s="18" t="s">
        <v>353</v>
      </c>
      <c r="B2871" s="18" t="s">
        <v>13</v>
      </c>
      <c r="C2871" s="5">
        <v>1795</v>
      </c>
      <c r="D2871" s="1" t="s">
        <v>60</v>
      </c>
      <c r="E2871" s="1" t="s">
        <v>2</v>
      </c>
      <c r="F2871" s="18">
        <v>2173</v>
      </c>
      <c r="G2871" s="18">
        <v>32</v>
      </c>
      <c r="H2871" s="5">
        <v>59</v>
      </c>
      <c r="I2871" s="1">
        <v>108</v>
      </c>
      <c r="J2871" s="1">
        <v>233</v>
      </c>
      <c r="L2871" t="str">
        <f t="shared" si="44"/>
        <v>http://www.badatelna.eu/reprodukce/?fondId=1073&amp;zaznamId=1108959&amp;reproId=3780025</v>
      </c>
      <c r="M2871">
        <f>VLOOKUP(F2871,Sheet2!$B$1:$E$19,2,FALSE)</f>
        <v>1073</v>
      </c>
      <c r="N2871">
        <f>VLOOKUP(F2871,Sheet2!$B$1:$E$19,3,FALSE)</f>
        <v>1108959</v>
      </c>
      <c r="O2871">
        <f>IF(G2871="Not available","",VLOOKUP(F2871,Sheet2!$B$1:$E$19,4,FALSE)+(G2871-1))</f>
        <v>3780025</v>
      </c>
    </row>
    <row r="2872" spans="1:15" s="1" customFormat="1" ht="15" customHeight="1" x14ac:dyDescent="0.25">
      <c r="A2872" s="18" t="s">
        <v>353</v>
      </c>
      <c r="B2872" s="18" t="s">
        <v>354</v>
      </c>
      <c r="C2872" s="5">
        <v>1789</v>
      </c>
      <c r="D2872" s="1" t="s">
        <v>60</v>
      </c>
      <c r="E2872" s="1" t="s">
        <v>2</v>
      </c>
      <c r="F2872" s="18">
        <v>2173</v>
      </c>
      <c r="G2872" s="18">
        <v>20</v>
      </c>
      <c r="H2872" s="5">
        <v>34</v>
      </c>
      <c r="I2872" s="1">
        <v>108</v>
      </c>
      <c r="J2872" s="1">
        <v>233</v>
      </c>
      <c r="L2872" t="str">
        <f t="shared" si="44"/>
        <v>http://www.badatelna.eu/reprodukce/?fondId=1073&amp;zaznamId=1108959&amp;reproId=3780013</v>
      </c>
      <c r="M2872">
        <f>VLOOKUP(F2872,Sheet2!$B$1:$E$19,2,FALSE)</f>
        <v>1073</v>
      </c>
      <c r="N2872">
        <f>VLOOKUP(F2872,Sheet2!$B$1:$E$19,3,FALSE)</f>
        <v>1108959</v>
      </c>
      <c r="O2872">
        <f>IF(G2872="Not available","",VLOOKUP(F2872,Sheet2!$B$1:$E$19,4,FALSE)+(G2872-1))</f>
        <v>3780013</v>
      </c>
    </row>
    <row r="2873" spans="1:15" s="1" customFormat="1" ht="15" customHeight="1" x14ac:dyDescent="0.25">
      <c r="A2873" s="18" t="s">
        <v>353</v>
      </c>
      <c r="B2873" s="18" t="s">
        <v>38</v>
      </c>
      <c r="C2873" s="5">
        <v>1787</v>
      </c>
      <c r="D2873" s="11"/>
      <c r="E2873" s="1" t="s">
        <v>2</v>
      </c>
      <c r="F2873" s="18">
        <v>2173</v>
      </c>
      <c r="G2873" s="18">
        <v>14</v>
      </c>
      <c r="H2873" s="5">
        <v>23</v>
      </c>
      <c r="I2873" s="1">
        <v>108</v>
      </c>
      <c r="J2873" s="1">
        <v>233</v>
      </c>
      <c r="L2873" t="str">
        <f t="shared" si="44"/>
        <v>http://www.badatelna.eu/reprodukce/?fondId=1073&amp;zaznamId=1108959&amp;reproId=3780007</v>
      </c>
      <c r="M2873">
        <f>VLOOKUP(F2873,Sheet2!$B$1:$E$19,2,FALSE)</f>
        <v>1073</v>
      </c>
      <c r="N2873">
        <f>VLOOKUP(F2873,Sheet2!$B$1:$E$19,3,FALSE)</f>
        <v>1108959</v>
      </c>
      <c r="O2873">
        <f>IF(G2873="Not available","",VLOOKUP(F2873,Sheet2!$B$1:$E$19,4,FALSE)+(G2873-1))</f>
        <v>3780007</v>
      </c>
    </row>
    <row r="2874" spans="1:15" s="1" customFormat="1" ht="15" customHeight="1" x14ac:dyDescent="0.25">
      <c r="A2874" s="18" t="s">
        <v>2512</v>
      </c>
      <c r="B2874" s="18" t="s">
        <v>2513</v>
      </c>
      <c r="C2874" s="10" t="s">
        <v>2026</v>
      </c>
      <c r="D2874" s="3" t="s">
        <v>2505</v>
      </c>
      <c r="E2874" s="4" t="s">
        <v>2</v>
      </c>
      <c r="F2874" s="18">
        <v>2176</v>
      </c>
      <c r="G2874" s="18" t="s">
        <v>3271</v>
      </c>
      <c r="H2874" s="10" t="s">
        <v>2038</v>
      </c>
      <c r="I2874" s="3">
        <v>29</v>
      </c>
      <c r="J2874" s="3" t="s">
        <v>3271</v>
      </c>
      <c r="K2874" s="3"/>
      <c r="L2874" t="str">
        <f t="shared" si="44"/>
        <v/>
      </c>
      <c r="M2874">
        <f>VLOOKUP(F2874,Sheet2!$B$1:$E$19,2,FALSE)</f>
        <v>1073</v>
      </c>
      <c r="N2874">
        <f>VLOOKUP(F2874,Sheet2!$B$1:$E$19,3,FALSE)</f>
        <v>1108963</v>
      </c>
      <c r="O2874" t="str">
        <f>IF(G2874="Not available","",VLOOKUP(F2874,Sheet2!$B$1:$E$19,4,FALSE)+(G2874-1))</f>
        <v/>
      </c>
    </row>
    <row r="2875" spans="1:15" s="1" customFormat="1" ht="15" customHeight="1" x14ac:dyDescent="0.25">
      <c r="A2875" s="19" t="s">
        <v>2967</v>
      </c>
      <c r="B2875" s="19" t="s">
        <v>352</v>
      </c>
      <c r="C2875" s="5">
        <v>1785</v>
      </c>
      <c r="D2875" s="12" t="s">
        <v>2968</v>
      </c>
      <c r="E2875" s="1" t="s">
        <v>2</v>
      </c>
      <c r="F2875" s="18">
        <v>2173</v>
      </c>
      <c r="G2875" s="18">
        <v>10</v>
      </c>
      <c r="H2875" s="14" t="s">
        <v>2895</v>
      </c>
      <c r="I2875" s="1">
        <v>108</v>
      </c>
      <c r="J2875" s="1">
        <v>233</v>
      </c>
      <c r="L2875" t="str">
        <f t="shared" si="44"/>
        <v>http://www.badatelna.eu/reprodukce/?fondId=1073&amp;zaznamId=1108959&amp;reproId=3780003</v>
      </c>
      <c r="M2875">
        <f>VLOOKUP(F2875,Sheet2!$B$1:$E$19,2,FALSE)</f>
        <v>1073</v>
      </c>
      <c r="N2875">
        <f>VLOOKUP(F2875,Sheet2!$B$1:$E$19,3,FALSE)</f>
        <v>1108959</v>
      </c>
      <c r="O2875">
        <f>IF(G2875="Not available","",VLOOKUP(F2875,Sheet2!$B$1:$E$19,4,FALSE)+(G2875-1))</f>
        <v>3780003</v>
      </c>
    </row>
    <row r="2876" spans="1:15" s="1" customFormat="1" ht="15" customHeight="1" x14ac:dyDescent="0.25">
      <c r="A2876" s="18" t="s">
        <v>714</v>
      </c>
      <c r="B2876" s="18" t="s">
        <v>624</v>
      </c>
      <c r="C2876" s="5">
        <v>1834</v>
      </c>
      <c r="D2876" s="1" t="s">
        <v>44</v>
      </c>
      <c r="E2876" s="1" t="s">
        <v>2</v>
      </c>
      <c r="F2876" s="18">
        <v>2174</v>
      </c>
      <c r="G2876" s="18">
        <v>79</v>
      </c>
      <c r="H2876" s="6" t="s">
        <v>3145</v>
      </c>
      <c r="I2876" s="1">
        <v>195</v>
      </c>
      <c r="J2876" s="1">
        <v>229</v>
      </c>
      <c r="K2876" s="4" t="s">
        <v>724</v>
      </c>
      <c r="L2876" t="str">
        <f t="shared" si="44"/>
        <v>http://www.badatelna.eu/reprodukce/?fondId=1073&amp;zaznamId=1108960&amp;reproId=3780303</v>
      </c>
      <c r="M2876">
        <f>VLOOKUP(F2876,Sheet2!$B$1:$E$19,2,FALSE)</f>
        <v>1073</v>
      </c>
      <c r="N2876">
        <f>VLOOKUP(F2876,Sheet2!$B$1:$E$19,3,FALSE)</f>
        <v>1108960</v>
      </c>
      <c r="O2876">
        <f>IF(G2876="Not available","",VLOOKUP(F2876,Sheet2!$B$1:$E$19,4,FALSE)+(G2876-1))</f>
        <v>3780303</v>
      </c>
    </row>
    <row r="2877" spans="1:15" s="1" customFormat="1" ht="15" customHeight="1" x14ac:dyDescent="0.25">
      <c r="A2877" s="19" t="s">
        <v>3104</v>
      </c>
      <c r="B2877" s="18" t="s">
        <v>310</v>
      </c>
      <c r="C2877" s="14" t="s">
        <v>3103</v>
      </c>
      <c r="E2877" s="1" t="s">
        <v>2</v>
      </c>
      <c r="F2877" s="18">
        <v>2174</v>
      </c>
      <c r="G2877" s="18">
        <v>67</v>
      </c>
      <c r="H2877" s="6" t="s">
        <v>3106</v>
      </c>
      <c r="I2877" s="1">
        <v>195</v>
      </c>
      <c r="J2877" s="1">
        <v>229</v>
      </c>
      <c r="L2877" t="str">
        <f t="shared" si="44"/>
        <v>http://www.badatelna.eu/reprodukce/?fondId=1073&amp;zaznamId=1108960&amp;reproId=3780291</v>
      </c>
      <c r="M2877">
        <f>VLOOKUP(F2877,Sheet2!$B$1:$E$19,2,FALSE)</f>
        <v>1073</v>
      </c>
      <c r="N2877">
        <f>VLOOKUP(F2877,Sheet2!$B$1:$E$19,3,FALSE)</f>
        <v>1108960</v>
      </c>
      <c r="O2877">
        <f>IF(G2877="Not available","",VLOOKUP(F2877,Sheet2!$B$1:$E$19,4,FALSE)+(G2877-1))</f>
        <v>3780291</v>
      </c>
    </row>
    <row r="2878" spans="1:15" s="1" customFormat="1" ht="15" customHeight="1" x14ac:dyDescent="0.25">
      <c r="A2878" s="18" t="s">
        <v>362</v>
      </c>
      <c r="B2878" s="18" t="s">
        <v>14</v>
      </c>
      <c r="C2878" s="5">
        <v>1801</v>
      </c>
      <c r="E2878" s="1" t="s">
        <v>2</v>
      </c>
      <c r="F2878" s="18">
        <v>2173</v>
      </c>
      <c r="G2878" s="18">
        <v>44</v>
      </c>
      <c r="H2878" s="5">
        <v>82</v>
      </c>
      <c r="I2878" s="1">
        <v>109</v>
      </c>
      <c r="J2878" s="1">
        <v>237</v>
      </c>
      <c r="L2878" t="str">
        <f t="shared" si="44"/>
        <v>http://www.badatelna.eu/reprodukce/?fondId=1073&amp;zaznamId=1108959&amp;reproId=3780037</v>
      </c>
      <c r="M2878">
        <f>VLOOKUP(F2878,Sheet2!$B$1:$E$19,2,FALSE)</f>
        <v>1073</v>
      </c>
      <c r="N2878">
        <f>VLOOKUP(F2878,Sheet2!$B$1:$E$19,3,FALSE)</f>
        <v>1108959</v>
      </c>
      <c r="O2878">
        <f>IF(G2878="Not available","",VLOOKUP(F2878,Sheet2!$B$1:$E$19,4,FALSE)+(G2878-1))</f>
        <v>3780037</v>
      </c>
    </row>
    <row r="2879" spans="1:15" s="1" customFormat="1" ht="15" customHeight="1" x14ac:dyDescent="0.25">
      <c r="A2879" s="19" t="s">
        <v>362</v>
      </c>
      <c r="B2879" s="18" t="s">
        <v>360</v>
      </c>
      <c r="C2879" s="5">
        <v>1789</v>
      </c>
      <c r="E2879" s="1" t="s">
        <v>2</v>
      </c>
      <c r="F2879" s="18">
        <v>2173</v>
      </c>
      <c r="G2879" s="18">
        <v>21</v>
      </c>
      <c r="H2879" s="5">
        <v>37</v>
      </c>
      <c r="I2879" s="1">
        <v>109</v>
      </c>
      <c r="J2879" s="1">
        <v>237</v>
      </c>
      <c r="L2879" t="str">
        <f t="shared" si="44"/>
        <v>http://www.badatelna.eu/reprodukce/?fondId=1073&amp;zaznamId=1108959&amp;reproId=3780014</v>
      </c>
      <c r="M2879">
        <f>VLOOKUP(F2879,Sheet2!$B$1:$E$19,2,FALSE)</f>
        <v>1073</v>
      </c>
      <c r="N2879">
        <f>VLOOKUP(F2879,Sheet2!$B$1:$E$19,3,FALSE)</f>
        <v>1108959</v>
      </c>
      <c r="O2879">
        <f>IF(G2879="Not available","",VLOOKUP(F2879,Sheet2!$B$1:$E$19,4,FALSE)+(G2879-1))</f>
        <v>3780014</v>
      </c>
    </row>
    <row r="2880" spans="1:15" s="1" customFormat="1" ht="15" customHeight="1" x14ac:dyDescent="0.25">
      <c r="A2880" s="18" t="s">
        <v>362</v>
      </c>
      <c r="B2880" s="18" t="s">
        <v>6</v>
      </c>
      <c r="C2880" s="5">
        <v>1806</v>
      </c>
      <c r="E2880" s="1" t="s">
        <v>2</v>
      </c>
      <c r="F2880" s="18">
        <v>2173</v>
      </c>
      <c r="G2880" s="18">
        <v>51</v>
      </c>
      <c r="H2880" s="5">
        <v>97</v>
      </c>
      <c r="I2880" s="1">
        <v>109</v>
      </c>
      <c r="J2880" s="1">
        <v>237</v>
      </c>
      <c r="L2880" t="str">
        <f t="shared" si="44"/>
        <v>http://www.badatelna.eu/reprodukce/?fondId=1073&amp;zaznamId=1108959&amp;reproId=3780044</v>
      </c>
      <c r="M2880">
        <f>VLOOKUP(F2880,Sheet2!$B$1:$E$19,2,FALSE)</f>
        <v>1073</v>
      </c>
      <c r="N2880">
        <f>VLOOKUP(F2880,Sheet2!$B$1:$E$19,3,FALSE)</f>
        <v>1108959</v>
      </c>
      <c r="O2880">
        <f>IF(G2880="Not available","",VLOOKUP(F2880,Sheet2!$B$1:$E$19,4,FALSE)+(G2880-1))</f>
        <v>3780044</v>
      </c>
    </row>
    <row r="2881" spans="1:15" s="1" customFormat="1" ht="15" customHeight="1" x14ac:dyDescent="0.25">
      <c r="A2881" s="18" t="s">
        <v>362</v>
      </c>
      <c r="B2881" s="18" t="s">
        <v>12</v>
      </c>
      <c r="C2881" s="5">
        <v>1813</v>
      </c>
      <c r="E2881" s="1" t="s">
        <v>2</v>
      </c>
      <c r="F2881" s="18">
        <v>2173</v>
      </c>
      <c r="G2881" s="18">
        <v>61</v>
      </c>
      <c r="H2881" s="5">
        <v>117</v>
      </c>
      <c r="I2881" s="1">
        <v>109</v>
      </c>
      <c r="J2881" s="1">
        <v>237</v>
      </c>
      <c r="K2881" s="4" t="s">
        <v>363</v>
      </c>
      <c r="L2881" t="str">
        <f t="shared" si="44"/>
        <v>http://www.badatelna.eu/reprodukce/?fondId=1073&amp;zaznamId=1108959&amp;reproId=3780054</v>
      </c>
      <c r="M2881">
        <f>VLOOKUP(F2881,Sheet2!$B$1:$E$19,2,FALSE)</f>
        <v>1073</v>
      </c>
      <c r="N2881">
        <f>VLOOKUP(F2881,Sheet2!$B$1:$E$19,3,FALSE)</f>
        <v>1108959</v>
      </c>
      <c r="O2881">
        <f>IF(G2881="Not available","",VLOOKUP(F2881,Sheet2!$B$1:$E$19,4,FALSE)+(G2881-1))</f>
        <v>3780054</v>
      </c>
    </row>
    <row r="2882" spans="1:15" s="1" customFormat="1" ht="15" customHeight="1" x14ac:dyDescent="0.25">
      <c r="A2882" s="18" t="s">
        <v>362</v>
      </c>
      <c r="B2882" s="18" t="s">
        <v>228</v>
      </c>
      <c r="C2882" s="5">
        <v>1808</v>
      </c>
      <c r="E2882" s="1" t="s">
        <v>2</v>
      </c>
      <c r="F2882" s="18">
        <v>2173</v>
      </c>
      <c r="G2882" s="18">
        <v>54</v>
      </c>
      <c r="H2882" s="5">
        <v>102</v>
      </c>
      <c r="I2882" s="1">
        <v>109</v>
      </c>
      <c r="J2882" s="1">
        <v>237</v>
      </c>
      <c r="L2882" t="str">
        <f t="shared" si="44"/>
        <v>http://www.badatelna.eu/reprodukce/?fondId=1073&amp;zaznamId=1108959&amp;reproId=3780047</v>
      </c>
      <c r="M2882">
        <f>VLOOKUP(F2882,Sheet2!$B$1:$E$19,2,FALSE)</f>
        <v>1073</v>
      </c>
      <c r="N2882">
        <f>VLOOKUP(F2882,Sheet2!$B$1:$E$19,3,FALSE)</f>
        <v>1108959</v>
      </c>
      <c r="O2882">
        <f>IF(G2882="Not available","",VLOOKUP(F2882,Sheet2!$B$1:$E$19,4,FALSE)+(G2882-1))</f>
        <v>3780047</v>
      </c>
    </row>
    <row r="2883" spans="1:15" s="1" customFormat="1" ht="15" customHeight="1" x14ac:dyDescent="0.25">
      <c r="A2883" s="18" t="s">
        <v>362</v>
      </c>
      <c r="B2883" s="18" t="s">
        <v>11</v>
      </c>
      <c r="C2883" s="5">
        <v>1813</v>
      </c>
      <c r="E2883" s="1" t="s">
        <v>2</v>
      </c>
      <c r="F2883" s="18">
        <v>2173</v>
      </c>
      <c r="G2883" s="18">
        <v>61</v>
      </c>
      <c r="H2883" s="5">
        <v>117</v>
      </c>
      <c r="I2883" s="1">
        <v>109</v>
      </c>
      <c r="J2883" s="1">
        <v>237</v>
      </c>
      <c r="K2883" s="4" t="s">
        <v>363</v>
      </c>
      <c r="L2883" t="str">
        <f t="shared" ref="L2883:L2946" si="45">IF(G2883="Not available","","http://www.badatelna.eu/reprodukce/?fondId="&amp;M2883&amp;"&amp;zaznamId="&amp;N2883&amp;"&amp;reproId="&amp;O2883)</f>
        <v>http://www.badatelna.eu/reprodukce/?fondId=1073&amp;zaznamId=1108959&amp;reproId=3780054</v>
      </c>
      <c r="M2883">
        <f>VLOOKUP(F2883,Sheet2!$B$1:$E$19,2,FALSE)</f>
        <v>1073</v>
      </c>
      <c r="N2883">
        <f>VLOOKUP(F2883,Sheet2!$B$1:$E$19,3,FALSE)</f>
        <v>1108959</v>
      </c>
      <c r="O2883">
        <f>IF(G2883="Not available","",VLOOKUP(F2883,Sheet2!$B$1:$E$19,4,FALSE)+(G2883-1))</f>
        <v>3780054</v>
      </c>
    </row>
    <row r="2884" spans="1:15" s="1" customFormat="1" ht="15" customHeight="1" x14ac:dyDescent="0.25">
      <c r="A2884" s="18" t="s">
        <v>362</v>
      </c>
      <c r="B2884" s="18" t="s">
        <v>44</v>
      </c>
      <c r="C2884" s="5">
        <v>1802</v>
      </c>
      <c r="E2884" s="1" t="s">
        <v>2</v>
      </c>
      <c r="F2884" s="18">
        <v>2173</v>
      </c>
      <c r="G2884" s="18">
        <v>45</v>
      </c>
      <c r="H2884" s="5">
        <v>84</v>
      </c>
      <c r="I2884" s="1">
        <v>109</v>
      </c>
      <c r="J2884" s="1">
        <v>237</v>
      </c>
      <c r="L2884" t="str">
        <f t="shared" si="45"/>
        <v>http://www.badatelna.eu/reprodukce/?fondId=1073&amp;zaznamId=1108959&amp;reproId=3780038</v>
      </c>
      <c r="M2884">
        <f>VLOOKUP(F2884,Sheet2!$B$1:$E$19,2,FALSE)</f>
        <v>1073</v>
      </c>
      <c r="N2884">
        <f>VLOOKUP(F2884,Sheet2!$B$1:$E$19,3,FALSE)</f>
        <v>1108959</v>
      </c>
      <c r="O2884">
        <f>IF(G2884="Not available","",VLOOKUP(F2884,Sheet2!$B$1:$E$19,4,FALSE)+(G2884-1))</f>
        <v>3780038</v>
      </c>
    </row>
    <row r="2885" spans="1:15" s="1" customFormat="1" ht="15" customHeight="1" x14ac:dyDescent="0.25">
      <c r="A2885" s="18" t="s">
        <v>362</v>
      </c>
      <c r="B2885" s="19" t="s">
        <v>76</v>
      </c>
      <c r="C2885" s="5">
        <v>1794</v>
      </c>
      <c r="E2885" s="1" t="s">
        <v>2</v>
      </c>
      <c r="F2885" s="18">
        <v>2173</v>
      </c>
      <c r="G2885" s="18">
        <v>31</v>
      </c>
      <c r="H2885" s="5">
        <v>56</v>
      </c>
      <c r="I2885" s="1">
        <v>109</v>
      </c>
      <c r="J2885" s="1">
        <v>237</v>
      </c>
      <c r="L2885" t="str">
        <f t="shared" si="45"/>
        <v>http://www.badatelna.eu/reprodukce/?fondId=1073&amp;zaznamId=1108959&amp;reproId=3780024</v>
      </c>
      <c r="M2885">
        <f>VLOOKUP(F2885,Sheet2!$B$1:$E$19,2,FALSE)</f>
        <v>1073</v>
      </c>
      <c r="N2885">
        <f>VLOOKUP(F2885,Sheet2!$B$1:$E$19,3,FALSE)</f>
        <v>1108959</v>
      </c>
      <c r="O2885">
        <f>IF(G2885="Not available","",VLOOKUP(F2885,Sheet2!$B$1:$E$19,4,FALSE)+(G2885-1))</f>
        <v>3780024</v>
      </c>
    </row>
    <row r="2886" spans="1:15" s="1" customFormat="1" ht="15" customHeight="1" x14ac:dyDescent="0.25">
      <c r="A2886" s="18" t="s">
        <v>358</v>
      </c>
      <c r="B2886" s="18" t="s">
        <v>963</v>
      </c>
      <c r="C2886" s="10" t="s">
        <v>2015</v>
      </c>
      <c r="D2886" s="3" t="s">
        <v>2532</v>
      </c>
      <c r="E2886" s="4" t="s">
        <v>2</v>
      </c>
      <c r="F2886" s="18">
        <v>2176</v>
      </c>
      <c r="G2886" s="18" t="s">
        <v>3271</v>
      </c>
      <c r="H2886" s="10" t="s">
        <v>1976</v>
      </c>
      <c r="I2886" s="3">
        <v>31</v>
      </c>
      <c r="J2886" s="3" t="s">
        <v>3271</v>
      </c>
      <c r="K2886" s="3"/>
      <c r="L2886" t="str">
        <f t="shared" si="45"/>
        <v/>
      </c>
      <c r="M2886">
        <f>VLOOKUP(F2886,Sheet2!$B$1:$E$19,2,FALSE)</f>
        <v>1073</v>
      </c>
      <c r="N2886">
        <f>VLOOKUP(F2886,Sheet2!$B$1:$E$19,3,FALSE)</f>
        <v>1108963</v>
      </c>
      <c r="O2886" t="str">
        <f>IF(G2886="Not available","",VLOOKUP(F2886,Sheet2!$B$1:$E$19,4,FALSE)+(G2886-1))</f>
        <v/>
      </c>
    </row>
    <row r="2887" spans="1:15" s="1" customFormat="1" ht="15" customHeight="1" x14ac:dyDescent="0.25">
      <c r="A2887" s="18" t="s">
        <v>358</v>
      </c>
      <c r="B2887" s="18" t="s">
        <v>963</v>
      </c>
      <c r="C2887" s="10" t="s">
        <v>2041</v>
      </c>
      <c r="D2887" s="3" t="s">
        <v>2538</v>
      </c>
      <c r="E2887" s="4" t="s">
        <v>2</v>
      </c>
      <c r="F2887" s="18">
        <v>2176</v>
      </c>
      <c r="G2887" s="18" t="s">
        <v>3271</v>
      </c>
      <c r="H2887" s="10" t="s">
        <v>2075</v>
      </c>
      <c r="I2887" s="3">
        <v>31</v>
      </c>
      <c r="J2887" s="3" t="s">
        <v>3271</v>
      </c>
      <c r="K2887" s="3"/>
      <c r="L2887" t="str">
        <f t="shared" si="45"/>
        <v/>
      </c>
      <c r="M2887">
        <f>VLOOKUP(F2887,Sheet2!$B$1:$E$19,2,FALSE)</f>
        <v>1073</v>
      </c>
      <c r="N2887">
        <f>VLOOKUP(F2887,Sheet2!$B$1:$E$19,3,FALSE)</f>
        <v>1108963</v>
      </c>
      <c r="O2887" t="str">
        <f>IF(G2887="Not available","",VLOOKUP(F2887,Sheet2!$B$1:$E$19,4,FALSE)+(G2887-1))</f>
        <v/>
      </c>
    </row>
    <row r="2888" spans="1:15" s="1" customFormat="1" ht="15" customHeight="1" x14ac:dyDescent="0.25">
      <c r="A2888" s="18" t="s">
        <v>358</v>
      </c>
      <c r="B2888" s="18" t="s">
        <v>963</v>
      </c>
      <c r="C2888" s="5">
        <v>1884</v>
      </c>
      <c r="D2888" s="1" t="s">
        <v>948</v>
      </c>
      <c r="E2888" s="1" t="s">
        <v>2</v>
      </c>
      <c r="F2888" s="18">
        <v>2165</v>
      </c>
      <c r="G2888" s="18">
        <v>193</v>
      </c>
      <c r="H2888" s="5">
        <v>1</v>
      </c>
      <c r="I2888" s="1">
        <v>196</v>
      </c>
      <c r="J2888" s="1">
        <v>173</v>
      </c>
      <c r="L2888" t="str">
        <f t="shared" si="45"/>
        <v>http://www.badatelna.eu/reprodukce/?fondId=1073&amp;zaznamId=1108952&amp;reproId=3779054</v>
      </c>
      <c r="M2888">
        <f>VLOOKUP(F2888,Sheet2!$B$1:$E$19,2,FALSE)</f>
        <v>1073</v>
      </c>
      <c r="N2888">
        <f>VLOOKUP(F2888,Sheet2!$B$1:$E$19,3,FALSE)</f>
        <v>1108952</v>
      </c>
      <c r="O2888">
        <f>IF(G2888="Not available","",VLOOKUP(F2888,Sheet2!$B$1:$E$19,4,FALSE)+(G2888-1))</f>
        <v>3779054</v>
      </c>
    </row>
    <row r="2889" spans="1:15" s="1" customFormat="1" ht="15" customHeight="1" x14ac:dyDescent="0.25">
      <c r="A2889" s="18" t="s">
        <v>358</v>
      </c>
      <c r="B2889" s="18" t="s">
        <v>1968</v>
      </c>
      <c r="C2889" s="10" t="s">
        <v>1949</v>
      </c>
      <c r="D2889" s="3" t="s">
        <v>2532</v>
      </c>
      <c r="E2889" s="4" t="s">
        <v>2</v>
      </c>
      <c r="F2889" s="18">
        <v>2176</v>
      </c>
      <c r="G2889" s="18" t="s">
        <v>3271</v>
      </c>
      <c r="H2889" s="10" t="s">
        <v>2083</v>
      </c>
      <c r="I2889" s="3">
        <v>31</v>
      </c>
      <c r="J2889" s="3" t="s">
        <v>3271</v>
      </c>
      <c r="K2889" s="3"/>
      <c r="L2889" t="str">
        <f t="shared" si="45"/>
        <v/>
      </c>
      <c r="M2889">
        <f>VLOOKUP(F2889,Sheet2!$B$1:$E$19,2,FALSE)</f>
        <v>1073</v>
      </c>
      <c r="N2889">
        <f>VLOOKUP(F2889,Sheet2!$B$1:$E$19,3,FALSE)</f>
        <v>1108963</v>
      </c>
      <c r="O2889" t="str">
        <f>IF(G2889="Not available","",VLOOKUP(F2889,Sheet2!$B$1:$E$19,4,FALSE)+(G2889-1))</f>
        <v/>
      </c>
    </row>
    <row r="2890" spans="1:15" s="1" customFormat="1" ht="15" customHeight="1" x14ac:dyDescent="0.25">
      <c r="A2890" s="18" t="s">
        <v>358</v>
      </c>
      <c r="B2890" s="18" t="s">
        <v>985</v>
      </c>
      <c r="C2890" s="5">
        <v>1884</v>
      </c>
      <c r="D2890" s="4" t="s">
        <v>1120</v>
      </c>
      <c r="E2890" s="1" t="s">
        <v>2</v>
      </c>
      <c r="F2890" s="18">
        <v>2165</v>
      </c>
      <c r="G2890" s="18">
        <v>193</v>
      </c>
      <c r="H2890" s="5">
        <v>1</v>
      </c>
      <c r="I2890" s="1">
        <v>196</v>
      </c>
      <c r="J2890" s="1">
        <v>173</v>
      </c>
      <c r="L2890" t="str">
        <f t="shared" si="45"/>
        <v>http://www.badatelna.eu/reprodukce/?fondId=1073&amp;zaznamId=1108952&amp;reproId=3779054</v>
      </c>
      <c r="M2890">
        <f>VLOOKUP(F2890,Sheet2!$B$1:$E$19,2,FALSE)</f>
        <v>1073</v>
      </c>
      <c r="N2890">
        <f>VLOOKUP(F2890,Sheet2!$B$1:$E$19,3,FALSE)</f>
        <v>1108952</v>
      </c>
      <c r="O2890">
        <f>IF(G2890="Not available","",VLOOKUP(F2890,Sheet2!$B$1:$E$19,4,FALSE)+(G2890-1))</f>
        <v>3779054</v>
      </c>
    </row>
    <row r="2891" spans="1:15" s="1" customFormat="1" ht="15" customHeight="1" x14ac:dyDescent="0.25">
      <c r="A2891" s="18" t="s">
        <v>358</v>
      </c>
      <c r="B2891" s="18" t="s">
        <v>2154</v>
      </c>
      <c r="C2891" s="10" t="s">
        <v>2041</v>
      </c>
      <c r="D2891" s="3" t="s">
        <v>2536</v>
      </c>
      <c r="E2891" s="4" t="s">
        <v>2</v>
      </c>
      <c r="F2891" s="18">
        <v>2176</v>
      </c>
      <c r="G2891" s="18" t="s">
        <v>3271</v>
      </c>
      <c r="H2891" s="10" t="s">
        <v>2142</v>
      </c>
      <c r="I2891" s="3">
        <v>31</v>
      </c>
      <c r="J2891" s="3" t="s">
        <v>3271</v>
      </c>
      <c r="K2891" s="3"/>
      <c r="L2891" t="str">
        <f t="shared" si="45"/>
        <v/>
      </c>
      <c r="M2891">
        <f>VLOOKUP(F2891,Sheet2!$B$1:$E$19,2,FALSE)</f>
        <v>1073</v>
      </c>
      <c r="N2891">
        <f>VLOOKUP(F2891,Sheet2!$B$1:$E$19,3,FALSE)</f>
        <v>1108963</v>
      </c>
      <c r="O2891" t="str">
        <f>IF(G2891="Not available","",VLOOKUP(F2891,Sheet2!$B$1:$E$19,4,FALSE)+(G2891-1))</f>
        <v/>
      </c>
    </row>
    <row r="2892" spans="1:15" s="1" customFormat="1" ht="15" customHeight="1" x14ac:dyDescent="0.25">
      <c r="A2892" s="18" t="s">
        <v>358</v>
      </c>
      <c r="B2892" s="18" t="s">
        <v>2096</v>
      </c>
      <c r="C2892" s="10" t="s">
        <v>2452</v>
      </c>
      <c r="D2892" s="3" t="s">
        <v>2542</v>
      </c>
      <c r="E2892" s="4" t="s">
        <v>2</v>
      </c>
      <c r="F2892" s="18">
        <v>2176</v>
      </c>
      <c r="G2892" s="18" t="s">
        <v>3271</v>
      </c>
      <c r="H2892" s="10" t="s">
        <v>1954</v>
      </c>
      <c r="I2892" s="3">
        <v>32</v>
      </c>
      <c r="J2892" s="3" t="s">
        <v>3271</v>
      </c>
      <c r="K2892" s="3"/>
      <c r="L2892" t="str">
        <f t="shared" si="45"/>
        <v/>
      </c>
      <c r="M2892">
        <f>VLOOKUP(F2892,Sheet2!$B$1:$E$19,2,FALSE)</f>
        <v>1073</v>
      </c>
      <c r="N2892">
        <f>VLOOKUP(F2892,Sheet2!$B$1:$E$19,3,FALSE)</f>
        <v>1108963</v>
      </c>
      <c r="O2892" t="str">
        <f>IF(G2892="Not available","",VLOOKUP(F2892,Sheet2!$B$1:$E$19,4,FALSE)+(G2892-1))</f>
        <v/>
      </c>
    </row>
    <row r="2893" spans="1:15" s="1" customFormat="1" ht="15" customHeight="1" x14ac:dyDescent="0.25">
      <c r="A2893" s="18" t="s">
        <v>358</v>
      </c>
      <c r="B2893" s="18" t="s">
        <v>897</v>
      </c>
      <c r="C2893" s="5">
        <v>1889</v>
      </c>
      <c r="D2893" s="1" t="s">
        <v>233</v>
      </c>
      <c r="E2893" s="1" t="s">
        <v>2</v>
      </c>
      <c r="F2893" s="18">
        <v>2165</v>
      </c>
      <c r="G2893" s="18">
        <v>223</v>
      </c>
      <c r="H2893" s="5">
        <v>3</v>
      </c>
      <c r="I2893" s="1">
        <v>225</v>
      </c>
      <c r="J2893" s="1">
        <v>201</v>
      </c>
      <c r="L2893" t="str">
        <f t="shared" si="45"/>
        <v>http://www.badatelna.eu/reprodukce/?fondId=1073&amp;zaznamId=1108952&amp;reproId=3779084</v>
      </c>
      <c r="M2893">
        <f>VLOOKUP(F2893,Sheet2!$B$1:$E$19,2,FALSE)</f>
        <v>1073</v>
      </c>
      <c r="N2893">
        <f>VLOOKUP(F2893,Sheet2!$B$1:$E$19,3,FALSE)</f>
        <v>1108952</v>
      </c>
      <c r="O2893">
        <f>IF(G2893="Not available","",VLOOKUP(F2893,Sheet2!$B$1:$E$19,4,FALSE)+(G2893-1))</f>
        <v>3779084</v>
      </c>
    </row>
    <row r="2894" spans="1:15" s="1" customFormat="1" ht="15" customHeight="1" x14ac:dyDescent="0.25">
      <c r="A2894" s="18" t="s">
        <v>358</v>
      </c>
      <c r="B2894" s="18" t="s">
        <v>2189</v>
      </c>
      <c r="C2894" s="10" t="s">
        <v>2068</v>
      </c>
      <c r="D2894" s="3" t="s">
        <v>2532</v>
      </c>
      <c r="E2894" s="4" t="s">
        <v>2</v>
      </c>
      <c r="F2894" s="18">
        <v>2176</v>
      </c>
      <c r="G2894" s="18" t="s">
        <v>3271</v>
      </c>
      <c r="H2894" s="10" t="s">
        <v>1959</v>
      </c>
      <c r="I2894" s="3">
        <v>31</v>
      </c>
      <c r="J2894" s="3" t="s">
        <v>3271</v>
      </c>
      <c r="K2894" s="3"/>
      <c r="L2894" t="str">
        <f t="shared" si="45"/>
        <v/>
      </c>
      <c r="M2894">
        <f>VLOOKUP(F2894,Sheet2!$B$1:$E$19,2,FALSE)</f>
        <v>1073</v>
      </c>
      <c r="N2894">
        <f>VLOOKUP(F2894,Sheet2!$B$1:$E$19,3,FALSE)</f>
        <v>1108963</v>
      </c>
      <c r="O2894" t="str">
        <f>IF(G2894="Not available","",VLOOKUP(F2894,Sheet2!$B$1:$E$19,4,FALSE)+(G2894-1))</f>
        <v/>
      </c>
    </row>
    <row r="2895" spans="1:15" s="1" customFormat="1" ht="15" customHeight="1" x14ac:dyDescent="0.25">
      <c r="A2895" s="18" t="s">
        <v>358</v>
      </c>
      <c r="B2895" s="18" t="s">
        <v>816</v>
      </c>
      <c r="C2895" s="5" t="s">
        <v>1731</v>
      </c>
      <c r="D2895" s="1" t="s">
        <v>948</v>
      </c>
      <c r="E2895" s="1" t="s">
        <v>2</v>
      </c>
      <c r="F2895" s="18">
        <v>2165</v>
      </c>
      <c r="G2895" s="18">
        <v>167</v>
      </c>
      <c r="H2895" s="5">
        <v>3</v>
      </c>
      <c r="I2895" s="1">
        <v>171</v>
      </c>
      <c r="J2895" s="1">
        <v>149</v>
      </c>
      <c r="L2895" t="str">
        <f t="shared" si="45"/>
        <v>http://www.badatelna.eu/reprodukce/?fondId=1073&amp;zaznamId=1108952&amp;reproId=3779028</v>
      </c>
      <c r="M2895">
        <f>VLOOKUP(F2895,Sheet2!$B$1:$E$19,2,FALSE)</f>
        <v>1073</v>
      </c>
      <c r="N2895">
        <f>VLOOKUP(F2895,Sheet2!$B$1:$E$19,3,FALSE)</f>
        <v>1108952</v>
      </c>
      <c r="O2895">
        <f>IF(G2895="Not available","",VLOOKUP(F2895,Sheet2!$B$1:$E$19,4,FALSE)+(G2895-1))</f>
        <v>3779028</v>
      </c>
    </row>
    <row r="2896" spans="1:15" s="1" customFormat="1" ht="15" customHeight="1" x14ac:dyDescent="0.25">
      <c r="A2896" s="18" t="s">
        <v>358</v>
      </c>
      <c r="B2896" s="18" t="s">
        <v>482</v>
      </c>
      <c r="C2896" s="5">
        <v>1843</v>
      </c>
      <c r="D2896" s="1" t="s">
        <v>715</v>
      </c>
      <c r="E2896" s="1" t="s">
        <v>2</v>
      </c>
      <c r="F2896" s="18">
        <v>2174</v>
      </c>
      <c r="G2896" s="18">
        <v>134</v>
      </c>
      <c r="H2896" s="6" t="s">
        <v>3201</v>
      </c>
      <c r="I2896" s="1">
        <v>195</v>
      </c>
      <c r="J2896" s="1">
        <v>229</v>
      </c>
      <c r="L2896" t="str">
        <f t="shared" si="45"/>
        <v>http://www.badatelna.eu/reprodukce/?fondId=1073&amp;zaznamId=1108960&amp;reproId=3780358</v>
      </c>
      <c r="M2896">
        <f>VLOOKUP(F2896,Sheet2!$B$1:$E$19,2,FALSE)</f>
        <v>1073</v>
      </c>
      <c r="N2896">
        <f>VLOOKUP(F2896,Sheet2!$B$1:$E$19,3,FALSE)</f>
        <v>1108960</v>
      </c>
      <c r="O2896">
        <f>IF(G2896="Not available","",VLOOKUP(F2896,Sheet2!$B$1:$E$19,4,FALSE)+(G2896-1))</f>
        <v>3780358</v>
      </c>
    </row>
    <row r="2897" spans="1:15" s="1" customFormat="1" ht="15" customHeight="1" x14ac:dyDescent="0.25">
      <c r="A2897" s="18" t="s">
        <v>358</v>
      </c>
      <c r="B2897" s="18" t="s">
        <v>249</v>
      </c>
      <c r="C2897" s="5">
        <v>1797</v>
      </c>
      <c r="D2897" s="1" t="s">
        <v>4</v>
      </c>
      <c r="E2897" s="1" t="s">
        <v>2</v>
      </c>
      <c r="F2897" s="18">
        <v>2173</v>
      </c>
      <c r="G2897" s="18">
        <v>35</v>
      </c>
      <c r="H2897" s="5">
        <v>65</v>
      </c>
      <c r="I2897" s="1">
        <v>109</v>
      </c>
      <c r="J2897" s="1">
        <v>237</v>
      </c>
      <c r="L2897" t="str">
        <f t="shared" si="45"/>
        <v>http://www.badatelna.eu/reprodukce/?fondId=1073&amp;zaznamId=1108959&amp;reproId=3780028</v>
      </c>
      <c r="M2897">
        <f>VLOOKUP(F2897,Sheet2!$B$1:$E$19,2,FALSE)</f>
        <v>1073</v>
      </c>
      <c r="N2897">
        <f>VLOOKUP(F2897,Sheet2!$B$1:$E$19,3,FALSE)</f>
        <v>1108959</v>
      </c>
      <c r="O2897">
        <f>IF(G2897="Not available","",VLOOKUP(F2897,Sheet2!$B$1:$E$19,4,FALSE)+(G2897-1))</f>
        <v>3780028</v>
      </c>
    </row>
    <row r="2898" spans="1:15" s="1" customFormat="1" ht="15" customHeight="1" x14ac:dyDescent="0.25">
      <c r="A2898" s="18" t="s">
        <v>358</v>
      </c>
      <c r="B2898" s="18" t="s">
        <v>2261</v>
      </c>
      <c r="C2898" s="14" t="s">
        <v>2043</v>
      </c>
      <c r="D2898" s="3" t="s">
        <v>2215</v>
      </c>
      <c r="E2898" s="4" t="s">
        <v>2</v>
      </c>
      <c r="F2898" s="18">
        <v>2176</v>
      </c>
      <c r="G2898" s="18" t="s">
        <v>3271</v>
      </c>
      <c r="H2898" s="10" t="s">
        <v>2332</v>
      </c>
      <c r="I2898" s="3">
        <v>31</v>
      </c>
      <c r="J2898" s="3" t="s">
        <v>3271</v>
      </c>
      <c r="K2898" s="3"/>
      <c r="L2898" t="str">
        <f t="shared" si="45"/>
        <v/>
      </c>
      <c r="M2898">
        <f>VLOOKUP(F2898,Sheet2!$B$1:$E$19,2,FALSE)</f>
        <v>1073</v>
      </c>
      <c r="N2898">
        <f>VLOOKUP(F2898,Sheet2!$B$1:$E$19,3,FALSE)</f>
        <v>1108963</v>
      </c>
      <c r="O2898" t="str">
        <f>IF(G2898="Not available","",VLOOKUP(F2898,Sheet2!$B$1:$E$19,4,FALSE)+(G2898-1))</f>
        <v/>
      </c>
    </row>
    <row r="2899" spans="1:15" s="1" customFormat="1" ht="15" customHeight="1" x14ac:dyDescent="0.25">
      <c r="A2899" s="18" t="s">
        <v>358</v>
      </c>
      <c r="B2899" s="18" t="s">
        <v>769</v>
      </c>
      <c r="C2899" s="10" t="s">
        <v>2043</v>
      </c>
      <c r="D2899" s="3" t="s">
        <v>2533</v>
      </c>
      <c r="E2899" s="4" t="s">
        <v>2</v>
      </c>
      <c r="F2899" s="18">
        <v>2176</v>
      </c>
      <c r="G2899" s="18" t="s">
        <v>3271</v>
      </c>
      <c r="H2899" s="10" t="s">
        <v>2031</v>
      </c>
      <c r="I2899" s="3">
        <v>31</v>
      </c>
      <c r="J2899" s="3" t="s">
        <v>3271</v>
      </c>
      <c r="K2899" s="3"/>
      <c r="L2899" t="str">
        <f t="shared" si="45"/>
        <v/>
      </c>
      <c r="M2899">
        <f>VLOOKUP(F2899,Sheet2!$B$1:$E$19,2,FALSE)</f>
        <v>1073</v>
      </c>
      <c r="N2899">
        <f>VLOOKUP(F2899,Sheet2!$B$1:$E$19,3,FALSE)</f>
        <v>1108963</v>
      </c>
      <c r="O2899" t="str">
        <f>IF(G2899="Not available","",VLOOKUP(F2899,Sheet2!$B$1:$E$19,4,FALSE)+(G2899-1))</f>
        <v/>
      </c>
    </row>
    <row r="2900" spans="1:15" s="1" customFormat="1" ht="15" customHeight="1" x14ac:dyDescent="0.25">
      <c r="A2900" s="18" t="s">
        <v>358</v>
      </c>
      <c r="B2900" s="18" t="s">
        <v>769</v>
      </c>
      <c r="C2900" s="5">
        <v>1885</v>
      </c>
      <c r="D2900" s="1" t="s">
        <v>948</v>
      </c>
      <c r="E2900" s="1" t="s">
        <v>2</v>
      </c>
      <c r="F2900" s="18">
        <v>2165</v>
      </c>
      <c r="G2900" s="18">
        <v>201</v>
      </c>
      <c r="H2900" s="5">
        <v>3</v>
      </c>
      <c r="I2900" s="1">
        <v>204</v>
      </c>
      <c r="J2900" s="1">
        <v>187</v>
      </c>
      <c r="L2900" t="str">
        <f t="shared" si="45"/>
        <v>http://www.badatelna.eu/reprodukce/?fondId=1073&amp;zaznamId=1108952&amp;reproId=3779062</v>
      </c>
      <c r="M2900">
        <f>VLOOKUP(F2900,Sheet2!$B$1:$E$19,2,FALSE)</f>
        <v>1073</v>
      </c>
      <c r="N2900">
        <f>VLOOKUP(F2900,Sheet2!$B$1:$E$19,3,FALSE)</f>
        <v>1108952</v>
      </c>
      <c r="O2900">
        <f>IF(G2900="Not available","",VLOOKUP(F2900,Sheet2!$B$1:$E$19,4,FALSE)+(G2900-1))</f>
        <v>3779062</v>
      </c>
    </row>
    <row r="2901" spans="1:15" s="1" customFormat="1" ht="15" customHeight="1" x14ac:dyDescent="0.25">
      <c r="A2901" s="18" t="s">
        <v>358</v>
      </c>
      <c r="B2901" s="18" t="s">
        <v>789</v>
      </c>
      <c r="C2901" s="5">
        <v>1885</v>
      </c>
      <c r="D2901" s="1" t="s">
        <v>434</v>
      </c>
      <c r="E2901" s="1" t="s">
        <v>2</v>
      </c>
      <c r="F2901" s="18">
        <v>2165</v>
      </c>
      <c r="G2901" s="18">
        <v>202</v>
      </c>
      <c r="H2901" s="5">
        <v>4</v>
      </c>
      <c r="I2901" s="1">
        <v>204</v>
      </c>
      <c r="J2901" s="1">
        <v>187</v>
      </c>
      <c r="L2901" t="str">
        <f t="shared" si="45"/>
        <v>http://www.badatelna.eu/reprodukce/?fondId=1073&amp;zaznamId=1108952&amp;reproId=3779063</v>
      </c>
      <c r="M2901">
        <f>VLOOKUP(F2901,Sheet2!$B$1:$E$19,2,FALSE)</f>
        <v>1073</v>
      </c>
      <c r="N2901">
        <f>VLOOKUP(F2901,Sheet2!$B$1:$E$19,3,FALSE)</f>
        <v>1108952</v>
      </c>
      <c r="O2901">
        <f>IF(G2901="Not available","",VLOOKUP(F2901,Sheet2!$B$1:$E$19,4,FALSE)+(G2901-1))</f>
        <v>3779063</v>
      </c>
    </row>
    <row r="2902" spans="1:15" s="1" customFormat="1" ht="15" customHeight="1" x14ac:dyDescent="0.25">
      <c r="A2902" s="18" t="s">
        <v>358</v>
      </c>
      <c r="B2902" s="18" t="s">
        <v>15</v>
      </c>
      <c r="C2902" s="5">
        <v>1798</v>
      </c>
      <c r="D2902" s="1" t="s">
        <v>75</v>
      </c>
      <c r="E2902" s="1" t="s">
        <v>2</v>
      </c>
      <c r="F2902" s="18">
        <v>2173</v>
      </c>
      <c r="G2902" s="18">
        <v>38</v>
      </c>
      <c r="H2902" s="5">
        <v>71</v>
      </c>
      <c r="I2902" s="1">
        <v>109</v>
      </c>
      <c r="J2902" s="1">
        <v>237</v>
      </c>
      <c r="L2902" t="str">
        <f t="shared" si="45"/>
        <v>http://www.badatelna.eu/reprodukce/?fondId=1073&amp;zaznamId=1108959&amp;reproId=3780031</v>
      </c>
      <c r="M2902">
        <f>VLOOKUP(F2902,Sheet2!$B$1:$E$19,2,FALSE)</f>
        <v>1073</v>
      </c>
      <c r="N2902">
        <f>VLOOKUP(F2902,Sheet2!$B$1:$E$19,3,FALSE)</f>
        <v>1108959</v>
      </c>
      <c r="O2902">
        <f>IF(G2902="Not available","",VLOOKUP(F2902,Sheet2!$B$1:$E$19,4,FALSE)+(G2902-1))</f>
        <v>3780031</v>
      </c>
    </row>
    <row r="2903" spans="1:15" s="1" customFormat="1" ht="15" customHeight="1" x14ac:dyDescent="0.25">
      <c r="A2903" s="18" t="s">
        <v>358</v>
      </c>
      <c r="B2903" s="18" t="s">
        <v>1223</v>
      </c>
      <c r="C2903" s="10" t="s">
        <v>2036</v>
      </c>
      <c r="D2903" s="3" t="s">
        <v>2215</v>
      </c>
      <c r="E2903" s="4" t="s">
        <v>2</v>
      </c>
      <c r="F2903" s="18">
        <v>2176</v>
      </c>
      <c r="G2903" s="18" t="s">
        <v>3271</v>
      </c>
      <c r="H2903" s="10" t="s">
        <v>2075</v>
      </c>
      <c r="I2903" s="3">
        <v>31</v>
      </c>
      <c r="J2903" s="3" t="s">
        <v>3271</v>
      </c>
      <c r="K2903" s="3"/>
      <c r="L2903" t="str">
        <f t="shared" si="45"/>
        <v/>
      </c>
      <c r="M2903">
        <f>VLOOKUP(F2903,Sheet2!$B$1:$E$19,2,FALSE)</f>
        <v>1073</v>
      </c>
      <c r="N2903">
        <f>VLOOKUP(F2903,Sheet2!$B$1:$E$19,3,FALSE)</f>
        <v>1108963</v>
      </c>
      <c r="O2903" t="str">
        <f>IF(G2903="Not available","",VLOOKUP(F2903,Sheet2!$B$1:$E$19,4,FALSE)+(G2903-1))</f>
        <v/>
      </c>
    </row>
    <row r="2904" spans="1:15" s="1" customFormat="1" ht="15" customHeight="1" x14ac:dyDescent="0.25">
      <c r="A2904" s="18" t="s">
        <v>358</v>
      </c>
      <c r="B2904" s="18" t="s">
        <v>1051</v>
      </c>
      <c r="C2904" s="5">
        <v>1883</v>
      </c>
      <c r="D2904" s="1" t="s">
        <v>434</v>
      </c>
      <c r="E2904" s="1" t="s">
        <v>2</v>
      </c>
      <c r="F2904" s="18">
        <v>2165</v>
      </c>
      <c r="G2904" s="18">
        <v>185</v>
      </c>
      <c r="H2904" s="5">
        <v>1</v>
      </c>
      <c r="I2904" s="1">
        <v>190</v>
      </c>
      <c r="J2904" s="1">
        <v>167</v>
      </c>
      <c r="L2904" t="str">
        <f t="shared" si="45"/>
        <v>http://www.badatelna.eu/reprodukce/?fondId=1073&amp;zaznamId=1108952&amp;reproId=3779046</v>
      </c>
      <c r="M2904">
        <f>VLOOKUP(F2904,Sheet2!$B$1:$E$19,2,FALSE)</f>
        <v>1073</v>
      </c>
      <c r="N2904">
        <f>VLOOKUP(F2904,Sheet2!$B$1:$E$19,3,FALSE)</f>
        <v>1108952</v>
      </c>
      <c r="O2904">
        <f>IF(G2904="Not available","",VLOOKUP(F2904,Sheet2!$B$1:$E$19,4,FALSE)+(G2904-1))</f>
        <v>3779046</v>
      </c>
    </row>
    <row r="2905" spans="1:15" s="1" customFormat="1" ht="15" customHeight="1" x14ac:dyDescent="0.25">
      <c r="A2905" s="18" t="s">
        <v>358</v>
      </c>
      <c r="B2905" s="18" t="s">
        <v>59</v>
      </c>
      <c r="C2905" s="5">
        <v>1814</v>
      </c>
      <c r="E2905" s="1" t="s">
        <v>2</v>
      </c>
      <c r="F2905" s="18">
        <v>2173</v>
      </c>
      <c r="G2905" s="18">
        <v>76</v>
      </c>
      <c r="H2905" s="5">
        <v>144</v>
      </c>
      <c r="I2905" s="1">
        <v>109</v>
      </c>
      <c r="J2905" s="1">
        <v>237</v>
      </c>
      <c r="L2905" t="str">
        <f t="shared" si="45"/>
        <v>http://www.badatelna.eu/reprodukce/?fondId=1073&amp;zaznamId=1108959&amp;reproId=3780069</v>
      </c>
      <c r="M2905">
        <f>VLOOKUP(F2905,Sheet2!$B$1:$E$19,2,FALSE)</f>
        <v>1073</v>
      </c>
      <c r="N2905">
        <f>VLOOKUP(F2905,Sheet2!$B$1:$E$19,3,FALSE)</f>
        <v>1108959</v>
      </c>
      <c r="O2905">
        <f>IF(G2905="Not available","",VLOOKUP(F2905,Sheet2!$B$1:$E$19,4,FALSE)+(G2905-1))</f>
        <v>3780069</v>
      </c>
    </row>
    <row r="2906" spans="1:15" s="1" customFormat="1" ht="15" customHeight="1" x14ac:dyDescent="0.25">
      <c r="A2906" s="18" t="s">
        <v>358</v>
      </c>
      <c r="B2906" s="18" t="s">
        <v>1259</v>
      </c>
      <c r="C2906" s="10" t="s">
        <v>2110</v>
      </c>
      <c r="D2906" s="3" t="s">
        <v>2539</v>
      </c>
      <c r="E2906" s="4" t="s">
        <v>2</v>
      </c>
      <c r="F2906" s="18">
        <v>2176</v>
      </c>
      <c r="G2906" s="18" t="s">
        <v>3271</v>
      </c>
      <c r="H2906" s="10" t="s">
        <v>2088</v>
      </c>
      <c r="I2906" s="3">
        <v>31</v>
      </c>
      <c r="J2906" s="3" t="s">
        <v>3271</v>
      </c>
      <c r="K2906" s="3"/>
      <c r="L2906" t="str">
        <f t="shared" si="45"/>
        <v/>
      </c>
      <c r="M2906">
        <f>VLOOKUP(F2906,Sheet2!$B$1:$E$19,2,FALSE)</f>
        <v>1073</v>
      </c>
      <c r="N2906">
        <f>VLOOKUP(F2906,Sheet2!$B$1:$E$19,3,FALSE)</f>
        <v>1108963</v>
      </c>
      <c r="O2906" t="str">
        <f>IF(G2906="Not available","",VLOOKUP(F2906,Sheet2!$B$1:$E$19,4,FALSE)+(G2906-1))</f>
        <v/>
      </c>
    </row>
    <row r="2907" spans="1:15" s="1" customFormat="1" ht="15" customHeight="1" x14ac:dyDescent="0.25">
      <c r="A2907" s="18" t="s">
        <v>358</v>
      </c>
      <c r="B2907" s="18" t="s">
        <v>495</v>
      </c>
      <c r="C2907" s="5">
        <v>1849</v>
      </c>
      <c r="D2907" s="1" t="s">
        <v>12</v>
      </c>
      <c r="E2907" s="1" t="s">
        <v>2</v>
      </c>
      <c r="F2907" s="18">
        <v>2164</v>
      </c>
      <c r="G2907" s="18">
        <v>52</v>
      </c>
      <c r="H2907" s="5">
        <v>50</v>
      </c>
      <c r="I2907" s="1">
        <v>134</v>
      </c>
      <c r="J2907" s="3" t="s">
        <v>3271</v>
      </c>
      <c r="L2907" t="str">
        <f t="shared" si="45"/>
        <v>http://www.badatelna.eu/reprodukce/?fondId=1073&amp;zaznamId=1108951&amp;reproId=3778766</v>
      </c>
      <c r="M2907">
        <f>VLOOKUP(F2907,Sheet2!$B$1:$E$19,2,FALSE)</f>
        <v>1073</v>
      </c>
      <c r="N2907">
        <f>VLOOKUP(F2907,Sheet2!$B$1:$E$19,3,FALSE)</f>
        <v>1108951</v>
      </c>
      <c r="O2907">
        <f>IF(G2907="Not available","",VLOOKUP(F2907,Sheet2!$B$1:$E$19,4,FALSE)+(G2907-1))</f>
        <v>3778766</v>
      </c>
    </row>
    <row r="2908" spans="1:15" s="1" customFormat="1" ht="15" customHeight="1" x14ac:dyDescent="0.25">
      <c r="A2908" s="18" t="s">
        <v>358</v>
      </c>
      <c r="B2908" s="18" t="s">
        <v>1102</v>
      </c>
      <c r="C2908" s="10" t="s">
        <v>2025</v>
      </c>
      <c r="D2908" s="3" t="s">
        <v>2532</v>
      </c>
      <c r="E2908" s="4" t="s">
        <v>2</v>
      </c>
      <c r="F2908" s="18">
        <v>2176</v>
      </c>
      <c r="G2908" s="18" t="s">
        <v>3271</v>
      </c>
      <c r="H2908" s="10" t="s">
        <v>2033</v>
      </c>
      <c r="I2908" s="3">
        <v>31</v>
      </c>
      <c r="J2908" s="3" t="s">
        <v>3271</v>
      </c>
      <c r="K2908" s="3"/>
      <c r="L2908" t="str">
        <f t="shared" si="45"/>
        <v/>
      </c>
      <c r="M2908">
        <f>VLOOKUP(F2908,Sheet2!$B$1:$E$19,2,FALSE)</f>
        <v>1073</v>
      </c>
      <c r="N2908">
        <f>VLOOKUP(F2908,Sheet2!$B$1:$E$19,3,FALSE)</f>
        <v>1108963</v>
      </c>
      <c r="O2908" t="str">
        <f>IF(G2908="Not available","",VLOOKUP(F2908,Sheet2!$B$1:$E$19,4,FALSE)+(G2908-1))</f>
        <v/>
      </c>
    </row>
    <row r="2909" spans="1:15" s="1" customFormat="1" ht="15" customHeight="1" x14ac:dyDescent="0.25">
      <c r="A2909" s="18" t="s">
        <v>358</v>
      </c>
      <c r="B2909" s="18" t="s">
        <v>12</v>
      </c>
      <c r="C2909" s="5">
        <v>1793</v>
      </c>
      <c r="D2909" s="1" t="s">
        <v>75</v>
      </c>
      <c r="E2909" s="1" t="s">
        <v>2</v>
      </c>
      <c r="F2909" s="18">
        <v>2173</v>
      </c>
      <c r="G2909" s="18">
        <v>30</v>
      </c>
      <c r="H2909" s="5">
        <v>55</v>
      </c>
      <c r="I2909" s="1">
        <v>109</v>
      </c>
      <c r="J2909" s="1">
        <v>237</v>
      </c>
      <c r="L2909" t="str">
        <f t="shared" si="45"/>
        <v>http://www.badatelna.eu/reprodukce/?fondId=1073&amp;zaznamId=1108959&amp;reproId=3780023</v>
      </c>
      <c r="M2909">
        <f>VLOOKUP(F2909,Sheet2!$B$1:$E$19,2,FALSE)</f>
        <v>1073</v>
      </c>
      <c r="N2909">
        <f>VLOOKUP(F2909,Sheet2!$B$1:$E$19,3,FALSE)</f>
        <v>1108959</v>
      </c>
      <c r="O2909">
        <f>IF(G2909="Not available","",VLOOKUP(F2909,Sheet2!$B$1:$E$19,4,FALSE)+(G2909-1))</f>
        <v>3780023</v>
      </c>
    </row>
    <row r="2910" spans="1:15" s="1" customFormat="1" ht="15" customHeight="1" x14ac:dyDescent="0.25">
      <c r="A2910" s="18" t="s">
        <v>358</v>
      </c>
      <c r="B2910" s="18" t="s">
        <v>359</v>
      </c>
      <c r="C2910" s="5">
        <v>1788</v>
      </c>
      <c r="D2910" s="1" t="s">
        <v>75</v>
      </c>
      <c r="E2910" s="1" t="s">
        <v>2</v>
      </c>
      <c r="F2910" s="18">
        <v>2173</v>
      </c>
      <c r="G2910" s="18">
        <v>17</v>
      </c>
      <c r="H2910" s="5">
        <v>28</v>
      </c>
      <c r="I2910" s="1">
        <v>109</v>
      </c>
      <c r="J2910" s="1">
        <v>237</v>
      </c>
      <c r="L2910" t="str">
        <f t="shared" si="45"/>
        <v>http://www.badatelna.eu/reprodukce/?fondId=1073&amp;zaznamId=1108959&amp;reproId=3780010</v>
      </c>
      <c r="M2910">
        <f>VLOOKUP(F2910,Sheet2!$B$1:$E$19,2,FALSE)</f>
        <v>1073</v>
      </c>
      <c r="N2910">
        <f>VLOOKUP(F2910,Sheet2!$B$1:$E$19,3,FALSE)</f>
        <v>1108959</v>
      </c>
      <c r="O2910">
        <f>IF(G2910="Not available","",VLOOKUP(F2910,Sheet2!$B$1:$E$19,4,FALSE)+(G2910-1))</f>
        <v>3780010</v>
      </c>
    </row>
    <row r="2911" spans="1:15" s="1" customFormat="1" ht="15" customHeight="1" x14ac:dyDescent="0.25">
      <c r="A2911" s="18" t="s">
        <v>358</v>
      </c>
      <c r="B2911" s="18" t="s">
        <v>361</v>
      </c>
      <c r="C2911" s="5">
        <v>1790</v>
      </c>
      <c r="D2911" s="1" t="s">
        <v>75</v>
      </c>
      <c r="E2911" s="1" t="s">
        <v>2</v>
      </c>
      <c r="F2911" s="18">
        <v>2173</v>
      </c>
      <c r="G2911" s="18">
        <v>23</v>
      </c>
      <c r="H2911" s="5">
        <v>40</v>
      </c>
      <c r="I2911" s="1">
        <v>109</v>
      </c>
      <c r="J2911" s="1">
        <v>237</v>
      </c>
      <c r="L2911" t="str">
        <f t="shared" si="45"/>
        <v>http://www.badatelna.eu/reprodukce/?fondId=1073&amp;zaznamId=1108959&amp;reproId=3780016</v>
      </c>
      <c r="M2911">
        <f>VLOOKUP(F2911,Sheet2!$B$1:$E$19,2,FALSE)</f>
        <v>1073</v>
      </c>
      <c r="N2911">
        <f>VLOOKUP(F2911,Sheet2!$B$1:$E$19,3,FALSE)</f>
        <v>1108959</v>
      </c>
      <c r="O2911">
        <f>IF(G2911="Not available","",VLOOKUP(F2911,Sheet2!$B$1:$E$19,4,FALSE)+(G2911-1))</f>
        <v>3780016</v>
      </c>
    </row>
    <row r="2912" spans="1:15" s="1" customFormat="1" ht="15" customHeight="1" x14ac:dyDescent="0.25">
      <c r="A2912" s="18" t="s">
        <v>358</v>
      </c>
      <c r="B2912" s="18" t="s">
        <v>240</v>
      </c>
      <c r="C2912" s="5">
        <v>1794</v>
      </c>
      <c r="D2912" s="1" t="s">
        <v>4</v>
      </c>
      <c r="E2912" s="1" t="s">
        <v>2</v>
      </c>
      <c r="F2912" s="18">
        <v>2173</v>
      </c>
      <c r="G2912" s="18">
        <v>32</v>
      </c>
      <c r="H2912" s="5">
        <v>58</v>
      </c>
      <c r="I2912" s="1">
        <v>109</v>
      </c>
      <c r="J2912" s="1">
        <v>237</v>
      </c>
      <c r="L2912" t="str">
        <f t="shared" si="45"/>
        <v>http://www.badatelna.eu/reprodukce/?fondId=1073&amp;zaznamId=1108959&amp;reproId=3780025</v>
      </c>
      <c r="M2912">
        <f>VLOOKUP(F2912,Sheet2!$B$1:$E$19,2,FALSE)</f>
        <v>1073</v>
      </c>
      <c r="N2912">
        <f>VLOOKUP(F2912,Sheet2!$B$1:$E$19,3,FALSE)</f>
        <v>1108959</v>
      </c>
      <c r="O2912">
        <f>IF(G2912="Not available","",VLOOKUP(F2912,Sheet2!$B$1:$E$19,4,FALSE)+(G2912-1))</f>
        <v>3780025</v>
      </c>
    </row>
    <row r="2913" spans="1:15" s="1" customFormat="1" ht="15" customHeight="1" x14ac:dyDescent="0.25">
      <c r="A2913" s="18" t="s">
        <v>358</v>
      </c>
      <c r="B2913" s="18" t="s">
        <v>2027</v>
      </c>
      <c r="C2913" s="10" t="s">
        <v>1987</v>
      </c>
      <c r="D2913" s="3" t="s">
        <v>2532</v>
      </c>
      <c r="E2913" s="4" t="s">
        <v>2</v>
      </c>
      <c r="F2913" s="18">
        <v>2176</v>
      </c>
      <c r="G2913" s="18" t="s">
        <v>3271</v>
      </c>
      <c r="H2913" s="10" t="s">
        <v>2094</v>
      </c>
      <c r="I2913" s="3">
        <v>31</v>
      </c>
      <c r="J2913" s="3" t="s">
        <v>3271</v>
      </c>
      <c r="L2913" t="str">
        <f t="shared" si="45"/>
        <v/>
      </c>
      <c r="M2913">
        <f>VLOOKUP(F2913,Sheet2!$B$1:$E$19,2,FALSE)</f>
        <v>1073</v>
      </c>
      <c r="N2913">
        <f>VLOOKUP(F2913,Sheet2!$B$1:$E$19,3,FALSE)</f>
        <v>1108963</v>
      </c>
      <c r="O2913" t="str">
        <f>IF(G2913="Not available","",VLOOKUP(F2913,Sheet2!$B$1:$E$19,4,FALSE)+(G2913-1))</f>
        <v/>
      </c>
    </row>
    <row r="2914" spans="1:15" s="1" customFormat="1" ht="15" customHeight="1" x14ac:dyDescent="0.25">
      <c r="A2914" s="18" t="s">
        <v>358</v>
      </c>
      <c r="B2914" s="18" t="s">
        <v>2027</v>
      </c>
      <c r="C2914" s="10" t="s">
        <v>2026</v>
      </c>
      <c r="D2914" s="3" t="s">
        <v>2538</v>
      </c>
      <c r="E2914" s="4" t="s">
        <v>2</v>
      </c>
      <c r="F2914" s="18">
        <v>2176</v>
      </c>
      <c r="G2914" s="18" t="s">
        <v>3271</v>
      </c>
      <c r="H2914" s="10" t="s">
        <v>2073</v>
      </c>
      <c r="I2914" s="3">
        <v>31</v>
      </c>
      <c r="J2914" s="3" t="s">
        <v>3271</v>
      </c>
      <c r="K2914" s="3"/>
      <c r="L2914" t="str">
        <f t="shared" si="45"/>
        <v/>
      </c>
      <c r="M2914">
        <f>VLOOKUP(F2914,Sheet2!$B$1:$E$19,2,FALSE)</f>
        <v>1073</v>
      </c>
      <c r="N2914">
        <f>VLOOKUP(F2914,Sheet2!$B$1:$E$19,3,FALSE)</f>
        <v>1108963</v>
      </c>
      <c r="O2914" t="str">
        <f>IF(G2914="Not available","",VLOOKUP(F2914,Sheet2!$B$1:$E$19,4,FALSE)+(G2914-1))</f>
        <v/>
      </c>
    </row>
    <row r="2915" spans="1:15" s="1" customFormat="1" ht="15" customHeight="1" x14ac:dyDescent="0.25">
      <c r="A2915" s="18" t="s">
        <v>358</v>
      </c>
      <c r="B2915" s="18" t="s">
        <v>479</v>
      </c>
      <c r="C2915" s="5">
        <v>1841</v>
      </c>
      <c r="D2915" s="1" t="s">
        <v>23</v>
      </c>
      <c r="E2915" s="1" t="s">
        <v>2</v>
      </c>
      <c r="F2915" s="18">
        <v>2174</v>
      </c>
      <c r="G2915" s="18">
        <v>116</v>
      </c>
      <c r="H2915" s="6" t="s">
        <v>3186</v>
      </c>
      <c r="I2915" s="1">
        <v>195</v>
      </c>
      <c r="J2915" s="1">
        <v>229</v>
      </c>
      <c r="L2915" t="str">
        <f t="shared" si="45"/>
        <v>http://www.badatelna.eu/reprodukce/?fondId=1073&amp;zaznamId=1108960&amp;reproId=3780340</v>
      </c>
      <c r="M2915">
        <f>VLOOKUP(F2915,Sheet2!$B$1:$E$19,2,FALSE)</f>
        <v>1073</v>
      </c>
      <c r="N2915">
        <f>VLOOKUP(F2915,Sheet2!$B$1:$E$19,3,FALSE)</f>
        <v>1108960</v>
      </c>
      <c r="O2915">
        <f>IF(G2915="Not available","",VLOOKUP(F2915,Sheet2!$B$1:$E$19,4,FALSE)+(G2915-1))</f>
        <v>3780340</v>
      </c>
    </row>
    <row r="2916" spans="1:15" s="1" customFormat="1" ht="15" customHeight="1" x14ac:dyDescent="0.25">
      <c r="A2916" s="18" t="s">
        <v>358</v>
      </c>
      <c r="B2916" s="18" t="s">
        <v>479</v>
      </c>
      <c r="C2916" s="5">
        <v>1844</v>
      </c>
      <c r="D2916" s="1" t="s">
        <v>12</v>
      </c>
      <c r="E2916" s="1" t="s">
        <v>2</v>
      </c>
      <c r="F2916" s="18">
        <v>2174</v>
      </c>
      <c r="G2916" s="18">
        <v>149</v>
      </c>
      <c r="H2916" s="6" t="s">
        <v>3216</v>
      </c>
      <c r="I2916" s="1">
        <v>195</v>
      </c>
      <c r="J2916" s="1">
        <v>229</v>
      </c>
      <c r="L2916" t="str">
        <f t="shared" si="45"/>
        <v>http://www.badatelna.eu/reprodukce/?fondId=1073&amp;zaznamId=1108960&amp;reproId=3780373</v>
      </c>
      <c r="M2916">
        <f>VLOOKUP(F2916,Sheet2!$B$1:$E$19,2,FALSE)</f>
        <v>1073</v>
      </c>
      <c r="N2916">
        <f>VLOOKUP(F2916,Sheet2!$B$1:$E$19,3,FALSE)</f>
        <v>1108960</v>
      </c>
      <c r="O2916">
        <f>IF(G2916="Not available","",VLOOKUP(F2916,Sheet2!$B$1:$E$19,4,FALSE)+(G2916-1))</f>
        <v>3780373</v>
      </c>
    </row>
    <row r="2917" spans="1:15" s="1" customFormat="1" ht="15" customHeight="1" x14ac:dyDescent="0.25">
      <c r="A2917" s="18" t="s">
        <v>358</v>
      </c>
      <c r="B2917" s="18" t="s">
        <v>233</v>
      </c>
      <c r="C2917" s="5">
        <v>1844</v>
      </c>
      <c r="D2917" s="1" t="s">
        <v>716</v>
      </c>
      <c r="E2917" s="1" t="s">
        <v>2</v>
      </c>
      <c r="F2917" s="18">
        <v>2174</v>
      </c>
      <c r="G2917" s="18">
        <v>143</v>
      </c>
      <c r="H2917" s="6" t="s">
        <v>3210</v>
      </c>
      <c r="I2917" s="1">
        <v>195</v>
      </c>
      <c r="J2917" s="1">
        <v>229</v>
      </c>
      <c r="L2917" t="str">
        <f t="shared" si="45"/>
        <v>http://www.badatelna.eu/reprodukce/?fondId=1073&amp;zaznamId=1108960&amp;reproId=3780367</v>
      </c>
      <c r="M2917">
        <f>VLOOKUP(F2917,Sheet2!$B$1:$E$19,2,FALSE)</f>
        <v>1073</v>
      </c>
      <c r="N2917">
        <f>VLOOKUP(F2917,Sheet2!$B$1:$E$19,3,FALSE)</f>
        <v>1108960</v>
      </c>
      <c r="O2917">
        <f>IF(G2917="Not available","",VLOOKUP(F2917,Sheet2!$B$1:$E$19,4,FALSE)+(G2917-1))</f>
        <v>3780367</v>
      </c>
    </row>
    <row r="2918" spans="1:15" s="1" customFormat="1" ht="15" customHeight="1" x14ac:dyDescent="0.25">
      <c r="A2918" s="18" t="s">
        <v>358</v>
      </c>
      <c r="B2918" s="18" t="s">
        <v>233</v>
      </c>
      <c r="C2918" s="10" t="s">
        <v>2111</v>
      </c>
      <c r="D2918" s="3" t="s">
        <v>2540</v>
      </c>
      <c r="E2918" s="4" t="s">
        <v>2</v>
      </c>
      <c r="F2918" s="18">
        <v>2176</v>
      </c>
      <c r="G2918" s="18" t="s">
        <v>3271</v>
      </c>
      <c r="H2918" s="10" t="s">
        <v>2541</v>
      </c>
      <c r="I2918" s="3">
        <v>32</v>
      </c>
      <c r="J2918" s="3" t="s">
        <v>3271</v>
      </c>
      <c r="K2918" s="3"/>
      <c r="L2918" t="str">
        <f t="shared" si="45"/>
        <v/>
      </c>
      <c r="M2918">
        <f>VLOOKUP(F2918,Sheet2!$B$1:$E$19,2,FALSE)</f>
        <v>1073</v>
      </c>
      <c r="N2918">
        <f>VLOOKUP(F2918,Sheet2!$B$1:$E$19,3,FALSE)</f>
        <v>1108963</v>
      </c>
      <c r="O2918" t="str">
        <f>IF(G2918="Not available","",VLOOKUP(F2918,Sheet2!$B$1:$E$19,4,FALSE)+(G2918-1))</f>
        <v/>
      </c>
    </row>
    <row r="2919" spans="1:15" s="1" customFormat="1" ht="15" customHeight="1" x14ac:dyDescent="0.25">
      <c r="A2919" s="18" t="s">
        <v>358</v>
      </c>
      <c r="B2919" s="18" t="s">
        <v>7</v>
      </c>
      <c r="C2919" s="5">
        <v>1846</v>
      </c>
      <c r="D2919" s="1" t="s">
        <v>12</v>
      </c>
      <c r="E2919" s="1" t="s">
        <v>2</v>
      </c>
      <c r="F2919" s="18">
        <v>2174</v>
      </c>
      <c r="G2919" s="18">
        <v>161</v>
      </c>
      <c r="H2919" s="6" t="s">
        <v>3226</v>
      </c>
      <c r="I2919" s="1">
        <v>195</v>
      </c>
      <c r="J2919" s="1">
        <v>229</v>
      </c>
      <c r="L2919" t="str">
        <f t="shared" si="45"/>
        <v>http://www.badatelna.eu/reprodukce/?fondId=1073&amp;zaznamId=1108960&amp;reproId=3780385</v>
      </c>
      <c r="M2919">
        <f>VLOOKUP(F2919,Sheet2!$B$1:$E$19,2,FALSE)</f>
        <v>1073</v>
      </c>
      <c r="N2919">
        <f>VLOOKUP(F2919,Sheet2!$B$1:$E$19,3,FALSE)</f>
        <v>1108960</v>
      </c>
      <c r="O2919">
        <f>IF(G2919="Not available","",VLOOKUP(F2919,Sheet2!$B$1:$E$19,4,FALSE)+(G2919-1))</f>
        <v>3780385</v>
      </c>
    </row>
    <row r="2920" spans="1:15" s="1" customFormat="1" ht="15" customHeight="1" x14ac:dyDescent="0.25">
      <c r="A2920" s="18" t="s">
        <v>358</v>
      </c>
      <c r="B2920" s="18" t="s">
        <v>873</v>
      </c>
      <c r="C2920" s="5" t="s">
        <v>1520</v>
      </c>
      <c r="D2920" s="1" t="s">
        <v>233</v>
      </c>
      <c r="E2920" s="1" t="s">
        <v>2</v>
      </c>
      <c r="F2920" s="18">
        <v>2165</v>
      </c>
      <c r="G2920" s="18">
        <v>75</v>
      </c>
      <c r="H2920" s="5">
        <v>72</v>
      </c>
      <c r="I2920" s="1">
        <v>89</v>
      </c>
      <c r="J2920" s="1" t="s">
        <v>3271</v>
      </c>
      <c r="L2920" t="str">
        <f t="shared" si="45"/>
        <v>http://www.badatelna.eu/reprodukce/?fondId=1073&amp;zaznamId=1108952&amp;reproId=3778936</v>
      </c>
      <c r="M2920">
        <f>VLOOKUP(F2920,Sheet2!$B$1:$E$19,2,FALSE)</f>
        <v>1073</v>
      </c>
      <c r="N2920">
        <f>VLOOKUP(F2920,Sheet2!$B$1:$E$19,3,FALSE)</f>
        <v>1108952</v>
      </c>
      <c r="O2920">
        <f>IF(G2920="Not available","",VLOOKUP(F2920,Sheet2!$B$1:$E$19,4,FALSE)+(G2920-1))</f>
        <v>3778936</v>
      </c>
    </row>
    <row r="2921" spans="1:15" s="1" customFormat="1" ht="15" customHeight="1" x14ac:dyDescent="0.25">
      <c r="A2921" s="18" t="s">
        <v>358</v>
      </c>
      <c r="B2921" s="18" t="s">
        <v>228</v>
      </c>
      <c r="C2921" s="5">
        <v>1796</v>
      </c>
      <c r="D2921" s="1" t="s">
        <v>75</v>
      </c>
      <c r="E2921" s="1" t="s">
        <v>2</v>
      </c>
      <c r="F2921" s="18">
        <v>2173</v>
      </c>
      <c r="G2921" s="18">
        <v>34</v>
      </c>
      <c r="H2921" s="5">
        <v>62</v>
      </c>
      <c r="I2921" s="1">
        <v>109</v>
      </c>
      <c r="J2921" s="1">
        <v>237</v>
      </c>
      <c r="L2921" t="str">
        <f t="shared" si="45"/>
        <v>http://www.badatelna.eu/reprodukce/?fondId=1073&amp;zaznamId=1108959&amp;reproId=3780027</v>
      </c>
      <c r="M2921">
        <f>VLOOKUP(F2921,Sheet2!$B$1:$E$19,2,FALSE)</f>
        <v>1073</v>
      </c>
      <c r="N2921">
        <f>VLOOKUP(F2921,Sheet2!$B$1:$E$19,3,FALSE)</f>
        <v>1108959</v>
      </c>
      <c r="O2921">
        <f>IF(G2921="Not available","",VLOOKUP(F2921,Sheet2!$B$1:$E$19,4,FALSE)+(G2921-1))</f>
        <v>3780027</v>
      </c>
    </row>
    <row r="2922" spans="1:15" s="1" customFormat="1" ht="15" customHeight="1" x14ac:dyDescent="0.25">
      <c r="A2922" s="18" t="s">
        <v>358</v>
      </c>
      <c r="B2922" s="18" t="s">
        <v>432</v>
      </c>
      <c r="C2922" s="10" t="s">
        <v>2024</v>
      </c>
      <c r="D2922" s="3" t="s">
        <v>2533</v>
      </c>
      <c r="E2922" s="4" t="s">
        <v>2</v>
      </c>
      <c r="F2922" s="18">
        <v>2176</v>
      </c>
      <c r="G2922" s="18" t="s">
        <v>3271</v>
      </c>
      <c r="H2922" s="10" t="s">
        <v>2534</v>
      </c>
      <c r="I2922" s="3">
        <v>31</v>
      </c>
      <c r="J2922" s="3" t="s">
        <v>3271</v>
      </c>
      <c r="K2922" s="3"/>
      <c r="L2922" t="str">
        <f t="shared" si="45"/>
        <v/>
      </c>
      <c r="M2922">
        <f>VLOOKUP(F2922,Sheet2!$B$1:$E$19,2,FALSE)</f>
        <v>1073</v>
      </c>
      <c r="N2922">
        <f>VLOOKUP(F2922,Sheet2!$B$1:$E$19,3,FALSE)</f>
        <v>1108963</v>
      </c>
      <c r="O2922" t="str">
        <f>IF(G2922="Not available","",VLOOKUP(F2922,Sheet2!$B$1:$E$19,4,FALSE)+(G2922-1))</f>
        <v/>
      </c>
    </row>
    <row r="2923" spans="1:15" s="1" customFormat="1" ht="15" customHeight="1" x14ac:dyDescent="0.25">
      <c r="A2923" s="18" t="s">
        <v>358</v>
      </c>
      <c r="B2923" s="18" t="s">
        <v>2535</v>
      </c>
      <c r="C2923" s="10" t="s">
        <v>2024</v>
      </c>
      <c r="D2923" s="3" t="s">
        <v>2536</v>
      </c>
      <c r="E2923" s="4" t="s">
        <v>2</v>
      </c>
      <c r="F2923" s="18">
        <v>2176</v>
      </c>
      <c r="G2923" s="18" t="s">
        <v>3271</v>
      </c>
      <c r="H2923" s="10" t="s">
        <v>2537</v>
      </c>
      <c r="I2923" s="3">
        <v>31</v>
      </c>
      <c r="J2923" s="3" t="s">
        <v>3271</v>
      </c>
      <c r="K2923" s="3"/>
      <c r="L2923" t="str">
        <f t="shared" si="45"/>
        <v/>
      </c>
      <c r="M2923">
        <f>VLOOKUP(F2923,Sheet2!$B$1:$E$19,2,FALSE)</f>
        <v>1073</v>
      </c>
      <c r="N2923">
        <f>VLOOKUP(F2923,Sheet2!$B$1:$E$19,3,FALSE)</f>
        <v>1108963</v>
      </c>
      <c r="O2923" t="str">
        <f>IF(G2923="Not available","",VLOOKUP(F2923,Sheet2!$B$1:$E$19,4,FALSE)+(G2923-1))</f>
        <v/>
      </c>
    </row>
    <row r="2924" spans="1:15" s="1" customFormat="1" ht="15" customHeight="1" x14ac:dyDescent="0.25">
      <c r="A2924" s="18" t="s">
        <v>358</v>
      </c>
      <c r="B2924" s="18" t="s">
        <v>434</v>
      </c>
      <c r="C2924" s="5">
        <v>1852</v>
      </c>
      <c r="D2924" s="1" t="s">
        <v>219</v>
      </c>
      <c r="E2924" s="1" t="s">
        <v>2</v>
      </c>
      <c r="F2924" s="18">
        <v>2164</v>
      </c>
      <c r="G2924" s="18">
        <v>87</v>
      </c>
      <c r="H2924" s="5">
        <v>85</v>
      </c>
      <c r="I2924" s="1">
        <v>134</v>
      </c>
      <c r="J2924" s="3" t="s">
        <v>3271</v>
      </c>
      <c r="L2924" t="str">
        <f t="shared" si="45"/>
        <v>http://www.badatelna.eu/reprodukce/?fondId=1073&amp;zaznamId=1108951&amp;reproId=3778801</v>
      </c>
      <c r="M2924">
        <f>VLOOKUP(F2924,Sheet2!$B$1:$E$19,2,FALSE)</f>
        <v>1073</v>
      </c>
      <c r="N2924">
        <f>VLOOKUP(F2924,Sheet2!$B$1:$E$19,3,FALSE)</f>
        <v>1108951</v>
      </c>
      <c r="O2924">
        <f>IF(G2924="Not available","",VLOOKUP(F2924,Sheet2!$B$1:$E$19,4,FALSE)+(G2924-1))</f>
        <v>3778801</v>
      </c>
    </row>
    <row r="2925" spans="1:15" s="1" customFormat="1" ht="15" customHeight="1" x14ac:dyDescent="0.25">
      <c r="A2925" s="18" t="s">
        <v>358</v>
      </c>
      <c r="B2925" s="18" t="s">
        <v>1078</v>
      </c>
      <c r="C2925" s="10" t="s">
        <v>2041</v>
      </c>
      <c r="D2925" s="3" t="s">
        <v>2215</v>
      </c>
      <c r="E2925" s="4" t="s">
        <v>2</v>
      </c>
      <c r="F2925" s="18">
        <v>2176</v>
      </c>
      <c r="G2925" s="18" t="s">
        <v>3271</v>
      </c>
      <c r="H2925" s="10" t="s">
        <v>2069</v>
      </c>
      <c r="I2925" s="3">
        <v>31</v>
      </c>
      <c r="J2925" s="3" t="s">
        <v>3271</v>
      </c>
      <c r="K2925" s="3"/>
      <c r="L2925" t="str">
        <f t="shared" si="45"/>
        <v/>
      </c>
      <c r="M2925">
        <f>VLOOKUP(F2925,Sheet2!$B$1:$E$19,2,FALSE)</f>
        <v>1073</v>
      </c>
      <c r="N2925">
        <f>VLOOKUP(F2925,Sheet2!$B$1:$E$19,3,FALSE)</f>
        <v>1108963</v>
      </c>
      <c r="O2925" t="str">
        <f>IF(G2925="Not available","",VLOOKUP(F2925,Sheet2!$B$1:$E$19,4,FALSE)+(G2925-1))</f>
        <v/>
      </c>
    </row>
    <row r="2926" spans="1:15" s="1" customFormat="1" ht="15" customHeight="1" x14ac:dyDescent="0.25">
      <c r="A2926" s="18" t="s">
        <v>358</v>
      </c>
      <c r="B2926" s="18" t="s">
        <v>1078</v>
      </c>
      <c r="C2926" s="5">
        <v>1884</v>
      </c>
      <c r="D2926" s="1" t="s">
        <v>1115</v>
      </c>
      <c r="E2926" s="1" t="s">
        <v>2</v>
      </c>
      <c r="F2926" s="18">
        <v>2165</v>
      </c>
      <c r="G2926" s="18">
        <v>193</v>
      </c>
      <c r="H2926" s="5">
        <v>1</v>
      </c>
      <c r="I2926" s="1">
        <v>196</v>
      </c>
      <c r="J2926" s="1">
        <v>173</v>
      </c>
      <c r="L2926" t="str">
        <f t="shared" si="45"/>
        <v>http://www.badatelna.eu/reprodukce/?fondId=1073&amp;zaznamId=1108952&amp;reproId=3779054</v>
      </c>
      <c r="M2926">
        <f>VLOOKUP(F2926,Sheet2!$B$1:$E$19,2,FALSE)</f>
        <v>1073</v>
      </c>
      <c r="N2926">
        <f>VLOOKUP(F2926,Sheet2!$B$1:$E$19,3,FALSE)</f>
        <v>1108952</v>
      </c>
      <c r="O2926">
        <f>IF(G2926="Not available","",VLOOKUP(F2926,Sheet2!$B$1:$E$19,4,FALSE)+(G2926-1))</f>
        <v>3779054</v>
      </c>
    </row>
    <row r="2927" spans="1:15" s="1" customFormat="1" ht="15" customHeight="1" x14ac:dyDescent="0.25">
      <c r="A2927" s="18" t="s">
        <v>358</v>
      </c>
      <c r="B2927" s="18" t="s">
        <v>67</v>
      </c>
      <c r="C2927" s="5">
        <v>1887</v>
      </c>
      <c r="D2927" s="1" t="s">
        <v>434</v>
      </c>
      <c r="E2927" s="1" t="s">
        <v>2</v>
      </c>
      <c r="F2927" s="18">
        <v>2165</v>
      </c>
      <c r="G2927" s="18">
        <v>212</v>
      </c>
      <c r="H2927" s="5">
        <v>1</v>
      </c>
      <c r="I2927" s="1">
        <v>216</v>
      </c>
      <c r="J2927" s="1">
        <v>192</v>
      </c>
      <c r="L2927" t="str">
        <f t="shared" si="45"/>
        <v>http://www.badatelna.eu/reprodukce/?fondId=1073&amp;zaznamId=1108952&amp;reproId=3779073</v>
      </c>
      <c r="M2927">
        <f>VLOOKUP(F2927,Sheet2!$B$1:$E$19,2,FALSE)</f>
        <v>1073</v>
      </c>
      <c r="N2927">
        <f>VLOOKUP(F2927,Sheet2!$B$1:$E$19,3,FALSE)</f>
        <v>1108952</v>
      </c>
      <c r="O2927">
        <f>IF(G2927="Not available","",VLOOKUP(F2927,Sheet2!$B$1:$E$19,4,FALSE)+(G2927-1))</f>
        <v>3779073</v>
      </c>
    </row>
    <row r="2928" spans="1:15" s="1" customFormat="1" ht="15" customHeight="1" x14ac:dyDescent="0.25">
      <c r="A2928" s="18" t="s">
        <v>358</v>
      </c>
      <c r="B2928" s="18" t="s">
        <v>2430</v>
      </c>
      <c r="C2928" s="10" t="s">
        <v>2055</v>
      </c>
      <c r="D2928" s="3" t="s">
        <v>2215</v>
      </c>
      <c r="E2928" s="4" t="s">
        <v>2</v>
      </c>
      <c r="F2928" s="18">
        <v>2176</v>
      </c>
      <c r="G2928" s="18" t="s">
        <v>3271</v>
      </c>
      <c r="H2928" s="10" t="s">
        <v>2088</v>
      </c>
      <c r="I2928" s="3">
        <v>31</v>
      </c>
      <c r="J2928" s="3" t="s">
        <v>3271</v>
      </c>
      <c r="K2928" s="3"/>
      <c r="L2928" t="str">
        <f t="shared" si="45"/>
        <v/>
      </c>
      <c r="M2928">
        <f>VLOOKUP(F2928,Sheet2!$B$1:$E$19,2,FALSE)</f>
        <v>1073</v>
      </c>
      <c r="N2928">
        <f>VLOOKUP(F2928,Sheet2!$B$1:$E$19,3,FALSE)</f>
        <v>1108963</v>
      </c>
      <c r="O2928" t="str">
        <f>IF(G2928="Not available","",VLOOKUP(F2928,Sheet2!$B$1:$E$19,4,FALSE)+(G2928-1))</f>
        <v/>
      </c>
    </row>
    <row r="2929" spans="1:15" s="1" customFormat="1" ht="15" customHeight="1" x14ac:dyDescent="0.25">
      <c r="A2929" s="18" t="s">
        <v>358</v>
      </c>
      <c r="B2929" s="18" t="s">
        <v>427</v>
      </c>
      <c r="C2929" s="5">
        <v>1846</v>
      </c>
      <c r="D2929" s="1" t="s">
        <v>716</v>
      </c>
      <c r="E2929" s="1" t="s">
        <v>2</v>
      </c>
      <c r="F2929" s="18">
        <v>2174</v>
      </c>
      <c r="G2929" s="18">
        <v>162</v>
      </c>
      <c r="H2929" s="6" t="s">
        <v>3232</v>
      </c>
      <c r="I2929" s="1">
        <v>195</v>
      </c>
      <c r="J2929" s="1">
        <v>229</v>
      </c>
      <c r="L2929" t="str">
        <f t="shared" si="45"/>
        <v>http://www.badatelna.eu/reprodukce/?fondId=1073&amp;zaznamId=1108960&amp;reproId=3780386</v>
      </c>
      <c r="M2929">
        <f>VLOOKUP(F2929,Sheet2!$B$1:$E$19,2,FALSE)</f>
        <v>1073</v>
      </c>
      <c r="N2929">
        <f>VLOOKUP(F2929,Sheet2!$B$1:$E$19,3,FALSE)</f>
        <v>1108960</v>
      </c>
      <c r="O2929">
        <f>IF(G2929="Not available","",VLOOKUP(F2929,Sheet2!$B$1:$E$19,4,FALSE)+(G2929-1))</f>
        <v>3780386</v>
      </c>
    </row>
    <row r="2930" spans="1:15" s="1" customFormat="1" ht="15" customHeight="1" x14ac:dyDescent="0.25">
      <c r="A2930" s="18" t="s">
        <v>358</v>
      </c>
      <c r="B2930" s="18" t="s">
        <v>536</v>
      </c>
      <c r="C2930" s="5">
        <v>1851</v>
      </c>
      <c r="D2930" s="1" t="s">
        <v>495</v>
      </c>
      <c r="E2930" s="1" t="s">
        <v>2</v>
      </c>
      <c r="F2930" s="18">
        <v>2164</v>
      </c>
      <c r="G2930" s="18">
        <v>70</v>
      </c>
      <c r="H2930" s="5">
        <v>68</v>
      </c>
      <c r="I2930" s="1">
        <v>134</v>
      </c>
      <c r="J2930" s="3" t="s">
        <v>3271</v>
      </c>
      <c r="L2930" t="str">
        <f t="shared" si="45"/>
        <v>http://www.badatelna.eu/reprodukce/?fondId=1073&amp;zaznamId=1108951&amp;reproId=3778784</v>
      </c>
      <c r="M2930">
        <f>VLOOKUP(F2930,Sheet2!$B$1:$E$19,2,FALSE)</f>
        <v>1073</v>
      </c>
      <c r="N2930">
        <f>VLOOKUP(F2930,Sheet2!$B$1:$E$19,3,FALSE)</f>
        <v>1108951</v>
      </c>
      <c r="O2930">
        <f>IF(G2930="Not available","",VLOOKUP(F2930,Sheet2!$B$1:$E$19,4,FALSE)+(G2930-1))</f>
        <v>3778784</v>
      </c>
    </row>
    <row r="2931" spans="1:15" s="1" customFormat="1" ht="15" customHeight="1" x14ac:dyDescent="0.25">
      <c r="A2931" s="18" t="s">
        <v>358</v>
      </c>
      <c r="B2931" s="18" t="s">
        <v>18</v>
      </c>
      <c r="C2931" s="5">
        <v>1886</v>
      </c>
      <c r="D2931" s="1" t="s">
        <v>233</v>
      </c>
      <c r="E2931" s="1" t="s">
        <v>2</v>
      </c>
      <c r="F2931" s="18">
        <v>2165</v>
      </c>
      <c r="G2931" s="18">
        <v>208</v>
      </c>
      <c r="H2931" s="5">
        <v>2</v>
      </c>
      <c r="I2931" s="1">
        <v>210</v>
      </c>
      <c r="J2931" s="1">
        <v>186</v>
      </c>
      <c r="L2931" t="str">
        <f t="shared" si="45"/>
        <v>http://www.badatelna.eu/reprodukce/?fondId=1073&amp;zaznamId=1108952&amp;reproId=3779069</v>
      </c>
      <c r="M2931">
        <f>VLOOKUP(F2931,Sheet2!$B$1:$E$19,2,FALSE)</f>
        <v>1073</v>
      </c>
      <c r="N2931">
        <f>VLOOKUP(F2931,Sheet2!$B$1:$E$19,3,FALSE)</f>
        <v>1108952</v>
      </c>
      <c r="O2931">
        <f>IF(G2931="Not available","",VLOOKUP(F2931,Sheet2!$B$1:$E$19,4,FALSE)+(G2931-1))</f>
        <v>3779069</v>
      </c>
    </row>
    <row r="2932" spans="1:15" s="1" customFormat="1" ht="15" customHeight="1" x14ac:dyDescent="0.25">
      <c r="A2932" s="18" t="s">
        <v>358</v>
      </c>
      <c r="B2932" s="18" t="s">
        <v>18</v>
      </c>
      <c r="C2932" s="10" t="s">
        <v>2052</v>
      </c>
      <c r="D2932" s="3" t="s">
        <v>2532</v>
      </c>
      <c r="E2932" s="4" t="s">
        <v>2</v>
      </c>
      <c r="F2932" s="18">
        <v>2176</v>
      </c>
      <c r="G2932" s="18" t="s">
        <v>3271</v>
      </c>
      <c r="H2932" s="10" t="s">
        <v>2061</v>
      </c>
      <c r="I2932" s="3">
        <v>31</v>
      </c>
      <c r="J2932" s="3" t="s">
        <v>3271</v>
      </c>
      <c r="K2932" s="3"/>
      <c r="L2932" t="str">
        <f t="shared" si="45"/>
        <v/>
      </c>
      <c r="M2932">
        <f>VLOOKUP(F2932,Sheet2!$B$1:$E$19,2,FALSE)</f>
        <v>1073</v>
      </c>
      <c r="N2932">
        <f>VLOOKUP(F2932,Sheet2!$B$1:$E$19,3,FALSE)</f>
        <v>1108963</v>
      </c>
      <c r="O2932" t="str">
        <f>IF(G2932="Not available","",VLOOKUP(F2932,Sheet2!$B$1:$E$19,4,FALSE)+(G2932-1))</f>
        <v/>
      </c>
    </row>
    <row r="2933" spans="1:15" s="1" customFormat="1" ht="15" customHeight="1" x14ac:dyDescent="0.25">
      <c r="A2933" s="18" t="s">
        <v>358</v>
      </c>
      <c r="B2933" s="18" t="s">
        <v>1007</v>
      </c>
      <c r="C2933" s="5">
        <v>1883</v>
      </c>
      <c r="D2933" s="1" t="s">
        <v>1120</v>
      </c>
      <c r="E2933" s="1" t="s">
        <v>2</v>
      </c>
      <c r="F2933" s="18">
        <v>2165</v>
      </c>
      <c r="G2933" s="18">
        <v>185</v>
      </c>
      <c r="H2933" s="5">
        <v>1</v>
      </c>
      <c r="I2933" s="1">
        <v>190</v>
      </c>
      <c r="J2933" s="1">
        <v>167</v>
      </c>
      <c r="L2933" t="str">
        <f t="shared" si="45"/>
        <v>http://www.badatelna.eu/reprodukce/?fondId=1073&amp;zaznamId=1108952&amp;reproId=3779046</v>
      </c>
      <c r="M2933">
        <f>VLOOKUP(F2933,Sheet2!$B$1:$E$19,2,FALSE)</f>
        <v>1073</v>
      </c>
      <c r="N2933">
        <f>VLOOKUP(F2933,Sheet2!$B$1:$E$19,3,FALSE)</f>
        <v>1108952</v>
      </c>
      <c r="O2933">
        <f>IF(G2933="Not available","",VLOOKUP(F2933,Sheet2!$B$1:$E$19,4,FALSE)+(G2933-1))</f>
        <v>3779046</v>
      </c>
    </row>
    <row r="2934" spans="1:15" s="1" customFormat="1" ht="15" customHeight="1" x14ac:dyDescent="0.25">
      <c r="A2934" s="18" t="s">
        <v>358</v>
      </c>
      <c r="B2934" s="18" t="s">
        <v>1007</v>
      </c>
      <c r="C2934" s="10" t="s">
        <v>2036</v>
      </c>
      <c r="D2934" s="3" t="s">
        <v>2536</v>
      </c>
      <c r="E2934" s="4" t="s">
        <v>2</v>
      </c>
      <c r="F2934" s="18">
        <v>2176</v>
      </c>
      <c r="G2934" s="18" t="s">
        <v>3271</v>
      </c>
      <c r="H2934" s="10" t="s">
        <v>2083</v>
      </c>
      <c r="I2934" s="3">
        <v>31</v>
      </c>
      <c r="J2934" s="3" t="s">
        <v>3271</v>
      </c>
      <c r="K2934" s="3"/>
      <c r="L2934" t="str">
        <f t="shared" si="45"/>
        <v/>
      </c>
      <c r="M2934">
        <f>VLOOKUP(F2934,Sheet2!$B$1:$E$19,2,FALSE)</f>
        <v>1073</v>
      </c>
      <c r="N2934">
        <f>VLOOKUP(F2934,Sheet2!$B$1:$E$19,3,FALSE)</f>
        <v>1108963</v>
      </c>
      <c r="O2934" t="str">
        <f>IF(G2934="Not available","",VLOOKUP(F2934,Sheet2!$B$1:$E$19,4,FALSE)+(G2934-1))</f>
        <v/>
      </c>
    </row>
    <row r="2935" spans="1:15" s="1" customFormat="1" ht="15" customHeight="1" x14ac:dyDescent="0.25">
      <c r="A2935" s="18" t="s">
        <v>358</v>
      </c>
      <c r="B2935" s="18" t="s">
        <v>593</v>
      </c>
      <c r="C2935" s="5" t="s">
        <v>1518</v>
      </c>
      <c r="D2935" s="1" t="s">
        <v>233</v>
      </c>
      <c r="E2935" s="1" t="s">
        <v>2</v>
      </c>
      <c r="F2935" s="18">
        <v>2165</v>
      </c>
      <c r="G2935" s="18">
        <v>59</v>
      </c>
      <c r="H2935" s="5">
        <v>56</v>
      </c>
      <c r="I2935" s="1">
        <v>89</v>
      </c>
      <c r="J2935" s="1" t="s">
        <v>3271</v>
      </c>
      <c r="L2935" t="str">
        <f t="shared" si="45"/>
        <v>http://www.badatelna.eu/reprodukce/?fondId=1073&amp;zaznamId=1108952&amp;reproId=3778920</v>
      </c>
      <c r="M2935">
        <f>VLOOKUP(F2935,Sheet2!$B$1:$E$19,2,FALSE)</f>
        <v>1073</v>
      </c>
      <c r="N2935">
        <f>VLOOKUP(F2935,Sheet2!$B$1:$E$19,3,FALSE)</f>
        <v>1108952</v>
      </c>
      <c r="O2935">
        <f>IF(G2935="Not available","",VLOOKUP(F2935,Sheet2!$B$1:$E$19,4,FALSE)+(G2935-1))</f>
        <v>3778920</v>
      </c>
    </row>
    <row r="2936" spans="1:15" s="1" customFormat="1" ht="15" customHeight="1" x14ac:dyDescent="0.25">
      <c r="A2936" s="18" t="s">
        <v>358</v>
      </c>
      <c r="B2936" s="18" t="s">
        <v>71</v>
      </c>
      <c r="C2936" s="5">
        <v>1792</v>
      </c>
      <c r="D2936" s="1" t="s">
        <v>4</v>
      </c>
      <c r="E2936" s="1" t="s">
        <v>2</v>
      </c>
      <c r="F2936" s="18">
        <v>2173</v>
      </c>
      <c r="G2936" s="18">
        <v>28</v>
      </c>
      <c r="H2936" s="5">
        <v>50</v>
      </c>
      <c r="I2936" s="1">
        <v>109</v>
      </c>
      <c r="J2936" s="1">
        <v>237</v>
      </c>
      <c r="L2936" t="str">
        <f t="shared" si="45"/>
        <v>http://www.badatelna.eu/reprodukce/?fondId=1073&amp;zaznamId=1108959&amp;reproId=3780021</v>
      </c>
      <c r="M2936">
        <f>VLOOKUP(F2936,Sheet2!$B$1:$E$19,2,FALSE)</f>
        <v>1073</v>
      </c>
      <c r="N2936">
        <f>VLOOKUP(F2936,Sheet2!$B$1:$E$19,3,FALSE)</f>
        <v>1108959</v>
      </c>
      <c r="O2936">
        <f>IF(G2936="Not available","",VLOOKUP(F2936,Sheet2!$B$1:$E$19,4,FALSE)+(G2936-1))</f>
        <v>3780021</v>
      </c>
    </row>
    <row r="2937" spans="1:15" s="1" customFormat="1" ht="15" customHeight="1" x14ac:dyDescent="0.25">
      <c r="A2937" s="18" t="s">
        <v>358</v>
      </c>
      <c r="B2937" s="18" t="s">
        <v>44</v>
      </c>
      <c r="C2937" s="5" t="s">
        <v>1411</v>
      </c>
      <c r="D2937" s="1" t="s">
        <v>1054</v>
      </c>
      <c r="E2937" s="1" t="s">
        <v>2</v>
      </c>
      <c r="F2937" s="18">
        <v>2165</v>
      </c>
      <c r="G2937" s="18">
        <v>30</v>
      </c>
      <c r="H2937" s="5">
        <v>27</v>
      </c>
      <c r="I2937" s="1">
        <v>89</v>
      </c>
      <c r="J2937" s="1" t="s">
        <v>3271</v>
      </c>
      <c r="L2937" t="str">
        <f t="shared" si="45"/>
        <v>http://www.badatelna.eu/reprodukce/?fondId=1073&amp;zaznamId=1108952&amp;reproId=3778891</v>
      </c>
      <c r="M2937">
        <f>VLOOKUP(F2937,Sheet2!$B$1:$E$19,2,FALSE)</f>
        <v>1073</v>
      </c>
      <c r="N2937">
        <f>VLOOKUP(F2937,Sheet2!$B$1:$E$19,3,FALSE)</f>
        <v>1108952</v>
      </c>
      <c r="O2937">
        <f>IF(G2937="Not available","",VLOOKUP(F2937,Sheet2!$B$1:$E$19,4,FALSE)+(G2937-1))</f>
        <v>3778891</v>
      </c>
    </row>
    <row r="2938" spans="1:15" s="1" customFormat="1" ht="15" customHeight="1" x14ac:dyDescent="0.25">
      <c r="A2938" s="18" t="s">
        <v>358</v>
      </c>
      <c r="B2938" s="18" t="s">
        <v>38</v>
      </c>
      <c r="C2938" s="5">
        <v>1799</v>
      </c>
      <c r="D2938" s="1" t="s">
        <v>4</v>
      </c>
      <c r="E2938" s="1" t="s">
        <v>2</v>
      </c>
      <c r="F2938" s="18">
        <v>2173</v>
      </c>
      <c r="G2938" s="18">
        <v>39</v>
      </c>
      <c r="H2938" s="5">
        <v>73</v>
      </c>
      <c r="I2938" s="1">
        <v>109</v>
      </c>
      <c r="J2938" s="1">
        <v>237</v>
      </c>
      <c r="L2938" t="str">
        <f t="shared" si="45"/>
        <v>http://www.badatelna.eu/reprodukce/?fondId=1073&amp;zaznamId=1108959&amp;reproId=3780032</v>
      </c>
      <c r="M2938">
        <f>VLOOKUP(F2938,Sheet2!$B$1:$E$19,2,FALSE)</f>
        <v>1073</v>
      </c>
      <c r="N2938">
        <f>VLOOKUP(F2938,Sheet2!$B$1:$E$19,3,FALSE)</f>
        <v>1108959</v>
      </c>
      <c r="O2938">
        <f>IF(G2938="Not available","",VLOOKUP(F2938,Sheet2!$B$1:$E$19,4,FALSE)+(G2938-1))</f>
        <v>3780032</v>
      </c>
    </row>
    <row r="2939" spans="1:15" s="1" customFormat="1" ht="15" customHeight="1" x14ac:dyDescent="0.25">
      <c r="A2939" s="18" t="s">
        <v>358</v>
      </c>
      <c r="B2939" s="18" t="s">
        <v>1055</v>
      </c>
      <c r="C2939" s="5" t="s">
        <v>1517</v>
      </c>
      <c r="D2939" s="1" t="s">
        <v>233</v>
      </c>
      <c r="E2939" s="1" t="s">
        <v>2</v>
      </c>
      <c r="F2939" s="18">
        <v>2165</v>
      </c>
      <c r="G2939" s="18">
        <v>46</v>
      </c>
      <c r="H2939" s="5">
        <v>43</v>
      </c>
      <c r="I2939" s="1">
        <v>89</v>
      </c>
      <c r="J2939" s="1" t="s">
        <v>3271</v>
      </c>
      <c r="L2939" t="str">
        <f t="shared" si="45"/>
        <v>http://www.badatelna.eu/reprodukce/?fondId=1073&amp;zaznamId=1108952&amp;reproId=3778907</v>
      </c>
      <c r="M2939">
        <f>VLOOKUP(F2939,Sheet2!$B$1:$E$19,2,FALSE)</f>
        <v>1073</v>
      </c>
      <c r="N2939">
        <f>VLOOKUP(F2939,Sheet2!$B$1:$E$19,3,FALSE)</f>
        <v>1108952</v>
      </c>
      <c r="O2939">
        <f>IF(G2939="Not available","",VLOOKUP(F2939,Sheet2!$B$1:$E$19,4,FALSE)+(G2939-1))</f>
        <v>3778907</v>
      </c>
    </row>
    <row r="2940" spans="1:15" s="1" customFormat="1" ht="15" customHeight="1" x14ac:dyDescent="0.25">
      <c r="A2940" s="18" t="s">
        <v>358</v>
      </c>
      <c r="B2940" s="18" t="s">
        <v>924</v>
      </c>
      <c r="C2940" s="5" t="s">
        <v>1732</v>
      </c>
      <c r="D2940" s="1" t="s">
        <v>1120</v>
      </c>
      <c r="E2940" s="1" t="s">
        <v>2</v>
      </c>
      <c r="F2940" s="18">
        <v>2165</v>
      </c>
      <c r="G2940" s="18">
        <v>169</v>
      </c>
      <c r="H2940" s="5">
        <v>5</v>
      </c>
      <c r="I2940" s="1">
        <v>171</v>
      </c>
      <c r="J2940" s="1">
        <v>149</v>
      </c>
      <c r="L2940" t="str">
        <f t="shared" si="45"/>
        <v>http://www.badatelna.eu/reprodukce/?fondId=1073&amp;zaznamId=1108952&amp;reproId=3779030</v>
      </c>
      <c r="M2940">
        <f>VLOOKUP(F2940,Sheet2!$B$1:$E$19,2,FALSE)</f>
        <v>1073</v>
      </c>
      <c r="N2940">
        <f>VLOOKUP(F2940,Sheet2!$B$1:$E$19,3,FALSE)</f>
        <v>1108952</v>
      </c>
      <c r="O2940">
        <f>IF(G2940="Not available","",VLOOKUP(F2940,Sheet2!$B$1:$E$19,4,FALSE)+(G2940-1))</f>
        <v>3779030</v>
      </c>
    </row>
    <row r="2941" spans="1:15" s="1" customFormat="1" ht="15" customHeight="1" x14ac:dyDescent="0.25">
      <c r="A2941" s="18" t="s">
        <v>358</v>
      </c>
      <c r="B2941" s="18" t="s">
        <v>998</v>
      </c>
      <c r="C2941" s="5" t="s">
        <v>1457</v>
      </c>
      <c r="D2941" s="1" t="s">
        <v>1057</v>
      </c>
      <c r="E2941" s="1" t="s">
        <v>2</v>
      </c>
      <c r="F2941" s="18">
        <v>2165</v>
      </c>
      <c r="G2941" s="18">
        <v>75</v>
      </c>
      <c r="H2941" s="5">
        <v>72</v>
      </c>
      <c r="I2941" s="1">
        <v>89</v>
      </c>
      <c r="J2941" s="1" t="s">
        <v>3271</v>
      </c>
      <c r="L2941" t="str">
        <f t="shared" si="45"/>
        <v>http://www.badatelna.eu/reprodukce/?fondId=1073&amp;zaznamId=1108952&amp;reproId=3778936</v>
      </c>
      <c r="M2941">
        <f>VLOOKUP(F2941,Sheet2!$B$1:$E$19,2,FALSE)</f>
        <v>1073</v>
      </c>
      <c r="N2941">
        <f>VLOOKUP(F2941,Sheet2!$B$1:$E$19,3,FALSE)</f>
        <v>1108952</v>
      </c>
      <c r="O2941">
        <f>IF(G2941="Not available","",VLOOKUP(F2941,Sheet2!$B$1:$E$19,4,FALSE)+(G2941-1))</f>
        <v>3778936</v>
      </c>
    </row>
    <row r="2942" spans="1:15" s="1" customFormat="1" ht="15" customHeight="1" x14ac:dyDescent="0.25">
      <c r="A2942" s="18" t="s">
        <v>358</v>
      </c>
      <c r="B2942" s="18" t="s">
        <v>542</v>
      </c>
      <c r="C2942" s="5">
        <v>1846</v>
      </c>
      <c r="D2942" s="1" t="s">
        <v>717</v>
      </c>
      <c r="E2942" s="1" t="s">
        <v>2</v>
      </c>
      <c r="F2942" s="18">
        <v>2174</v>
      </c>
      <c r="G2942" s="18">
        <v>168</v>
      </c>
      <c r="H2942" s="6" t="s">
        <v>3230</v>
      </c>
      <c r="I2942" s="1">
        <v>195</v>
      </c>
      <c r="J2942" s="1">
        <v>229</v>
      </c>
      <c r="L2942" t="str">
        <f t="shared" si="45"/>
        <v>http://www.badatelna.eu/reprodukce/?fondId=1073&amp;zaznamId=1108960&amp;reproId=3780392</v>
      </c>
      <c r="M2942">
        <f>VLOOKUP(F2942,Sheet2!$B$1:$E$19,2,FALSE)</f>
        <v>1073</v>
      </c>
      <c r="N2942">
        <f>VLOOKUP(F2942,Sheet2!$B$1:$E$19,3,FALSE)</f>
        <v>1108960</v>
      </c>
      <c r="O2942">
        <f>IF(G2942="Not available","",VLOOKUP(F2942,Sheet2!$B$1:$E$19,4,FALSE)+(G2942-1))</f>
        <v>3780392</v>
      </c>
    </row>
    <row r="2943" spans="1:15" s="1" customFormat="1" ht="15" customHeight="1" x14ac:dyDescent="0.25">
      <c r="A2943" s="18" t="s">
        <v>358</v>
      </c>
      <c r="B2943" s="18" t="s">
        <v>2022</v>
      </c>
      <c r="C2943" s="10" t="s">
        <v>1285</v>
      </c>
      <c r="D2943" s="3" t="s">
        <v>2538</v>
      </c>
      <c r="E2943" s="4" t="s">
        <v>2</v>
      </c>
      <c r="F2943" s="18">
        <v>2176</v>
      </c>
      <c r="G2943" s="18" t="s">
        <v>3271</v>
      </c>
      <c r="H2943" s="10" t="s">
        <v>2040</v>
      </c>
      <c r="I2943" s="3">
        <v>31</v>
      </c>
      <c r="J2943" s="3" t="s">
        <v>3271</v>
      </c>
      <c r="K2943" s="3"/>
      <c r="L2943" t="str">
        <f t="shared" si="45"/>
        <v/>
      </c>
      <c r="M2943">
        <f>VLOOKUP(F2943,Sheet2!$B$1:$E$19,2,FALSE)</f>
        <v>1073</v>
      </c>
      <c r="N2943">
        <f>VLOOKUP(F2943,Sheet2!$B$1:$E$19,3,FALSE)</f>
        <v>1108963</v>
      </c>
      <c r="O2943" t="str">
        <f>IF(G2943="Not available","",VLOOKUP(F2943,Sheet2!$B$1:$E$19,4,FALSE)+(G2943-1))</f>
        <v/>
      </c>
    </row>
    <row r="2944" spans="1:15" s="1" customFormat="1" ht="15" customHeight="1" x14ac:dyDescent="0.25">
      <c r="A2944" s="18" t="s">
        <v>358</v>
      </c>
      <c r="B2944" s="18" t="s">
        <v>1132</v>
      </c>
      <c r="C2944" s="5">
        <v>1882</v>
      </c>
      <c r="D2944" s="1" t="s">
        <v>96</v>
      </c>
      <c r="E2944" s="1" t="s">
        <v>2</v>
      </c>
      <c r="F2944" s="18">
        <v>2165</v>
      </c>
      <c r="G2944" s="18">
        <v>180</v>
      </c>
      <c r="H2944" s="5">
        <v>4</v>
      </c>
      <c r="I2944" s="1">
        <v>183</v>
      </c>
      <c r="J2944" s="1">
        <v>160</v>
      </c>
      <c r="L2944" t="str">
        <f t="shared" si="45"/>
        <v>http://www.badatelna.eu/reprodukce/?fondId=1073&amp;zaznamId=1108952&amp;reproId=3779041</v>
      </c>
      <c r="M2944">
        <f>VLOOKUP(F2944,Sheet2!$B$1:$E$19,2,FALSE)</f>
        <v>1073</v>
      </c>
      <c r="N2944">
        <f>VLOOKUP(F2944,Sheet2!$B$1:$E$19,3,FALSE)</f>
        <v>1108952</v>
      </c>
      <c r="O2944">
        <f>IF(G2944="Not available","",VLOOKUP(F2944,Sheet2!$B$1:$E$19,4,FALSE)+(G2944-1))</f>
        <v>3779041</v>
      </c>
    </row>
    <row r="2945" spans="1:15" s="1" customFormat="1" ht="15" customHeight="1" x14ac:dyDescent="0.25">
      <c r="A2945" s="18" t="s">
        <v>358</v>
      </c>
      <c r="B2945" s="18" t="s">
        <v>2196</v>
      </c>
      <c r="C2945" s="10" t="s">
        <v>2026</v>
      </c>
      <c r="D2945" s="3" t="s">
        <v>2536</v>
      </c>
      <c r="E2945" s="4" t="s">
        <v>2</v>
      </c>
      <c r="F2945" s="18">
        <v>2176</v>
      </c>
      <c r="G2945" s="18" t="s">
        <v>3271</v>
      </c>
      <c r="H2945" s="10" t="s">
        <v>2199</v>
      </c>
      <c r="I2945" s="3">
        <v>31</v>
      </c>
      <c r="J2945" s="3" t="s">
        <v>3271</v>
      </c>
      <c r="K2945" s="3"/>
      <c r="L2945" t="str">
        <f t="shared" si="45"/>
        <v/>
      </c>
      <c r="M2945">
        <f>VLOOKUP(F2945,Sheet2!$B$1:$E$19,2,FALSE)</f>
        <v>1073</v>
      </c>
      <c r="N2945">
        <f>VLOOKUP(F2945,Sheet2!$B$1:$E$19,3,FALSE)</f>
        <v>1108963</v>
      </c>
      <c r="O2945" t="str">
        <f>IF(G2945="Not available","",VLOOKUP(F2945,Sheet2!$B$1:$E$19,4,FALSE)+(G2945-1))</f>
        <v/>
      </c>
    </row>
    <row r="2946" spans="1:15" s="1" customFormat="1" ht="15" customHeight="1" x14ac:dyDescent="0.25">
      <c r="A2946" s="18" t="s">
        <v>358</v>
      </c>
      <c r="B2946" s="18" t="s">
        <v>545</v>
      </c>
      <c r="C2946" s="5">
        <v>1854</v>
      </c>
      <c r="D2946" s="1" t="s">
        <v>24</v>
      </c>
      <c r="E2946" s="1" t="s">
        <v>2</v>
      </c>
      <c r="F2946" s="18">
        <v>2164</v>
      </c>
      <c r="G2946" s="18">
        <v>97</v>
      </c>
      <c r="H2946" s="5">
        <v>95</v>
      </c>
      <c r="I2946" s="1">
        <v>134</v>
      </c>
      <c r="J2946" s="3" t="s">
        <v>3271</v>
      </c>
      <c r="L2946" t="str">
        <f t="shared" si="45"/>
        <v>http://www.badatelna.eu/reprodukce/?fondId=1073&amp;zaznamId=1108951&amp;reproId=3778811</v>
      </c>
      <c r="M2946">
        <f>VLOOKUP(F2946,Sheet2!$B$1:$E$19,2,FALSE)</f>
        <v>1073</v>
      </c>
      <c r="N2946">
        <f>VLOOKUP(F2946,Sheet2!$B$1:$E$19,3,FALSE)</f>
        <v>1108951</v>
      </c>
      <c r="O2946">
        <f>IF(G2946="Not available","",VLOOKUP(F2946,Sheet2!$B$1:$E$19,4,FALSE)+(G2946-1))</f>
        <v>3778811</v>
      </c>
    </row>
    <row r="2947" spans="1:15" s="1" customFormat="1" ht="15" customHeight="1" x14ac:dyDescent="0.25">
      <c r="A2947" s="18" t="s">
        <v>358</v>
      </c>
      <c r="B2947" s="18" t="s">
        <v>545</v>
      </c>
      <c r="C2947" s="5" t="s">
        <v>1339</v>
      </c>
      <c r="D2947" s="1" t="s">
        <v>233</v>
      </c>
      <c r="E2947" s="1" t="s">
        <v>2</v>
      </c>
      <c r="F2947" s="18">
        <v>2165</v>
      </c>
      <c r="G2947" s="18">
        <v>65</v>
      </c>
      <c r="H2947" s="5">
        <v>62</v>
      </c>
      <c r="I2947" s="1">
        <v>89</v>
      </c>
      <c r="J2947" s="1" t="s">
        <v>3271</v>
      </c>
      <c r="L2947" t="str">
        <f t="shared" ref="L2947:L3010" si="46">IF(G2947="Not available","","http://www.badatelna.eu/reprodukce/?fondId="&amp;M2947&amp;"&amp;zaznamId="&amp;N2947&amp;"&amp;reproId="&amp;O2947)</f>
        <v>http://www.badatelna.eu/reprodukce/?fondId=1073&amp;zaznamId=1108952&amp;reproId=3778926</v>
      </c>
      <c r="M2947">
        <f>VLOOKUP(F2947,Sheet2!$B$1:$E$19,2,FALSE)</f>
        <v>1073</v>
      </c>
      <c r="N2947">
        <f>VLOOKUP(F2947,Sheet2!$B$1:$E$19,3,FALSE)</f>
        <v>1108952</v>
      </c>
      <c r="O2947">
        <f>IF(G2947="Not available","",VLOOKUP(F2947,Sheet2!$B$1:$E$19,4,FALSE)+(G2947-1))</f>
        <v>3778926</v>
      </c>
    </row>
    <row r="2948" spans="1:15" s="1" customFormat="1" ht="15" customHeight="1" x14ac:dyDescent="0.25">
      <c r="A2948" s="18" t="s">
        <v>358</v>
      </c>
      <c r="B2948" s="18" t="s">
        <v>773</v>
      </c>
      <c r="C2948" s="5">
        <v>1848</v>
      </c>
      <c r="D2948" s="1" t="s">
        <v>219</v>
      </c>
      <c r="E2948" s="1" t="s">
        <v>2</v>
      </c>
      <c r="F2948" s="18">
        <v>2164</v>
      </c>
      <c r="G2948" s="18">
        <v>24</v>
      </c>
      <c r="H2948" s="5">
        <v>22</v>
      </c>
      <c r="I2948" s="1">
        <v>135</v>
      </c>
      <c r="J2948" s="3" t="s">
        <v>3271</v>
      </c>
      <c r="L2948" t="str">
        <f t="shared" si="46"/>
        <v>http://www.badatelna.eu/reprodukce/?fondId=1073&amp;zaznamId=1108951&amp;reproId=3778738</v>
      </c>
      <c r="M2948">
        <f>VLOOKUP(F2948,Sheet2!$B$1:$E$19,2,FALSE)</f>
        <v>1073</v>
      </c>
      <c r="N2948">
        <f>VLOOKUP(F2948,Sheet2!$B$1:$E$19,3,FALSE)</f>
        <v>1108951</v>
      </c>
      <c r="O2948">
        <f>IF(G2948="Not available","",VLOOKUP(F2948,Sheet2!$B$1:$E$19,4,FALSE)+(G2948-1))</f>
        <v>3778738</v>
      </c>
    </row>
    <row r="2949" spans="1:15" s="1" customFormat="1" ht="15" customHeight="1" x14ac:dyDescent="0.25">
      <c r="A2949" s="18" t="s">
        <v>358</v>
      </c>
      <c r="B2949" s="18" t="s">
        <v>93</v>
      </c>
      <c r="C2949" s="5">
        <v>1786</v>
      </c>
      <c r="D2949" s="1" t="s">
        <v>75</v>
      </c>
      <c r="E2949" s="1" t="s">
        <v>2</v>
      </c>
      <c r="F2949" s="18">
        <v>2173</v>
      </c>
      <c r="G2949" s="18">
        <v>11</v>
      </c>
      <c r="H2949" s="5">
        <v>16</v>
      </c>
      <c r="I2949" s="1">
        <v>109</v>
      </c>
      <c r="J2949" s="1">
        <v>237</v>
      </c>
      <c r="L2949" t="str">
        <f t="shared" si="46"/>
        <v>http://www.badatelna.eu/reprodukce/?fondId=1073&amp;zaznamId=1108959&amp;reproId=3780004</v>
      </c>
      <c r="M2949">
        <f>VLOOKUP(F2949,Sheet2!$B$1:$E$19,2,FALSE)</f>
        <v>1073</v>
      </c>
      <c r="N2949">
        <f>VLOOKUP(F2949,Sheet2!$B$1:$E$19,3,FALSE)</f>
        <v>1108959</v>
      </c>
      <c r="O2949">
        <f>IF(G2949="Not available","",VLOOKUP(F2949,Sheet2!$B$1:$E$19,4,FALSE)+(G2949-1))</f>
        <v>3780004</v>
      </c>
    </row>
    <row r="2950" spans="1:15" s="1" customFormat="1" ht="15" customHeight="1" x14ac:dyDescent="0.25">
      <c r="A2950" s="18" t="s">
        <v>891</v>
      </c>
      <c r="B2950" s="19" t="s">
        <v>2885</v>
      </c>
      <c r="C2950" s="5">
        <v>1851</v>
      </c>
      <c r="D2950" s="4" t="s">
        <v>50</v>
      </c>
      <c r="E2950" s="1" t="s">
        <v>2</v>
      </c>
      <c r="F2950" s="18">
        <v>2164</v>
      </c>
      <c r="G2950" s="18">
        <v>77</v>
      </c>
      <c r="H2950" s="5">
        <v>75</v>
      </c>
      <c r="I2950" s="1">
        <v>134</v>
      </c>
      <c r="J2950" s="3" t="s">
        <v>3271</v>
      </c>
      <c r="L2950" t="str">
        <f t="shared" si="46"/>
        <v>http://www.badatelna.eu/reprodukce/?fondId=1073&amp;zaznamId=1108951&amp;reproId=3778791</v>
      </c>
      <c r="M2950">
        <f>VLOOKUP(F2950,Sheet2!$B$1:$E$19,2,FALSE)</f>
        <v>1073</v>
      </c>
      <c r="N2950">
        <f>VLOOKUP(F2950,Sheet2!$B$1:$E$19,3,FALSE)</f>
        <v>1108951</v>
      </c>
      <c r="O2950">
        <f>IF(G2950="Not available","",VLOOKUP(F2950,Sheet2!$B$1:$E$19,4,FALSE)+(G2950-1))</f>
        <v>3778791</v>
      </c>
    </row>
    <row r="2951" spans="1:15" s="1" customFormat="1" ht="15" customHeight="1" x14ac:dyDescent="0.25">
      <c r="A2951" s="18" t="s">
        <v>891</v>
      </c>
      <c r="B2951" s="18" t="s">
        <v>700</v>
      </c>
      <c r="C2951" s="5">
        <v>1849</v>
      </c>
      <c r="D2951" s="1" t="s">
        <v>398</v>
      </c>
      <c r="E2951" s="1" t="s">
        <v>2</v>
      </c>
      <c r="F2951" s="18">
        <v>2164</v>
      </c>
      <c r="G2951" s="18">
        <v>46</v>
      </c>
      <c r="H2951" s="5">
        <v>44</v>
      </c>
      <c r="I2951" s="1">
        <v>134</v>
      </c>
      <c r="J2951" s="3" t="s">
        <v>3271</v>
      </c>
      <c r="L2951" t="str">
        <f t="shared" si="46"/>
        <v>http://www.badatelna.eu/reprodukce/?fondId=1073&amp;zaznamId=1108951&amp;reproId=3778760</v>
      </c>
      <c r="M2951">
        <f>VLOOKUP(F2951,Sheet2!$B$1:$E$19,2,FALSE)</f>
        <v>1073</v>
      </c>
      <c r="N2951">
        <f>VLOOKUP(F2951,Sheet2!$B$1:$E$19,3,FALSE)</f>
        <v>1108951</v>
      </c>
      <c r="O2951">
        <f>IF(G2951="Not available","",VLOOKUP(F2951,Sheet2!$B$1:$E$19,4,FALSE)+(G2951-1))</f>
        <v>3778760</v>
      </c>
    </row>
    <row r="2952" spans="1:15" s="1" customFormat="1" ht="15" customHeight="1" x14ac:dyDescent="0.25">
      <c r="A2952" s="18" t="s">
        <v>1056</v>
      </c>
      <c r="B2952" s="18" t="s">
        <v>233</v>
      </c>
      <c r="C2952" s="6" t="s">
        <v>1519</v>
      </c>
      <c r="D2952" s="1" t="s">
        <v>233</v>
      </c>
      <c r="E2952" s="1" t="s">
        <v>2</v>
      </c>
      <c r="F2952" s="18">
        <v>2165</v>
      </c>
      <c r="G2952" s="18">
        <v>69</v>
      </c>
      <c r="H2952" s="5">
        <v>66</v>
      </c>
      <c r="I2952" s="1">
        <v>89</v>
      </c>
      <c r="J2952" s="1" t="s">
        <v>3271</v>
      </c>
      <c r="L2952" t="str">
        <f t="shared" si="46"/>
        <v>http://www.badatelna.eu/reprodukce/?fondId=1073&amp;zaznamId=1108952&amp;reproId=3778930</v>
      </c>
      <c r="M2952">
        <f>VLOOKUP(F2952,Sheet2!$B$1:$E$19,2,FALSE)</f>
        <v>1073</v>
      </c>
      <c r="N2952">
        <f>VLOOKUP(F2952,Sheet2!$B$1:$E$19,3,FALSE)</f>
        <v>1108952</v>
      </c>
      <c r="O2952">
        <f>IF(G2952="Not available","",VLOOKUP(F2952,Sheet2!$B$1:$E$19,4,FALSE)+(G2952-1))</f>
        <v>3778930</v>
      </c>
    </row>
    <row r="2953" spans="1:15" s="1" customFormat="1" ht="15" customHeight="1" x14ac:dyDescent="0.25">
      <c r="A2953" s="18" t="s">
        <v>1184</v>
      </c>
      <c r="B2953" s="18" t="s">
        <v>490</v>
      </c>
      <c r="C2953" s="10" t="s">
        <v>1957</v>
      </c>
      <c r="D2953" s="3" t="s">
        <v>2611</v>
      </c>
      <c r="E2953" s="4" t="s">
        <v>2</v>
      </c>
      <c r="F2953" s="18">
        <v>2176</v>
      </c>
      <c r="G2953" s="18" t="s">
        <v>3271</v>
      </c>
      <c r="H2953" s="10" t="s">
        <v>2094</v>
      </c>
      <c r="I2953" s="3">
        <v>35</v>
      </c>
      <c r="J2953" s="3" t="s">
        <v>3271</v>
      </c>
      <c r="K2953" s="3"/>
      <c r="L2953" t="str">
        <f t="shared" si="46"/>
        <v/>
      </c>
      <c r="M2953">
        <f>VLOOKUP(F2953,Sheet2!$B$1:$E$19,2,FALSE)</f>
        <v>1073</v>
      </c>
      <c r="N2953">
        <f>VLOOKUP(F2953,Sheet2!$B$1:$E$19,3,FALSE)</f>
        <v>1108963</v>
      </c>
      <c r="O2953" t="str">
        <f>IF(G2953="Not available","",VLOOKUP(F2953,Sheet2!$B$1:$E$19,4,FALSE)+(G2953-1))</f>
        <v/>
      </c>
    </row>
    <row r="2954" spans="1:15" s="1" customFormat="1" ht="15" customHeight="1" x14ac:dyDescent="0.25">
      <c r="A2954" s="18" t="s">
        <v>1184</v>
      </c>
      <c r="B2954" s="18" t="s">
        <v>490</v>
      </c>
      <c r="C2954" s="5" t="s">
        <v>1932</v>
      </c>
      <c r="D2954" s="1" t="s">
        <v>377</v>
      </c>
      <c r="E2954" s="1" t="s">
        <v>2</v>
      </c>
      <c r="F2954" s="18">
        <v>2165</v>
      </c>
      <c r="G2954" s="18">
        <v>282</v>
      </c>
      <c r="H2954" s="5">
        <v>2</v>
      </c>
      <c r="I2954" s="1">
        <v>284</v>
      </c>
      <c r="J2954" s="1">
        <v>258</v>
      </c>
      <c r="L2954" t="str">
        <f t="shared" si="46"/>
        <v>http://www.badatelna.eu/reprodukce/?fondId=1073&amp;zaznamId=1108952&amp;reproId=3779143</v>
      </c>
      <c r="M2954">
        <f>VLOOKUP(F2954,Sheet2!$B$1:$E$19,2,FALSE)</f>
        <v>1073</v>
      </c>
      <c r="N2954">
        <f>VLOOKUP(F2954,Sheet2!$B$1:$E$19,3,FALSE)</f>
        <v>1108952</v>
      </c>
      <c r="O2954">
        <f>IF(G2954="Not available","",VLOOKUP(F2954,Sheet2!$B$1:$E$19,4,FALSE)+(G2954-1))</f>
        <v>3779143</v>
      </c>
    </row>
    <row r="2955" spans="1:15" s="1" customFormat="1" ht="15" customHeight="1" x14ac:dyDescent="0.25">
      <c r="A2955" s="18" t="s">
        <v>1184</v>
      </c>
      <c r="B2955" s="18" t="s">
        <v>1102</v>
      </c>
      <c r="C2955" s="5" t="s">
        <v>1757</v>
      </c>
      <c r="D2955" s="1" t="s">
        <v>377</v>
      </c>
      <c r="E2955" s="1" t="s">
        <v>2</v>
      </c>
      <c r="F2955" s="18">
        <v>2165</v>
      </c>
      <c r="G2955" s="18">
        <v>229</v>
      </c>
      <c r="H2955" s="5">
        <v>2</v>
      </c>
      <c r="I2955" s="1">
        <v>232</v>
      </c>
      <c r="J2955" s="1">
        <v>208</v>
      </c>
      <c r="L2955" t="str">
        <f t="shared" si="46"/>
        <v>http://www.badatelna.eu/reprodukce/?fondId=1073&amp;zaznamId=1108952&amp;reproId=3779090</v>
      </c>
      <c r="M2955">
        <f>VLOOKUP(F2955,Sheet2!$B$1:$E$19,2,FALSE)</f>
        <v>1073</v>
      </c>
      <c r="N2955">
        <f>VLOOKUP(F2955,Sheet2!$B$1:$E$19,3,FALSE)</f>
        <v>1108952</v>
      </c>
      <c r="O2955">
        <f>IF(G2955="Not available","",VLOOKUP(F2955,Sheet2!$B$1:$E$19,4,FALSE)+(G2955-1))</f>
        <v>3779090</v>
      </c>
    </row>
    <row r="2956" spans="1:15" s="1" customFormat="1" ht="15" customHeight="1" x14ac:dyDescent="0.25">
      <c r="A2956" s="18" t="s">
        <v>1184</v>
      </c>
      <c r="B2956" s="18" t="s">
        <v>197</v>
      </c>
      <c r="C2956" s="10" t="s">
        <v>2055</v>
      </c>
      <c r="D2956" s="3" t="s">
        <v>2597</v>
      </c>
      <c r="E2956" s="4" t="s">
        <v>2</v>
      </c>
      <c r="F2956" s="18">
        <v>2176</v>
      </c>
      <c r="G2956" s="18" t="s">
        <v>3271</v>
      </c>
      <c r="H2956" s="10" t="s">
        <v>1954</v>
      </c>
      <c r="I2956" s="3">
        <v>34</v>
      </c>
      <c r="J2956" s="3" t="s">
        <v>3271</v>
      </c>
      <c r="K2956" s="3"/>
      <c r="L2956" t="str">
        <f t="shared" si="46"/>
        <v/>
      </c>
      <c r="M2956">
        <f>VLOOKUP(F2956,Sheet2!$B$1:$E$19,2,FALSE)</f>
        <v>1073</v>
      </c>
      <c r="N2956">
        <f>VLOOKUP(F2956,Sheet2!$B$1:$E$19,3,FALSE)</f>
        <v>1108963</v>
      </c>
      <c r="O2956" t="str">
        <f>IF(G2956="Not available","",VLOOKUP(F2956,Sheet2!$B$1:$E$19,4,FALSE)+(G2956-1))</f>
        <v/>
      </c>
    </row>
    <row r="2957" spans="1:15" s="1" customFormat="1" ht="15" customHeight="1" x14ac:dyDescent="0.25">
      <c r="A2957" s="18" t="s">
        <v>1184</v>
      </c>
      <c r="B2957" s="18" t="s">
        <v>197</v>
      </c>
      <c r="C2957" s="5">
        <v>1887</v>
      </c>
      <c r="D2957" s="1" t="s">
        <v>377</v>
      </c>
      <c r="E2957" s="1" t="s">
        <v>2</v>
      </c>
      <c r="F2957" s="18">
        <v>2165</v>
      </c>
      <c r="G2957" s="18">
        <v>212</v>
      </c>
      <c r="H2957" s="5">
        <v>1</v>
      </c>
      <c r="I2957" s="1">
        <v>216</v>
      </c>
      <c r="J2957" s="1">
        <v>192</v>
      </c>
      <c r="L2957" t="str">
        <f t="shared" si="46"/>
        <v>http://www.badatelna.eu/reprodukce/?fondId=1073&amp;zaznamId=1108952&amp;reproId=3779073</v>
      </c>
      <c r="M2957">
        <f>VLOOKUP(F2957,Sheet2!$B$1:$E$19,2,FALSE)</f>
        <v>1073</v>
      </c>
      <c r="N2957">
        <f>VLOOKUP(F2957,Sheet2!$B$1:$E$19,3,FALSE)</f>
        <v>1108952</v>
      </c>
      <c r="O2957">
        <f>IF(G2957="Not available","",VLOOKUP(F2957,Sheet2!$B$1:$E$19,4,FALSE)+(G2957-1))</f>
        <v>3779073</v>
      </c>
    </row>
    <row r="2958" spans="1:15" s="1" customFormat="1" ht="15" customHeight="1" x14ac:dyDescent="0.25">
      <c r="A2958" s="18" t="s">
        <v>1184</v>
      </c>
      <c r="B2958" s="18" t="s">
        <v>1033</v>
      </c>
      <c r="C2958" s="10" t="s">
        <v>2081</v>
      </c>
      <c r="D2958" s="3" t="s">
        <v>2604</v>
      </c>
      <c r="E2958" s="4" t="s">
        <v>2</v>
      </c>
      <c r="F2958" s="18">
        <v>2176</v>
      </c>
      <c r="G2958" s="18" t="s">
        <v>3271</v>
      </c>
      <c r="H2958" s="10" t="s">
        <v>2142</v>
      </c>
      <c r="I2958" s="3">
        <v>35</v>
      </c>
      <c r="J2958" s="3" t="s">
        <v>3271</v>
      </c>
      <c r="K2958" s="3"/>
      <c r="L2958" t="str">
        <f t="shared" si="46"/>
        <v/>
      </c>
      <c r="M2958">
        <f>VLOOKUP(F2958,Sheet2!$B$1:$E$19,2,FALSE)</f>
        <v>1073</v>
      </c>
      <c r="N2958">
        <f>VLOOKUP(F2958,Sheet2!$B$1:$E$19,3,FALSE)</f>
        <v>1108963</v>
      </c>
      <c r="O2958" t="str">
        <f>IF(G2958="Not available","",VLOOKUP(F2958,Sheet2!$B$1:$E$19,4,FALSE)+(G2958-1))</f>
        <v/>
      </c>
    </row>
    <row r="2959" spans="1:15" s="1" customFormat="1" ht="15" customHeight="1" x14ac:dyDescent="0.25">
      <c r="A2959" s="18" t="s">
        <v>1184</v>
      </c>
      <c r="B2959" s="18" t="s">
        <v>1033</v>
      </c>
      <c r="C2959" s="5" t="s">
        <v>1823</v>
      </c>
      <c r="D2959" s="1" t="s">
        <v>377</v>
      </c>
      <c r="E2959" s="1" t="s">
        <v>2</v>
      </c>
      <c r="F2959" s="18">
        <v>2165</v>
      </c>
      <c r="G2959" s="18">
        <v>247</v>
      </c>
      <c r="H2959" s="5">
        <v>1</v>
      </c>
      <c r="I2959" s="1">
        <v>250</v>
      </c>
      <c r="J2959" s="1">
        <v>226</v>
      </c>
      <c r="L2959" t="str">
        <f t="shared" si="46"/>
        <v>http://www.badatelna.eu/reprodukce/?fondId=1073&amp;zaznamId=1108952&amp;reproId=3779108</v>
      </c>
      <c r="M2959">
        <f>VLOOKUP(F2959,Sheet2!$B$1:$E$19,2,FALSE)</f>
        <v>1073</v>
      </c>
      <c r="N2959">
        <f>VLOOKUP(F2959,Sheet2!$B$1:$E$19,3,FALSE)</f>
        <v>1108952</v>
      </c>
      <c r="O2959">
        <f>IF(G2959="Not available","",VLOOKUP(F2959,Sheet2!$B$1:$E$19,4,FALSE)+(G2959-1))</f>
        <v>3779108</v>
      </c>
    </row>
    <row r="2960" spans="1:15" s="1" customFormat="1" ht="15" customHeight="1" x14ac:dyDescent="0.25">
      <c r="A2960" s="18" t="s">
        <v>1184</v>
      </c>
      <c r="B2960" s="18" t="s">
        <v>1078</v>
      </c>
      <c r="C2960" s="10" t="s">
        <v>2068</v>
      </c>
      <c r="D2960" s="3" t="s">
        <v>2600</v>
      </c>
      <c r="E2960" s="4" t="s">
        <v>2</v>
      </c>
      <c r="F2960" s="18">
        <v>2176</v>
      </c>
      <c r="G2960" s="18" t="s">
        <v>3271</v>
      </c>
      <c r="H2960" s="10" t="s">
        <v>2142</v>
      </c>
      <c r="I2960" s="3">
        <v>34</v>
      </c>
      <c r="J2960" s="3" t="s">
        <v>3271</v>
      </c>
      <c r="K2960" s="3"/>
      <c r="L2960" t="str">
        <f t="shared" si="46"/>
        <v/>
      </c>
      <c r="M2960">
        <f>VLOOKUP(F2960,Sheet2!$B$1:$E$19,2,FALSE)</f>
        <v>1073</v>
      </c>
      <c r="N2960">
        <f>VLOOKUP(F2960,Sheet2!$B$1:$E$19,3,FALSE)</f>
        <v>1108963</v>
      </c>
      <c r="O2960" t="str">
        <f>IF(G2960="Not available","",VLOOKUP(F2960,Sheet2!$B$1:$E$19,4,FALSE)+(G2960-1))</f>
        <v/>
      </c>
    </row>
    <row r="2961" spans="1:15" s="1" customFormat="1" ht="15" customHeight="1" x14ac:dyDescent="0.25">
      <c r="A2961" s="18" t="s">
        <v>1184</v>
      </c>
      <c r="B2961" s="18" t="s">
        <v>1078</v>
      </c>
      <c r="C2961" s="5">
        <v>1889</v>
      </c>
      <c r="D2961" s="1" t="s">
        <v>1193</v>
      </c>
      <c r="E2961" s="1" t="s">
        <v>2</v>
      </c>
      <c r="F2961" s="18">
        <v>2165</v>
      </c>
      <c r="G2961" s="18">
        <v>221</v>
      </c>
      <c r="H2961" s="5">
        <v>1</v>
      </c>
      <c r="I2961" s="1">
        <v>225</v>
      </c>
      <c r="J2961" s="1">
        <v>201</v>
      </c>
      <c r="L2961" t="str">
        <f t="shared" si="46"/>
        <v>http://www.badatelna.eu/reprodukce/?fondId=1073&amp;zaznamId=1108952&amp;reproId=3779082</v>
      </c>
      <c r="M2961">
        <f>VLOOKUP(F2961,Sheet2!$B$1:$E$19,2,FALSE)</f>
        <v>1073</v>
      </c>
      <c r="N2961">
        <f>VLOOKUP(F2961,Sheet2!$B$1:$E$19,3,FALSE)</f>
        <v>1108952</v>
      </c>
      <c r="O2961">
        <f>IF(G2961="Not available","",VLOOKUP(F2961,Sheet2!$B$1:$E$19,4,FALSE)+(G2961-1))</f>
        <v>3779082</v>
      </c>
    </row>
    <row r="2962" spans="1:15" s="1" customFormat="1" ht="15" customHeight="1" x14ac:dyDescent="0.25">
      <c r="A2962" s="18" t="s">
        <v>1184</v>
      </c>
      <c r="B2962" s="18" t="s">
        <v>1078</v>
      </c>
      <c r="C2962" s="10" t="s">
        <v>2072</v>
      </c>
      <c r="D2962" s="3" t="s">
        <v>2604</v>
      </c>
      <c r="E2962" s="4" t="s">
        <v>2</v>
      </c>
      <c r="F2962" s="18">
        <v>2176</v>
      </c>
      <c r="G2962" s="18" t="s">
        <v>3271</v>
      </c>
      <c r="H2962" s="10" t="s">
        <v>1976</v>
      </c>
      <c r="I2962" s="3">
        <v>34</v>
      </c>
      <c r="J2962" s="3" t="s">
        <v>3271</v>
      </c>
      <c r="K2962" s="3"/>
      <c r="L2962" t="str">
        <f t="shared" si="46"/>
        <v/>
      </c>
      <c r="M2962">
        <f>VLOOKUP(F2962,Sheet2!$B$1:$E$19,2,FALSE)</f>
        <v>1073</v>
      </c>
      <c r="N2962">
        <f>VLOOKUP(F2962,Sheet2!$B$1:$E$19,3,FALSE)</f>
        <v>1108963</v>
      </c>
      <c r="O2962" t="str">
        <f>IF(G2962="Not available","",VLOOKUP(F2962,Sheet2!$B$1:$E$19,4,FALSE)+(G2962-1))</f>
        <v/>
      </c>
    </row>
    <row r="2963" spans="1:15" s="1" customFormat="1" ht="15" customHeight="1" x14ac:dyDescent="0.25">
      <c r="A2963" s="18" t="s">
        <v>743</v>
      </c>
      <c r="B2963" s="18" t="s">
        <v>9</v>
      </c>
      <c r="C2963" s="5">
        <v>1851</v>
      </c>
      <c r="D2963" s="1" t="s">
        <v>370</v>
      </c>
      <c r="E2963" s="1" t="s">
        <v>2</v>
      </c>
      <c r="F2963" s="18">
        <v>2164</v>
      </c>
      <c r="G2963" s="18">
        <v>77</v>
      </c>
      <c r="H2963" s="5">
        <v>75</v>
      </c>
      <c r="I2963" s="1">
        <v>136</v>
      </c>
      <c r="J2963" s="3" t="s">
        <v>3271</v>
      </c>
      <c r="L2963" t="str">
        <f t="shared" si="46"/>
        <v>http://www.badatelna.eu/reprodukce/?fondId=1073&amp;zaznamId=1108951&amp;reproId=3778791</v>
      </c>
      <c r="M2963">
        <f>VLOOKUP(F2963,Sheet2!$B$1:$E$19,2,FALSE)</f>
        <v>1073</v>
      </c>
      <c r="N2963">
        <f>VLOOKUP(F2963,Sheet2!$B$1:$E$19,3,FALSE)</f>
        <v>1108951</v>
      </c>
      <c r="O2963">
        <f>IF(G2963="Not available","",VLOOKUP(F2963,Sheet2!$B$1:$E$19,4,FALSE)+(G2963-1))</f>
        <v>3778791</v>
      </c>
    </row>
    <row r="2964" spans="1:15" s="1" customFormat="1" ht="15" customHeight="1" x14ac:dyDescent="0.25">
      <c r="A2964" s="18" t="s">
        <v>743</v>
      </c>
      <c r="B2964" s="18" t="s">
        <v>602</v>
      </c>
      <c r="C2964" s="5">
        <v>1847</v>
      </c>
      <c r="D2964" s="1" t="s">
        <v>370</v>
      </c>
      <c r="E2964" s="1" t="s">
        <v>2</v>
      </c>
      <c r="F2964" s="18">
        <v>2174</v>
      </c>
      <c r="G2964" s="18">
        <v>176</v>
      </c>
      <c r="H2964" s="6" t="s">
        <v>3239</v>
      </c>
      <c r="I2964" s="1">
        <v>197</v>
      </c>
      <c r="J2964" s="1">
        <v>233</v>
      </c>
      <c r="L2964" t="str">
        <f t="shared" si="46"/>
        <v>http://www.badatelna.eu/reprodukce/?fondId=1073&amp;zaznamId=1108960&amp;reproId=3780400</v>
      </c>
      <c r="M2964">
        <f>VLOOKUP(F2964,Sheet2!$B$1:$E$19,2,FALSE)</f>
        <v>1073</v>
      </c>
      <c r="N2964">
        <f>VLOOKUP(F2964,Sheet2!$B$1:$E$19,3,FALSE)</f>
        <v>1108960</v>
      </c>
      <c r="O2964">
        <f>IF(G2964="Not available","",VLOOKUP(F2964,Sheet2!$B$1:$E$19,4,FALSE)+(G2964-1))</f>
        <v>3780400</v>
      </c>
    </row>
    <row r="2965" spans="1:15" s="1" customFormat="1" ht="15" customHeight="1" x14ac:dyDescent="0.25">
      <c r="A2965" s="18" t="s">
        <v>743</v>
      </c>
      <c r="B2965" s="18" t="s">
        <v>506</v>
      </c>
      <c r="C2965" s="5">
        <v>1849</v>
      </c>
      <c r="D2965" s="1" t="s">
        <v>370</v>
      </c>
      <c r="E2965" s="1" t="s">
        <v>2</v>
      </c>
      <c r="F2965" s="18">
        <v>2164</v>
      </c>
      <c r="G2965" s="18">
        <v>69</v>
      </c>
      <c r="H2965" s="5">
        <v>67</v>
      </c>
      <c r="I2965" s="1">
        <v>136</v>
      </c>
      <c r="J2965" s="3" t="s">
        <v>3271</v>
      </c>
      <c r="L2965" t="str">
        <f t="shared" si="46"/>
        <v>http://www.badatelna.eu/reprodukce/?fondId=1073&amp;zaznamId=1108951&amp;reproId=3778783</v>
      </c>
      <c r="M2965">
        <f>VLOOKUP(F2965,Sheet2!$B$1:$E$19,2,FALSE)</f>
        <v>1073</v>
      </c>
      <c r="N2965">
        <f>VLOOKUP(F2965,Sheet2!$B$1:$E$19,3,FALSE)</f>
        <v>1108951</v>
      </c>
      <c r="O2965">
        <f>IF(G2965="Not available","",VLOOKUP(F2965,Sheet2!$B$1:$E$19,4,FALSE)+(G2965-1))</f>
        <v>3778783</v>
      </c>
    </row>
    <row r="2966" spans="1:15" s="1" customFormat="1" ht="15" customHeight="1" x14ac:dyDescent="0.25">
      <c r="A2966" s="18" t="s">
        <v>743</v>
      </c>
      <c r="B2966" s="18" t="s">
        <v>773</v>
      </c>
      <c r="C2966" s="5">
        <v>1854</v>
      </c>
      <c r="D2966" s="1" t="s">
        <v>34</v>
      </c>
      <c r="E2966" s="1" t="s">
        <v>2</v>
      </c>
      <c r="F2966" s="18">
        <v>2164</v>
      </c>
      <c r="G2966" s="18">
        <v>98</v>
      </c>
      <c r="H2966" s="5">
        <v>96</v>
      </c>
      <c r="I2966" s="1">
        <v>136</v>
      </c>
      <c r="J2966" s="3" t="s">
        <v>3271</v>
      </c>
      <c r="L2966" t="str">
        <f t="shared" si="46"/>
        <v>http://www.badatelna.eu/reprodukce/?fondId=1073&amp;zaznamId=1108951&amp;reproId=3778812</v>
      </c>
      <c r="M2966">
        <f>VLOOKUP(F2966,Sheet2!$B$1:$E$19,2,FALSE)</f>
        <v>1073</v>
      </c>
      <c r="N2966">
        <f>VLOOKUP(F2966,Sheet2!$B$1:$E$19,3,FALSE)</f>
        <v>1108951</v>
      </c>
      <c r="O2966">
        <f>IF(G2966="Not available","",VLOOKUP(F2966,Sheet2!$B$1:$E$19,4,FALSE)+(G2966-1))</f>
        <v>3778812</v>
      </c>
    </row>
    <row r="2967" spans="1:15" s="1" customFormat="1" ht="15" customHeight="1" x14ac:dyDescent="0.25">
      <c r="A2967" s="18" t="s">
        <v>1075</v>
      </c>
      <c r="B2967" s="18" t="s">
        <v>1968</v>
      </c>
      <c r="C2967" s="10" t="s">
        <v>1949</v>
      </c>
      <c r="D2967" s="3" t="s">
        <v>2598</v>
      </c>
      <c r="E2967" s="4" t="s">
        <v>2</v>
      </c>
      <c r="F2967" s="18">
        <v>2176</v>
      </c>
      <c r="G2967" s="18" t="s">
        <v>3271</v>
      </c>
      <c r="H2967" s="10" t="s">
        <v>2083</v>
      </c>
      <c r="I2967" s="3">
        <v>34</v>
      </c>
      <c r="J2967" s="3" t="s">
        <v>3271</v>
      </c>
      <c r="K2967" s="3"/>
      <c r="L2967" t="str">
        <f t="shared" si="46"/>
        <v/>
      </c>
      <c r="M2967">
        <f>VLOOKUP(F2967,Sheet2!$B$1:$E$19,2,FALSE)</f>
        <v>1073</v>
      </c>
      <c r="N2967">
        <f>VLOOKUP(F2967,Sheet2!$B$1:$E$19,3,FALSE)</f>
        <v>1108963</v>
      </c>
      <c r="O2967" t="str">
        <f>IF(G2967="Not available","",VLOOKUP(F2967,Sheet2!$B$1:$E$19,4,FALSE)+(G2967-1))</f>
        <v/>
      </c>
    </row>
    <row r="2968" spans="1:15" s="1" customFormat="1" ht="15" customHeight="1" x14ac:dyDescent="0.25">
      <c r="A2968" s="18" t="s">
        <v>1075</v>
      </c>
      <c r="B2968" s="18" t="s">
        <v>2471</v>
      </c>
      <c r="C2968" s="10" t="s">
        <v>2005</v>
      </c>
      <c r="D2968" s="3" t="s">
        <v>2565</v>
      </c>
      <c r="E2968" s="4" t="s">
        <v>2</v>
      </c>
      <c r="F2968" s="18">
        <v>2176</v>
      </c>
      <c r="G2968" s="18" t="s">
        <v>3271</v>
      </c>
      <c r="H2968" s="10" t="s">
        <v>2566</v>
      </c>
      <c r="I2968" s="3">
        <v>33</v>
      </c>
      <c r="J2968" s="3" t="s">
        <v>3271</v>
      </c>
      <c r="K2968" s="3"/>
      <c r="L2968" t="str">
        <f t="shared" si="46"/>
        <v/>
      </c>
      <c r="M2968">
        <f>VLOOKUP(F2968,Sheet2!$B$1:$E$19,2,FALSE)</f>
        <v>1073</v>
      </c>
      <c r="N2968">
        <f>VLOOKUP(F2968,Sheet2!$B$1:$E$19,3,FALSE)</f>
        <v>1108963</v>
      </c>
      <c r="O2968" t="str">
        <f>IF(G2968="Not available","",VLOOKUP(F2968,Sheet2!$B$1:$E$19,4,FALSE)+(G2968-1))</f>
        <v/>
      </c>
    </row>
    <row r="2969" spans="1:15" s="1" customFormat="1" ht="15" customHeight="1" x14ac:dyDescent="0.25">
      <c r="A2969" s="18" t="s">
        <v>1075</v>
      </c>
      <c r="B2969" s="18" t="s">
        <v>1080</v>
      </c>
      <c r="C2969" s="5" t="s">
        <v>1576</v>
      </c>
      <c r="D2969" s="1" t="s">
        <v>1081</v>
      </c>
      <c r="E2969" s="1" t="s">
        <v>2</v>
      </c>
      <c r="F2969" s="18">
        <v>2165</v>
      </c>
      <c r="G2969" s="18">
        <v>73</v>
      </c>
      <c r="H2969" s="5">
        <v>70</v>
      </c>
      <c r="I2969" s="1">
        <v>91</v>
      </c>
      <c r="J2969" s="1" t="s">
        <v>3271</v>
      </c>
      <c r="L2969" t="str">
        <f t="shared" si="46"/>
        <v>http://www.badatelna.eu/reprodukce/?fondId=1073&amp;zaznamId=1108952&amp;reproId=3778934</v>
      </c>
      <c r="M2969">
        <f>VLOOKUP(F2969,Sheet2!$B$1:$E$19,2,FALSE)</f>
        <v>1073</v>
      </c>
      <c r="N2969">
        <f>VLOOKUP(F2969,Sheet2!$B$1:$E$19,3,FALSE)</f>
        <v>1108952</v>
      </c>
      <c r="O2969">
        <f>IF(G2969="Not available","",VLOOKUP(F2969,Sheet2!$B$1:$E$19,4,FALSE)+(G2969-1))</f>
        <v>3778934</v>
      </c>
    </row>
    <row r="2970" spans="1:15" s="1" customFormat="1" ht="15" customHeight="1" x14ac:dyDescent="0.25">
      <c r="A2970" s="18" t="s">
        <v>1075</v>
      </c>
      <c r="B2970" s="18" t="s">
        <v>1052</v>
      </c>
      <c r="C2970" s="5">
        <v>1886</v>
      </c>
      <c r="D2970" s="1" t="s">
        <v>1081</v>
      </c>
      <c r="E2970" s="1" t="s">
        <v>2</v>
      </c>
      <c r="F2970" s="18">
        <v>2165</v>
      </c>
      <c r="G2970" s="18">
        <v>209</v>
      </c>
      <c r="H2970" s="5">
        <v>3</v>
      </c>
      <c r="I2970" s="1">
        <v>211</v>
      </c>
      <c r="J2970" s="1">
        <v>187</v>
      </c>
      <c r="L2970" t="str">
        <f t="shared" si="46"/>
        <v>http://www.badatelna.eu/reprodukce/?fondId=1073&amp;zaznamId=1108952&amp;reproId=3779070</v>
      </c>
      <c r="M2970">
        <f>VLOOKUP(F2970,Sheet2!$B$1:$E$19,2,FALSE)</f>
        <v>1073</v>
      </c>
      <c r="N2970">
        <f>VLOOKUP(F2970,Sheet2!$B$1:$E$19,3,FALSE)</f>
        <v>1108952</v>
      </c>
      <c r="O2970">
        <f>IF(G2970="Not available","",VLOOKUP(F2970,Sheet2!$B$1:$E$19,4,FALSE)+(G2970-1))</f>
        <v>3779070</v>
      </c>
    </row>
    <row r="2971" spans="1:15" s="1" customFormat="1" ht="15" customHeight="1" x14ac:dyDescent="0.25">
      <c r="A2971" s="18" t="s">
        <v>1075</v>
      </c>
      <c r="B2971" s="18" t="s">
        <v>1102</v>
      </c>
      <c r="C2971" s="10" t="s">
        <v>2026</v>
      </c>
      <c r="D2971" s="3" t="s">
        <v>2553</v>
      </c>
      <c r="E2971" s="4" t="s">
        <v>2</v>
      </c>
      <c r="F2971" s="18">
        <v>2176</v>
      </c>
      <c r="G2971" s="18" t="s">
        <v>3271</v>
      </c>
      <c r="H2971" s="10" t="s">
        <v>1955</v>
      </c>
      <c r="I2971" s="3">
        <v>34</v>
      </c>
      <c r="J2971" s="3" t="s">
        <v>3271</v>
      </c>
      <c r="K2971" s="3"/>
      <c r="L2971" t="str">
        <f t="shared" si="46"/>
        <v/>
      </c>
      <c r="M2971">
        <f>VLOOKUP(F2971,Sheet2!$B$1:$E$19,2,FALSE)</f>
        <v>1073</v>
      </c>
      <c r="N2971">
        <f>VLOOKUP(F2971,Sheet2!$B$1:$E$19,3,FALSE)</f>
        <v>1108963</v>
      </c>
      <c r="O2971" t="str">
        <f>IF(G2971="Not available","",VLOOKUP(F2971,Sheet2!$B$1:$E$19,4,FALSE)+(G2971-1))</f>
        <v/>
      </c>
    </row>
    <row r="2972" spans="1:15" s="1" customFormat="1" ht="15" customHeight="1" x14ac:dyDescent="0.25">
      <c r="A2972" s="18" t="s">
        <v>1075</v>
      </c>
      <c r="B2972" s="18" t="s">
        <v>1102</v>
      </c>
      <c r="C2972" s="5" t="s">
        <v>1734</v>
      </c>
      <c r="D2972" s="1" t="s">
        <v>602</v>
      </c>
      <c r="E2972" s="1" t="s">
        <v>2</v>
      </c>
      <c r="F2972" s="18">
        <v>2165</v>
      </c>
      <c r="G2972" s="18">
        <v>165</v>
      </c>
      <c r="H2972" s="5">
        <v>1</v>
      </c>
      <c r="I2972" s="1">
        <v>171</v>
      </c>
      <c r="J2972" s="1">
        <v>149</v>
      </c>
      <c r="L2972" t="str">
        <f t="shared" si="46"/>
        <v>http://www.badatelna.eu/reprodukce/?fondId=1073&amp;zaznamId=1108952&amp;reproId=3779026</v>
      </c>
      <c r="M2972">
        <f>VLOOKUP(F2972,Sheet2!$B$1:$E$19,2,FALSE)</f>
        <v>1073</v>
      </c>
      <c r="N2972">
        <f>VLOOKUP(F2972,Sheet2!$B$1:$E$19,3,FALSE)</f>
        <v>1108952</v>
      </c>
      <c r="O2972">
        <f>IF(G2972="Not available","",VLOOKUP(F2972,Sheet2!$B$1:$E$19,4,FALSE)+(G2972-1))</f>
        <v>3779026</v>
      </c>
    </row>
    <row r="2973" spans="1:15" s="1" customFormat="1" ht="15" customHeight="1" x14ac:dyDescent="0.25">
      <c r="A2973" s="18" t="s">
        <v>1075</v>
      </c>
      <c r="B2973" s="18" t="s">
        <v>602</v>
      </c>
      <c r="C2973" s="10" t="s">
        <v>2263</v>
      </c>
      <c r="D2973" s="3" t="s">
        <v>2620</v>
      </c>
      <c r="E2973" s="4" t="s">
        <v>2</v>
      </c>
      <c r="F2973" s="18">
        <v>2176</v>
      </c>
      <c r="G2973" s="18" t="s">
        <v>3271</v>
      </c>
      <c r="H2973" s="10" t="s">
        <v>1955</v>
      </c>
      <c r="I2973" s="3">
        <v>35</v>
      </c>
      <c r="J2973" s="3" t="s">
        <v>3271</v>
      </c>
      <c r="K2973" s="3"/>
      <c r="L2973" t="str">
        <f t="shared" si="46"/>
        <v/>
      </c>
      <c r="M2973">
        <f>VLOOKUP(F2973,Sheet2!$B$1:$E$19,2,FALSE)</f>
        <v>1073</v>
      </c>
      <c r="N2973">
        <f>VLOOKUP(F2973,Sheet2!$B$1:$E$19,3,FALSE)</f>
        <v>1108963</v>
      </c>
      <c r="O2973" t="str">
        <f>IF(G2973="Not available","",VLOOKUP(F2973,Sheet2!$B$1:$E$19,4,FALSE)+(G2973-1))</f>
        <v/>
      </c>
    </row>
    <row r="2974" spans="1:15" s="1" customFormat="1" ht="15" customHeight="1" x14ac:dyDescent="0.25">
      <c r="A2974" s="18" t="s">
        <v>1075</v>
      </c>
      <c r="B2974" s="18" t="s">
        <v>2573</v>
      </c>
      <c r="C2974" s="10" t="s">
        <v>2025</v>
      </c>
      <c r="D2974" s="3" t="s">
        <v>2579</v>
      </c>
      <c r="E2974" s="4" t="s">
        <v>2</v>
      </c>
      <c r="F2974" s="18">
        <v>2176</v>
      </c>
      <c r="G2974" s="18" t="s">
        <v>3271</v>
      </c>
      <c r="H2974" s="10" t="s">
        <v>2308</v>
      </c>
      <c r="I2974" s="3">
        <v>33</v>
      </c>
      <c r="J2974" s="3" t="s">
        <v>3271</v>
      </c>
      <c r="K2974" s="3"/>
      <c r="L2974" t="str">
        <f t="shared" si="46"/>
        <v/>
      </c>
      <c r="M2974">
        <f>VLOOKUP(F2974,Sheet2!$B$1:$E$19,2,FALSE)</f>
        <v>1073</v>
      </c>
      <c r="N2974">
        <f>VLOOKUP(F2974,Sheet2!$B$1:$E$19,3,FALSE)</f>
        <v>1108963</v>
      </c>
      <c r="O2974" t="str">
        <f>IF(G2974="Not available","",VLOOKUP(F2974,Sheet2!$B$1:$E$19,4,FALSE)+(G2974-1))</f>
        <v/>
      </c>
    </row>
    <row r="2975" spans="1:15" s="1" customFormat="1" ht="15" customHeight="1" x14ac:dyDescent="0.25">
      <c r="A2975" s="22" t="s">
        <v>1075</v>
      </c>
      <c r="B2975" s="18" t="s">
        <v>937</v>
      </c>
      <c r="C2975" s="5" t="s">
        <v>1566</v>
      </c>
      <c r="D2975" s="1" t="s">
        <v>1076</v>
      </c>
      <c r="E2975" s="1" t="s">
        <v>2</v>
      </c>
      <c r="F2975" s="18">
        <v>2165</v>
      </c>
      <c r="G2975" s="18">
        <v>65</v>
      </c>
      <c r="H2975" s="5">
        <v>62</v>
      </c>
      <c r="I2975" s="1">
        <v>91</v>
      </c>
      <c r="J2975" s="1" t="s">
        <v>3271</v>
      </c>
      <c r="L2975" t="str">
        <f t="shared" si="46"/>
        <v>http://www.badatelna.eu/reprodukce/?fondId=1073&amp;zaznamId=1108952&amp;reproId=3778926</v>
      </c>
      <c r="M2975">
        <f>VLOOKUP(F2975,Sheet2!$B$1:$E$19,2,FALSE)</f>
        <v>1073</v>
      </c>
      <c r="N2975">
        <f>VLOOKUP(F2975,Sheet2!$B$1:$E$19,3,FALSE)</f>
        <v>1108952</v>
      </c>
      <c r="O2975">
        <f>IF(G2975="Not available","",VLOOKUP(F2975,Sheet2!$B$1:$E$19,4,FALSE)+(G2975-1))</f>
        <v>3778926</v>
      </c>
    </row>
    <row r="2976" spans="1:15" s="1" customFormat="1" ht="15" customHeight="1" x14ac:dyDescent="0.25">
      <c r="A2976" s="18" t="s">
        <v>1075</v>
      </c>
      <c r="B2976" s="18" t="s">
        <v>145</v>
      </c>
      <c r="C2976" s="10" t="s">
        <v>1987</v>
      </c>
      <c r="D2976" s="3" t="s">
        <v>2553</v>
      </c>
      <c r="E2976" s="4" t="s">
        <v>2</v>
      </c>
      <c r="F2976" s="18">
        <v>2176</v>
      </c>
      <c r="G2976" s="18" t="s">
        <v>3271</v>
      </c>
      <c r="H2976" s="10" t="s">
        <v>1974</v>
      </c>
      <c r="I2976" s="3">
        <v>33</v>
      </c>
      <c r="J2976" s="3" t="s">
        <v>3271</v>
      </c>
      <c r="L2976" t="str">
        <f t="shared" si="46"/>
        <v/>
      </c>
      <c r="M2976">
        <f>VLOOKUP(F2976,Sheet2!$B$1:$E$19,2,FALSE)</f>
        <v>1073</v>
      </c>
      <c r="N2976">
        <f>VLOOKUP(F2976,Sheet2!$B$1:$E$19,3,FALSE)</f>
        <v>1108963</v>
      </c>
      <c r="O2976" t="str">
        <f>IF(G2976="Not available","",VLOOKUP(F2976,Sheet2!$B$1:$E$19,4,FALSE)+(G2976-1))</f>
        <v/>
      </c>
    </row>
    <row r="2977" spans="1:15" s="1" customFormat="1" ht="15" customHeight="1" x14ac:dyDescent="0.25">
      <c r="A2977" s="18" t="s">
        <v>1075</v>
      </c>
      <c r="B2977" s="18" t="s">
        <v>924</v>
      </c>
      <c r="C2977" s="5">
        <v>1882</v>
      </c>
      <c r="D2977" s="1" t="s">
        <v>1081</v>
      </c>
      <c r="E2977" s="1" t="s">
        <v>2</v>
      </c>
      <c r="F2977" s="18">
        <v>2165</v>
      </c>
      <c r="G2977" s="18">
        <v>180</v>
      </c>
      <c r="H2977" s="5">
        <v>4</v>
      </c>
      <c r="I2977" s="1">
        <v>183</v>
      </c>
      <c r="J2977" s="1">
        <v>160</v>
      </c>
      <c r="L2977" t="str">
        <f t="shared" si="46"/>
        <v>http://www.badatelna.eu/reprodukce/?fondId=1073&amp;zaznamId=1108952&amp;reproId=3779041</v>
      </c>
      <c r="M2977">
        <f>VLOOKUP(F2977,Sheet2!$B$1:$E$19,2,FALSE)</f>
        <v>1073</v>
      </c>
      <c r="N2977">
        <f>VLOOKUP(F2977,Sheet2!$B$1:$E$19,3,FALSE)</f>
        <v>1108952</v>
      </c>
      <c r="O2977">
        <f>IF(G2977="Not available","",VLOOKUP(F2977,Sheet2!$B$1:$E$19,4,FALSE)+(G2977-1))</f>
        <v>3779041</v>
      </c>
    </row>
    <row r="2978" spans="1:15" s="1" customFormat="1" ht="15" customHeight="1" x14ac:dyDescent="0.25">
      <c r="A2978" s="18" t="s">
        <v>1075</v>
      </c>
      <c r="B2978" s="18" t="s">
        <v>2022</v>
      </c>
      <c r="C2978" s="10" t="s">
        <v>2041</v>
      </c>
      <c r="D2978" s="3" t="s">
        <v>2585</v>
      </c>
      <c r="E2978" s="4" t="s">
        <v>2</v>
      </c>
      <c r="F2978" s="18">
        <v>2176</v>
      </c>
      <c r="G2978" s="18" t="s">
        <v>3271</v>
      </c>
      <c r="H2978" s="10" t="s">
        <v>1959</v>
      </c>
      <c r="I2978" s="3">
        <v>34</v>
      </c>
      <c r="J2978" s="3" t="s">
        <v>3271</v>
      </c>
      <c r="K2978" s="3"/>
      <c r="L2978" t="str">
        <f t="shared" si="46"/>
        <v/>
      </c>
      <c r="M2978">
        <f>VLOOKUP(F2978,Sheet2!$B$1:$E$19,2,FALSE)</f>
        <v>1073</v>
      </c>
      <c r="N2978">
        <f>VLOOKUP(F2978,Sheet2!$B$1:$E$19,3,FALSE)</f>
        <v>1108963</v>
      </c>
      <c r="O2978" t="str">
        <f>IF(G2978="Not available","",VLOOKUP(F2978,Sheet2!$B$1:$E$19,4,FALSE)+(G2978-1))</f>
        <v/>
      </c>
    </row>
    <row r="2979" spans="1:15" s="1" customFormat="1" ht="15" customHeight="1" x14ac:dyDescent="0.25">
      <c r="A2979" s="18" t="s">
        <v>1075</v>
      </c>
      <c r="B2979" s="18" t="s">
        <v>1132</v>
      </c>
      <c r="C2979" s="5">
        <v>1884</v>
      </c>
      <c r="D2979" s="1" t="s">
        <v>233</v>
      </c>
      <c r="E2979" s="1" t="s">
        <v>2</v>
      </c>
      <c r="F2979" s="18">
        <v>2165</v>
      </c>
      <c r="G2979" s="18">
        <v>195</v>
      </c>
      <c r="H2979" s="5">
        <v>3</v>
      </c>
      <c r="I2979" s="1">
        <v>196</v>
      </c>
      <c r="J2979" s="1">
        <v>173</v>
      </c>
      <c r="L2979" t="str">
        <f t="shared" si="46"/>
        <v>http://www.badatelna.eu/reprodukce/?fondId=1073&amp;zaznamId=1108952&amp;reproId=3779056</v>
      </c>
      <c r="M2979">
        <f>VLOOKUP(F2979,Sheet2!$B$1:$E$19,2,FALSE)</f>
        <v>1073</v>
      </c>
      <c r="N2979">
        <f>VLOOKUP(F2979,Sheet2!$B$1:$E$19,3,FALSE)</f>
        <v>1108952</v>
      </c>
      <c r="O2979">
        <f>IF(G2979="Not available","",VLOOKUP(F2979,Sheet2!$B$1:$E$19,4,FALSE)+(G2979-1))</f>
        <v>3779056</v>
      </c>
    </row>
    <row r="2980" spans="1:15" s="1" customFormat="1" ht="15" customHeight="1" x14ac:dyDescent="0.25">
      <c r="A2980" s="18" t="s">
        <v>1075</v>
      </c>
      <c r="B2980" s="18" t="s">
        <v>2196</v>
      </c>
      <c r="C2980" s="10" t="s">
        <v>1285</v>
      </c>
      <c r="D2980" s="3" t="s">
        <v>2586</v>
      </c>
      <c r="E2980" s="4" t="s">
        <v>2</v>
      </c>
      <c r="F2980" s="18">
        <v>2176</v>
      </c>
      <c r="G2980" s="18" t="s">
        <v>3271</v>
      </c>
      <c r="H2980" s="10" t="s">
        <v>2038</v>
      </c>
      <c r="I2980" s="3">
        <v>34</v>
      </c>
      <c r="J2980" s="3" t="s">
        <v>3271</v>
      </c>
      <c r="K2980" s="3"/>
      <c r="L2980" t="str">
        <f t="shared" si="46"/>
        <v/>
      </c>
      <c r="M2980">
        <f>VLOOKUP(F2980,Sheet2!$B$1:$E$19,2,FALSE)</f>
        <v>1073</v>
      </c>
      <c r="N2980">
        <f>VLOOKUP(F2980,Sheet2!$B$1:$E$19,3,FALSE)</f>
        <v>1108963</v>
      </c>
      <c r="O2980" t="str">
        <f>IF(G2980="Not available","",VLOOKUP(F2980,Sheet2!$B$1:$E$19,4,FALSE)+(G2980-1))</f>
        <v/>
      </c>
    </row>
    <row r="2981" spans="1:15" s="1" customFormat="1" ht="15" customHeight="1" x14ac:dyDescent="0.25">
      <c r="A2981" s="19" t="s">
        <v>2973</v>
      </c>
      <c r="B2981" s="18" t="s">
        <v>162</v>
      </c>
      <c r="C2981" s="5">
        <v>1807</v>
      </c>
      <c r="E2981" s="1" t="s">
        <v>2</v>
      </c>
      <c r="F2981" s="18">
        <v>2173</v>
      </c>
      <c r="G2981" s="18">
        <v>53</v>
      </c>
      <c r="H2981" s="5">
        <v>100</v>
      </c>
      <c r="I2981" s="1">
        <v>111</v>
      </c>
      <c r="J2981" s="1">
        <v>240</v>
      </c>
      <c r="L2981" t="str">
        <f t="shared" si="46"/>
        <v>http://www.badatelna.eu/reprodukce/?fondId=1073&amp;zaznamId=1108959&amp;reproId=3780046</v>
      </c>
      <c r="M2981">
        <f>VLOOKUP(F2981,Sheet2!$B$1:$E$19,2,FALSE)</f>
        <v>1073</v>
      </c>
      <c r="N2981">
        <f>VLOOKUP(F2981,Sheet2!$B$1:$E$19,3,FALSE)</f>
        <v>1108959</v>
      </c>
      <c r="O2981">
        <f>IF(G2981="Not available","",VLOOKUP(F2981,Sheet2!$B$1:$E$19,4,FALSE)+(G2981-1))</f>
        <v>3780046</v>
      </c>
    </row>
    <row r="2982" spans="1:15" s="1" customFormat="1" ht="15" customHeight="1" x14ac:dyDescent="0.25">
      <c r="A2982" s="18" t="s">
        <v>722</v>
      </c>
      <c r="B2982" s="18" t="s">
        <v>723</v>
      </c>
      <c r="C2982" s="5">
        <v>1834</v>
      </c>
      <c r="D2982" s="4" t="s">
        <v>2829</v>
      </c>
      <c r="E2982" s="1" t="s">
        <v>2</v>
      </c>
      <c r="F2982" s="18">
        <v>2174</v>
      </c>
      <c r="G2982" s="18">
        <v>80</v>
      </c>
      <c r="H2982" s="6" t="s">
        <v>3146</v>
      </c>
      <c r="I2982" s="1">
        <v>196</v>
      </c>
      <c r="J2982" s="1">
        <v>231</v>
      </c>
      <c r="L2982" t="str">
        <f t="shared" si="46"/>
        <v>http://www.badatelna.eu/reprodukce/?fondId=1073&amp;zaznamId=1108960&amp;reproId=3780304</v>
      </c>
      <c r="M2982">
        <f>VLOOKUP(F2982,Sheet2!$B$1:$E$19,2,FALSE)</f>
        <v>1073</v>
      </c>
      <c r="N2982">
        <f>VLOOKUP(F2982,Sheet2!$B$1:$E$19,3,FALSE)</f>
        <v>1108960</v>
      </c>
      <c r="O2982">
        <f>IF(G2982="Not available","",VLOOKUP(F2982,Sheet2!$B$1:$E$19,4,FALSE)+(G2982-1))</f>
        <v>3780304</v>
      </c>
    </row>
    <row r="2983" spans="1:15" s="1" customFormat="1" ht="15" customHeight="1" x14ac:dyDescent="0.25">
      <c r="A2983" s="19" t="s">
        <v>2974</v>
      </c>
      <c r="B2983" s="18" t="s">
        <v>132</v>
      </c>
      <c r="C2983" s="5">
        <v>1813</v>
      </c>
      <c r="E2983" s="1" t="s">
        <v>2</v>
      </c>
      <c r="F2983" s="18">
        <v>2173</v>
      </c>
      <c r="G2983" s="18">
        <v>1</v>
      </c>
      <c r="H2983" s="14" t="s">
        <v>2977</v>
      </c>
      <c r="I2983" s="1">
        <v>111</v>
      </c>
      <c r="J2983" s="1">
        <v>240</v>
      </c>
      <c r="L2983" t="str">
        <f t="shared" si="46"/>
        <v>http://www.badatelna.eu/reprodukce/?fondId=1073&amp;zaznamId=1108959&amp;reproId=3779994</v>
      </c>
      <c r="M2983">
        <f>VLOOKUP(F2983,Sheet2!$B$1:$E$19,2,FALSE)</f>
        <v>1073</v>
      </c>
      <c r="N2983">
        <f>VLOOKUP(F2983,Sheet2!$B$1:$E$19,3,FALSE)</f>
        <v>1108959</v>
      </c>
      <c r="O2983">
        <f>IF(G2983="Not available","",VLOOKUP(F2983,Sheet2!$B$1:$E$19,4,FALSE)+(G2983-1))</f>
        <v>3779994</v>
      </c>
    </row>
    <row r="2984" spans="1:15" s="1" customFormat="1" ht="15" customHeight="1" x14ac:dyDescent="0.25">
      <c r="A2984" s="18" t="s">
        <v>1060</v>
      </c>
      <c r="B2984" s="18" t="s">
        <v>1061</v>
      </c>
      <c r="C2984" s="5" t="s">
        <v>1524</v>
      </c>
      <c r="D2984" s="1" t="s">
        <v>6</v>
      </c>
      <c r="E2984" s="1" t="s">
        <v>2</v>
      </c>
      <c r="F2984" s="18">
        <v>2165</v>
      </c>
      <c r="G2984" s="18">
        <v>15</v>
      </c>
      <c r="H2984" s="5">
        <v>12</v>
      </c>
      <c r="I2984" s="1">
        <v>90</v>
      </c>
      <c r="J2984" s="1" t="s">
        <v>3271</v>
      </c>
      <c r="L2984" t="str">
        <f t="shared" si="46"/>
        <v>http://www.badatelna.eu/reprodukce/?fondId=1073&amp;zaznamId=1108952&amp;reproId=3778876</v>
      </c>
      <c r="M2984">
        <f>VLOOKUP(F2984,Sheet2!$B$1:$E$19,2,FALSE)</f>
        <v>1073</v>
      </c>
      <c r="N2984">
        <f>VLOOKUP(F2984,Sheet2!$B$1:$E$19,3,FALSE)</f>
        <v>1108952</v>
      </c>
      <c r="O2984">
        <f>IF(G2984="Not available","",VLOOKUP(F2984,Sheet2!$B$1:$E$19,4,FALSE)+(G2984-1))</f>
        <v>3778876</v>
      </c>
    </row>
    <row r="2985" spans="1:15" s="1" customFormat="1" ht="15" customHeight="1" x14ac:dyDescent="0.25">
      <c r="A2985" s="18" t="s">
        <v>375</v>
      </c>
      <c r="B2985" s="18" t="s">
        <v>50</v>
      </c>
      <c r="C2985" s="6" t="s">
        <v>3319</v>
      </c>
      <c r="E2985" s="1" t="s">
        <v>2</v>
      </c>
      <c r="F2985" s="18">
        <v>2173</v>
      </c>
      <c r="G2985" s="18">
        <v>86</v>
      </c>
      <c r="H2985" s="5">
        <v>161</v>
      </c>
      <c r="I2985" s="1">
        <v>111</v>
      </c>
      <c r="J2985" s="1">
        <v>241</v>
      </c>
      <c r="L2985" t="str">
        <f t="shared" si="46"/>
        <v>http://www.badatelna.eu/reprodukce/?fondId=1073&amp;zaznamId=1108959&amp;reproId=3780079</v>
      </c>
      <c r="M2985">
        <f>VLOOKUP(F2985,Sheet2!$B$1:$E$19,2,FALSE)</f>
        <v>1073</v>
      </c>
      <c r="N2985">
        <f>VLOOKUP(F2985,Sheet2!$B$1:$E$19,3,FALSE)</f>
        <v>1108959</v>
      </c>
      <c r="O2985">
        <f>IF(G2985="Not available","",VLOOKUP(F2985,Sheet2!$B$1:$E$19,4,FALSE)+(G2985-1))</f>
        <v>3780079</v>
      </c>
    </row>
    <row r="2986" spans="1:15" s="1" customFormat="1" ht="15" customHeight="1" x14ac:dyDescent="0.25">
      <c r="A2986" s="18" t="s">
        <v>375</v>
      </c>
      <c r="B2986" s="18" t="s">
        <v>477</v>
      </c>
      <c r="C2986" s="5" t="s">
        <v>1527</v>
      </c>
      <c r="D2986" s="1" t="s">
        <v>50</v>
      </c>
      <c r="E2986" s="1" t="s">
        <v>2</v>
      </c>
      <c r="F2986" s="18">
        <v>2165</v>
      </c>
      <c r="G2986" s="18">
        <v>19</v>
      </c>
      <c r="H2986" s="5">
        <v>16</v>
      </c>
      <c r="I2986" s="1">
        <v>90</v>
      </c>
      <c r="J2986" s="1" t="s">
        <v>3271</v>
      </c>
      <c r="L2986" t="str">
        <f t="shared" si="46"/>
        <v>http://www.badatelna.eu/reprodukce/?fondId=1073&amp;zaznamId=1108952&amp;reproId=3778880</v>
      </c>
      <c r="M2986">
        <f>VLOOKUP(F2986,Sheet2!$B$1:$E$19,2,FALSE)</f>
        <v>1073</v>
      </c>
      <c r="N2986">
        <f>VLOOKUP(F2986,Sheet2!$B$1:$E$19,3,FALSE)</f>
        <v>1108952</v>
      </c>
      <c r="O2986">
        <f>IF(G2986="Not available","",VLOOKUP(F2986,Sheet2!$B$1:$E$19,4,FALSE)+(G2986-1))</f>
        <v>3778880</v>
      </c>
    </row>
    <row r="2987" spans="1:15" s="1" customFormat="1" ht="15" customHeight="1" x14ac:dyDescent="0.25">
      <c r="A2987" s="18" t="s">
        <v>375</v>
      </c>
      <c r="B2987" s="18" t="s">
        <v>850</v>
      </c>
      <c r="C2987" s="5" t="s">
        <v>1577</v>
      </c>
      <c r="D2987" s="1" t="s">
        <v>50</v>
      </c>
      <c r="E2987" s="1" t="s">
        <v>2</v>
      </c>
      <c r="F2987" s="18">
        <v>2165</v>
      </c>
      <c r="G2987" s="18">
        <v>76</v>
      </c>
      <c r="H2987" s="5">
        <v>73</v>
      </c>
      <c r="I2987" s="1">
        <v>91</v>
      </c>
      <c r="J2987" s="1" t="s">
        <v>3271</v>
      </c>
      <c r="L2987" t="str">
        <f t="shared" si="46"/>
        <v>http://www.badatelna.eu/reprodukce/?fondId=1073&amp;zaznamId=1108952&amp;reproId=3778937</v>
      </c>
      <c r="M2987">
        <f>VLOOKUP(F2987,Sheet2!$B$1:$E$19,2,FALSE)</f>
        <v>1073</v>
      </c>
      <c r="N2987">
        <f>VLOOKUP(F2987,Sheet2!$B$1:$E$19,3,FALSE)</f>
        <v>1108952</v>
      </c>
      <c r="O2987">
        <f>IF(G2987="Not available","",VLOOKUP(F2987,Sheet2!$B$1:$E$19,4,FALSE)+(G2987-1))</f>
        <v>3778937</v>
      </c>
    </row>
    <row r="2988" spans="1:15" s="1" customFormat="1" ht="15" customHeight="1" x14ac:dyDescent="0.25">
      <c r="A2988" s="18" t="s">
        <v>375</v>
      </c>
      <c r="B2988" s="18" t="s">
        <v>196</v>
      </c>
      <c r="C2988" s="5">
        <v>1858</v>
      </c>
      <c r="E2988" s="1" t="s">
        <v>939</v>
      </c>
      <c r="F2988" s="18">
        <v>999</v>
      </c>
      <c r="G2988" s="18">
        <v>10</v>
      </c>
      <c r="H2988" s="5">
        <v>8</v>
      </c>
      <c r="I2988" s="1">
        <v>74</v>
      </c>
      <c r="J2988" s="1">
        <v>108</v>
      </c>
      <c r="L2988" t="str">
        <f t="shared" si="46"/>
        <v>http://www.badatelna.eu/reprodukce/?fondId=241&amp;zaznamId=1133739&amp;reproId=3885739</v>
      </c>
      <c r="M2988">
        <f>VLOOKUP(F2988,Sheet2!$B$1:$E$19,2,FALSE)</f>
        <v>241</v>
      </c>
      <c r="N2988">
        <f>VLOOKUP(F2988,Sheet2!$B$1:$E$19,3,FALSE)</f>
        <v>1133739</v>
      </c>
      <c r="O2988">
        <f>IF(G2988="Not available","",VLOOKUP(F2988,Sheet2!$B$1:$E$19,4,FALSE)+(G2988-1))</f>
        <v>3885739</v>
      </c>
    </row>
    <row r="2989" spans="1:15" s="1" customFormat="1" ht="15" customHeight="1" x14ac:dyDescent="0.25">
      <c r="A2989" s="18" t="s">
        <v>375</v>
      </c>
      <c r="B2989" s="18" t="s">
        <v>1010</v>
      </c>
      <c r="C2989" s="10" t="s">
        <v>2087</v>
      </c>
      <c r="D2989" s="3" t="s">
        <v>2606</v>
      </c>
      <c r="E2989" s="4" t="s">
        <v>2</v>
      </c>
      <c r="F2989" s="18">
        <v>2176</v>
      </c>
      <c r="G2989" s="18" t="s">
        <v>3271</v>
      </c>
      <c r="H2989" s="10" t="s">
        <v>2073</v>
      </c>
      <c r="I2989" s="3">
        <v>35</v>
      </c>
      <c r="J2989" s="3" t="s">
        <v>3271</v>
      </c>
      <c r="K2989" s="3"/>
      <c r="L2989" t="str">
        <f t="shared" si="46"/>
        <v/>
      </c>
      <c r="M2989">
        <f>VLOOKUP(F2989,Sheet2!$B$1:$E$19,2,FALSE)</f>
        <v>1073</v>
      </c>
      <c r="N2989">
        <f>VLOOKUP(F2989,Sheet2!$B$1:$E$19,3,FALSE)</f>
        <v>1108963</v>
      </c>
      <c r="O2989" t="str">
        <f>IF(G2989="Not available","",VLOOKUP(F2989,Sheet2!$B$1:$E$19,4,FALSE)+(G2989-1))</f>
        <v/>
      </c>
    </row>
    <row r="2990" spans="1:15" s="1" customFormat="1" ht="15" customHeight="1" x14ac:dyDescent="0.25">
      <c r="A2990" s="18" t="s">
        <v>375</v>
      </c>
      <c r="B2990" s="18" t="s">
        <v>1010</v>
      </c>
      <c r="C2990" s="5" t="s">
        <v>1873</v>
      </c>
      <c r="D2990" s="1" t="s">
        <v>847</v>
      </c>
      <c r="E2990" s="1" t="s">
        <v>2</v>
      </c>
      <c r="F2990" s="18">
        <v>2165</v>
      </c>
      <c r="G2990" s="18">
        <v>262</v>
      </c>
      <c r="H2990" s="5">
        <v>3</v>
      </c>
      <c r="I2990" s="1">
        <v>266</v>
      </c>
      <c r="J2990" s="1">
        <v>240</v>
      </c>
      <c r="L2990" t="str">
        <f t="shared" si="46"/>
        <v>http://www.badatelna.eu/reprodukce/?fondId=1073&amp;zaznamId=1108952&amp;reproId=3779123</v>
      </c>
      <c r="M2990">
        <f>VLOOKUP(F2990,Sheet2!$B$1:$E$19,2,FALSE)</f>
        <v>1073</v>
      </c>
      <c r="N2990">
        <f>VLOOKUP(F2990,Sheet2!$B$1:$E$19,3,FALSE)</f>
        <v>1108952</v>
      </c>
      <c r="O2990">
        <f>IF(G2990="Not available","",VLOOKUP(F2990,Sheet2!$B$1:$E$19,4,FALSE)+(G2990-1))</f>
        <v>3779123</v>
      </c>
    </row>
    <row r="2991" spans="1:15" s="1" customFormat="1" ht="15" customHeight="1" x14ac:dyDescent="0.25">
      <c r="A2991" s="18" t="s">
        <v>375</v>
      </c>
      <c r="B2991" s="18" t="s">
        <v>74</v>
      </c>
      <c r="C2991" s="5">
        <v>1806</v>
      </c>
      <c r="E2991" s="1" t="s">
        <v>2</v>
      </c>
      <c r="F2991" s="18">
        <v>2173</v>
      </c>
      <c r="G2991" s="18">
        <v>51</v>
      </c>
      <c r="H2991" s="5">
        <v>96</v>
      </c>
      <c r="I2991" s="1">
        <v>111</v>
      </c>
      <c r="J2991" s="1">
        <v>240</v>
      </c>
      <c r="L2991" t="str">
        <f t="shared" si="46"/>
        <v>http://www.badatelna.eu/reprodukce/?fondId=1073&amp;zaznamId=1108959&amp;reproId=3780044</v>
      </c>
      <c r="M2991">
        <f>VLOOKUP(F2991,Sheet2!$B$1:$E$19,2,FALSE)</f>
        <v>1073</v>
      </c>
      <c r="N2991">
        <f>VLOOKUP(F2991,Sheet2!$B$1:$E$19,3,FALSE)</f>
        <v>1108959</v>
      </c>
      <c r="O2991">
        <f>IF(G2991="Not available","",VLOOKUP(F2991,Sheet2!$B$1:$E$19,4,FALSE)+(G2991-1))</f>
        <v>3780044</v>
      </c>
    </row>
    <row r="2992" spans="1:15" s="1" customFormat="1" ht="15" customHeight="1" x14ac:dyDescent="0.25">
      <c r="A2992" s="18" t="s">
        <v>375</v>
      </c>
      <c r="B2992" s="18" t="s">
        <v>674</v>
      </c>
      <c r="C2992" s="5">
        <v>1862</v>
      </c>
      <c r="E2992" s="1" t="s">
        <v>939</v>
      </c>
      <c r="F2992" s="18">
        <v>999</v>
      </c>
      <c r="G2992" s="18">
        <v>33</v>
      </c>
      <c r="H2992" s="5">
        <v>31</v>
      </c>
      <c r="I2992" s="1">
        <v>74</v>
      </c>
      <c r="J2992" s="1">
        <v>108</v>
      </c>
      <c r="L2992" t="str">
        <f t="shared" si="46"/>
        <v>http://www.badatelna.eu/reprodukce/?fondId=241&amp;zaznamId=1133739&amp;reproId=3885762</v>
      </c>
      <c r="M2992">
        <f>VLOOKUP(F2992,Sheet2!$B$1:$E$19,2,FALSE)</f>
        <v>241</v>
      </c>
      <c r="N2992">
        <f>VLOOKUP(F2992,Sheet2!$B$1:$E$19,3,FALSE)</f>
        <v>1133739</v>
      </c>
      <c r="O2992">
        <f>IF(G2992="Not available","",VLOOKUP(F2992,Sheet2!$B$1:$E$19,4,FALSE)+(G2992-1))</f>
        <v>3885762</v>
      </c>
    </row>
    <row r="2993" spans="1:15" s="1" customFormat="1" ht="15" customHeight="1" x14ac:dyDescent="0.25">
      <c r="A2993" s="18" t="s">
        <v>375</v>
      </c>
      <c r="B2993" s="18" t="s">
        <v>245</v>
      </c>
      <c r="C2993" s="5">
        <v>1789</v>
      </c>
      <c r="D2993" s="1" t="s">
        <v>370</v>
      </c>
      <c r="E2993" s="1" t="s">
        <v>2</v>
      </c>
      <c r="F2993" s="18">
        <v>2173</v>
      </c>
      <c r="G2993" s="18">
        <v>21</v>
      </c>
      <c r="H2993" s="5">
        <v>37</v>
      </c>
      <c r="I2993" s="1">
        <v>110</v>
      </c>
      <c r="J2993" s="1">
        <v>239</v>
      </c>
      <c r="L2993" t="str">
        <f t="shared" si="46"/>
        <v>http://www.badatelna.eu/reprodukce/?fondId=1073&amp;zaznamId=1108959&amp;reproId=3780014</v>
      </c>
      <c r="M2993">
        <f>VLOOKUP(F2993,Sheet2!$B$1:$E$19,2,FALSE)</f>
        <v>1073</v>
      </c>
      <c r="N2993">
        <f>VLOOKUP(F2993,Sheet2!$B$1:$E$19,3,FALSE)</f>
        <v>1108959</v>
      </c>
      <c r="O2993">
        <f>IF(G2993="Not available","",VLOOKUP(F2993,Sheet2!$B$1:$E$19,4,FALSE)+(G2993-1))</f>
        <v>3780014</v>
      </c>
    </row>
    <row r="2994" spans="1:15" s="1" customFormat="1" ht="15" customHeight="1" x14ac:dyDescent="0.25">
      <c r="A2994" s="18" t="s">
        <v>375</v>
      </c>
      <c r="B2994" s="18" t="s">
        <v>2029</v>
      </c>
      <c r="C2994" s="10" t="s">
        <v>1957</v>
      </c>
      <c r="D2994" s="3" t="s">
        <v>2606</v>
      </c>
      <c r="E2994" s="4" t="s">
        <v>2</v>
      </c>
      <c r="F2994" s="18">
        <v>2176</v>
      </c>
      <c r="G2994" s="18" t="s">
        <v>3271</v>
      </c>
      <c r="H2994" s="10" t="s">
        <v>1971</v>
      </c>
      <c r="I2994" s="3">
        <v>35</v>
      </c>
      <c r="J2994" s="3" t="s">
        <v>3271</v>
      </c>
      <c r="K2994" s="3"/>
      <c r="L2994" t="str">
        <f t="shared" si="46"/>
        <v/>
      </c>
      <c r="M2994">
        <f>VLOOKUP(F2994,Sheet2!$B$1:$E$19,2,FALSE)</f>
        <v>1073</v>
      </c>
      <c r="N2994">
        <f>VLOOKUP(F2994,Sheet2!$B$1:$E$19,3,FALSE)</f>
        <v>1108963</v>
      </c>
      <c r="O2994" t="str">
        <f>IF(G2994="Not available","",VLOOKUP(F2994,Sheet2!$B$1:$E$19,4,FALSE)+(G2994-1))</f>
        <v/>
      </c>
    </row>
    <row r="2995" spans="1:15" s="1" customFormat="1" ht="15" customHeight="1" x14ac:dyDescent="0.25">
      <c r="A2995" s="18" t="s">
        <v>375</v>
      </c>
      <c r="B2995" s="18" t="s">
        <v>1112</v>
      </c>
      <c r="C2995" s="5" t="s">
        <v>1931</v>
      </c>
      <c r="D2995" s="1" t="s">
        <v>847</v>
      </c>
      <c r="E2995" s="1" t="s">
        <v>2</v>
      </c>
      <c r="F2995" s="18">
        <v>2165</v>
      </c>
      <c r="G2995" s="18">
        <v>281</v>
      </c>
      <c r="H2995" s="5">
        <v>1</v>
      </c>
      <c r="I2995" s="1">
        <v>284</v>
      </c>
      <c r="J2995" s="1">
        <v>258</v>
      </c>
      <c r="L2995" t="str">
        <f t="shared" si="46"/>
        <v>http://www.badatelna.eu/reprodukce/?fondId=1073&amp;zaznamId=1108952&amp;reproId=3779142</v>
      </c>
      <c r="M2995">
        <f>VLOOKUP(F2995,Sheet2!$B$1:$E$19,2,FALSE)</f>
        <v>1073</v>
      </c>
      <c r="N2995">
        <f>VLOOKUP(F2995,Sheet2!$B$1:$E$19,3,FALSE)</f>
        <v>1108952</v>
      </c>
      <c r="O2995">
        <f>IF(G2995="Not available","",VLOOKUP(F2995,Sheet2!$B$1:$E$19,4,FALSE)+(G2995-1))</f>
        <v>3779142</v>
      </c>
    </row>
    <row r="2996" spans="1:15" s="1" customFormat="1" ht="15" customHeight="1" x14ac:dyDescent="0.25">
      <c r="A2996" s="18" t="s">
        <v>375</v>
      </c>
      <c r="B2996" s="18" t="s">
        <v>9</v>
      </c>
      <c r="C2996" s="5">
        <v>1808</v>
      </c>
      <c r="E2996" s="1" t="s">
        <v>2</v>
      </c>
      <c r="F2996" s="18">
        <v>2173</v>
      </c>
      <c r="G2996" s="18">
        <v>54</v>
      </c>
      <c r="H2996" s="14" t="s">
        <v>2979</v>
      </c>
      <c r="I2996" s="1">
        <v>111</v>
      </c>
      <c r="J2996" s="1">
        <v>240</v>
      </c>
      <c r="L2996" t="str">
        <f t="shared" si="46"/>
        <v>http://www.badatelna.eu/reprodukce/?fondId=1073&amp;zaznamId=1108959&amp;reproId=3780047</v>
      </c>
      <c r="M2996">
        <f>VLOOKUP(F2996,Sheet2!$B$1:$E$19,2,FALSE)</f>
        <v>1073</v>
      </c>
      <c r="N2996">
        <f>VLOOKUP(F2996,Sheet2!$B$1:$E$19,3,FALSE)</f>
        <v>1108959</v>
      </c>
      <c r="O2996">
        <f>IF(G2996="Not available","",VLOOKUP(F2996,Sheet2!$B$1:$E$19,4,FALSE)+(G2996-1))</f>
        <v>3780047</v>
      </c>
    </row>
    <row r="2997" spans="1:15" s="1" customFormat="1" ht="15" customHeight="1" x14ac:dyDescent="0.25">
      <c r="A2997" s="18" t="s">
        <v>375</v>
      </c>
      <c r="B2997" s="18" t="s">
        <v>374</v>
      </c>
      <c r="C2997" s="5">
        <v>1793</v>
      </c>
      <c r="D2997" s="1" t="s">
        <v>370</v>
      </c>
      <c r="E2997" s="1" t="s">
        <v>2</v>
      </c>
      <c r="F2997" s="18">
        <v>2173</v>
      </c>
      <c r="G2997" s="18">
        <v>29</v>
      </c>
      <c r="H2997" s="5">
        <v>52</v>
      </c>
      <c r="I2997" s="1">
        <v>110</v>
      </c>
      <c r="J2997" s="1">
        <v>239</v>
      </c>
      <c r="L2997" t="str">
        <f t="shared" si="46"/>
        <v>http://www.badatelna.eu/reprodukce/?fondId=1073&amp;zaznamId=1108959&amp;reproId=3780022</v>
      </c>
      <c r="M2997">
        <f>VLOOKUP(F2997,Sheet2!$B$1:$E$19,2,FALSE)</f>
        <v>1073</v>
      </c>
      <c r="N2997">
        <f>VLOOKUP(F2997,Sheet2!$B$1:$E$19,3,FALSE)</f>
        <v>1108959</v>
      </c>
      <c r="O2997">
        <f>IF(G2997="Not available","",VLOOKUP(F2997,Sheet2!$B$1:$E$19,4,FALSE)+(G2997-1))</f>
        <v>3780022</v>
      </c>
    </row>
    <row r="2998" spans="1:15" s="1" customFormat="1" ht="15" customHeight="1" x14ac:dyDescent="0.25">
      <c r="A2998" s="18" t="s">
        <v>3058</v>
      </c>
      <c r="B2998" s="18" t="s">
        <v>484</v>
      </c>
      <c r="C2998" s="5">
        <v>1863</v>
      </c>
      <c r="E2998" s="1" t="s">
        <v>939</v>
      </c>
      <c r="F2998" s="18">
        <v>999</v>
      </c>
      <c r="G2998" s="18">
        <v>44</v>
      </c>
      <c r="H2998" s="5">
        <v>42</v>
      </c>
      <c r="I2998" s="1">
        <v>74</v>
      </c>
      <c r="J2998" s="1">
        <v>108</v>
      </c>
      <c r="L2998" t="str">
        <f t="shared" si="46"/>
        <v>http://www.badatelna.eu/reprodukce/?fondId=241&amp;zaznamId=1133739&amp;reproId=3885773</v>
      </c>
      <c r="M2998">
        <f>VLOOKUP(F2998,Sheet2!$B$1:$E$19,2,FALSE)</f>
        <v>241</v>
      </c>
      <c r="N2998">
        <f>VLOOKUP(F2998,Sheet2!$B$1:$E$19,3,FALSE)</f>
        <v>1133739</v>
      </c>
      <c r="O2998">
        <f>IF(G2998="Not available","",VLOOKUP(F2998,Sheet2!$B$1:$E$19,4,FALSE)+(G2998-1))</f>
        <v>3885773</v>
      </c>
    </row>
    <row r="2999" spans="1:15" s="1" customFormat="1" ht="15" customHeight="1" x14ac:dyDescent="0.25">
      <c r="A2999" s="18" t="s">
        <v>375</v>
      </c>
      <c r="B2999" s="18" t="s">
        <v>436</v>
      </c>
      <c r="C2999" s="5">
        <v>1859</v>
      </c>
      <c r="E2999" s="1" t="s">
        <v>939</v>
      </c>
      <c r="F2999" s="18">
        <v>999</v>
      </c>
      <c r="G2999" s="18">
        <v>19</v>
      </c>
      <c r="H2999" s="5">
        <v>17</v>
      </c>
      <c r="I2999" s="1">
        <v>74</v>
      </c>
      <c r="J2999" s="1">
        <v>108</v>
      </c>
      <c r="L2999" t="str">
        <f t="shared" si="46"/>
        <v>http://www.badatelna.eu/reprodukce/?fondId=241&amp;zaznamId=1133739&amp;reproId=3885748</v>
      </c>
      <c r="M2999">
        <f>VLOOKUP(F2999,Sheet2!$B$1:$E$19,2,FALSE)</f>
        <v>241</v>
      </c>
      <c r="N2999">
        <f>VLOOKUP(F2999,Sheet2!$B$1:$E$19,3,FALSE)</f>
        <v>1133739</v>
      </c>
      <c r="O2999">
        <f>IF(G2999="Not available","",VLOOKUP(F2999,Sheet2!$B$1:$E$19,4,FALSE)+(G2999-1))</f>
        <v>3885748</v>
      </c>
    </row>
    <row r="3000" spans="1:15" s="1" customFormat="1" ht="15" customHeight="1" x14ac:dyDescent="0.25">
      <c r="A3000" s="18" t="s">
        <v>375</v>
      </c>
      <c r="B3000" s="18" t="s">
        <v>436</v>
      </c>
      <c r="C3000" s="5">
        <v>1864</v>
      </c>
      <c r="E3000" s="1" t="s">
        <v>939</v>
      </c>
      <c r="F3000" s="18">
        <v>999</v>
      </c>
      <c r="G3000" s="18">
        <v>50</v>
      </c>
      <c r="H3000" s="5">
        <v>48</v>
      </c>
      <c r="I3000" s="1">
        <v>74</v>
      </c>
      <c r="J3000" s="1">
        <v>108</v>
      </c>
      <c r="L3000" t="str">
        <f t="shared" si="46"/>
        <v>http://www.badatelna.eu/reprodukce/?fondId=241&amp;zaznamId=1133739&amp;reproId=3885779</v>
      </c>
      <c r="M3000">
        <f>VLOOKUP(F3000,Sheet2!$B$1:$E$19,2,FALSE)</f>
        <v>241</v>
      </c>
      <c r="N3000">
        <f>VLOOKUP(F3000,Sheet2!$B$1:$E$19,3,FALSE)</f>
        <v>1133739</v>
      </c>
      <c r="O3000">
        <f>IF(G3000="Not available","",VLOOKUP(F3000,Sheet2!$B$1:$E$19,4,FALSE)+(G3000-1))</f>
        <v>3885779</v>
      </c>
    </row>
    <row r="3001" spans="1:15" s="1" customFormat="1" ht="15" customHeight="1" x14ac:dyDescent="0.25">
      <c r="A3001" s="18" t="s">
        <v>375</v>
      </c>
      <c r="B3001" s="18" t="s">
        <v>495</v>
      </c>
      <c r="C3001" s="5">
        <v>1863</v>
      </c>
      <c r="E3001" s="1" t="s">
        <v>939</v>
      </c>
      <c r="F3001" s="18">
        <v>999</v>
      </c>
      <c r="G3001" s="18">
        <v>41</v>
      </c>
      <c r="H3001" s="5">
        <v>39</v>
      </c>
      <c r="I3001" s="1">
        <v>74</v>
      </c>
      <c r="J3001" s="1">
        <v>108</v>
      </c>
      <c r="L3001" t="str">
        <f t="shared" si="46"/>
        <v>http://www.badatelna.eu/reprodukce/?fondId=241&amp;zaznamId=1133739&amp;reproId=3885770</v>
      </c>
      <c r="M3001">
        <f>VLOOKUP(F3001,Sheet2!$B$1:$E$19,2,FALSE)</f>
        <v>241</v>
      </c>
      <c r="N3001">
        <f>VLOOKUP(F3001,Sheet2!$B$1:$E$19,3,FALSE)</f>
        <v>1133739</v>
      </c>
      <c r="O3001">
        <f>IF(G3001="Not available","",VLOOKUP(F3001,Sheet2!$B$1:$E$19,4,FALSE)+(G3001-1))</f>
        <v>3885770</v>
      </c>
    </row>
    <row r="3002" spans="1:15" s="1" customFormat="1" ht="15" customHeight="1" x14ac:dyDescent="0.25">
      <c r="A3002" s="18" t="s">
        <v>375</v>
      </c>
      <c r="B3002" s="18" t="s">
        <v>65</v>
      </c>
      <c r="C3002" s="5">
        <v>1791</v>
      </c>
      <c r="D3002" s="1" t="s">
        <v>370</v>
      </c>
      <c r="E3002" s="1" t="s">
        <v>2</v>
      </c>
      <c r="F3002" s="18">
        <v>2173</v>
      </c>
      <c r="G3002" s="18">
        <v>24</v>
      </c>
      <c r="H3002" s="5">
        <v>43</v>
      </c>
      <c r="I3002" s="1">
        <v>110</v>
      </c>
      <c r="J3002" s="1">
        <v>239</v>
      </c>
      <c r="L3002" t="str">
        <f t="shared" si="46"/>
        <v>http://www.badatelna.eu/reprodukce/?fondId=1073&amp;zaznamId=1108959&amp;reproId=3780017</v>
      </c>
      <c r="M3002">
        <f>VLOOKUP(F3002,Sheet2!$B$1:$E$19,2,FALSE)</f>
        <v>1073</v>
      </c>
      <c r="N3002">
        <f>VLOOKUP(F3002,Sheet2!$B$1:$E$19,3,FALSE)</f>
        <v>1108959</v>
      </c>
      <c r="O3002">
        <f>IF(G3002="Not available","",VLOOKUP(F3002,Sheet2!$B$1:$E$19,4,FALSE)+(G3002-1))</f>
        <v>3780017</v>
      </c>
    </row>
    <row r="3003" spans="1:15" s="1" customFormat="1" ht="15" customHeight="1" x14ac:dyDescent="0.25">
      <c r="A3003" s="18" t="s">
        <v>375</v>
      </c>
      <c r="B3003" s="18" t="s">
        <v>239</v>
      </c>
      <c r="C3003" s="5" t="s">
        <v>1440</v>
      </c>
      <c r="D3003" s="1" t="s">
        <v>50</v>
      </c>
      <c r="E3003" s="1" t="s">
        <v>2</v>
      </c>
      <c r="F3003" s="18">
        <v>2165</v>
      </c>
      <c r="G3003" s="18">
        <v>6</v>
      </c>
      <c r="H3003" s="5">
        <v>3</v>
      </c>
      <c r="I3003" s="1">
        <v>90</v>
      </c>
      <c r="J3003" s="1" t="s">
        <v>3271</v>
      </c>
      <c r="L3003" t="str">
        <f t="shared" si="46"/>
        <v>http://www.badatelna.eu/reprodukce/?fondId=1073&amp;zaznamId=1108952&amp;reproId=3778867</v>
      </c>
      <c r="M3003">
        <f>VLOOKUP(F3003,Sheet2!$B$1:$E$19,2,FALSE)</f>
        <v>1073</v>
      </c>
      <c r="N3003">
        <f>VLOOKUP(F3003,Sheet2!$B$1:$E$19,3,FALSE)</f>
        <v>1108952</v>
      </c>
      <c r="O3003">
        <f>IF(G3003="Not available","",VLOOKUP(F3003,Sheet2!$B$1:$E$19,4,FALSE)+(G3003-1))</f>
        <v>3778867</v>
      </c>
    </row>
    <row r="3004" spans="1:15" s="1" customFormat="1" ht="15" customHeight="1" x14ac:dyDescent="0.25">
      <c r="A3004" s="18" t="s">
        <v>375</v>
      </c>
      <c r="B3004" s="18" t="s">
        <v>506</v>
      </c>
      <c r="C3004" s="5">
        <v>1860</v>
      </c>
      <c r="E3004" s="1" t="s">
        <v>939</v>
      </c>
      <c r="F3004" s="18">
        <v>999</v>
      </c>
      <c r="G3004" s="18">
        <v>23</v>
      </c>
      <c r="H3004" s="5">
        <v>21</v>
      </c>
      <c r="I3004" s="1">
        <v>74</v>
      </c>
      <c r="J3004" s="1">
        <v>108</v>
      </c>
      <c r="L3004" t="str">
        <f t="shared" si="46"/>
        <v>http://www.badatelna.eu/reprodukce/?fondId=241&amp;zaznamId=1133739&amp;reproId=3885752</v>
      </c>
      <c r="M3004">
        <f>VLOOKUP(F3004,Sheet2!$B$1:$E$19,2,FALSE)</f>
        <v>241</v>
      </c>
      <c r="N3004">
        <f>VLOOKUP(F3004,Sheet2!$B$1:$E$19,3,FALSE)</f>
        <v>1133739</v>
      </c>
      <c r="O3004">
        <f>IF(G3004="Not available","",VLOOKUP(F3004,Sheet2!$B$1:$E$19,4,FALSE)+(G3004-1))</f>
        <v>3885752</v>
      </c>
    </row>
    <row r="3005" spans="1:15" s="1" customFormat="1" ht="15" customHeight="1" x14ac:dyDescent="0.25">
      <c r="A3005" s="18" t="s">
        <v>375</v>
      </c>
      <c r="B3005" s="18" t="s">
        <v>233</v>
      </c>
      <c r="C3005" s="5" t="s">
        <v>1548</v>
      </c>
      <c r="D3005" s="1" t="s">
        <v>50</v>
      </c>
      <c r="E3005" s="1" t="s">
        <v>2</v>
      </c>
      <c r="F3005" s="18">
        <v>2165</v>
      </c>
      <c r="G3005" s="18">
        <v>46</v>
      </c>
      <c r="H3005" s="5">
        <v>43</v>
      </c>
      <c r="I3005" s="1">
        <v>90</v>
      </c>
      <c r="J3005" s="1" t="s">
        <v>3271</v>
      </c>
      <c r="L3005" t="str">
        <f t="shared" si="46"/>
        <v>http://www.badatelna.eu/reprodukce/?fondId=1073&amp;zaznamId=1108952&amp;reproId=3778907</v>
      </c>
      <c r="M3005">
        <f>VLOOKUP(F3005,Sheet2!$B$1:$E$19,2,FALSE)</f>
        <v>1073</v>
      </c>
      <c r="N3005">
        <f>VLOOKUP(F3005,Sheet2!$B$1:$E$19,3,FALSE)</f>
        <v>1108952</v>
      </c>
      <c r="O3005">
        <f>IF(G3005="Not available","",VLOOKUP(F3005,Sheet2!$B$1:$E$19,4,FALSE)+(G3005-1))</f>
        <v>3778907</v>
      </c>
    </row>
    <row r="3006" spans="1:15" s="1" customFormat="1" ht="15" customHeight="1" x14ac:dyDescent="0.25">
      <c r="A3006" s="18" t="s">
        <v>375</v>
      </c>
      <c r="B3006" s="18" t="s">
        <v>1207</v>
      </c>
      <c r="C3006" s="14" t="s">
        <v>2097</v>
      </c>
      <c r="D3006" s="4" t="s">
        <v>847</v>
      </c>
      <c r="E3006" s="1" t="s">
        <v>2</v>
      </c>
      <c r="F3006" s="18">
        <v>2165</v>
      </c>
      <c r="G3006" s="18">
        <v>293</v>
      </c>
      <c r="H3006" s="5">
        <v>2</v>
      </c>
      <c r="I3006" s="1">
        <v>295</v>
      </c>
      <c r="J3006" s="1">
        <v>268</v>
      </c>
      <c r="L3006" t="str">
        <f t="shared" si="46"/>
        <v>http://www.badatelna.eu/reprodukce/?fondId=1073&amp;zaznamId=1108952&amp;reproId=3779154</v>
      </c>
      <c r="M3006">
        <f>VLOOKUP(F3006,Sheet2!$B$1:$E$19,2,FALSE)</f>
        <v>1073</v>
      </c>
      <c r="N3006">
        <f>VLOOKUP(F3006,Sheet2!$B$1:$E$19,3,FALSE)</f>
        <v>1108952</v>
      </c>
      <c r="O3006">
        <f>IF(G3006="Not available","",VLOOKUP(F3006,Sheet2!$B$1:$E$19,4,FALSE)+(G3006-1))</f>
        <v>3779154</v>
      </c>
    </row>
    <row r="3007" spans="1:15" s="1" customFormat="1" ht="15" customHeight="1" x14ac:dyDescent="0.25">
      <c r="A3007" s="18" t="s">
        <v>375</v>
      </c>
      <c r="B3007" s="18" t="s">
        <v>2077</v>
      </c>
      <c r="C3007" s="10" t="s">
        <v>2097</v>
      </c>
      <c r="D3007" s="3" t="s">
        <v>2606</v>
      </c>
      <c r="E3007" s="4" t="s">
        <v>2</v>
      </c>
      <c r="F3007" s="18">
        <v>2176</v>
      </c>
      <c r="G3007" s="18" t="s">
        <v>3271</v>
      </c>
      <c r="H3007" s="10" t="s">
        <v>2351</v>
      </c>
      <c r="I3007" s="3">
        <v>35</v>
      </c>
      <c r="J3007" s="3" t="s">
        <v>3271</v>
      </c>
      <c r="K3007" s="3"/>
      <c r="L3007" t="str">
        <f t="shared" si="46"/>
        <v/>
      </c>
      <c r="M3007">
        <f>VLOOKUP(F3007,Sheet2!$B$1:$E$19,2,FALSE)</f>
        <v>1073</v>
      </c>
      <c r="N3007">
        <f>VLOOKUP(F3007,Sheet2!$B$1:$E$19,3,FALSE)</f>
        <v>1108963</v>
      </c>
      <c r="O3007" t="str">
        <f>IF(G3007="Not available","",VLOOKUP(F3007,Sheet2!$B$1:$E$19,4,FALSE)+(G3007-1))</f>
        <v/>
      </c>
    </row>
    <row r="3008" spans="1:15" s="1" customFormat="1" ht="15" customHeight="1" x14ac:dyDescent="0.25">
      <c r="A3008" s="18" t="s">
        <v>375</v>
      </c>
      <c r="B3008" s="18" t="s">
        <v>1962</v>
      </c>
      <c r="C3008" s="10" t="s">
        <v>1952</v>
      </c>
      <c r="D3008" s="3" t="s">
        <v>2606</v>
      </c>
      <c r="E3008" s="4" t="s">
        <v>2</v>
      </c>
      <c r="F3008" s="18">
        <v>2176</v>
      </c>
      <c r="G3008" s="18" t="s">
        <v>3271</v>
      </c>
      <c r="H3008" s="10" t="s">
        <v>2470</v>
      </c>
      <c r="I3008" s="3">
        <v>35</v>
      </c>
      <c r="J3008" s="3" t="s">
        <v>3271</v>
      </c>
      <c r="K3008" s="3"/>
      <c r="L3008" t="str">
        <f t="shared" si="46"/>
        <v/>
      </c>
      <c r="M3008">
        <f>VLOOKUP(F3008,Sheet2!$B$1:$E$19,2,FALSE)</f>
        <v>1073</v>
      </c>
      <c r="N3008">
        <f>VLOOKUP(F3008,Sheet2!$B$1:$E$19,3,FALSE)</f>
        <v>1108963</v>
      </c>
      <c r="O3008" t="str">
        <f>IF(G3008="Not available","",VLOOKUP(F3008,Sheet2!$B$1:$E$19,4,FALSE)+(G3008-1))</f>
        <v/>
      </c>
    </row>
    <row r="3009" spans="1:15" s="1" customFormat="1" ht="15" customHeight="1" x14ac:dyDescent="0.25">
      <c r="A3009" s="18" t="s">
        <v>375</v>
      </c>
      <c r="B3009" s="18" t="s">
        <v>1962</v>
      </c>
      <c r="C3009" s="10" t="s">
        <v>2100</v>
      </c>
      <c r="D3009" s="3" t="s">
        <v>2606</v>
      </c>
      <c r="E3009" s="4" t="s">
        <v>2</v>
      </c>
      <c r="F3009" s="18">
        <v>2176</v>
      </c>
      <c r="G3009" s="18" t="s">
        <v>3271</v>
      </c>
      <c r="H3009" s="10" t="s">
        <v>2094</v>
      </c>
      <c r="I3009" s="3">
        <v>35</v>
      </c>
      <c r="J3009" s="3" t="s">
        <v>3271</v>
      </c>
      <c r="K3009" s="3"/>
      <c r="L3009" t="str">
        <f t="shared" si="46"/>
        <v/>
      </c>
      <c r="M3009">
        <f>VLOOKUP(F3009,Sheet2!$B$1:$E$19,2,FALSE)</f>
        <v>1073</v>
      </c>
      <c r="N3009">
        <f>VLOOKUP(F3009,Sheet2!$B$1:$E$19,3,FALSE)</f>
        <v>1108963</v>
      </c>
      <c r="O3009" t="str">
        <f>IF(G3009="Not available","",VLOOKUP(F3009,Sheet2!$B$1:$E$19,4,FALSE)+(G3009-1))</f>
        <v/>
      </c>
    </row>
    <row r="3010" spans="1:15" s="1" customFormat="1" ht="15" customHeight="1" x14ac:dyDescent="0.25">
      <c r="A3010" s="18" t="s">
        <v>375</v>
      </c>
      <c r="B3010" s="18" t="s">
        <v>115</v>
      </c>
      <c r="C3010" s="6" t="s">
        <v>2100</v>
      </c>
      <c r="D3010" s="4" t="s">
        <v>847</v>
      </c>
      <c r="E3010" s="1" t="s">
        <v>2</v>
      </c>
      <c r="F3010" s="18">
        <v>2165</v>
      </c>
      <c r="G3010" s="18">
        <v>309</v>
      </c>
      <c r="H3010" s="5">
        <v>2</v>
      </c>
      <c r="I3010" s="1">
        <v>311</v>
      </c>
      <c r="J3010" s="1">
        <v>284</v>
      </c>
      <c r="L3010" t="str">
        <f t="shared" si="46"/>
        <v>http://www.badatelna.eu/reprodukce/?fondId=1073&amp;zaznamId=1108952&amp;reproId=3779170</v>
      </c>
      <c r="M3010">
        <f>VLOOKUP(F3010,Sheet2!$B$1:$E$19,2,FALSE)</f>
        <v>1073</v>
      </c>
      <c r="N3010">
        <f>VLOOKUP(F3010,Sheet2!$B$1:$E$19,3,FALSE)</f>
        <v>1108952</v>
      </c>
      <c r="O3010">
        <f>IF(G3010="Not available","",VLOOKUP(F3010,Sheet2!$B$1:$E$19,4,FALSE)+(G3010-1))</f>
        <v>3779170</v>
      </c>
    </row>
    <row r="3011" spans="1:15" s="1" customFormat="1" ht="15" customHeight="1" x14ac:dyDescent="0.25">
      <c r="A3011" s="18" t="s">
        <v>375</v>
      </c>
      <c r="B3011" s="18" t="s">
        <v>115</v>
      </c>
      <c r="C3011" s="5" t="s">
        <v>1852</v>
      </c>
      <c r="D3011" s="1" t="s">
        <v>847</v>
      </c>
      <c r="E3011" s="1" t="s">
        <v>2</v>
      </c>
      <c r="F3011" s="18">
        <v>2165</v>
      </c>
      <c r="G3011" s="18">
        <v>257</v>
      </c>
      <c r="H3011" s="5">
        <v>4</v>
      </c>
      <c r="I3011" s="1">
        <v>253</v>
      </c>
      <c r="J3011" s="1">
        <v>229</v>
      </c>
      <c r="L3011" t="str">
        <f t="shared" ref="L3011:L3074" si="47">IF(G3011="Not available","","http://www.badatelna.eu/reprodukce/?fondId="&amp;M3011&amp;"&amp;zaznamId="&amp;N3011&amp;"&amp;reproId="&amp;O3011)</f>
        <v>http://www.badatelna.eu/reprodukce/?fondId=1073&amp;zaznamId=1108952&amp;reproId=3779118</v>
      </c>
      <c r="M3011">
        <f>VLOOKUP(F3011,Sheet2!$B$1:$E$19,2,FALSE)</f>
        <v>1073</v>
      </c>
      <c r="N3011">
        <f>VLOOKUP(F3011,Sheet2!$B$1:$E$19,3,FALSE)</f>
        <v>1108952</v>
      </c>
      <c r="O3011">
        <f>IF(G3011="Not available","",VLOOKUP(F3011,Sheet2!$B$1:$E$19,4,FALSE)+(G3011-1))</f>
        <v>3779118</v>
      </c>
    </row>
    <row r="3012" spans="1:15" s="1" customFormat="1" ht="15" customHeight="1" x14ac:dyDescent="0.25">
      <c r="A3012" s="18" t="s">
        <v>375</v>
      </c>
      <c r="B3012" s="18" t="s">
        <v>13</v>
      </c>
      <c r="C3012" s="5">
        <v>1796</v>
      </c>
      <c r="D3012" s="1" t="s">
        <v>377</v>
      </c>
      <c r="E3012" s="1" t="s">
        <v>2</v>
      </c>
      <c r="F3012" s="18">
        <v>2173</v>
      </c>
      <c r="G3012" s="18">
        <v>34</v>
      </c>
      <c r="H3012" s="5">
        <v>62</v>
      </c>
      <c r="I3012" s="1">
        <v>110</v>
      </c>
      <c r="J3012" s="1">
        <v>239</v>
      </c>
      <c r="L3012" t="str">
        <f t="shared" si="47"/>
        <v>http://www.badatelna.eu/reprodukce/?fondId=1073&amp;zaznamId=1108959&amp;reproId=3780027</v>
      </c>
      <c r="M3012">
        <f>VLOOKUP(F3012,Sheet2!$B$1:$E$19,2,FALSE)</f>
        <v>1073</v>
      </c>
      <c r="N3012">
        <f>VLOOKUP(F3012,Sheet2!$B$1:$E$19,3,FALSE)</f>
        <v>1108959</v>
      </c>
      <c r="O3012">
        <f>IF(G3012="Not available","",VLOOKUP(F3012,Sheet2!$B$1:$E$19,4,FALSE)+(G3012-1))</f>
        <v>3780027</v>
      </c>
    </row>
    <row r="3013" spans="1:15" s="1" customFormat="1" ht="15" customHeight="1" x14ac:dyDescent="0.25">
      <c r="A3013" s="18" t="s">
        <v>375</v>
      </c>
      <c r="B3013" s="18" t="s">
        <v>398</v>
      </c>
      <c r="C3013" s="5">
        <v>1862</v>
      </c>
      <c r="E3013" s="1" t="s">
        <v>939</v>
      </c>
      <c r="F3013" s="18">
        <v>999</v>
      </c>
      <c r="G3013" s="18">
        <v>38</v>
      </c>
      <c r="H3013" s="5">
        <v>36</v>
      </c>
      <c r="I3013" s="1">
        <v>74</v>
      </c>
      <c r="J3013" s="1">
        <v>108</v>
      </c>
      <c r="L3013" t="str">
        <f t="shared" si="47"/>
        <v>http://www.badatelna.eu/reprodukce/?fondId=241&amp;zaznamId=1133739&amp;reproId=3885767</v>
      </c>
      <c r="M3013">
        <f>VLOOKUP(F3013,Sheet2!$B$1:$E$19,2,FALSE)</f>
        <v>241</v>
      </c>
      <c r="N3013">
        <f>VLOOKUP(F3013,Sheet2!$B$1:$E$19,3,FALSE)</f>
        <v>1133739</v>
      </c>
      <c r="O3013">
        <f>IF(G3013="Not available","",VLOOKUP(F3013,Sheet2!$B$1:$E$19,4,FALSE)+(G3013-1))</f>
        <v>3885767</v>
      </c>
    </row>
    <row r="3014" spans="1:15" s="1" customFormat="1" ht="15" customHeight="1" x14ac:dyDescent="0.25">
      <c r="A3014" s="18" t="s">
        <v>375</v>
      </c>
      <c r="B3014" s="18" t="s">
        <v>593</v>
      </c>
      <c r="C3014" s="10" t="s">
        <v>2095</v>
      </c>
      <c r="D3014" s="3" t="s">
        <v>2606</v>
      </c>
      <c r="E3014" s="4" t="s">
        <v>2</v>
      </c>
      <c r="F3014" s="18">
        <v>2176</v>
      </c>
      <c r="G3014" s="18" t="s">
        <v>3271</v>
      </c>
      <c r="H3014" s="10" t="s">
        <v>1974</v>
      </c>
      <c r="I3014" s="3">
        <v>35</v>
      </c>
      <c r="J3014" s="3" t="s">
        <v>3271</v>
      </c>
      <c r="K3014" s="3"/>
      <c r="L3014" t="str">
        <f t="shared" si="47"/>
        <v/>
      </c>
      <c r="M3014">
        <f>VLOOKUP(F3014,Sheet2!$B$1:$E$19,2,FALSE)</f>
        <v>1073</v>
      </c>
      <c r="N3014">
        <f>VLOOKUP(F3014,Sheet2!$B$1:$E$19,3,FALSE)</f>
        <v>1108963</v>
      </c>
      <c r="O3014" t="str">
        <f>IF(G3014="Not available","",VLOOKUP(F3014,Sheet2!$B$1:$E$19,4,FALSE)+(G3014-1))</f>
        <v/>
      </c>
    </row>
    <row r="3015" spans="1:15" s="1" customFormat="1" ht="15" customHeight="1" x14ac:dyDescent="0.25">
      <c r="A3015" s="18" t="s">
        <v>375</v>
      </c>
      <c r="B3015" s="18" t="s">
        <v>593</v>
      </c>
      <c r="C3015" s="14" t="s">
        <v>2095</v>
      </c>
      <c r="D3015" s="1" t="s">
        <v>847</v>
      </c>
      <c r="E3015" s="1" t="s">
        <v>2</v>
      </c>
      <c r="F3015" s="18">
        <v>2165</v>
      </c>
      <c r="G3015" s="18">
        <v>289</v>
      </c>
      <c r="H3015" s="5">
        <v>2</v>
      </c>
      <c r="I3015" s="1">
        <v>287</v>
      </c>
      <c r="J3015" s="1">
        <v>261</v>
      </c>
      <c r="L3015" t="str">
        <f t="shared" si="47"/>
        <v>http://www.badatelna.eu/reprodukce/?fondId=1073&amp;zaznamId=1108952&amp;reproId=3779150</v>
      </c>
      <c r="M3015">
        <f>VLOOKUP(F3015,Sheet2!$B$1:$E$19,2,FALSE)</f>
        <v>1073</v>
      </c>
      <c r="N3015">
        <f>VLOOKUP(F3015,Sheet2!$B$1:$E$19,3,FALSE)</f>
        <v>1108952</v>
      </c>
      <c r="O3015">
        <f>IF(G3015="Not available","",VLOOKUP(F3015,Sheet2!$B$1:$E$19,4,FALSE)+(G3015-1))</f>
        <v>3779150</v>
      </c>
    </row>
    <row r="3016" spans="1:15" s="1" customFormat="1" ht="15" customHeight="1" x14ac:dyDescent="0.25">
      <c r="A3016" s="18" t="s">
        <v>375</v>
      </c>
      <c r="B3016" s="18" t="s">
        <v>177</v>
      </c>
      <c r="C3016" s="5">
        <v>1822</v>
      </c>
      <c r="E3016" s="1" t="s">
        <v>2</v>
      </c>
      <c r="F3016" s="18">
        <v>2173</v>
      </c>
      <c r="G3016" s="18">
        <v>72</v>
      </c>
      <c r="H3016" s="5">
        <v>137</v>
      </c>
      <c r="I3016" s="1">
        <v>111</v>
      </c>
      <c r="J3016" s="1">
        <v>241</v>
      </c>
      <c r="L3016" t="str">
        <f t="shared" si="47"/>
        <v>http://www.badatelna.eu/reprodukce/?fondId=1073&amp;zaznamId=1108959&amp;reproId=3780065</v>
      </c>
      <c r="M3016">
        <f>VLOOKUP(F3016,Sheet2!$B$1:$E$19,2,FALSE)</f>
        <v>1073</v>
      </c>
      <c r="N3016">
        <f>VLOOKUP(F3016,Sheet2!$B$1:$E$19,3,FALSE)</f>
        <v>1108959</v>
      </c>
      <c r="O3016">
        <f>IF(G3016="Not available","",VLOOKUP(F3016,Sheet2!$B$1:$E$19,4,FALSE)+(G3016-1))</f>
        <v>3780065</v>
      </c>
    </row>
    <row r="3017" spans="1:15" s="1" customFormat="1" ht="15" customHeight="1" x14ac:dyDescent="0.25">
      <c r="A3017" s="18" t="s">
        <v>375</v>
      </c>
      <c r="B3017" s="18" t="s">
        <v>44</v>
      </c>
      <c r="C3017" s="5">
        <v>1802</v>
      </c>
      <c r="E3017" s="1" t="s">
        <v>2</v>
      </c>
      <c r="F3017" s="18">
        <v>2173</v>
      </c>
      <c r="G3017" s="18">
        <v>45</v>
      </c>
      <c r="H3017" s="5">
        <v>85</v>
      </c>
      <c r="I3017" s="1">
        <v>111</v>
      </c>
      <c r="J3017" s="1">
        <v>240</v>
      </c>
      <c r="L3017" t="str">
        <f t="shared" si="47"/>
        <v>http://www.badatelna.eu/reprodukce/?fondId=1073&amp;zaznamId=1108959&amp;reproId=3780038</v>
      </c>
      <c r="M3017">
        <f>VLOOKUP(F3017,Sheet2!$B$1:$E$19,2,FALSE)</f>
        <v>1073</v>
      </c>
      <c r="N3017">
        <f>VLOOKUP(F3017,Sheet2!$B$1:$E$19,3,FALSE)</f>
        <v>1108959</v>
      </c>
      <c r="O3017">
        <f>IF(G3017="Not available","",VLOOKUP(F3017,Sheet2!$B$1:$E$19,4,FALSE)+(G3017-1))</f>
        <v>3780038</v>
      </c>
    </row>
    <row r="3018" spans="1:15" s="1" customFormat="1" ht="15" customHeight="1" x14ac:dyDescent="0.25">
      <c r="A3018" s="18" t="s">
        <v>375</v>
      </c>
      <c r="B3018" s="18" t="s">
        <v>44</v>
      </c>
      <c r="C3018" s="5">
        <v>1820</v>
      </c>
      <c r="E3018" s="1" t="s">
        <v>2</v>
      </c>
      <c r="F3018" s="18">
        <v>2173</v>
      </c>
      <c r="G3018" s="18">
        <v>70</v>
      </c>
      <c r="H3018" s="5">
        <v>133</v>
      </c>
      <c r="I3018" s="1">
        <v>111</v>
      </c>
      <c r="J3018" s="1">
        <v>241</v>
      </c>
      <c r="L3018" t="str">
        <f t="shared" si="47"/>
        <v>http://www.badatelna.eu/reprodukce/?fondId=1073&amp;zaznamId=1108959&amp;reproId=3780063</v>
      </c>
      <c r="M3018">
        <f>VLOOKUP(F3018,Sheet2!$B$1:$E$19,2,FALSE)</f>
        <v>1073</v>
      </c>
      <c r="N3018">
        <f>VLOOKUP(F3018,Sheet2!$B$1:$E$19,3,FALSE)</f>
        <v>1108959</v>
      </c>
      <c r="O3018">
        <f>IF(G3018="Not available","",VLOOKUP(F3018,Sheet2!$B$1:$E$19,4,FALSE)+(G3018-1))</f>
        <v>3780063</v>
      </c>
    </row>
    <row r="3019" spans="1:15" s="1" customFormat="1" ht="15" customHeight="1" x14ac:dyDescent="0.25">
      <c r="A3019" s="18" t="s">
        <v>375</v>
      </c>
      <c r="B3019" s="19" t="s">
        <v>23</v>
      </c>
      <c r="C3019" s="5">
        <v>1798</v>
      </c>
      <c r="D3019" s="4" t="s">
        <v>377</v>
      </c>
      <c r="E3019" s="1" t="s">
        <v>2</v>
      </c>
      <c r="F3019" s="18">
        <v>2173</v>
      </c>
      <c r="G3019" s="18">
        <v>36</v>
      </c>
      <c r="H3019" s="5">
        <v>67</v>
      </c>
      <c r="I3019" s="1">
        <v>110</v>
      </c>
      <c r="J3019" s="1">
        <v>239</v>
      </c>
      <c r="L3019" t="str">
        <f t="shared" si="47"/>
        <v>http://www.badatelna.eu/reprodukce/?fondId=1073&amp;zaznamId=1108959&amp;reproId=3780029</v>
      </c>
      <c r="M3019">
        <f>VLOOKUP(F3019,Sheet2!$B$1:$E$19,2,FALSE)</f>
        <v>1073</v>
      </c>
      <c r="N3019">
        <f>VLOOKUP(F3019,Sheet2!$B$1:$E$19,3,FALSE)</f>
        <v>1108959</v>
      </c>
      <c r="O3019">
        <f>IF(G3019="Not available","",VLOOKUP(F3019,Sheet2!$B$1:$E$19,4,FALSE)+(G3019-1))</f>
        <v>3780029</v>
      </c>
    </row>
    <row r="3020" spans="1:15" s="1" customFormat="1" ht="15" customHeight="1" x14ac:dyDescent="0.25">
      <c r="A3020" s="18" t="s">
        <v>375</v>
      </c>
      <c r="B3020" s="18" t="s">
        <v>998</v>
      </c>
      <c r="C3020" s="5" t="s">
        <v>1760</v>
      </c>
      <c r="D3020" s="1" t="s">
        <v>847</v>
      </c>
      <c r="E3020" s="1" t="s">
        <v>2</v>
      </c>
      <c r="F3020" s="18">
        <v>2165</v>
      </c>
      <c r="G3020" s="18">
        <v>230</v>
      </c>
      <c r="H3020" s="5">
        <v>3</v>
      </c>
      <c r="I3020" s="1">
        <v>232</v>
      </c>
      <c r="J3020" s="1">
        <v>208</v>
      </c>
      <c r="L3020" t="str">
        <f t="shared" si="47"/>
        <v>http://www.badatelna.eu/reprodukce/?fondId=1073&amp;zaznamId=1108952&amp;reproId=3779091</v>
      </c>
      <c r="M3020">
        <f>VLOOKUP(F3020,Sheet2!$B$1:$E$19,2,FALSE)</f>
        <v>1073</v>
      </c>
      <c r="N3020">
        <f>VLOOKUP(F3020,Sheet2!$B$1:$E$19,3,FALSE)</f>
        <v>1108952</v>
      </c>
      <c r="O3020">
        <f>IF(G3020="Not available","",VLOOKUP(F3020,Sheet2!$B$1:$E$19,4,FALSE)+(G3020-1))</f>
        <v>3779091</v>
      </c>
    </row>
    <row r="3021" spans="1:15" s="1" customFormat="1" ht="15" customHeight="1" x14ac:dyDescent="0.25">
      <c r="A3021" s="18" t="s">
        <v>375</v>
      </c>
      <c r="B3021" s="18" t="s">
        <v>1171</v>
      </c>
      <c r="C3021" s="10" t="s">
        <v>2103</v>
      </c>
      <c r="D3021" s="3" t="s">
        <v>2606</v>
      </c>
      <c r="E3021" s="4" t="s">
        <v>2</v>
      </c>
      <c r="F3021" s="18">
        <v>2176</v>
      </c>
      <c r="G3021" s="18" t="s">
        <v>3271</v>
      </c>
      <c r="H3021" s="10" t="s">
        <v>2142</v>
      </c>
      <c r="I3021" s="3">
        <v>35</v>
      </c>
      <c r="J3021" s="3" t="s">
        <v>3271</v>
      </c>
      <c r="K3021" s="3"/>
      <c r="L3021" t="str">
        <f t="shared" si="47"/>
        <v/>
      </c>
      <c r="M3021">
        <f>VLOOKUP(F3021,Sheet2!$B$1:$E$19,2,FALSE)</f>
        <v>1073</v>
      </c>
      <c r="N3021">
        <f>VLOOKUP(F3021,Sheet2!$B$1:$E$19,3,FALSE)</f>
        <v>1108963</v>
      </c>
      <c r="O3021" t="str">
        <f>IF(G3021="Not available","",VLOOKUP(F3021,Sheet2!$B$1:$E$19,4,FALSE)+(G3021-1))</f>
        <v/>
      </c>
    </row>
    <row r="3022" spans="1:15" s="1" customFormat="1" ht="15" customHeight="1" x14ac:dyDescent="0.25">
      <c r="A3022" s="18" t="s">
        <v>375</v>
      </c>
      <c r="B3022" s="18" t="s">
        <v>1972</v>
      </c>
      <c r="C3022" s="10" t="s">
        <v>2072</v>
      </c>
      <c r="D3022" s="3" t="s">
        <v>2606</v>
      </c>
      <c r="E3022" s="4" t="s">
        <v>2</v>
      </c>
      <c r="F3022" s="18">
        <v>2176</v>
      </c>
      <c r="G3022" s="18" t="s">
        <v>3271</v>
      </c>
      <c r="H3022" s="10" t="s">
        <v>2031</v>
      </c>
      <c r="I3022" s="3">
        <v>34</v>
      </c>
      <c r="J3022" s="3" t="s">
        <v>3271</v>
      </c>
      <c r="K3022" s="3"/>
      <c r="L3022" t="str">
        <f t="shared" si="47"/>
        <v/>
      </c>
      <c r="M3022">
        <f>VLOOKUP(F3022,Sheet2!$B$1:$E$19,2,FALSE)</f>
        <v>1073</v>
      </c>
      <c r="N3022">
        <f>VLOOKUP(F3022,Sheet2!$B$1:$E$19,3,FALSE)</f>
        <v>1108963</v>
      </c>
      <c r="O3022" t="str">
        <f>IF(G3022="Not available","",VLOOKUP(F3022,Sheet2!$B$1:$E$19,4,FALSE)+(G3022-1))</f>
        <v/>
      </c>
    </row>
    <row r="3023" spans="1:15" s="1" customFormat="1" ht="15" customHeight="1" x14ac:dyDescent="0.25">
      <c r="A3023" s="18" t="s">
        <v>2623</v>
      </c>
      <c r="B3023" s="18" t="s">
        <v>2624</v>
      </c>
      <c r="C3023" s="10" t="s">
        <v>2125</v>
      </c>
      <c r="D3023" s="3" t="s">
        <v>2625</v>
      </c>
      <c r="E3023" s="4" t="s">
        <v>2</v>
      </c>
      <c r="F3023" s="18">
        <v>2176</v>
      </c>
      <c r="G3023" s="18" t="s">
        <v>3271</v>
      </c>
      <c r="H3023" s="10" t="s">
        <v>2142</v>
      </c>
      <c r="I3023" s="3">
        <v>36</v>
      </c>
      <c r="J3023" s="3" t="s">
        <v>3271</v>
      </c>
      <c r="K3023" s="3"/>
      <c r="L3023" t="str">
        <f t="shared" si="47"/>
        <v/>
      </c>
      <c r="M3023">
        <f>VLOOKUP(F3023,Sheet2!$B$1:$E$19,2,FALSE)</f>
        <v>1073</v>
      </c>
      <c r="N3023">
        <f>VLOOKUP(F3023,Sheet2!$B$1:$E$19,3,FALSE)</f>
        <v>1108963</v>
      </c>
      <c r="O3023" t="str">
        <f>IF(G3023="Not available","",VLOOKUP(F3023,Sheet2!$B$1:$E$19,4,FALSE)+(G3023-1))</f>
        <v/>
      </c>
    </row>
    <row r="3024" spans="1:15" s="1" customFormat="1" ht="15" customHeight="1" x14ac:dyDescent="0.25">
      <c r="A3024" s="18" t="s">
        <v>734</v>
      </c>
      <c r="B3024" s="18" t="s">
        <v>738</v>
      </c>
      <c r="C3024" s="5">
        <v>1845</v>
      </c>
      <c r="D3024" s="1" t="s">
        <v>44</v>
      </c>
      <c r="E3024" s="1" t="s">
        <v>2</v>
      </c>
      <c r="F3024" s="18">
        <v>2174</v>
      </c>
      <c r="G3024" s="18">
        <v>155</v>
      </c>
      <c r="H3024" s="6" t="s">
        <v>3221</v>
      </c>
      <c r="I3024" s="1">
        <v>197</v>
      </c>
      <c r="J3024" s="1">
        <v>233</v>
      </c>
      <c r="L3024" t="str">
        <f t="shared" si="47"/>
        <v>http://www.badatelna.eu/reprodukce/?fondId=1073&amp;zaznamId=1108960&amp;reproId=3780379</v>
      </c>
      <c r="M3024">
        <f>VLOOKUP(F3024,Sheet2!$B$1:$E$19,2,FALSE)</f>
        <v>1073</v>
      </c>
      <c r="N3024">
        <f>VLOOKUP(F3024,Sheet2!$B$1:$E$19,3,FALSE)</f>
        <v>1108960</v>
      </c>
      <c r="O3024">
        <f>IF(G3024="Not available","",VLOOKUP(F3024,Sheet2!$B$1:$E$19,4,FALSE)+(G3024-1))</f>
        <v>3780379</v>
      </c>
    </row>
    <row r="3025" spans="1:15" s="1" customFormat="1" ht="15" customHeight="1" x14ac:dyDescent="0.25">
      <c r="A3025" s="18" t="s">
        <v>734</v>
      </c>
      <c r="B3025" s="18" t="s">
        <v>477</v>
      </c>
      <c r="C3025" s="5">
        <v>1852</v>
      </c>
      <c r="D3025" s="1" t="s">
        <v>44</v>
      </c>
      <c r="E3025" s="1" t="s">
        <v>2</v>
      </c>
      <c r="F3025" s="18">
        <v>2164</v>
      </c>
      <c r="G3025" s="18">
        <v>79</v>
      </c>
      <c r="H3025" s="5">
        <v>77</v>
      </c>
      <c r="I3025" s="1">
        <v>136</v>
      </c>
      <c r="J3025" s="3" t="s">
        <v>3271</v>
      </c>
      <c r="L3025" t="str">
        <f t="shared" si="47"/>
        <v>http://www.badatelna.eu/reprodukce/?fondId=1073&amp;zaznamId=1108951&amp;reproId=3778793</v>
      </c>
      <c r="M3025">
        <f>VLOOKUP(F3025,Sheet2!$B$1:$E$19,2,FALSE)</f>
        <v>1073</v>
      </c>
      <c r="N3025">
        <f>VLOOKUP(F3025,Sheet2!$B$1:$E$19,3,FALSE)</f>
        <v>1108951</v>
      </c>
      <c r="O3025">
        <f>IF(G3025="Not available","",VLOOKUP(F3025,Sheet2!$B$1:$E$19,4,FALSE)+(G3025-1))</f>
        <v>3778793</v>
      </c>
    </row>
    <row r="3026" spans="1:15" s="1" customFormat="1" ht="15" customHeight="1" x14ac:dyDescent="0.25">
      <c r="A3026" s="18" t="s">
        <v>3058</v>
      </c>
      <c r="B3026" s="18" t="s">
        <v>477</v>
      </c>
      <c r="C3026" s="5">
        <v>1861</v>
      </c>
      <c r="E3026" s="1" t="s">
        <v>939</v>
      </c>
      <c r="F3026" s="18">
        <v>999</v>
      </c>
      <c r="G3026" s="18">
        <v>27</v>
      </c>
      <c r="H3026" s="5">
        <v>25</v>
      </c>
      <c r="I3026" s="1">
        <v>74</v>
      </c>
      <c r="J3026" s="1">
        <v>108</v>
      </c>
      <c r="L3026" t="str">
        <f t="shared" si="47"/>
        <v>http://www.badatelna.eu/reprodukce/?fondId=241&amp;zaznamId=1133739&amp;reproId=3885756</v>
      </c>
      <c r="M3026">
        <f>VLOOKUP(F3026,Sheet2!$B$1:$E$19,2,FALSE)</f>
        <v>241</v>
      </c>
      <c r="N3026">
        <f>VLOOKUP(F3026,Sheet2!$B$1:$E$19,3,FALSE)</f>
        <v>1133739</v>
      </c>
      <c r="O3026">
        <f>IF(G3026="Not available","",VLOOKUP(F3026,Sheet2!$B$1:$E$19,4,FALSE)+(G3026-1))</f>
        <v>3885756</v>
      </c>
    </row>
    <row r="3027" spans="1:15" s="1" customFormat="1" ht="15" customHeight="1" x14ac:dyDescent="0.25">
      <c r="A3027" s="18" t="s">
        <v>734</v>
      </c>
      <c r="B3027" s="18" t="s">
        <v>144</v>
      </c>
      <c r="C3027" s="5">
        <v>1852</v>
      </c>
      <c r="D3027" s="1" t="s">
        <v>44</v>
      </c>
      <c r="E3027" s="1" t="s">
        <v>2</v>
      </c>
      <c r="F3027" s="18">
        <v>2164</v>
      </c>
      <c r="G3027" s="18">
        <v>86</v>
      </c>
      <c r="H3027" s="5">
        <v>84</v>
      </c>
      <c r="I3027" s="1">
        <v>136</v>
      </c>
      <c r="J3027" s="3" t="s">
        <v>3271</v>
      </c>
      <c r="L3027" t="str">
        <f t="shared" si="47"/>
        <v>http://www.badatelna.eu/reprodukce/?fondId=1073&amp;zaznamId=1108951&amp;reproId=3778800</v>
      </c>
      <c r="M3027">
        <f>VLOOKUP(F3027,Sheet2!$B$1:$E$19,2,FALSE)</f>
        <v>1073</v>
      </c>
      <c r="N3027">
        <f>VLOOKUP(F3027,Sheet2!$B$1:$E$19,3,FALSE)</f>
        <v>1108951</v>
      </c>
      <c r="O3027">
        <f>IF(G3027="Not available","",VLOOKUP(F3027,Sheet2!$B$1:$E$19,4,FALSE)+(G3027-1))</f>
        <v>3778800</v>
      </c>
    </row>
    <row r="3028" spans="1:15" s="1" customFormat="1" ht="15" customHeight="1" x14ac:dyDescent="0.25">
      <c r="A3028" s="18" t="s">
        <v>734</v>
      </c>
      <c r="B3028" s="18" t="s">
        <v>735</v>
      </c>
      <c r="C3028" s="5">
        <v>1843</v>
      </c>
      <c r="D3028" s="1" t="s">
        <v>44</v>
      </c>
      <c r="E3028" s="1" t="s">
        <v>2</v>
      </c>
      <c r="F3028" s="18">
        <v>2174</v>
      </c>
      <c r="G3028" s="18">
        <v>142</v>
      </c>
      <c r="H3028" s="6" t="s">
        <v>3208</v>
      </c>
      <c r="I3028" s="1">
        <v>197</v>
      </c>
      <c r="J3028" s="1">
        <v>232</v>
      </c>
      <c r="L3028" t="str">
        <f t="shared" si="47"/>
        <v>http://www.badatelna.eu/reprodukce/?fondId=1073&amp;zaznamId=1108960&amp;reproId=3780366</v>
      </c>
      <c r="M3028">
        <f>VLOOKUP(F3028,Sheet2!$B$1:$E$19,2,FALSE)</f>
        <v>1073</v>
      </c>
      <c r="N3028">
        <f>VLOOKUP(F3028,Sheet2!$B$1:$E$19,3,FALSE)</f>
        <v>1108960</v>
      </c>
      <c r="O3028">
        <f>IF(G3028="Not available","",VLOOKUP(F3028,Sheet2!$B$1:$E$19,4,FALSE)+(G3028-1))</f>
        <v>3780366</v>
      </c>
    </row>
    <row r="3029" spans="1:15" s="1" customFormat="1" ht="15" customHeight="1" x14ac:dyDescent="0.25">
      <c r="A3029" s="18" t="s">
        <v>734</v>
      </c>
      <c r="B3029" s="18" t="s">
        <v>765</v>
      </c>
      <c r="C3029" s="5">
        <v>1847</v>
      </c>
      <c r="D3029" s="1" t="s">
        <v>44</v>
      </c>
      <c r="E3029" s="1" t="s">
        <v>2</v>
      </c>
      <c r="F3029" s="18">
        <v>2164</v>
      </c>
      <c r="G3029" s="18">
        <v>6</v>
      </c>
      <c r="H3029" s="5">
        <v>4</v>
      </c>
      <c r="I3029" s="1">
        <v>136</v>
      </c>
      <c r="J3029" s="3" t="s">
        <v>3271</v>
      </c>
      <c r="L3029" t="str">
        <f t="shared" si="47"/>
        <v>http://www.badatelna.eu/reprodukce/?fondId=1073&amp;zaznamId=1108951&amp;reproId=3778720</v>
      </c>
      <c r="M3029">
        <f>VLOOKUP(F3029,Sheet2!$B$1:$E$19,2,FALSE)</f>
        <v>1073</v>
      </c>
      <c r="N3029">
        <f>VLOOKUP(F3029,Sheet2!$B$1:$E$19,3,FALSE)</f>
        <v>1108951</v>
      </c>
      <c r="O3029">
        <f>IF(G3029="Not available","",VLOOKUP(F3029,Sheet2!$B$1:$E$19,4,FALSE)+(G3029-1))</f>
        <v>3778720</v>
      </c>
    </row>
    <row r="3030" spans="1:15" s="1" customFormat="1" ht="15" customHeight="1" x14ac:dyDescent="0.25">
      <c r="A3030" s="18" t="s">
        <v>734</v>
      </c>
      <c r="B3030" s="18" t="s">
        <v>842</v>
      </c>
      <c r="C3030" s="5">
        <v>1851</v>
      </c>
      <c r="D3030" s="1" t="s">
        <v>44</v>
      </c>
      <c r="E3030" s="1" t="s">
        <v>2</v>
      </c>
      <c r="F3030" s="18">
        <v>2164</v>
      </c>
      <c r="G3030" s="18">
        <v>71</v>
      </c>
      <c r="H3030" s="5">
        <v>69</v>
      </c>
      <c r="I3030" s="1">
        <v>136</v>
      </c>
      <c r="J3030" s="3" t="s">
        <v>3271</v>
      </c>
      <c r="L3030" t="str">
        <f t="shared" si="47"/>
        <v>http://www.badatelna.eu/reprodukce/?fondId=1073&amp;zaznamId=1108951&amp;reproId=3778785</v>
      </c>
      <c r="M3030">
        <f>VLOOKUP(F3030,Sheet2!$B$1:$E$19,2,FALSE)</f>
        <v>1073</v>
      </c>
      <c r="N3030">
        <f>VLOOKUP(F3030,Sheet2!$B$1:$E$19,3,FALSE)</f>
        <v>1108951</v>
      </c>
      <c r="O3030">
        <f>IF(G3030="Not available","",VLOOKUP(F3030,Sheet2!$B$1:$E$19,4,FALSE)+(G3030-1))</f>
        <v>3778785</v>
      </c>
    </row>
    <row r="3031" spans="1:15" s="1" customFormat="1" ht="15" customHeight="1" x14ac:dyDescent="0.25">
      <c r="A3031" s="19" t="s">
        <v>734</v>
      </c>
      <c r="B3031" s="18" t="s">
        <v>239</v>
      </c>
      <c r="C3031" s="5">
        <v>1865</v>
      </c>
      <c r="D3031" s="4" t="s">
        <v>50</v>
      </c>
      <c r="E3031" s="1" t="s">
        <v>939</v>
      </c>
      <c r="F3031" s="18">
        <v>999</v>
      </c>
      <c r="G3031" s="18">
        <v>54</v>
      </c>
      <c r="H3031" s="5">
        <v>52</v>
      </c>
      <c r="I3031" s="1">
        <v>74</v>
      </c>
      <c r="J3031" s="1">
        <v>108</v>
      </c>
      <c r="L3031" t="str">
        <f t="shared" si="47"/>
        <v>http://www.badatelna.eu/reprodukce/?fondId=241&amp;zaznamId=1133739&amp;reproId=3885783</v>
      </c>
      <c r="M3031">
        <f>VLOOKUP(F3031,Sheet2!$B$1:$E$19,2,FALSE)</f>
        <v>241</v>
      </c>
      <c r="N3031">
        <f>VLOOKUP(F3031,Sheet2!$B$1:$E$19,3,FALSE)</f>
        <v>1133739</v>
      </c>
      <c r="O3031">
        <f>IF(G3031="Not available","",VLOOKUP(F3031,Sheet2!$B$1:$E$19,4,FALSE)+(G3031-1))</f>
        <v>3885783</v>
      </c>
    </row>
    <row r="3032" spans="1:15" s="1" customFormat="1" ht="15" customHeight="1" x14ac:dyDescent="0.25">
      <c r="A3032" s="18" t="s">
        <v>734</v>
      </c>
      <c r="B3032" s="18" t="s">
        <v>898</v>
      </c>
      <c r="C3032" s="5">
        <v>1855</v>
      </c>
      <c r="D3032" s="1" t="s">
        <v>50</v>
      </c>
      <c r="E3032" s="1" t="s">
        <v>2</v>
      </c>
      <c r="F3032" s="18">
        <v>2164</v>
      </c>
      <c r="G3032" s="18">
        <v>103</v>
      </c>
      <c r="H3032" s="5">
        <v>101</v>
      </c>
      <c r="I3032" s="1">
        <v>136</v>
      </c>
      <c r="J3032" s="3" t="s">
        <v>3271</v>
      </c>
      <c r="L3032" t="str">
        <f t="shared" si="47"/>
        <v>http://www.badatelna.eu/reprodukce/?fondId=1073&amp;zaznamId=1108951&amp;reproId=3778817</v>
      </c>
      <c r="M3032">
        <f>VLOOKUP(F3032,Sheet2!$B$1:$E$19,2,FALSE)</f>
        <v>1073</v>
      </c>
      <c r="N3032">
        <f>VLOOKUP(F3032,Sheet2!$B$1:$E$19,3,FALSE)</f>
        <v>1108951</v>
      </c>
      <c r="O3032">
        <f>IF(G3032="Not available","",VLOOKUP(F3032,Sheet2!$B$1:$E$19,4,FALSE)+(G3032-1))</f>
        <v>3778817</v>
      </c>
    </row>
    <row r="3033" spans="1:15" s="1" customFormat="1" ht="15" customHeight="1" x14ac:dyDescent="0.25">
      <c r="A3033" s="18" t="s">
        <v>734</v>
      </c>
      <c r="B3033" s="18" t="s">
        <v>76</v>
      </c>
      <c r="C3033" s="5">
        <v>1857</v>
      </c>
      <c r="D3033" s="1" t="s">
        <v>50</v>
      </c>
      <c r="E3033" s="1" t="s">
        <v>2</v>
      </c>
      <c r="F3033" s="18">
        <v>2164</v>
      </c>
      <c r="G3033" s="18">
        <v>115</v>
      </c>
      <c r="H3033" s="5">
        <v>113</v>
      </c>
      <c r="I3033" s="1">
        <v>136</v>
      </c>
      <c r="J3033" s="3" t="s">
        <v>3271</v>
      </c>
      <c r="L3033" t="str">
        <f t="shared" si="47"/>
        <v>http://www.badatelna.eu/reprodukce/?fondId=1073&amp;zaznamId=1108951&amp;reproId=3778829</v>
      </c>
      <c r="M3033">
        <f>VLOOKUP(F3033,Sheet2!$B$1:$E$19,2,FALSE)</f>
        <v>1073</v>
      </c>
      <c r="N3033">
        <f>VLOOKUP(F3033,Sheet2!$B$1:$E$19,3,FALSE)</f>
        <v>1108951</v>
      </c>
      <c r="O3033">
        <f>IF(G3033="Not available","",VLOOKUP(F3033,Sheet2!$B$1:$E$19,4,FALSE)+(G3033-1))</f>
        <v>3778829</v>
      </c>
    </row>
    <row r="3034" spans="1:15" s="1" customFormat="1" ht="15" customHeight="1" x14ac:dyDescent="0.25">
      <c r="A3034" s="19" t="s">
        <v>3304</v>
      </c>
      <c r="B3034" s="18" t="s">
        <v>774</v>
      </c>
      <c r="C3034" s="5">
        <v>1863</v>
      </c>
      <c r="D3034" s="4" t="s">
        <v>6</v>
      </c>
      <c r="E3034" s="1" t="s">
        <v>939</v>
      </c>
      <c r="F3034" s="18">
        <v>999</v>
      </c>
      <c r="G3034" s="18">
        <v>43</v>
      </c>
      <c r="H3034" s="5">
        <v>41</v>
      </c>
      <c r="I3034" s="1">
        <v>74</v>
      </c>
      <c r="J3034" s="1">
        <v>108</v>
      </c>
      <c r="L3034" t="str">
        <f t="shared" si="47"/>
        <v>http://www.badatelna.eu/reprodukce/?fondId=241&amp;zaznamId=1133739&amp;reproId=3885772</v>
      </c>
      <c r="M3034">
        <f>VLOOKUP(F3034,Sheet2!$B$1:$E$19,2,FALSE)</f>
        <v>241</v>
      </c>
      <c r="N3034">
        <f>VLOOKUP(F3034,Sheet2!$B$1:$E$19,3,FALSE)</f>
        <v>1133739</v>
      </c>
      <c r="O3034">
        <f>IF(G3034="Not available","",VLOOKUP(F3034,Sheet2!$B$1:$E$19,4,FALSE)+(G3034-1))</f>
        <v>3885772</v>
      </c>
    </row>
    <row r="3035" spans="1:15" s="1" customFormat="1" ht="15" customHeight="1" x14ac:dyDescent="0.25">
      <c r="A3035" s="18" t="s">
        <v>376</v>
      </c>
      <c r="B3035" s="18" t="s">
        <v>50</v>
      </c>
      <c r="C3035" s="5">
        <v>1804</v>
      </c>
      <c r="E3035" s="1" t="s">
        <v>2</v>
      </c>
      <c r="F3035" s="18">
        <v>2173</v>
      </c>
      <c r="G3035" s="18">
        <v>49</v>
      </c>
      <c r="H3035" s="5">
        <v>92</v>
      </c>
      <c r="I3035" s="1">
        <v>111</v>
      </c>
      <c r="J3035" s="1">
        <v>240</v>
      </c>
      <c r="L3035" t="str">
        <f t="shared" si="47"/>
        <v>http://www.badatelna.eu/reprodukce/?fondId=1073&amp;zaznamId=1108959&amp;reproId=3780042</v>
      </c>
      <c r="M3035">
        <f>VLOOKUP(F3035,Sheet2!$B$1:$E$19,2,FALSE)</f>
        <v>1073</v>
      </c>
      <c r="N3035">
        <f>VLOOKUP(F3035,Sheet2!$B$1:$E$19,3,FALSE)</f>
        <v>1108959</v>
      </c>
      <c r="O3035">
        <f>IF(G3035="Not available","",VLOOKUP(F3035,Sheet2!$B$1:$E$19,4,FALSE)+(G3035-1))</f>
        <v>3780042</v>
      </c>
    </row>
    <row r="3036" spans="1:15" s="1" customFormat="1" ht="15" customHeight="1" x14ac:dyDescent="0.25">
      <c r="A3036" s="18" t="s">
        <v>376</v>
      </c>
      <c r="B3036" s="19" t="s">
        <v>637</v>
      </c>
      <c r="C3036" s="5">
        <v>1858</v>
      </c>
      <c r="E3036" s="1" t="s">
        <v>939</v>
      </c>
      <c r="F3036" s="18">
        <v>999</v>
      </c>
      <c r="G3036" s="18">
        <v>9</v>
      </c>
      <c r="H3036" s="5">
        <v>7</v>
      </c>
      <c r="I3036" s="1">
        <v>74</v>
      </c>
      <c r="J3036" s="1">
        <v>108</v>
      </c>
      <c r="L3036" t="str">
        <f t="shared" si="47"/>
        <v>http://www.badatelna.eu/reprodukce/?fondId=241&amp;zaznamId=1133739&amp;reproId=3885738</v>
      </c>
      <c r="M3036">
        <f>VLOOKUP(F3036,Sheet2!$B$1:$E$19,2,FALSE)</f>
        <v>241</v>
      </c>
      <c r="N3036">
        <f>VLOOKUP(F3036,Sheet2!$B$1:$E$19,3,FALSE)</f>
        <v>1133739</v>
      </c>
      <c r="O3036">
        <f>IF(G3036="Not available","",VLOOKUP(F3036,Sheet2!$B$1:$E$19,4,FALSE)+(G3036-1))</f>
        <v>3885738</v>
      </c>
    </row>
    <row r="3037" spans="1:15" s="1" customFormat="1" ht="15" customHeight="1" x14ac:dyDescent="0.25">
      <c r="A3037" s="18" t="s">
        <v>376</v>
      </c>
      <c r="B3037" s="18" t="s">
        <v>482</v>
      </c>
      <c r="C3037" s="5">
        <v>1848</v>
      </c>
      <c r="D3037" s="1" t="s">
        <v>6</v>
      </c>
      <c r="E3037" s="1" t="s">
        <v>2</v>
      </c>
      <c r="F3037" s="18">
        <v>2164</v>
      </c>
      <c r="G3037" s="18">
        <v>37</v>
      </c>
      <c r="H3037" s="5">
        <v>35</v>
      </c>
      <c r="I3037" s="1">
        <v>136</v>
      </c>
      <c r="J3037" s="3" t="s">
        <v>3271</v>
      </c>
      <c r="L3037" t="str">
        <f t="shared" si="47"/>
        <v>http://www.badatelna.eu/reprodukce/?fondId=1073&amp;zaznamId=1108951&amp;reproId=3778751</v>
      </c>
      <c r="M3037">
        <f>VLOOKUP(F3037,Sheet2!$B$1:$E$19,2,FALSE)</f>
        <v>1073</v>
      </c>
      <c r="N3037">
        <f>VLOOKUP(F3037,Sheet2!$B$1:$E$19,3,FALSE)</f>
        <v>1108951</v>
      </c>
      <c r="O3037">
        <f>IF(G3037="Not available","",VLOOKUP(F3037,Sheet2!$B$1:$E$19,4,FALSE)+(G3037-1))</f>
        <v>3778751</v>
      </c>
    </row>
    <row r="3038" spans="1:15" s="1" customFormat="1" ht="15" customHeight="1" x14ac:dyDescent="0.25">
      <c r="A3038" s="18" t="s">
        <v>376</v>
      </c>
      <c r="B3038" s="18" t="s">
        <v>658</v>
      </c>
      <c r="C3038" s="5">
        <v>1849</v>
      </c>
      <c r="D3038" s="1" t="s">
        <v>6</v>
      </c>
      <c r="E3038" s="1" t="s">
        <v>2</v>
      </c>
      <c r="F3038" s="18">
        <v>2164</v>
      </c>
      <c r="G3038" s="18">
        <v>70</v>
      </c>
      <c r="H3038" s="5">
        <v>68</v>
      </c>
      <c r="I3038" s="1">
        <v>136</v>
      </c>
      <c r="J3038" s="3" t="s">
        <v>3271</v>
      </c>
      <c r="L3038" t="str">
        <f t="shared" si="47"/>
        <v>http://www.badatelna.eu/reprodukce/?fondId=1073&amp;zaznamId=1108951&amp;reproId=3778784</v>
      </c>
      <c r="M3038">
        <f>VLOOKUP(F3038,Sheet2!$B$1:$E$19,2,FALSE)</f>
        <v>1073</v>
      </c>
      <c r="N3038">
        <f>VLOOKUP(F3038,Sheet2!$B$1:$E$19,3,FALSE)</f>
        <v>1108951</v>
      </c>
      <c r="O3038">
        <f>IF(G3038="Not available","",VLOOKUP(F3038,Sheet2!$B$1:$E$19,4,FALSE)+(G3038-1))</f>
        <v>3778784</v>
      </c>
    </row>
    <row r="3039" spans="1:15" s="1" customFormat="1" ht="15" customHeight="1" x14ac:dyDescent="0.25">
      <c r="A3039" s="18" t="s">
        <v>376</v>
      </c>
      <c r="B3039" s="18" t="s">
        <v>6</v>
      </c>
      <c r="C3039" s="5">
        <v>1810</v>
      </c>
      <c r="E3039" s="1" t="s">
        <v>2</v>
      </c>
      <c r="F3039" s="18">
        <v>2173</v>
      </c>
      <c r="G3039" s="18">
        <v>56</v>
      </c>
      <c r="H3039" s="14" t="s">
        <v>2982</v>
      </c>
      <c r="I3039" s="1">
        <v>111</v>
      </c>
      <c r="J3039" s="1">
        <v>240</v>
      </c>
      <c r="L3039" t="str">
        <f t="shared" si="47"/>
        <v>http://www.badatelna.eu/reprodukce/?fondId=1073&amp;zaznamId=1108959&amp;reproId=3780049</v>
      </c>
      <c r="M3039">
        <f>VLOOKUP(F3039,Sheet2!$B$1:$E$19,2,FALSE)</f>
        <v>1073</v>
      </c>
      <c r="N3039">
        <f>VLOOKUP(F3039,Sheet2!$B$1:$E$19,3,FALSE)</f>
        <v>1108959</v>
      </c>
      <c r="O3039">
        <f>IF(G3039="Not available","",VLOOKUP(F3039,Sheet2!$B$1:$E$19,4,FALSE)+(G3039-1))</f>
        <v>3780049</v>
      </c>
    </row>
    <row r="3040" spans="1:15" s="1" customFormat="1" ht="15" customHeight="1" x14ac:dyDescent="0.25">
      <c r="A3040" s="18" t="s">
        <v>376</v>
      </c>
      <c r="B3040" s="18" t="s">
        <v>6</v>
      </c>
      <c r="C3040" s="5">
        <v>1819</v>
      </c>
      <c r="E3040" s="1" t="s">
        <v>2</v>
      </c>
      <c r="F3040" s="18">
        <v>2173</v>
      </c>
      <c r="G3040" s="18">
        <v>69</v>
      </c>
      <c r="H3040" s="5">
        <v>131</v>
      </c>
      <c r="I3040" s="1">
        <v>111</v>
      </c>
      <c r="J3040" s="1">
        <v>240</v>
      </c>
      <c r="L3040" t="str">
        <f t="shared" si="47"/>
        <v>http://www.badatelna.eu/reprodukce/?fondId=1073&amp;zaznamId=1108959&amp;reproId=3780062</v>
      </c>
      <c r="M3040">
        <f>VLOOKUP(F3040,Sheet2!$B$1:$E$19,2,FALSE)</f>
        <v>1073</v>
      </c>
      <c r="N3040">
        <f>VLOOKUP(F3040,Sheet2!$B$1:$E$19,3,FALSE)</f>
        <v>1108959</v>
      </c>
      <c r="O3040">
        <f>IF(G3040="Not available","",VLOOKUP(F3040,Sheet2!$B$1:$E$19,4,FALSE)+(G3040-1))</f>
        <v>3780062</v>
      </c>
    </row>
    <row r="3041" spans="1:15" s="1" customFormat="1" ht="15" customHeight="1" x14ac:dyDescent="0.25">
      <c r="A3041" s="19" t="s">
        <v>376</v>
      </c>
      <c r="B3041" s="19" t="s">
        <v>59</v>
      </c>
      <c r="C3041" s="5">
        <v>1793</v>
      </c>
      <c r="D3041" s="1" t="s">
        <v>13</v>
      </c>
      <c r="E3041" s="1" t="s">
        <v>2</v>
      </c>
      <c r="F3041" s="18">
        <v>2173</v>
      </c>
      <c r="G3041" s="18">
        <v>30</v>
      </c>
      <c r="H3041" s="5">
        <v>54</v>
      </c>
      <c r="I3041" s="1">
        <v>110</v>
      </c>
      <c r="J3041" s="1">
        <v>239</v>
      </c>
      <c r="L3041" t="str">
        <f t="shared" si="47"/>
        <v>http://www.badatelna.eu/reprodukce/?fondId=1073&amp;zaznamId=1108959&amp;reproId=3780023</v>
      </c>
      <c r="M3041">
        <f>VLOOKUP(F3041,Sheet2!$B$1:$E$19,2,FALSE)</f>
        <v>1073</v>
      </c>
      <c r="N3041">
        <f>VLOOKUP(F3041,Sheet2!$B$1:$E$19,3,FALSE)</f>
        <v>1108959</v>
      </c>
      <c r="O3041">
        <f>IF(G3041="Not available","",VLOOKUP(F3041,Sheet2!$B$1:$E$19,4,FALSE)+(G3041-1))</f>
        <v>3780023</v>
      </c>
    </row>
    <row r="3042" spans="1:15" s="1" customFormat="1" ht="15" customHeight="1" x14ac:dyDescent="0.25">
      <c r="A3042" s="18" t="s">
        <v>376</v>
      </c>
      <c r="B3042" s="18" t="s">
        <v>59</v>
      </c>
      <c r="C3042" s="5">
        <v>1803</v>
      </c>
      <c r="E3042" s="1" t="s">
        <v>2</v>
      </c>
      <c r="F3042" s="18">
        <v>2173</v>
      </c>
      <c r="G3042" s="18">
        <v>47</v>
      </c>
      <c r="H3042" s="5">
        <v>89</v>
      </c>
      <c r="I3042" s="1">
        <v>111</v>
      </c>
      <c r="J3042" s="1">
        <v>240</v>
      </c>
      <c r="L3042" t="str">
        <f t="shared" si="47"/>
        <v>http://www.badatelna.eu/reprodukce/?fondId=1073&amp;zaznamId=1108959&amp;reproId=3780040</v>
      </c>
      <c r="M3042">
        <f>VLOOKUP(F3042,Sheet2!$B$1:$E$19,2,FALSE)</f>
        <v>1073</v>
      </c>
      <c r="N3042">
        <f>VLOOKUP(F3042,Sheet2!$B$1:$E$19,3,FALSE)</f>
        <v>1108959</v>
      </c>
      <c r="O3042">
        <f>IF(G3042="Not available","",VLOOKUP(F3042,Sheet2!$B$1:$E$19,4,FALSE)+(G3042-1))</f>
        <v>3780040</v>
      </c>
    </row>
    <row r="3043" spans="1:15" s="1" customFormat="1" ht="15" customHeight="1" x14ac:dyDescent="0.25">
      <c r="A3043" s="18" t="s">
        <v>376</v>
      </c>
      <c r="B3043" s="18" t="s">
        <v>87</v>
      </c>
      <c r="C3043" s="5">
        <v>1811</v>
      </c>
      <c r="E3043" s="1" t="s">
        <v>2</v>
      </c>
      <c r="F3043" s="18">
        <v>2173</v>
      </c>
      <c r="G3043" s="18">
        <v>58</v>
      </c>
      <c r="H3043" s="14" t="s">
        <v>2984</v>
      </c>
      <c r="I3043" s="1">
        <v>111</v>
      </c>
      <c r="J3043" s="1">
        <v>240</v>
      </c>
      <c r="L3043" t="str">
        <f t="shared" si="47"/>
        <v>http://www.badatelna.eu/reprodukce/?fondId=1073&amp;zaznamId=1108959&amp;reproId=3780051</v>
      </c>
      <c r="M3043">
        <f>VLOOKUP(F3043,Sheet2!$B$1:$E$19,2,FALSE)</f>
        <v>1073</v>
      </c>
      <c r="N3043">
        <f>VLOOKUP(F3043,Sheet2!$B$1:$E$19,3,FALSE)</f>
        <v>1108959</v>
      </c>
      <c r="O3043">
        <f>IF(G3043="Not available","",VLOOKUP(F3043,Sheet2!$B$1:$E$19,4,FALSE)+(G3043-1))</f>
        <v>3780051</v>
      </c>
    </row>
    <row r="3044" spans="1:15" s="1" customFormat="1" ht="15" customHeight="1" x14ac:dyDescent="0.25">
      <c r="A3044" s="18" t="s">
        <v>376</v>
      </c>
      <c r="B3044" s="18" t="s">
        <v>87</v>
      </c>
      <c r="C3044" s="5">
        <v>1826</v>
      </c>
      <c r="E3044" s="1" t="s">
        <v>2</v>
      </c>
      <c r="F3044" s="18">
        <v>2173</v>
      </c>
      <c r="G3044" s="18">
        <v>78</v>
      </c>
      <c r="H3044" s="5">
        <v>148</v>
      </c>
      <c r="I3044" s="1">
        <v>111</v>
      </c>
      <c r="J3044" s="1">
        <v>241</v>
      </c>
      <c r="L3044" t="str">
        <f t="shared" si="47"/>
        <v>http://www.badatelna.eu/reprodukce/?fondId=1073&amp;zaznamId=1108959&amp;reproId=3780071</v>
      </c>
      <c r="M3044">
        <f>VLOOKUP(F3044,Sheet2!$B$1:$E$19,2,FALSE)</f>
        <v>1073</v>
      </c>
      <c r="N3044">
        <f>VLOOKUP(F3044,Sheet2!$B$1:$E$19,3,FALSE)</f>
        <v>1108959</v>
      </c>
      <c r="O3044">
        <f>IF(G3044="Not available","",VLOOKUP(F3044,Sheet2!$B$1:$E$19,4,FALSE)+(G3044-1))</f>
        <v>3780071</v>
      </c>
    </row>
    <row r="3045" spans="1:15" s="1" customFormat="1" ht="15" customHeight="1" x14ac:dyDescent="0.25">
      <c r="A3045" s="18" t="s">
        <v>376</v>
      </c>
      <c r="B3045" s="19" t="s">
        <v>2975</v>
      </c>
      <c r="C3045" s="5">
        <v>1819</v>
      </c>
      <c r="E3045" s="1" t="s">
        <v>2</v>
      </c>
      <c r="F3045" s="18">
        <v>2173</v>
      </c>
      <c r="G3045" s="18">
        <v>65</v>
      </c>
      <c r="H3045" s="5">
        <v>125</v>
      </c>
      <c r="I3045" s="1">
        <v>111</v>
      </c>
      <c r="J3045" s="1">
        <v>240</v>
      </c>
      <c r="L3045" t="str">
        <f t="shared" si="47"/>
        <v>http://www.badatelna.eu/reprodukce/?fondId=1073&amp;zaznamId=1108959&amp;reproId=3780058</v>
      </c>
      <c r="M3045">
        <f>VLOOKUP(F3045,Sheet2!$B$1:$E$19,2,FALSE)</f>
        <v>1073</v>
      </c>
      <c r="N3045">
        <f>VLOOKUP(F3045,Sheet2!$B$1:$E$19,3,FALSE)</f>
        <v>1108959</v>
      </c>
      <c r="O3045">
        <f>IF(G3045="Not available","",VLOOKUP(F3045,Sheet2!$B$1:$E$19,4,FALSE)+(G3045-1))</f>
        <v>3780058</v>
      </c>
    </row>
    <row r="3046" spans="1:15" s="1" customFormat="1" ht="15" customHeight="1" x14ac:dyDescent="0.25">
      <c r="A3046" s="18" t="s">
        <v>376</v>
      </c>
      <c r="B3046" s="18" t="s">
        <v>75</v>
      </c>
      <c r="C3046" s="5">
        <v>1822</v>
      </c>
      <c r="E3046" s="1" t="s">
        <v>2</v>
      </c>
      <c r="F3046" s="18">
        <v>2173</v>
      </c>
      <c r="G3046" s="18">
        <v>73</v>
      </c>
      <c r="H3046" s="5">
        <v>138</v>
      </c>
      <c r="I3046" s="1">
        <v>111</v>
      </c>
      <c r="J3046" s="1">
        <v>241</v>
      </c>
      <c r="L3046" t="str">
        <f t="shared" si="47"/>
        <v>http://www.badatelna.eu/reprodukce/?fondId=1073&amp;zaznamId=1108959&amp;reproId=3780066</v>
      </c>
      <c r="M3046">
        <f>VLOOKUP(F3046,Sheet2!$B$1:$E$19,2,FALSE)</f>
        <v>1073</v>
      </c>
      <c r="N3046">
        <f>VLOOKUP(F3046,Sheet2!$B$1:$E$19,3,FALSE)</f>
        <v>1108959</v>
      </c>
      <c r="O3046">
        <f>IF(G3046="Not available","",VLOOKUP(F3046,Sheet2!$B$1:$E$19,4,FALSE)+(G3046-1))</f>
        <v>3780066</v>
      </c>
    </row>
    <row r="3047" spans="1:15" s="1" customFormat="1" ht="15" customHeight="1" x14ac:dyDescent="0.25">
      <c r="A3047" s="18" t="s">
        <v>376</v>
      </c>
      <c r="B3047" s="18" t="s">
        <v>809</v>
      </c>
      <c r="C3047" s="5">
        <v>1852</v>
      </c>
      <c r="D3047" s="1" t="s">
        <v>6</v>
      </c>
      <c r="E3047" s="1" t="s">
        <v>2</v>
      </c>
      <c r="F3047" s="18">
        <v>2164</v>
      </c>
      <c r="G3047" s="18">
        <v>87</v>
      </c>
      <c r="H3047" s="5">
        <v>85</v>
      </c>
      <c r="I3047" s="1">
        <v>136</v>
      </c>
      <c r="J3047" s="3" t="s">
        <v>3271</v>
      </c>
      <c r="L3047" t="str">
        <f t="shared" si="47"/>
        <v>http://www.badatelna.eu/reprodukce/?fondId=1073&amp;zaznamId=1108951&amp;reproId=3778801</v>
      </c>
      <c r="M3047">
        <f>VLOOKUP(F3047,Sheet2!$B$1:$E$19,2,FALSE)</f>
        <v>1073</v>
      </c>
      <c r="N3047">
        <f>VLOOKUP(F3047,Sheet2!$B$1:$E$19,3,FALSE)</f>
        <v>1108951</v>
      </c>
      <c r="O3047">
        <f>IF(G3047="Not available","",VLOOKUP(F3047,Sheet2!$B$1:$E$19,4,FALSE)+(G3047-1))</f>
        <v>3778801</v>
      </c>
    </row>
    <row r="3048" spans="1:15" s="1" customFormat="1" ht="15" customHeight="1" x14ac:dyDescent="0.25">
      <c r="A3048" s="18" t="s">
        <v>376</v>
      </c>
      <c r="B3048" s="18" t="s">
        <v>361</v>
      </c>
      <c r="C3048" s="5">
        <v>1860</v>
      </c>
      <c r="E3048" s="1" t="s">
        <v>939</v>
      </c>
      <c r="F3048" s="18">
        <v>999</v>
      </c>
      <c r="G3048" s="18">
        <v>22</v>
      </c>
      <c r="H3048" s="5">
        <v>20</v>
      </c>
      <c r="I3048" s="1">
        <v>74</v>
      </c>
      <c r="J3048" s="1">
        <v>108</v>
      </c>
      <c r="L3048" t="str">
        <f t="shared" si="47"/>
        <v>http://www.badatelna.eu/reprodukce/?fondId=241&amp;zaznamId=1133739&amp;reproId=3885751</v>
      </c>
      <c r="M3048">
        <f>VLOOKUP(F3048,Sheet2!$B$1:$E$19,2,FALSE)</f>
        <v>241</v>
      </c>
      <c r="N3048">
        <f>VLOOKUP(F3048,Sheet2!$B$1:$E$19,3,FALSE)</f>
        <v>1133739</v>
      </c>
      <c r="O3048">
        <f>IF(G3048="Not available","",VLOOKUP(F3048,Sheet2!$B$1:$E$19,4,FALSE)+(G3048-1))</f>
        <v>3885751</v>
      </c>
    </row>
    <row r="3049" spans="1:15" s="1" customFormat="1" ht="15" customHeight="1" x14ac:dyDescent="0.25">
      <c r="A3049" s="19" t="s">
        <v>376</v>
      </c>
      <c r="B3049" s="18" t="s">
        <v>137</v>
      </c>
      <c r="C3049" s="5">
        <v>1818</v>
      </c>
      <c r="E3049" s="1" t="s">
        <v>2</v>
      </c>
      <c r="F3049" s="18">
        <v>2173</v>
      </c>
      <c r="G3049" s="18">
        <v>68</v>
      </c>
      <c r="H3049" s="5">
        <v>127</v>
      </c>
      <c r="I3049" s="1">
        <v>111</v>
      </c>
      <c r="J3049" s="1">
        <v>241</v>
      </c>
      <c r="L3049" t="str">
        <f t="shared" si="47"/>
        <v>http://www.badatelna.eu/reprodukce/?fondId=1073&amp;zaznamId=1108959&amp;reproId=3780061</v>
      </c>
      <c r="M3049">
        <f>VLOOKUP(F3049,Sheet2!$B$1:$E$19,2,FALSE)</f>
        <v>1073</v>
      </c>
      <c r="N3049">
        <f>VLOOKUP(F3049,Sheet2!$B$1:$E$19,3,FALSE)</f>
        <v>1108959</v>
      </c>
      <c r="O3049">
        <f>IF(G3049="Not available","",VLOOKUP(F3049,Sheet2!$B$1:$E$19,4,FALSE)+(G3049-1))</f>
        <v>3780061</v>
      </c>
    </row>
    <row r="3050" spans="1:15" s="1" customFormat="1" ht="15" customHeight="1" x14ac:dyDescent="0.25">
      <c r="A3050" s="18" t="s">
        <v>376</v>
      </c>
      <c r="B3050" s="18" t="s">
        <v>7</v>
      </c>
      <c r="C3050" s="5">
        <v>1818</v>
      </c>
      <c r="D3050" s="1" t="s">
        <v>13</v>
      </c>
      <c r="E3050" s="1" t="s">
        <v>2</v>
      </c>
      <c r="F3050" s="18">
        <v>2173</v>
      </c>
      <c r="G3050" s="18">
        <v>68</v>
      </c>
      <c r="H3050" s="5">
        <v>128</v>
      </c>
      <c r="I3050" s="1">
        <v>111</v>
      </c>
      <c r="J3050" s="1">
        <v>241</v>
      </c>
      <c r="L3050" t="str">
        <f t="shared" si="47"/>
        <v>http://www.badatelna.eu/reprodukce/?fondId=1073&amp;zaznamId=1108959&amp;reproId=3780061</v>
      </c>
      <c r="M3050">
        <f>VLOOKUP(F3050,Sheet2!$B$1:$E$19,2,FALSE)</f>
        <v>1073</v>
      </c>
      <c r="N3050">
        <f>VLOOKUP(F3050,Sheet2!$B$1:$E$19,3,FALSE)</f>
        <v>1108959</v>
      </c>
      <c r="O3050">
        <f>IF(G3050="Not available","",VLOOKUP(F3050,Sheet2!$B$1:$E$19,4,FALSE)+(G3050-1))</f>
        <v>3780061</v>
      </c>
    </row>
    <row r="3051" spans="1:15" s="1" customFormat="1" ht="15" customHeight="1" x14ac:dyDescent="0.25">
      <c r="A3051" s="18" t="s">
        <v>376</v>
      </c>
      <c r="B3051" s="18" t="s">
        <v>7</v>
      </c>
      <c r="C3051" s="5">
        <v>1821</v>
      </c>
      <c r="E3051" s="1" t="s">
        <v>2</v>
      </c>
      <c r="F3051" s="18">
        <v>2173</v>
      </c>
      <c r="G3051" s="18">
        <v>71</v>
      </c>
      <c r="H3051" s="5">
        <v>135</v>
      </c>
      <c r="I3051" s="1">
        <v>111</v>
      </c>
      <c r="J3051" s="1">
        <v>241</v>
      </c>
      <c r="L3051" t="str">
        <f t="shared" si="47"/>
        <v>http://www.badatelna.eu/reprodukce/?fondId=1073&amp;zaznamId=1108959&amp;reproId=3780064</v>
      </c>
      <c r="M3051">
        <f>VLOOKUP(F3051,Sheet2!$B$1:$E$19,2,FALSE)</f>
        <v>1073</v>
      </c>
      <c r="N3051">
        <f>VLOOKUP(F3051,Sheet2!$B$1:$E$19,3,FALSE)</f>
        <v>1108959</v>
      </c>
      <c r="O3051">
        <f>IF(G3051="Not available","",VLOOKUP(F3051,Sheet2!$B$1:$E$19,4,FALSE)+(G3051-1))</f>
        <v>3780064</v>
      </c>
    </row>
    <row r="3052" spans="1:15" s="1" customFormat="1" ht="15" customHeight="1" x14ac:dyDescent="0.25">
      <c r="A3052" s="18" t="s">
        <v>376</v>
      </c>
      <c r="B3052" s="18" t="s">
        <v>593</v>
      </c>
      <c r="C3052" s="5">
        <v>1856</v>
      </c>
      <c r="D3052" s="1" t="s">
        <v>6</v>
      </c>
      <c r="E3052" s="1" t="s">
        <v>2</v>
      </c>
      <c r="F3052" s="18">
        <v>2164</v>
      </c>
      <c r="G3052" s="18">
        <v>109</v>
      </c>
      <c r="H3052" s="5">
        <v>107</v>
      </c>
      <c r="I3052" s="1">
        <v>136</v>
      </c>
      <c r="J3052" s="3" t="s">
        <v>3271</v>
      </c>
      <c r="L3052" t="str">
        <f t="shared" si="47"/>
        <v>http://www.badatelna.eu/reprodukce/?fondId=1073&amp;zaznamId=1108951&amp;reproId=3778823</v>
      </c>
      <c r="M3052">
        <f>VLOOKUP(F3052,Sheet2!$B$1:$E$19,2,FALSE)</f>
        <v>1073</v>
      </c>
      <c r="N3052">
        <f>VLOOKUP(F3052,Sheet2!$B$1:$E$19,3,FALSE)</f>
        <v>1108951</v>
      </c>
      <c r="O3052">
        <f>IF(G3052="Not available","",VLOOKUP(F3052,Sheet2!$B$1:$E$19,4,FALSE)+(G3052-1))</f>
        <v>3778823</v>
      </c>
    </row>
    <row r="3053" spans="1:15" s="1" customFormat="1" ht="15" customHeight="1" x14ac:dyDescent="0.25">
      <c r="A3053" s="19" t="s">
        <v>376</v>
      </c>
      <c r="B3053" s="19" t="s">
        <v>177</v>
      </c>
      <c r="C3053" s="5">
        <v>1799</v>
      </c>
      <c r="D3053" s="4" t="s">
        <v>34</v>
      </c>
      <c r="E3053" s="1" t="s">
        <v>2</v>
      </c>
      <c r="F3053" s="18">
        <v>2173</v>
      </c>
      <c r="G3053" s="18">
        <v>40</v>
      </c>
      <c r="H3053" s="5">
        <v>75</v>
      </c>
      <c r="I3053" s="1">
        <v>110</v>
      </c>
      <c r="J3053" s="1">
        <v>239</v>
      </c>
      <c r="L3053" t="str">
        <f t="shared" si="47"/>
        <v>http://www.badatelna.eu/reprodukce/?fondId=1073&amp;zaznamId=1108959&amp;reproId=3780033</v>
      </c>
      <c r="M3053">
        <f>VLOOKUP(F3053,Sheet2!$B$1:$E$19,2,FALSE)</f>
        <v>1073</v>
      </c>
      <c r="N3053">
        <f>VLOOKUP(F3053,Sheet2!$B$1:$E$19,3,FALSE)</f>
        <v>1108959</v>
      </c>
      <c r="O3053">
        <f>IF(G3053="Not available","",VLOOKUP(F3053,Sheet2!$B$1:$E$19,4,FALSE)+(G3053-1))</f>
        <v>3780033</v>
      </c>
    </row>
    <row r="3054" spans="1:15" s="1" customFormat="1" ht="15" customHeight="1" x14ac:dyDescent="0.25">
      <c r="A3054" s="18" t="s">
        <v>376</v>
      </c>
      <c r="B3054" s="18" t="s">
        <v>23</v>
      </c>
      <c r="C3054" s="5">
        <v>1796</v>
      </c>
      <c r="D3054" s="1" t="s">
        <v>13</v>
      </c>
      <c r="E3054" s="1" t="s">
        <v>2</v>
      </c>
      <c r="F3054" s="18">
        <v>2173</v>
      </c>
      <c r="G3054" s="18">
        <v>6</v>
      </c>
      <c r="H3054" s="5">
        <v>6</v>
      </c>
      <c r="I3054" s="1">
        <v>110</v>
      </c>
      <c r="J3054" s="1">
        <v>239</v>
      </c>
      <c r="L3054" t="str">
        <f t="shared" si="47"/>
        <v>http://www.badatelna.eu/reprodukce/?fondId=1073&amp;zaznamId=1108959&amp;reproId=3779999</v>
      </c>
      <c r="M3054">
        <f>VLOOKUP(F3054,Sheet2!$B$1:$E$19,2,FALSE)</f>
        <v>1073</v>
      </c>
      <c r="N3054">
        <f>VLOOKUP(F3054,Sheet2!$B$1:$E$19,3,FALSE)</f>
        <v>1108959</v>
      </c>
      <c r="O3054">
        <f>IF(G3054="Not available","",VLOOKUP(F3054,Sheet2!$B$1:$E$19,4,FALSE)+(G3054-1))</f>
        <v>3779999</v>
      </c>
    </row>
    <row r="3055" spans="1:15" s="1" customFormat="1" ht="15" customHeight="1" x14ac:dyDescent="0.25">
      <c r="A3055" s="18" t="s">
        <v>376</v>
      </c>
      <c r="B3055" s="18" t="s">
        <v>76</v>
      </c>
      <c r="C3055" s="5">
        <v>1852</v>
      </c>
      <c r="D3055" s="1" t="s">
        <v>6</v>
      </c>
      <c r="E3055" s="1" t="s">
        <v>2</v>
      </c>
      <c r="F3055" s="18">
        <v>2164</v>
      </c>
      <c r="G3055" s="18">
        <v>79</v>
      </c>
      <c r="H3055" s="5">
        <v>77</v>
      </c>
      <c r="I3055" s="1">
        <v>136</v>
      </c>
      <c r="J3055" s="3" t="s">
        <v>3271</v>
      </c>
      <c r="L3055" t="str">
        <f t="shared" si="47"/>
        <v>http://www.badatelna.eu/reprodukce/?fondId=1073&amp;zaznamId=1108951&amp;reproId=3778793</v>
      </c>
      <c r="M3055">
        <f>VLOOKUP(F3055,Sheet2!$B$1:$E$19,2,FALSE)</f>
        <v>1073</v>
      </c>
      <c r="N3055">
        <f>VLOOKUP(F3055,Sheet2!$B$1:$E$19,3,FALSE)</f>
        <v>1108951</v>
      </c>
      <c r="O3055">
        <f>IF(G3055="Not available","",VLOOKUP(F3055,Sheet2!$B$1:$E$19,4,FALSE)+(G3055-1))</f>
        <v>3778793</v>
      </c>
    </row>
    <row r="3056" spans="1:15" s="1" customFormat="1" ht="15" customHeight="1" x14ac:dyDescent="0.25">
      <c r="A3056" s="18" t="s">
        <v>1179</v>
      </c>
      <c r="B3056" s="18" t="s">
        <v>1033</v>
      </c>
      <c r="C3056" s="10" t="s">
        <v>2043</v>
      </c>
      <c r="D3056" s="3" t="s">
        <v>2593</v>
      </c>
      <c r="E3056" s="4" t="s">
        <v>2</v>
      </c>
      <c r="F3056" s="18">
        <v>2176</v>
      </c>
      <c r="G3056" s="18" t="s">
        <v>3271</v>
      </c>
      <c r="H3056" s="10" t="s">
        <v>2142</v>
      </c>
      <c r="I3056" s="3">
        <v>34</v>
      </c>
      <c r="J3056" s="3" t="s">
        <v>3271</v>
      </c>
      <c r="K3056" s="3"/>
      <c r="L3056" t="str">
        <f t="shared" si="47"/>
        <v/>
      </c>
      <c r="M3056">
        <f>VLOOKUP(F3056,Sheet2!$B$1:$E$19,2,FALSE)</f>
        <v>1073</v>
      </c>
      <c r="N3056">
        <f>VLOOKUP(F3056,Sheet2!$B$1:$E$19,3,FALSE)</f>
        <v>1108963</v>
      </c>
      <c r="O3056" t="str">
        <f>IF(G3056="Not available","",VLOOKUP(F3056,Sheet2!$B$1:$E$19,4,FALSE)+(G3056-1))</f>
        <v/>
      </c>
    </row>
    <row r="3057" spans="1:15" s="1" customFormat="1" ht="15" customHeight="1" x14ac:dyDescent="0.25">
      <c r="A3057" s="18" t="s">
        <v>1179</v>
      </c>
      <c r="B3057" s="18" t="s">
        <v>1033</v>
      </c>
      <c r="C3057" s="5">
        <v>1886</v>
      </c>
      <c r="D3057" s="1" t="s">
        <v>432</v>
      </c>
      <c r="E3057" s="1" t="s">
        <v>2</v>
      </c>
      <c r="F3057" s="18">
        <v>2165</v>
      </c>
      <c r="G3057" s="18">
        <v>207</v>
      </c>
      <c r="H3057" s="5">
        <v>1</v>
      </c>
      <c r="I3057" s="1">
        <v>210</v>
      </c>
      <c r="J3057" s="1">
        <v>186</v>
      </c>
      <c r="L3057" t="str">
        <f t="shared" si="47"/>
        <v>http://www.badatelna.eu/reprodukce/?fondId=1073&amp;zaznamId=1108952&amp;reproId=3779068</v>
      </c>
      <c r="M3057">
        <f>VLOOKUP(F3057,Sheet2!$B$1:$E$19,2,FALSE)</f>
        <v>1073</v>
      </c>
      <c r="N3057">
        <f>VLOOKUP(F3057,Sheet2!$B$1:$E$19,3,FALSE)</f>
        <v>1108952</v>
      </c>
      <c r="O3057">
        <f>IF(G3057="Not available","",VLOOKUP(F3057,Sheet2!$B$1:$E$19,4,FALSE)+(G3057-1))</f>
        <v>3779068</v>
      </c>
    </row>
    <row r="3058" spans="1:15" s="1" customFormat="1" ht="15" customHeight="1" x14ac:dyDescent="0.25">
      <c r="A3058" s="18" t="s">
        <v>1179</v>
      </c>
      <c r="B3058" s="18" t="s">
        <v>1155</v>
      </c>
      <c r="C3058" s="10" t="s">
        <v>2074</v>
      </c>
      <c r="D3058" s="3" t="s">
        <v>2593</v>
      </c>
      <c r="E3058" s="4" t="s">
        <v>2</v>
      </c>
      <c r="F3058" s="18">
        <v>2176</v>
      </c>
      <c r="G3058" s="18" t="s">
        <v>3271</v>
      </c>
      <c r="H3058" s="10" t="s">
        <v>1976</v>
      </c>
      <c r="I3058" s="3">
        <v>34</v>
      </c>
      <c r="J3058" s="3" t="s">
        <v>3271</v>
      </c>
      <c r="K3058" s="3"/>
      <c r="L3058" t="str">
        <f t="shared" si="47"/>
        <v/>
      </c>
      <c r="M3058">
        <f>VLOOKUP(F3058,Sheet2!$B$1:$E$19,2,FALSE)</f>
        <v>1073</v>
      </c>
      <c r="N3058">
        <f>VLOOKUP(F3058,Sheet2!$B$1:$E$19,3,FALSE)</f>
        <v>1108963</v>
      </c>
      <c r="O3058" t="str">
        <f>IF(G3058="Not available","",VLOOKUP(F3058,Sheet2!$B$1:$E$19,4,FALSE)+(G3058-1))</f>
        <v/>
      </c>
    </row>
    <row r="3059" spans="1:15" s="1" customFormat="1" ht="15" customHeight="1" x14ac:dyDescent="0.25">
      <c r="A3059" s="18" t="s">
        <v>1179</v>
      </c>
      <c r="B3059" s="18" t="s">
        <v>1155</v>
      </c>
      <c r="C3059" s="5" t="s">
        <v>1783</v>
      </c>
      <c r="D3059" s="1" t="s">
        <v>432</v>
      </c>
      <c r="E3059" s="1" t="s">
        <v>2</v>
      </c>
      <c r="F3059" s="18">
        <v>2165</v>
      </c>
      <c r="G3059" s="18">
        <v>235</v>
      </c>
      <c r="H3059" s="5">
        <v>2</v>
      </c>
      <c r="I3059" s="1">
        <v>238</v>
      </c>
      <c r="J3059" s="1">
        <v>214</v>
      </c>
      <c r="L3059" t="str">
        <f t="shared" si="47"/>
        <v>http://www.badatelna.eu/reprodukce/?fondId=1073&amp;zaznamId=1108952&amp;reproId=3779096</v>
      </c>
      <c r="M3059">
        <f>VLOOKUP(F3059,Sheet2!$B$1:$E$19,2,FALSE)</f>
        <v>1073</v>
      </c>
      <c r="N3059">
        <f>VLOOKUP(F3059,Sheet2!$B$1:$E$19,3,FALSE)</f>
        <v>1108952</v>
      </c>
      <c r="O3059">
        <f>IF(G3059="Not available","",VLOOKUP(F3059,Sheet2!$B$1:$E$19,4,FALSE)+(G3059-1))</f>
        <v>3779096</v>
      </c>
    </row>
    <row r="3060" spans="1:15" s="1" customFormat="1" ht="15" customHeight="1" x14ac:dyDescent="0.25">
      <c r="A3060" s="19" t="s">
        <v>1179</v>
      </c>
      <c r="B3060" s="19" t="s">
        <v>996</v>
      </c>
      <c r="C3060" s="5">
        <v>1864</v>
      </c>
      <c r="E3060" s="1" t="s">
        <v>939</v>
      </c>
      <c r="F3060" s="18">
        <v>999</v>
      </c>
      <c r="G3060" s="18">
        <v>48</v>
      </c>
      <c r="H3060" s="5">
        <v>46</v>
      </c>
      <c r="I3060" s="1">
        <v>74</v>
      </c>
      <c r="J3060" s="1">
        <v>108</v>
      </c>
      <c r="L3060" t="str">
        <f t="shared" si="47"/>
        <v>http://www.badatelna.eu/reprodukce/?fondId=241&amp;zaznamId=1133739&amp;reproId=3885777</v>
      </c>
      <c r="M3060">
        <f>VLOOKUP(F3060,Sheet2!$B$1:$E$19,2,FALSE)</f>
        <v>241</v>
      </c>
      <c r="N3060">
        <f>VLOOKUP(F3060,Sheet2!$B$1:$E$19,3,FALSE)</f>
        <v>1133739</v>
      </c>
      <c r="O3060">
        <f>IF(G3060="Not available","",VLOOKUP(F3060,Sheet2!$B$1:$E$19,4,FALSE)+(G3060-1))</f>
        <v>3885777</v>
      </c>
    </row>
    <row r="3061" spans="1:15" s="1" customFormat="1" ht="15" customHeight="1" x14ac:dyDescent="0.25">
      <c r="A3061" s="18" t="s">
        <v>2613</v>
      </c>
      <c r="B3061" s="18" t="s">
        <v>1078</v>
      </c>
      <c r="C3061" s="10" t="s">
        <v>2244</v>
      </c>
      <c r="D3061" s="3" t="s">
        <v>2614</v>
      </c>
      <c r="E3061" s="4" t="s">
        <v>2</v>
      </c>
      <c r="F3061" s="18">
        <v>2176</v>
      </c>
      <c r="G3061" s="18" t="s">
        <v>3271</v>
      </c>
      <c r="H3061" s="10" t="s">
        <v>2075</v>
      </c>
      <c r="I3061" s="3">
        <v>35</v>
      </c>
      <c r="J3061" s="3" t="s">
        <v>3271</v>
      </c>
      <c r="K3061" s="3"/>
      <c r="L3061" t="str">
        <f t="shared" si="47"/>
        <v/>
      </c>
      <c r="M3061">
        <f>VLOOKUP(F3061,Sheet2!$B$1:$E$19,2,FALSE)</f>
        <v>1073</v>
      </c>
      <c r="N3061">
        <f>VLOOKUP(F3061,Sheet2!$B$1:$E$19,3,FALSE)</f>
        <v>1108963</v>
      </c>
      <c r="O3061" t="str">
        <f>IF(G3061="Not available","",VLOOKUP(F3061,Sheet2!$B$1:$E$19,4,FALSE)+(G3061-1))</f>
        <v/>
      </c>
    </row>
    <row r="3062" spans="1:15" s="1" customFormat="1" ht="15" customHeight="1" x14ac:dyDescent="0.25">
      <c r="A3062" s="18" t="s">
        <v>2613</v>
      </c>
      <c r="B3062" s="18" t="s">
        <v>593</v>
      </c>
      <c r="C3062" s="10" t="s">
        <v>2100</v>
      </c>
      <c r="D3062" s="3" t="s">
        <v>2614</v>
      </c>
      <c r="E3062" s="4" t="s">
        <v>2</v>
      </c>
      <c r="F3062" s="18">
        <v>2176</v>
      </c>
      <c r="G3062" s="18" t="s">
        <v>3271</v>
      </c>
      <c r="H3062" s="10" t="s">
        <v>2075</v>
      </c>
      <c r="I3062" s="3">
        <v>35</v>
      </c>
      <c r="J3062" s="3" t="s">
        <v>3271</v>
      </c>
      <c r="K3062" s="3"/>
      <c r="L3062" t="str">
        <f t="shared" si="47"/>
        <v/>
      </c>
      <c r="M3062">
        <f>VLOOKUP(F3062,Sheet2!$B$1:$E$19,2,FALSE)</f>
        <v>1073</v>
      </c>
      <c r="N3062">
        <f>VLOOKUP(F3062,Sheet2!$B$1:$E$19,3,FALSE)</f>
        <v>1108963</v>
      </c>
      <c r="O3062" t="str">
        <f>IF(G3062="Not available","",VLOOKUP(F3062,Sheet2!$B$1:$E$19,4,FALSE)+(G3062-1))</f>
        <v/>
      </c>
    </row>
    <row r="3063" spans="1:15" s="1" customFormat="1" ht="15" customHeight="1" x14ac:dyDescent="0.25">
      <c r="A3063" s="18" t="s">
        <v>2617</v>
      </c>
      <c r="B3063" s="18" t="s">
        <v>602</v>
      </c>
      <c r="C3063" s="10" t="s">
        <v>2102</v>
      </c>
      <c r="D3063" s="3" t="s">
        <v>2614</v>
      </c>
      <c r="E3063" s="4" t="s">
        <v>2</v>
      </c>
      <c r="F3063" s="18">
        <v>2176</v>
      </c>
      <c r="G3063" s="18" t="s">
        <v>3271</v>
      </c>
      <c r="H3063" s="10" t="s">
        <v>2142</v>
      </c>
      <c r="I3063" s="3">
        <v>35</v>
      </c>
      <c r="J3063" s="3" t="s">
        <v>3271</v>
      </c>
      <c r="K3063" s="3"/>
      <c r="L3063" t="str">
        <f t="shared" si="47"/>
        <v/>
      </c>
      <c r="M3063">
        <f>VLOOKUP(F3063,Sheet2!$B$1:$E$19,2,FALSE)</f>
        <v>1073</v>
      </c>
      <c r="N3063">
        <f>VLOOKUP(F3063,Sheet2!$B$1:$E$19,3,FALSE)</f>
        <v>1108963</v>
      </c>
      <c r="O3063" t="str">
        <f>IF(G3063="Not available","",VLOOKUP(F3063,Sheet2!$B$1:$E$19,4,FALSE)+(G3063-1))</f>
        <v/>
      </c>
    </row>
    <row r="3064" spans="1:15" s="1" customFormat="1" ht="15" customHeight="1" x14ac:dyDescent="0.25">
      <c r="A3064" s="18" t="s">
        <v>1276</v>
      </c>
      <c r="B3064" s="18" t="s">
        <v>593</v>
      </c>
      <c r="C3064" s="6" t="s">
        <v>2100</v>
      </c>
      <c r="D3064" s="4" t="s">
        <v>432</v>
      </c>
      <c r="E3064" s="1" t="s">
        <v>2</v>
      </c>
      <c r="F3064" s="18">
        <v>2165</v>
      </c>
      <c r="G3064" s="18">
        <v>308</v>
      </c>
      <c r="H3064" s="5">
        <v>1</v>
      </c>
      <c r="I3064" s="1">
        <v>311</v>
      </c>
      <c r="J3064" s="1">
        <v>284</v>
      </c>
      <c r="L3064" t="str">
        <f t="shared" si="47"/>
        <v>http://www.badatelna.eu/reprodukce/?fondId=1073&amp;zaznamId=1108952&amp;reproId=3779169</v>
      </c>
      <c r="M3064">
        <f>VLOOKUP(F3064,Sheet2!$B$1:$E$19,2,FALSE)</f>
        <v>1073</v>
      </c>
      <c r="N3064">
        <f>VLOOKUP(F3064,Sheet2!$B$1:$E$19,3,FALSE)</f>
        <v>1108952</v>
      </c>
      <c r="O3064">
        <f>IF(G3064="Not available","",VLOOKUP(F3064,Sheet2!$B$1:$E$19,4,FALSE)+(G3064-1))</f>
        <v>3779169</v>
      </c>
    </row>
    <row r="3065" spans="1:15" s="1" customFormat="1" ht="15" customHeight="1" x14ac:dyDescent="0.25">
      <c r="A3065" s="18" t="s">
        <v>1268</v>
      </c>
      <c r="B3065" s="18" t="s">
        <v>1078</v>
      </c>
      <c r="C3065" s="14" t="s">
        <v>2244</v>
      </c>
      <c r="D3065" s="4" t="s">
        <v>432</v>
      </c>
      <c r="E3065" s="1" t="s">
        <v>2</v>
      </c>
      <c r="F3065" s="18">
        <v>2165</v>
      </c>
      <c r="G3065" s="18">
        <v>297</v>
      </c>
      <c r="H3065" s="5">
        <v>1</v>
      </c>
      <c r="I3065" s="1">
        <v>300</v>
      </c>
      <c r="J3065" s="1">
        <v>273</v>
      </c>
      <c r="L3065" t="str">
        <f t="shared" si="47"/>
        <v>http://www.badatelna.eu/reprodukce/?fondId=1073&amp;zaznamId=1108952&amp;reproId=3779158</v>
      </c>
      <c r="M3065">
        <f>VLOOKUP(F3065,Sheet2!$B$1:$E$19,2,FALSE)</f>
        <v>1073</v>
      </c>
      <c r="N3065">
        <f>VLOOKUP(F3065,Sheet2!$B$1:$E$19,3,FALSE)</f>
        <v>1108952</v>
      </c>
      <c r="O3065">
        <f>IF(G3065="Not available","",VLOOKUP(F3065,Sheet2!$B$1:$E$19,4,FALSE)+(G3065-1))</f>
        <v>3779158</v>
      </c>
    </row>
    <row r="3066" spans="1:15" s="1" customFormat="1" ht="15" customHeight="1" x14ac:dyDescent="0.25">
      <c r="A3066" s="18" t="s">
        <v>727</v>
      </c>
      <c r="B3066" s="18" t="s">
        <v>432</v>
      </c>
      <c r="C3066" s="5">
        <v>1836</v>
      </c>
      <c r="D3066" s="1" t="s">
        <v>728</v>
      </c>
      <c r="E3066" s="1" t="s">
        <v>2</v>
      </c>
      <c r="F3066" s="18">
        <v>2174</v>
      </c>
      <c r="G3066" s="18">
        <v>88</v>
      </c>
      <c r="H3066" s="6" t="s">
        <v>3155</v>
      </c>
      <c r="I3066" s="1">
        <v>196</v>
      </c>
      <c r="J3066" s="1">
        <v>231</v>
      </c>
      <c r="L3066" t="str">
        <f t="shared" si="47"/>
        <v>http://www.badatelna.eu/reprodukce/?fondId=1073&amp;zaznamId=1108960&amp;reproId=3780312</v>
      </c>
      <c r="M3066">
        <f>VLOOKUP(F3066,Sheet2!$B$1:$E$19,2,FALSE)</f>
        <v>1073</v>
      </c>
      <c r="N3066">
        <f>VLOOKUP(F3066,Sheet2!$B$1:$E$19,3,FALSE)</f>
        <v>1108960</v>
      </c>
      <c r="O3066">
        <f>IF(G3066="Not available","",VLOOKUP(F3066,Sheet2!$B$1:$E$19,4,FALSE)+(G3066-1))</f>
        <v>3780312</v>
      </c>
    </row>
    <row r="3067" spans="1:15" s="1" customFormat="1" ht="15" customHeight="1" x14ac:dyDescent="0.25">
      <c r="A3067" s="18" t="s">
        <v>1133</v>
      </c>
      <c r="B3067" s="18" t="s">
        <v>963</v>
      </c>
      <c r="C3067" s="10" t="s">
        <v>2025</v>
      </c>
      <c r="D3067" s="12" t="s">
        <v>3247</v>
      </c>
      <c r="E3067" s="4" t="s">
        <v>2</v>
      </c>
      <c r="F3067" s="18">
        <v>2176</v>
      </c>
      <c r="G3067" s="18" t="s">
        <v>3271</v>
      </c>
      <c r="H3067" s="10" t="s">
        <v>2065</v>
      </c>
      <c r="I3067" s="3">
        <v>33</v>
      </c>
      <c r="J3067" s="3" t="s">
        <v>3271</v>
      </c>
      <c r="K3067" s="3"/>
      <c r="L3067" t="str">
        <f t="shared" si="47"/>
        <v/>
      </c>
      <c r="M3067">
        <f>VLOOKUP(F3067,Sheet2!$B$1:$E$19,2,FALSE)</f>
        <v>1073</v>
      </c>
      <c r="N3067">
        <f>VLOOKUP(F3067,Sheet2!$B$1:$E$19,3,FALSE)</f>
        <v>1108963</v>
      </c>
      <c r="O3067" t="str">
        <f>IF(G3067="Not available","",VLOOKUP(F3067,Sheet2!$B$1:$E$19,4,FALSE)+(G3067-1))</f>
        <v/>
      </c>
    </row>
    <row r="3068" spans="1:15" s="1" customFormat="1" ht="15" customHeight="1" x14ac:dyDescent="0.25">
      <c r="A3068" s="18" t="s">
        <v>1133</v>
      </c>
      <c r="B3068" s="18" t="s">
        <v>2204</v>
      </c>
      <c r="C3068" s="10" t="s">
        <v>2043</v>
      </c>
      <c r="D3068" s="3" t="s">
        <v>2830</v>
      </c>
      <c r="E3068" s="4" t="s">
        <v>2</v>
      </c>
      <c r="F3068" s="18">
        <v>2176</v>
      </c>
      <c r="G3068" s="18" t="s">
        <v>3271</v>
      </c>
      <c r="H3068" s="10" t="s">
        <v>2073</v>
      </c>
      <c r="I3068" s="3">
        <v>34</v>
      </c>
      <c r="J3068" s="3" t="s">
        <v>3271</v>
      </c>
      <c r="K3068" s="3"/>
      <c r="L3068" t="str">
        <f t="shared" si="47"/>
        <v/>
      </c>
      <c r="M3068">
        <f>VLOOKUP(F3068,Sheet2!$B$1:$E$19,2,FALSE)</f>
        <v>1073</v>
      </c>
      <c r="N3068">
        <f>VLOOKUP(F3068,Sheet2!$B$1:$E$19,3,FALSE)</f>
        <v>1108963</v>
      </c>
      <c r="O3068" t="str">
        <f>IF(G3068="Not available","",VLOOKUP(F3068,Sheet2!$B$1:$E$19,4,FALSE)+(G3068-1))</f>
        <v/>
      </c>
    </row>
    <row r="3069" spans="1:15" s="1" customFormat="1" ht="15" customHeight="1" x14ac:dyDescent="0.25">
      <c r="A3069" s="18" t="s">
        <v>1133</v>
      </c>
      <c r="B3069" s="18" t="s">
        <v>593</v>
      </c>
      <c r="C3069" s="10" t="s">
        <v>2041</v>
      </c>
      <c r="D3069" s="3" t="s">
        <v>2582</v>
      </c>
      <c r="E3069" s="4" t="s">
        <v>2</v>
      </c>
      <c r="F3069" s="18">
        <v>2176</v>
      </c>
      <c r="G3069" s="18" t="s">
        <v>3271</v>
      </c>
      <c r="H3069" s="10" t="s">
        <v>2054</v>
      </c>
      <c r="I3069" s="3">
        <v>34</v>
      </c>
      <c r="J3069" s="3" t="s">
        <v>3271</v>
      </c>
      <c r="K3069" s="3"/>
      <c r="L3069" t="str">
        <f t="shared" si="47"/>
        <v/>
      </c>
      <c r="M3069">
        <f>VLOOKUP(F3069,Sheet2!$B$1:$E$19,2,FALSE)</f>
        <v>1073</v>
      </c>
      <c r="N3069">
        <f>VLOOKUP(F3069,Sheet2!$B$1:$E$19,3,FALSE)</f>
        <v>1108963</v>
      </c>
      <c r="O3069" t="str">
        <f>IF(G3069="Not available","",VLOOKUP(F3069,Sheet2!$B$1:$E$19,4,FALSE)+(G3069-1))</f>
        <v/>
      </c>
    </row>
    <row r="3070" spans="1:15" s="1" customFormat="1" ht="15" customHeight="1" x14ac:dyDescent="0.25">
      <c r="A3070" s="18" t="s">
        <v>1133</v>
      </c>
      <c r="B3070" s="18" t="s">
        <v>593</v>
      </c>
      <c r="C3070" s="5">
        <v>1884</v>
      </c>
      <c r="D3070" s="1" t="s">
        <v>432</v>
      </c>
      <c r="E3070" s="1" t="s">
        <v>2</v>
      </c>
      <c r="F3070" s="18">
        <v>2165</v>
      </c>
      <c r="G3070" s="18">
        <v>194</v>
      </c>
      <c r="H3070" s="5">
        <v>2</v>
      </c>
      <c r="I3070" s="1">
        <v>196</v>
      </c>
      <c r="J3070" s="1">
        <v>173</v>
      </c>
      <c r="L3070" t="str">
        <f t="shared" si="47"/>
        <v>http://www.badatelna.eu/reprodukce/?fondId=1073&amp;zaznamId=1108952&amp;reproId=3779055</v>
      </c>
      <c r="M3070">
        <f>VLOOKUP(F3070,Sheet2!$B$1:$E$19,2,FALSE)</f>
        <v>1073</v>
      </c>
      <c r="N3070">
        <f>VLOOKUP(F3070,Sheet2!$B$1:$E$19,3,FALSE)</f>
        <v>1108952</v>
      </c>
      <c r="O3070">
        <f>IF(G3070="Not available","",VLOOKUP(F3070,Sheet2!$B$1:$E$19,4,FALSE)+(G3070-1))</f>
        <v>3779055</v>
      </c>
    </row>
    <row r="3071" spans="1:15" s="1" customFormat="1" ht="15" customHeight="1" x14ac:dyDescent="0.25">
      <c r="A3071" s="18" t="s">
        <v>1133</v>
      </c>
      <c r="B3071" s="18" t="s">
        <v>900</v>
      </c>
      <c r="C3071" s="10" t="s">
        <v>1285</v>
      </c>
      <c r="D3071" s="3" t="s">
        <v>2582</v>
      </c>
      <c r="E3071" s="4" t="s">
        <v>2</v>
      </c>
      <c r="F3071" s="18">
        <v>2176</v>
      </c>
      <c r="G3071" s="18" t="s">
        <v>3271</v>
      </c>
      <c r="H3071" s="10" t="s">
        <v>2142</v>
      </c>
      <c r="I3071" s="3">
        <v>34</v>
      </c>
      <c r="J3071" s="3" t="s">
        <v>3271</v>
      </c>
      <c r="K3071" s="3"/>
      <c r="L3071" t="str">
        <f t="shared" si="47"/>
        <v/>
      </c>
      <c r="M3071">
        <f>VLOOKUP(F3071,Sheet2!$B$1:$E$19,2,FALSE)</f>
        <v>1073</v>
      </c>
      <c r="N3071">
        <f>VLOOKUP(F3071,Sheet2!$B$1:$E$19,3,FALSE)</f>
        <v>1108963</v>
      </c>
      <c r="O3071" t="str">
        <f>IF(G3071="Not available","",VLOOKUP(F3071,Sheet2!$B$1:$E$19,4,FALSE)+(G3071-1))</f>
        <v/>
      </c>
    </row>
    <row r="3072" spans="1:15" s="1" customFormat="1" ht="15" customHeight="1" x14ac:dyDescent="0.25">
      <c r="A3072" s="18" t="s">
        <v>1133</v>
      </c>
      <c r="B3072" s="18" t="s">
        <v>900</v>
      </c>
      <c r="C3072" s="5">
        <v>1882</v>
      </c>
      <c r="D3072" s="1" t="s">
        <v>1058</v>
      </c>
      <c r="E3072" s="1" t="s">
        <v>2</v>
      </c>
      <c r="F3072" s="18">
        <v>2165</v>
      </c>
      <c r="G3072" s="18">
        <v>177</v>
      </c>
      <c r="H3072" s="5">
        <v>1</v>
      </c>
      <c r="I3072" s="1">
        <v>183</v>
      </c>
      <c r="J3072" s="1">
        <v>160</v>
      </c>
      <c r="L3072" t="str">
        <f t="shared" si="47"/>
        <v>http://www.badatelna.eu/reprodukce/?fondId=1073&amp;zaznamId=1108952&amp;reproId=3779038</v>
      </c>
      <c r="M3072">
        <f>VLOOKUP(F3072,Sheet2!$B$1:$E$19,2,FALSE)</f>
        <v>1073</v>
      </c>
      <c r="N3072">
        <f>VLOOKUP(F3072,Sheet2!$B$1:$E$19,3,FALSE)</f>
        <v>1108952</v>
      </c>
      <c r="O3072">
        <f>IF(G3072="Not available","",VLOOKUP(F3072,Sheet2!$B$1:$E$19,4,FALSE)+(G3072-1))</f>
        <v>3779038</v>
      </c>
    </row>
    <row r="3073" spans="1:15" s="1" customFormat="1" ht="15" customHeight="1" x14ac:dyDescent="0.25">
      <c r="A3073" s="18" t="s">
        <v>966</v>
      </c>
      <c r="B3073" s="18" t="s">
        <v>53</v>
      </c>
      <c r="C3073" s="5">
        <v>1863</v>
      </c>
      <c r="E3073" s="1" t="s">
        <v>939</v>
      </c>
      <c r="F3073" s="18">
        <v>999</v>
      </c>
      <c r="G3073" s="18">
        <v>44</v>
      </c>
      <c r="H3073" s="5">
        <v>42</v>
      </c>
      <c r="I3073" s="1">
        <v>74</v>
      </c>
      <c r="J3073" s="1">
        <v>108</v>
      </c>
      <c r="L3073" t="str">
        <f t="shared" si="47"/>
        <v>http://www.badatelna.eu/reprodukce/?fondId=241&amp;zaznamId=1133739&amp;reproId=3885773</v>
      </c>
      <c r="M3073">
        <f>VLOOKUP(F3073,Sheet2!$B$1:$E$19,2,FALSE)</f>
        <v>241</v>
      </c>
      <c r="N3073">
        <f>VLOOKUP(F3073,Sheet2!$B$1:$E$19,3,FALSE)</f>
        <v>1133739</v>
      </c>
      <c r="O3073">
        <f>IF(G3073="Not available","",VLOOKUP(F3073,Sheet2!$B$1:$E$19,4,FALSE)+(G3073-1))</f>
        <v>3885773</v>
      </c>
    </row>
    <row r="3074" spans="1:15" s="1" customFormat="1" ht="15" customHeight="1" x14ac:dyDescent="0.25">
      <c r="A3074" s="18" t="s">
        <v>966</v>
      </c>
      <c r="B3074" s="18" t="s">
        <v>1043</v>
      </c>
      <c r="C3074" s="10" t="s">
        <v>1987</v>
      </c>
      <c r="D3074" s="3" t="s">
        <v>2554</v>
      </c>
      <c r="E3074" s="4" t="s">
        <v>2</v>
      </c>
      <c r="F3074" s="18">
        <v>2176</v>
      </c>
      <c r="G3074" s="18" t="s">
        <v>3271</v>
      </c>
      <c r="H3074" s="10" t="s">
        <v>2086</v>
      </c>
      <c r="I3074" s="3">
        <v>33</v>
      </c>
      <c r="J3074" s="3" t="s">
        <v>3271</v>
      </c>
      <c r="L3074" t="str">
        <f t="shared" si="47"/>
        <v/>
      </c>
      <c r="M3074">
        <f>VLOOKUP(F3074,Sheet2!$B$1:$E$19,2,FALSE)</f>
        <v>1073</v>
      </c>
      <c r="N3074">
        <f>VLOOKUP(F3074,Sheet2!$B$1:$E$19,3,FALSE)</f>
        <v>1108963</v>
      </c>
      <c r="O3074" t="str">
        <f>IF(G3074="Not available","",VLOOKUP(F3074,Sheet2!$B$1:$E$19,4,FALSE)+(G3074-1))</f>
        <v/>
      </c>
    </row>
    <row r="3075" spans="1:15" s="1" customFormat="1" ht="15" customHeight="1" x14ac:dyDescent="0.25">
      <c r="A3075" s="18" t="s">
        <v>966</v>
      </c>
      <c r="B3075" s="18" t="s">
        <v>1004</v>
      </c>
      <c r="C3075" s="5" t="s">
        <v>1541</v>
      </c>
      <c r="D3075" s="1" t="s">
        <v>432</v>
      </c>
      <c r="E3075" s="1" t="s">
        <v>2</v>
      </c>
      <c r="F3075" s="18">
        <v>2165</v>
      </c>
      <c r="G3075" s="18">
        <v>38</v>
      </c>
      <c r="H3075" s="5">
        <v>35</v>
      </c>
      <c r="I3075" s="1">
        <v>90</v>
      </c>
      <c r="J3075" s="1" t="s">
        <v>3271</v>
      </c>
      <c r="L3075" t="str">
        <f t="shared" ref="L3075:L3138" si="48">IF(G3075="Not available","","http://www.badatelna.eu/reprodukce/?fondId="&amp;M3075&amp;"&amp;zaznamId="&amp;N3075&amp;"&amp;reproId="&amp;O3075)</f>
        <v>http://www.badatelna.eu/reprodukce/?fondId=1073&amp;zaznamId=1108952&amp;reproId=3778899</v>
      </c>
      <c r="M3075">
        <f>VLOOKUP(F3075,Sheet2!$B$1:$E$19,2,FALSE)</f>
        <v>1073</v>
      </c>
      <c r="N3075">
        <f>VLOOKUP(F3075,Sheet2!$B$1:$E$19,3,FALSE)</f>
        <v>1108952</v>
      </c>
      <c r="O3075">
        <f>IF(G3075="Not available","",VLOOKUP(F3075,Sheet2!$B$1:$E$19,4,FALSE)+(G3075-1))</f>
        <v>3778899</v>
      </c>
    </row>
    <row r="3076" spans="1:15" s="1" customFormat="1" ht="15" customHeight="1" x14ac:dyDescent="0.25">
      <c r="A3076" s="18" t="s">
        <v>966</v>
      </c>
      <c r="B3076" s="18" t="s">
        <v>769</v>
      </c>
      <c r="C3076" s="10" t="s">
        <v>2072</v>
      </c>
      <c r="D3076" s="3" t="s">
        <v>2603</v>
      </c>
      <c r="E3076" s="4" t="s">
        <v>2</v>
      </c>
      <c r="F3076" s="18">
        <v>2176</v>
      </c>
      <c r="G3076" s="18" t="s">
        <v>3271</v>
      </c>
      <c r="H3076" s="10" t="s">
        <v>2069</v>
      </c>
      <c r="I3076" s="3">
        <v>34</v>
      </c>
      <c r="J3076" s="3" t="s">
        <v>3271</v>
      </c>
      <c r="K3076" s="3"/>
      <c r="L3076" t="str">
        <f t="shared" si="48"/>
        <v/>
      </c>
      <c r="M3076">
        <f>VLOOKUP(F3076,Sheet2!$B$1:$E$19,2,FALSE)</f>
        <v>1073</v>
      </c>
      <c r="N3076">
        <f>VLOOKUP(F3076,Sheet2!$B$1:$E$19,3,FALSE)</f>
        <v>1108963</v>
      </c>
      <c r="O3076" t="str">
        <f>IF(G3076="Not available","",VLOOKUP(F3076,Sheet2!$B$1:$E$19,4,FALSE)+(G3076-1))</f>
        <v/>
      </c>
    </row>
    <row r="3077" spans="1:15" s="1" customFormat="1" ht="15" customHeight="1" x14ac:dyDescent="0.25">
      <c r="A3077" s="18" t="s">
        <v>966</v>
      </c>
      <c r="B3077" s="18" t="s">
        <v>769</v>
      </c>
      <c r="C3077" s="5" t="s">
        <v>1756</v>
      </c>
      <c r="D3077" s="1" t="s">
        <v>53</v>
      </c>
      <c r="E3077" s="1" t="s">
        <v>2</v>
      </c>
      <c r="F3077" s="18">
        <v>2165</v>
      </c>
      <c r="G3077" s="18">
        <v>228</v>
      </c>
      <c r="H3077" s="5">
        <v>1</v>
      </c>
      <c r="I3077" s="1">
        <v>232</v>
      </c>
      <c r="J3077" s="1">
        <v>208</v>
      </c>
      <c r="L3077" t="str">
        <f t="shared" si="48"/>
        <v>http://www.badatelna.eu/reprodukce/?fondId=1073&amp;zaznamId=1108952&amp;reproId=3779089</v>
      </c>
      <c r="M3077">
        <f>VLOOKUP(F3077,Sheet2!$B$1:$E$19,2,FALSE)</f>
        <v>1073</v>
      </c>
      <c r="N3077">
        <f>VLOOKUP(F3077,Sheet2!$B$1:$E$19,3,FALSE)</f>
        <v>1108952</v>
      </c>
      <c r="O3077">
        <f>IF(G3077="Not available","",VLOOKUP(F3077,Sheet2!$B$1:$E$19,4,FALSE)+(G3077-1))</f>
        <v>3779089</v>
      </c>
    </row>
    <row r="3078" spans="1:15" s="1" customFormat="1" ht="15" customHeight="1" x14ac:dyDescent="0.25">
      <c r="A3078" s="18" t="s">
        <v>966</v>
      </c>
      <c r="B3078" s="18" t="s">
        <v>992</v>
      </c>
      <c r="C3078" s="10" t="s">
        <v>2074</v>
      </c>
      <c r="D3078" s="3" t="s">
        <v>2830</v>
      </c>
      <c r="E3078" s="4" t="s">
        <v>2</v>
      </c>
      <c r="F3078" s="18">
        <v>2176</v>
      </c>
      <c r="G3078" s="18" t="s">
        <v>3271</v>
      </c>
      <c r="H3078" s="10" t="s">
        <v>2053</v>
      </c>
      <c r="I3078" s="3">
        <v>34</v>
      </c>
      <c r="J3078" s="3" t="s">
        <v>3271</v>
      </c>
      <c r="K3078" s="3"/>
      <c r="L3078" t="str">
        <f t="shared" si="48"/>
        <v/>
      </c>
      <c r="M3078">
        <f>VLOOKUP(F3078,Sheet2!$B$1:$E$19,2,FALSE)</f>
        <v>1073</v>
      </c>
      <c r="N3078">
        <f>VLOOKUP(F3078,Sheet2!$B$1:$E$19,3,FALSE)</f>
        <v>1108963</v>
      </c>
      <c r="O3078" t="str">
        <f>IF(G3078="Not available","",VLOOKUP(F3078,Sheet2!$B$1:$E$19,4,FALSE)+(G3078-1))</f>
        <v/>
      </c>
    </row>
    <row r="3079" spans="1:15" s="1" customFormat="1" ht="15" customHeight="1" x14ac:dyDescent="0.25">
      <c r="A3079" s="18" t="s">
        <v>966</v>
      </c>
      <c r="B3079" s="18" t="s">
        <v>992</v>
      </c>
      <c r="C3079" s="5" t="s">
        <v>1784</v>
      </c>
      <c r="D3079" s="4" t="s">
        <v>1177</v>
      </c>
      <c r="E3079" s="1" t="s">
        <v>2</v>
      </c>
      <c r="F3079" s="18">
        <v>2165</v>
      </c>
      <c r="G3079" s="18">
        <v>235</v>
      </c>
      <c r="H3079" s="5">
        <v>2</v>
      </c>
      <c r="I3079" s="1">
        <v>238</v>
      </c>
      <c r="J3079" s="1">
        <v>214</v>
      </c>
      <c r="L3079" t="str">
        <f t="shared" si="48"/>
        <v>http://www.badatelna.eu/reprodukce/?fondId=1073&amp;zaznamId=1108952&amp;reproId=3779096</v>
      </c>
      <c r="M3079">
        <f>VLOOKUP(F3079,Sheet2!$B$1:$E$19,2,FALSE)</f>
        <v>1073</v>
      </c>
      <c r="N3079">
        <f>VLOOKUP(F3079,Sheet2!$B$1:$E$19,3,FALSE)</f>
        <v>1108952</v>
      </c>
      <c r="O3079">
        <f>IF(G3079="Not available","",VLOOKUP(F3079,Sheet2!$B$1:$E$19,4,FALSE)+(G3079-1))</f>
        <v>3779096</v>
      </c>
    </row>
    <row r="3080" spans="1:15" s="1" customFormat="1" ht="15" customHeight="1" x14ac:dyDescent="0.25">
      <c r="A3080" s="18" t="s">
        <v>966</v>
      </c>
      <c r="B3080" s="18" t="s">
        <v>2137</v>
      </c>
      <c r="C3080" s="10" t="s">
        <v>1949</v>
      </c>
      <c r="D3080" s="3" t="s">
        <v>2832</v>
      </c>
      <c r="E3080" s="4" t="s">
        <v>2</v>
      </c>
      <c r="F3080" s="18">
        <v>2176</v>
      </c>
      <c r="G3080" s="18" t="s">
        <v>3271</v>
      </c>
      <c r="H3080" s="10" t="s">
        <v>2038</v>
      </c>
      <c r="I3080" s="3">
        <v>34</v>
      </c>
      <c r="J3080" s="3" t="s">
        <v>3271</v>
      </c>
      <c r="K3080" s="3"/>
      <c r="L3080" t="str">
        <f t="shared" si="48"/>
        <v/>
      </c>
      <c r="M3080">
        <f>VLOOKUP(F3080,Sheet2!$B$1:$E$19,2,FALSE)</f>
        <v>1073</v>
      </c>
      <c r="N3080">
        <f>VLOOKUP(F3080,Sheet2!$B$1:$E$19,3,FALSE)</f>
        <v>1108963</v>
      </c>
      <c r="O3080" t="str">
        <f>IF(G3080="Not available","",VLOOKUP(F3080,Sheet2!$B$1:$E$19,4,FALSE)+(G3080-1))</f>
        <v/>
      </c>
    </row>
    <row r="3081" spans="1:15" s="1" customFormat="1" ht="15" customHeight="1" x14ac:dyDescent="0.25">
      <c r="A3081" s="18" t="s">
        <v>966</v>
      </c>
      <c r="B3081" s="18" t="s">
        <v>436</v>
      </c>
      <c r="C3081" s="5" t="s">
        <v>1570</v>
      </c>
      <c r="D3081" s="1" t="s">
        <v>1072</v>
      </c>
      <c r="E3081" s="1" t="s">
        <v>2</v>
      </c>
      <c r="F3081" s="18">
        <v>2165</v>
      </c>
      <c r="G3081" s="18">
        <v>71</v>
      </c>
      <c r="H3081" s="5">
        <v>68</v>
      </c>
      <c r="I3081" s="1">
        <v>91</v>
      </c>
      <c r="J3081" s="1" t="s">
        <v>3271</v>
      </c>
      <c r="L3081" t="str">
        <f t="shared" si="48"/>
        <v>http://www.badatelna.eu/reprodukce/?fondId=1073&amp;zaznamId=1108952&amp;reproId=3778932</v>
      </c>
      <c r="M3081">
        <f>VLOOKUP(F3081,Sheet2!$B$1:$E$19,2,FALSE)</f>
        <v>1073</v>
      </c>
      <c r="N3081">
        <f>VLOOKUP(F3081,Sheet2!$B$1:$E$19,3,FALSE)</f>
        <v>1108952</v>
      </c>
      <c r="O3081">
        <f>IF(G3081="Not available","",VLOOKUP(F3081,Sheet2!$B$1:$E$19,4,FALSE)+(G3081-1))</f>
        <v>3778932</v>
      </c>
    </row>
    <row r="3082" spans="1:15" s="1" customFormat="1" ht="15" customHeight="1" x14ac:dyDescent="0.25">
      <c r="A3082" s="18" t="s">
        <v>966</v>
      </c>
      <c r="B3082" s="18" t="s">
        <v>361</v>
      </c>
      <c r="C3082" s="5" t="s">
        <v>1558</v>
      </c>
      <c r="D3082" s="1" t="s">
        <v>1072</v>
      </c>
      <c r="E3082" s="1" t="s">
        <v>2</v>
      </c>
      <c r="F3082" s="18">
        <v>2165</v>
      </c>
      <c r="G3082" s="18">
        <v>58</v>
      </c>
      <c r="H3082" s="5">
        <v>55</v>
      </c>
      <c r="I3082" s="1">
        <v>91</v>
      </c>
      <c r="J3082" s="1" t="s">
        <v>3271</v>
      </c>
      <c r="L3082" t="str">
        <f t="shared" si="48"/>
        <v>http://www.badatelna.eu/reprodukce/?fondId=1073&amp;zaznamId=1108952&amp;reproId=3778919</v>
      </c>
      <c r="M3082">
        <f>VLOOKUP(F3082,Sheet2!$B$1:$E$19,2,FALSE)</f>
        <v>1073</v>
      </c>
      <c r="N3082">
        <f>VLOOKUP(F3082,Sheet2!$B$1:$E$19,3,FALSE)</f>
        <v>1108952</v>
      </c>
      <c r="O3082">
        <f>IF(G3082="Not available","",VLOOKUP(F3082,Sheet2!$B$1:$E$19,4,FALSE)+(G3082-1))</f>
        <v>3778919</v>
      </c>
    </row>
    <row r="3083" spans="1:15" s="1" customFormat="1" ht="15" customHeight="1" x14ac:dyDescent="0.25">
      <c r="A3083" s="18" t="s">
        <v>966</v>
      </c>
      <c r="B3083" s="18" t="s">
        <v>172</v>
      </c>
      <c r="C3083" s="10" t="s">
        <v>2081</v>
      </c>
      <c r="D3083" s="3" t="s">
        <v>2831</v>
      </c>
      <c r="E3083" s="4" t="s">
        <v>2</v>
      </c>
      <c r="F3083" s="18">
        <v>2176</v>
      </c>
      <c r="G3083" s="18" t="s">
        <v>3271</v>
      </c>
      <c r="H3083" s="10" t="s">
        <v>1976</v>
      </c>
      <c r="I3083" s="3">
        <v>35</v>
      </c>
      <c r="J3083" s="3" t="s">
        <v>3271</v>
      </c>
      <c r="K3083" s="3"/>
      <c r="L3083" t="str">
        <f t="shared" si="48"/>
        <v/>
      </c>
      <c r="M3083">
        <f>VLOOKUP(F3083,Sheet2!$B$1:$E$19,2,FALSE)</f>
        <v>1073</v>
      </c>
      <c r="N3083">
        <f>VLOOKUP(F3083,Sheet2!$B$1:$E$19,3,FALSE)</f>
        <v>1108963</v>
      </c>
      <c r="O3083" t="str">
        <f>IF(G3083="Not available","",VLOOKUP(F3083,Sheet2!$B$1:$E$19,4,FALSE)+(G3083-1))</f>
        <v/>
      </c>
    </row>
    <row r="3084" spans="1:15" s="1" customFormat="1" ht="15" customHeight="1" x14ac:dyDescent="0.25">
      <c r="A3084" s="18" t="s">
        <v>966</v>
      </c>
      <c r="B3084" s="18" t="s">
        <v>540</v>
      </c>
      <c r="C3084" s="5" t="s">
        <v>1824</v>
      </c>
      <c r="D3084" s="1" t="s">
        <v>6</v>
      </c>
      <c r="E3084" s="1" t="s">
        <v>2</v>
      </c>
      <c r="F3084" s="18">
        <v>2165</v>
      </c>
      <c r="G3084" s="18">
        <v>248</v>
      </c>
      <c r="H3084" s="5">
        <v>2</v>
      </c>
      <c r="I3084" s="1">
        <v>250</v>
      </c>
      <c r="J3084" s="1">
        <v>226</v>
      </c>
      <c r="L3084" t="str">
        <f t="shared" si="48"/>
        <v>http://www.badatelna.eu/reprodukce/?fondId=1073&amp;zaznamId=1108952&amp;reproId=3779109</v>
      </c>
      <c r="M3084">
        <f>VLOOKUP(F3084,Sheet2!$B$1:$E$19,2,FALSE)</f>
        <v>1073</v>
      </c>
      <c r="N3084">
        <f>VLOOKUP(F3084,Sheet2!$B$1:$E$19,3,FALSE)</f>
        <v>1108952</v>
      </c>
      <c r="O3084">
        <f>IF(G3084="Not available","",VLOOKUP(F3084,Sheet2!$B$1:$E$19,4,FALSE)+(G3084-1))</f>
        <v>3779109</v>
      </c>
    </row>
    <row r="3085" spans="1:15" s="1" customFormat="1" ht="15" customHeight="1" x14ac:dyDescent="0.25">
      <c r="A3085" s="18" t="s">
        <v>966</v>
      </c>
      <c r="B3085" s="18" t="s">
        <v>25</v>
      </c>
      <c r="C3085" s="5">
        <v>1865</v>
      </c>
      <c r="E3085" s="1" t="s">
        <v>939</v>
      </c>
      <c r="F3085" s="18">
        <v>999</v>
      </c>
      <c r="G3085" s="18">
        <v>55</v>
      </c>
      <c r="H3085" s="5">
        <v>53</v>
      </c>
      <c r="I3085" s="1">
        <v>74</v>
      </c>
      <c r="J3085" s="1">
        <v>108</v>
      </c>
      <c r="L3085" t="str">
        <f t="shared" si="48"/>
        <v>http://www.badatelna.eu/reprodukce/?fondId=241&amp;zaznamId=1133739&amp;reproId=3885784</v>
      </c>
      <c r="M3085">
        <f>VLOOKUP(F3085,Sheet2!$B$1:$E$19,2,FALSE)</f>
        <v>241</v>
      </c>
      <c r="N3085">
        <f>VLOOKUP(F3085,Sheet2!$B$1:$E$19,3,FALSE)</f>
        <v>1133739</v>
      </c>
      <c r="O3085">
        <f>IF(G3085="Not available","",VLOOKUP(F3085,Sheet2!$B$1:$E$19,4,FALSE)+(G3085-1))</f>
        <v>3885784</v>
      </c>
    </row>
    <row r="3086" spans="1:15" s="1" customFormat="1" ht="15" customHeight="1" x14ac:dyDescent="0.25">
      <c r="A3086" s="18" t="s">
        <v>966</v>
      </c>
      <c r="B3086" s="18" t="s">
        <v>25</v>
      </c>
      <c r="C3086" s="5" t="s">
        <v>1521</v>
      </c>
      <c r="D3086" s="1" t="s">
        <v>1058</v>
      </c>
      <c r="E3086" s="1" t="s">
        <v>2</v>
      </c>
      <c r="F3086" s="18">
        <v>2165</v>
      </c>
      <c r="G3086" s="18">
        <v>8</v>
      </c>
      <c r="H3086" s="5">
        <v>5</v>
      </c>
      <c r="I3086" s="1">
        <v>90</v>
      </c>
      <c r="J3086" s="1" t="s">
        <v>3271</v>
      </c>
      <c r="L3086" t="str">
        <f t="shared" si="48"/>
        <v>http://www.badatelna.eu/reprodukce/?fondId=1073&amp;zaznamId=1108952&amp;reproId=3778869</v>
      </c>
      <c r="M3086">
        <f>VLOOKUP(F3086,Sheet2!$B$1:$E$19,2,FALSE)</f>
        <v>1073</v>
      </c>
      <c r="N3086">
        <f>VLOOKUP(F3086,Sheet2!$B$1:$E$19,3,FALSE)</f>
        <v>1108952</v>
      </c>
      <c r="O3086">
        <f>IF(G3086="Not available","",VLOOKUP(F3086,Sheet2!$B$1:$E$19,4,FALSE)+(G3086-1))</f>
        <v>3778869</v>
      </c>
    </row>
    <row r="3087" spans="1:15" s="1" customFormat="1" ht="15" customHeight="1" x14ac:dyDescent="0.25">
      <c r="A3087" s="18" t="s">
        <v>966</v>
      </c>
      <c r="B3087" s="18" t="s">
        <v>937</v>
      </c>
      <c r="C3087" s="5">
        <v>1885</v>
      </c>
      <c r="D3087" s="1" t="s">
        <v>1177</v>
      </c>
      <c r="E3087" s="1" t="s">
        <v>2</v>
      </c>
      <c r="F3087" s="18">
        <v>2165</v>
      </c>
      <c r="G3087" s="18">
        <v>201</v>
      </c>
      <c r="H3087" s="5">
        <v>3</v>
      </c>
      <c r="I3087" s="1">
        <v>204</v>
      </c>
      <c r="J3087" s="1">
        <v>187</v>
      </c>
      <c r="L3087" t="str">
        <f t="shared" si="48"/>
        <v>http://www.badatelna.eu/reprodukce/?fondId=1073&amp;zaznamId=1108952&amp;reproId=3779062</v>
      </c>
      <c r="M3087">
        <f>VLOOKUP(F3087,Sheet2!$B$1:$E$19,2,FALSE)</f>
        <v>1073</v>
      </c>
      <c r="N3087">
        <f>VLOOKUP(F3087,Sheet2!$B$1:$E$19,3,FALSE)</f>
        <v>1108952</v>
      </c>
      <c r="O3087">
        <f>IF(G3087="Not available","",VLOOKUP(F3087,Sheet2!$B$1:$E$19,4,FALSE)+(G3087-1))</f>
        <v>3779062</v>
      </c>
    </row>
    <row r="3088" spans="1:15" s="1" customFormat="1" ht="15" customHeight="1" x14ac:dyDescent="0.25">
      <c r="A3088" s="18" t="s">
        <v>966</v>
      </c>
      <c r="B3088" s="18" t="s">
        <v>432</v>
      </c>
      <c r="C3088" s="10" t="s">
        <v>2043</v>
      </c>
      <c r="D3088" s="3" t="s">
        <v>2830</v>
      </c>
      <c r="E3088" s="4" t="s">
        <v>2</v>
      </c>
      <c r="F3088" s="18">
        <v>2176</v>
      </c>
      <c r="G3088" s="18" t="s">
        <v>3271</v>
      </c>
      <c r="H3088" s="10" t="s">
        <v>2006</v>
      </c>
      <c r="I3088" s="3">
        <v>34</v>
      </c>
      <c r="J3088" s="3" t="s">
        <v>3271</v>
      </c>
      <c r="K3088" s="3"/>
      <c r="L3088" t="str">
        <f t="shared" si="48"/>
        <v/>
      </c>
      <c r="M3088">
        <f>VLOOKUP(F3088,Sheet2!$B$1:$E$19,2,FALSE)</f>
        <v>1073</v>
      </c>
      <c r="N3088">
        <f>VLOOKUP(F3088,Sheet2!$B$1:$E$19,3,FALSE)</f>
        <v>1108963</v>
      </c>
      <c r="O3088" t="str">
        <f>IF(G3088="Not available","",VLOOKUP(F3088,Sheet2!$B$1:$E$19,4,FALSE)+(G3088-1))</f>
        <v/>
      </c>
    </row>
    <row r="3089" spans="1:15" s="1" customFormat="1" ht="15" customHeight="1" x14ac:dyDescent="0.25">
      <c r="A3089" s="18" t="s">
        <v>966</v>
      </c>
      <c r="B3089" s="18" t="s">
        <v>432</v>
      </c>
      <c r="C3089" s="5">
        <v>1886</v>
      </c>
      <c r="D3089" s="1" t="s">
        <v>6</v>
      </c>
      <c r="E3089" s="1" t="s">
        <v>2</v>
      </c>
      <c r="F3089" s="18">
        <v>2165</v>
      </c>
      <c r="G3089" s="18">
        <v>208</v>
      </c>
      <c r="H3089" s="5">
        <v>2</v>
      </c>
      <c r="I3089" s="1">
        <v>210</v>
      </c>
      <c r="J3089" s="1">
        <v>186</v>
      </c>
      <c r="L3089" t="str">
        <f t="shared" si="48"/>
        <v>http://www.badatelna.eu/reprodukce/?fondId=1073&amp;zaznamId=1108952&amp;reproId=3779069</v>
      </c>
      <c r="M3089">
        <f>VLOOKUP(F3089,Sheet2!$B$1:$E$19,2,FALSE)</f>
        <v>1073</v>
      </c>
      <c r="N3089">
        <f>VLOOKUP(F3089,Sheet2!$B$1:$E$19,3,FALSE)</f>
        <v>1108952</v>
      </c>
      <c r="O3089">
        <f>IF(G3089="Not available","",VLOOKUP(F3089,Sheet2!$B$1:$E$19,4,FALSE)+(G3089-1))</f>
        <v>3779069</v>
      </c>
    </row>
    <row r="3090" spans="1:15" s="1" customFormat="1" ht="15" customHeight="1" x14ac:dyDescent="0.25">
      <c r="A3090" s="22" t="s">
        <v>966</v>
      </c>
      <c r="B3090" s="18" t="s">
        <v>434</v>
      </c>
      <c r="C3090" s="5" t="s">
        <v>1533</v>
      </c>
      <c r="D3090" s="1" t="s">
        <v>432</v>
      </c>
      <c r="E3090" s="1" t="s">
        <v>2</v>
      </c>
      <c r="F3090" s="18">
        <v>2165</v>
      </c>
      <c r="G3090" s="18">
        <v>26</v>
      </c>
      <c r="H3090" s="5">
        <v>23</v>
      </c>
      <c r="I3090" s="1">
        <v>90</v>
      </c>
      <c r="J3090" s="1" t="s">
        <v>3271</v>
      </c>
      <c r="L3090" t="str">
        <f t="shared" si="48"/>
        <v>http://www.badatelna.eu/reprodukce/?fondId=1073&amp;zaznamId=1108952&amp;reproId=3778887</v>
      </c>
      <c r="M3090">
        <f>VLOOKUP(F3090,Sheet2!$B$1:$E$19,2,FALSE)</f>
        <v>1073</v>
      </c>
      <c r="N3090">
        <f>VLOOKUP(F3090,Sheet2!$B$1:$E$19,3,FALSE)</f>
        <v>1108952</v>
      </c>
      <c r="O3090">
        <f>IF(G3090="Not available","",VLOOKUP(F3090,Sheet2!$B$1:$E$19,4,FALSE)+(G3090-1))</f>
        <v>3778887</v>
      </c>
    </row>
    <row r="3091" spans="1:15" s="1" customFormat="1" ht="15" customHeight="1" x14ac:dyDescent="0.25">
      <c r="A3091" s="18" t="s">
        <v>966</v>
      </c>
      <c r="B3091" s="18" t="s">
        <v>1121</v>
      </c>
      <c r="C3091" s="10" t="s">
        <v>2079</v>
      </c>
      <c r="D3091" s="3" t="s">
        <v>2603</v>
      </c>
      <c r="E3091" s="4" t="s">
        <v>2</v>
      </c>
      <c r="F3091" s="18">
        <v>2176</v>
      </c>
      <c r="G3091" s="18" t="s">
        <v>3271</v>
      </c>
      <c r="H3091" s="10" t="s">
        <v>2094</v>
      </c>
      <c r="I3091" s="3">
        <v>35</v>
      </c>
      <c r="J3091" s="3" t="s">
        <v>3271</v>
      </c>
      <c r="K3091" s="3"/>
      <c r="L3091" t="str">
        <f t="shared" si="48"/>
        <v/>
      </c>
      <c r="M3091">
        <f>VLOOKUP(F3091,Sheet2!$B$1:$E$19,2,FALSE)</f>
        <v>1073</v>
      </c>
      <c r="N3091">
        <f>VLOOKUP(F3091,Sheet2!$B$1:$E$19,3,FALSE)</f>
        <v>1108963</v>
      </c>
      <c r="O3091" t="str">
        <f>IF(G3091="Not available","",VLOOKUP(F3091,Sheet2!$B$1:$E$19,4,FALSE)+(G3091-1))</f>
        <v/>
      </c>
    </row>
    <row r="3092" spans="1:15" s="1" customFormat="1" ht="15" customHeight="1" x14ac:dyDescent="0.25">
      <c r="A3092" s="18" t="s">
        <v>966</v>
      </c>
      <c r="B3092" s="18" t="s">
        <v>1121</v>
      </c>
      <c r="C3092" s="5" t="s">
        <v>1806</v>
      </c>
      <c r="D3092" s="1" t="s">
        <v>53</v>
      </c>
      <c r="E3092" s="1" t="s">
        <v>2</v>
      </c>
      <c r="F3092" s="18">
        <v>2165</v>
      </c>
      <c r="G3092" s="18">
        <v>242</v>
      </c>
      <c r="H3092" s="5">
        <v>2</v>
      </c>
      <c r="I3092" s="1">
        <v>245</v>
      </c>
      <c r="J3092" s="1">
        <v>227</v>
      </c>
      <c r="L3092" t="str">
        <f t="shared" si="48"/>
        <v>http://www.badatelna.eu/reprodukce/?fondId=1073&amp;zaznamId=1108952&amp;reproId=3779103</v>
      </c>
      <c r="M3092">
        <f>VLOOKUP(F3092,Sheet2!$B$1:$E$19,2,FALSE)</f>
        <v>1073</v>
      </c>
      <c r="N3092">
        <f>VLOOKUP(F3092,Sheet2!$B$1:$E$19,3,FALSE)</f>
        <v>1108952</v>
      </c>
      <c r="O3092">
        <f>IF(G3092="Not available","",VLOOKUP(F3092,Sheet2!$B$1:$E$19,4,FALSE)+(G3092-1))</f>
        <v>3779103</v>
      </c>
    </row>
    <row r="3093" spans="1:15" s="1" customFormat="1" ht="15" customHeight="1" x14ac:dyDescent="0.25">
      <c r="A3093" s="18" t="s">
        <v>966</v>
      </c>
      <c r="B3093" s="18" t="s">
        <v>1178</v>
      </c>
      <c r="C3093" s="10" t="s">
        <v>1952</v>
      </c>
      <c r="D3093" s="3" t="s">
        <v>2603</v>
      </c>
      <c r="E3093" s="4" t="s">
        <v>2</v>
      </c>
      <c r="F3093" s="18">
        <v>2176</v>
      </c>
      <c r="G3093" s="18" t="s">
        <v>3271</v>
      </c>
      <c r="H3093" s="10" t="s">
        <v>2083</v>
      </c>
      <c r="I3093" s="3">
        <v>35</v>
      </c>
      <c r="J3093" s="3" t="s">
        <v>3271</v>
      </c>
      <c r="K3093" s="3"/>
      <c r="L3093" t="str">
        <f t="shared" si="48"/>
        <v/>
      </c>
      <c r="M3093">
        <f>VLOOKUP(F3093,Sheet2!$B$1:$E$19,2,FALSE)</f>
        <v>1073</v>
      </c>
      <c r="N3093">
        <f>VLOOKUP(F3093,Sheet2!$B$1:$E$19,3,FALSE)</f>
        <v>1108963</v>
      </c>
      <c r="O3093" t="str">
        <f>IF(G3093="Not available","",VLOOKUP(F3093,Sheet2!$B$1:$E$19,4,FALSE)+(G3093-1))</f>
        <v/>
      </c>
    </row>
    <row r="3094" spans="1:15" s="1" customFormat="1" ht="15" customHeight="1" x14ac:dyDescent="0.25">
      <c r="A3094" s="18" t="s">
        <v>966</v>
      </c>
      <c r="B3094" s="18" t="s">
        <v>1178</v>
      </c>
      <c r="C3094" s="5" t="s">
        <v>1849</v>
      </c>
      <c r="D3094" s="1" t="s">
        <v>53</v>
      </c>
      <c r="E3094" s="1" t="s">
        <v>2</v>
      </c>
      <c r="F3094" s="18">
        <v>2165</v>
      </c>
      <c r="G3094" s="18">
        <v>254</v>
      </c>
      <c r="H3094" s="5">
        <v>1</v>
      </c>
      <c r="I3094" s="1">
        <v>253</v>
      </c>
      <c r="J3094" s="1">
        <v>229</v>
      </c>
      <c r="L3094" t="str">
        <f t="shared" si="48"/>
        <v>http://www.badatelna.eu/reprodukce/?fondId=1073&amp;zaznamId=1108952&amp;reproId=3779115</v>
      </c>
      <c r="M3094">
        <f>VLOOKUP(F3094,Sheet2!$B$1:$E$19,2,FALSE)</f>
        <v>1073</v>
      </c>
      <c r="N3094">
        <f>VLOOKUP(F3094,Sheet2!$B$1:$E$19,3,FALSE)</f>
        <v>1108952</v>
      </c>
      <c r="O3094">
        <f>IF(G3094="Not available","",VLOOKUP(F3094,Sheet2!$B$1:$E$19,4,FALSE)+(G3094-1))</f>
        <v>3779115</v>
      </c>
    </row>
    <row r="3095" spans="1:15" s="1" customFormat="1" ht="15" customHeight="1" x14ac:dyDescent="0.25">
      <c r="A3095" s="18" t="s">
        <v>380</v>
      </c>
      <c r="B3095" s="18" t="s">
        <v>3279</v>
      </c>
      <c r="C3095" s="5"/>
      <c r="F3095" s="18"/>
      <c r="G3095" s="18"/>
      <c r="H3095" s="5"/>
      <c r="L3095" t="e">
        <f t="shared" si="48"/>
        <v>#N/A</v>
      </c>
      <c r="M3095" t="e">
        <f>VLOOKUP(F3095,Sheet2!$B$1:$E$19,2,FALSE)</f>
        <v>#N/A</v>
      </c>
      <c r="N3095" t="e">
        <f>VLOOKUP(F3095,Sheet2!$B$1:$E$19,3,FALSE)</f>
        <v>#N/A</v>
      </c>
      <c r="O3095" t="e">
        <f>IF(G3095="Not available","",VLOOKUP(F3095,Sheet2!$B$1:$E$19,4,FALSE)+(G3095-1))</f>
        <v>#N/A</v>
      </c>
    </row>
    <row r="3096" spans="1:15" s="1" customFormat="1" ht="15" customHeight="1" x14ac:dyDescent="0.25">
      <c r="A3096" s="18" t="s">
        <v>2545</v>
      </c>
      <c r="B3096" s="18" t="s">
        <v>1113</v>
      </c>
      <c r="C3096" s="10" t="s">
        <v>1987</v>
      </c>
      <c r="D3096" s="3" t="s">
        <v>2555</v>
      </c>
      <c r="E3096" s="4" t="s">
        <v>2</v>
      </c>
      <c r="F3096" s="18">
        <v>2176</v>
      </c>
      <c r="G3096" s="18" t="s">
        <v>3271</v>
      </c>
      <c r="H3096" s="10" t="s">
        <v>1996</v>
      </c>
      <c r="I3096" s="3">
        <v>33</v>
      </c>
      <c r="J3096" s="3" t="s">
        <v>3271</v>
      </c>
      <c r="L3096" t="str">
        <f t="shared" si="48"/>
        <v/>
      </c>
      <c r="M3096">
        <f>VLOOKUP(F3096,Sheet2!$B$1:$E$19,2,FALSE)</f>
        <v>1073</v>
      </c>
      <c r="N3096">
        <f>VLOOKUP(F3096,Sheet2!$B$1:$E$19,3,FALSE)</f>
        <v>1108963</v>
      </c>
      <c r="O3096" t="str">
        <f>IF(G3096="Not available","",VLOOKUP(F3096,Sheet2!$B$1:$E$19,4,FALSE)+(G3096-1))</f>
        <v/>
      </c>
    </row>
    <row r="3097" spans="1:15" s="1" customFormat="1" ht="15" customHeight="1" x14ac:dyDescent="0.25">
      <c r="A3097" s="18" t="s">
        <v>2545</v>
      </c>
      <c r="B3097" s="18" t="s">
        <v>44</v>
      </c>
      <c r="C3097" s="10" t="s">
        <v>1969</v>
      </c>
      <c r="D3097" s="3" t="s">
        <v>2546</v>
      </c>
      <c r="E3097" s="4" t="s">
        <v>2</v>
      </c>
      <c r="F3097" s="18">
        <v>2176</v>
      </c>
      <c r="G3097" s="18" t="s">
        <v>3271</v>
      </c>
      <c r="H3097" s="10" t="s">
        <v>2421</v>
      </c>
      <c r="I3097" s="3">
        <v>33</v>
      </c>
      <c r="J3097" s="3" t="s">
        <v>3271</v>
      </c>
      <c r="L3097" t="str">
        <f t="shared" si="48"/>
        <v/>
      </c>
      <c r="M3097">
        <f>VLOOKUP(F3097,Sheet2!$B$1:$E$19,2,FALSE)</f>
        <v>1073</v>
      </c>
      <c r="N3097">
        <f>VLOOKUP(F3097,Sheet2!$B$1:$E$19,3,FALSE)</f>
        <v>1108963</v>
      </c>
      <c r="O3097" t="str">
        <f>IF(G3097="Not available","",VLOOKUP(F3097,Sheet2!$B$1:$E$19,4,FALSE)+(G3097-1))</f>
        <v/>
      </c>
    </row>
    <row r="3098" spans="1:15" s="1" customFormat="1" ht="15" customHeight="1" x14ac:dyDescent="0.25">
      <c r="A3098" s="18" t="s">
        <v>380</v>
      </c>
      <c r="B3098" s="18" t="s">
        <v>50</v>
      </c>
      <c r="C3098" s="6" t="s">
        <v>3319</v>
      </c>
      <c r="E3098" s="1" t="s">
        <v>2</v>
      </c>
      <c r="F3098" s="18">
        <v>2173</v>
      </c>
      <c r="G3098" s="18">
        <v>87</v>
      </c>
      <c r="H3098" s="5">
        <v>162</v>
      </c>
      <c r="I3098" s="1">
        <v>111</v>
      </c>
      <c r="J3098" s="1">
        <v>241</v>
      </c>
      <c r="L3098" t="str">
        <f t="shared" si="48"/>
        <v>http://www.badatelna.eu/reprodukce/?fondId=1073&amp;zaznamId=1108959&amp;reproId=3780080</v>
      </c>
      <c r="M3098">
        <f>VLOOKUP(F3098,Sheet2!$B$1:$E$19,2,FALSE)</f>
        <v>1073</v>
      </c>
      <c r="N3098">
        <f>VLOOKUP(F3098,Sheet2!$B$1:$E$19,3,FALSE)</f>
        <v>1108959</v>
      </c>
      <c r="O3098">
        <f>IF(G3098="Not available","",VLOOKUP(F3098,Sheet2!$B$1:$E$19,4,FALSE)+(G3098-1))</f>
        <v>3780080</v>
      </c>
    </row>
    <row r="3099" spans="1:15" s="1" customFormat="1" ht="15" customHeight="1" x14ac:dyDescent="0.25">
      <c r="A3099" s="18" t="s">
        <v>380</v>
      </c>
      <c r="B3099" s="18" t="s">
        <v>14</v>
      </c>
      <c r="C3099" s="5">
        <v>1821</v>
      </c>
      <c r="E3099" s="1" t="s">
        <v>2</v>
      </c>
      <c r="F3099" s="18">
        <v>2173</v>
      </c>
      <c r="G3099" s="18">
        <v>71</v>
      </c>
      <c r="H3099" s="5">
        <v>135</v>
      </c>
      <c r="I3099" s="1">
        <v>111</v>
      </c>
      <c r="J3099" s="1">
        <v>241</v>
      </c>
      <c r="L3099" t="str">
        <f t="shared" si="48"/>
        <v>http://www.badatelna.eu/reprodukce/?fondId=1073&amp;zaznamId=1108959&amp;reproId=3780064</v>
      </c>
      <c r="M3099">
        <f>VLOOKUP(F3099,Sheet2!$B$1:$E$19,2,FALSE)</f>
        <v>1073</v>
      </c>
      <c r="N3099">
        <f>VLOOKUP(F3099,Sheet2!$B$1:$E$19,3,FALSE)</f>
        <v>1108959</v>
      </c>
      <c r="O3099">
        <f>IF(G3099="Not available","",VLOOKUP(F3099,Sheet2!$B$1:$E$19,4,FALSE)+(G3099-1))</f>
        <v>3780064</v>
      </c>
    </row>
    <row r="3100" spans="1:15" s="1" customFormat="1" ht="15" customHeight="1" x14ac:dyDescent="0.25">
      <c r="A3100" s="18" t="s">
        <v>380</v>
      </c>
      <c r="B3100" s="18" t="s">
        <v>383</v>
      </c>
      <c r="C3100" s="5">
        <v>1803</v>
      </c>
      <c r="E3100" s="1" t="s">
        <v>2</v>
      </c>
      <c r="F3100" s="18">
        <v>2173</v>
      </c>
      <c r="G3100" s="18">
        <v>45</v>
      </c>
      <c r="H3100" s="5">
        <v>84</v>
      </c>
      <c r="I3100" s="1">
        <v>111</v>
      </c>
      <c r="J3100" s="1">
        <v>240</v>
      </c>
      <c r="L3100" t="str">
        <f t="shared" si="48"/>
        <v>http://www.badatelna.eu/reprodukce/?fondId=1073&amp;zaznamId=1108959&amp;reproId=3780038</v>
      </c>
      <c r="M3100">
        <f>VLOOKUP(F3100,Sheet2!$B$1:$E$19,2,FALSE)</f>
        <v>1073</v>
      </c>
      <c r="N3100">
        <f>VLOOKUP(F3100,Sheet2!$B$1:$E$19,3,FALSE)</f>
        <v>1108959</v>
      </c>
      <c r="O3100">
        <f>IF(G3100="Not available","",VLOOKUP(F3100,Sheet2!$B$1:$E$19,4,FALSE)+(G3100-1))</f>
        <v>3780038</v>
      </c>
    </row>
    <row r="3101" spans="1:15" s="1" customFormat="1" ht="15" customHeight="1" x14ac:dyDescent="0.25">
      <c r="A3101" s="18" t="s">
        <v>380</v>
      </c>
      <c r="B3101" s="18" t="s">
        <v>211</v>
      </c>
      <c r="C3101" s="5">
        <v>1814</v>
      </c>
      <c r="E3101" s="1" t="s">
        <v>2</v>
      </c>
      <c r="F3101" s="18">
        <v>2173</v>
      </c>
      <c r="G3101" s="18">
        <v>63</v>
      </c>
      <c r="H3101" s="5">
        <v>121</v>
      </c>
      <c r="I3101" s="1">
        <v>111</v>
      </c>
      <c r="J3101" s="1">
        <v>240</v>
      </c>
      <c r="L3101" t="str">
        <f t="shared" si="48"/>
        <v>http://www.badatelna.eu/reprodukce/?fondId=1073&amp;zaznamId=1108959&amp;reproId=3780056</v>
      </c>
      <c r="M3101">
        <f>VLOOKUP(F3101,Sheet2!$B$1:$E$19,2,FALSE)</f>
        <v>1073</v>
      </c>
      <c r="N3101">
        <f>VLOOKUP(F3101,Sheet2!$B$1:$E$19,3,FALSE)</f>
        <v>1108959</v>
      </c>
      <c r="O3101">
        <f>IF(G3101="Not available","",VLOOKUP(F3101,Sheet2!$B$1:$E$19,4,FALSE)+(G3101-1))</f>
        <v>3780056</v>
      </c>
    </row>
    <row r="3102" spans="1:15" s="1" customFormat="1" ht="15" customHeight="1" x14ac:dyDescent="0.25">
      <c r="A3102" s="18" t="s">
        <v>380</v>
      </c>
      <c r="B3102" s="18" t="s">
        <v>6</v>
      </c>
      <c r="C3102" s="5">
        <v>1814</v>
      </c>
      <c r="E3102" s="1" t="s">
        <v>2</v>
      </c>
      <c r="F3102" s="18">
        <v>2173</v>
      </c>
      <c r="G3102" s="18">
        <v>62</v>
      </c>
      <c r="H3102" s="5">
        <v>118</v>
      </c>
      <c r="I3102" s="1">
        <v>111</v>
      </c>
      <c r="J3102" s="1">
        <v>240</v>
      </c>
      <c r="L3102" t="str">
        <f t="shared" si="48"/>
        <v>http://www.badatelna.eu/reprodukce/?fondId=1073&amp;zaznamId=1108959&amp;reproId=3780055</v>
      </c>
      <c r="M3102">
        <f>VLOOKUP(F3102,Sheet2!$B$1:$E$19,2,FALSE)</f>
        <v>1073</v>
      </c>
      <c r="N3102">
        <f>VLOOKUP(F3102,Sheet2!$B$1:$E$19,3,FALSE)</f>
        <v>1108959</v>
      </c>
      <c r="O3102">
        <f>IF(G3102="Not available","",VLOOKUP(F3102,Sheet2!$B$1:$E$19,4,FALSE)+(G3102-1))</f>
        <v>3780055</v>
      </c>
    </row>
    <row r="3103" spans="1:15" s="1" customFormat="1" ht="15" customHeight="1" x14ac:dyDescent="0.25">
      <c r="A3103" s="18" t="s">
        <v>380</v>
      </c>
      <c r="B3103" s="18" t="s">
        <v>9</v>
      </c>
      <c r="C3103" s="5">
        <v>1812</v>
      </c>
      <c r="E3103" s="1" t="s">
        <v>2</v>
      </c>
      <c r="F3103" s="18">
        <v>2173</v>
      </c>
      <c r="G3103" s="18">
        <v>59</v>
      </c>
      <c r="H3103" s="14" t="s">
        <v>2985</v>
      </c>
      <c r="I3103" s="1">
        <v>111</v>
      </c>
      <c r="J3103" s="1">
        <v>240</v>
      </c>
      <c r="L3103" t="str">
        <f t="shared" si="48"/>
        <v>http://www.badatelna.eu/reprodukce/?fondId=1073&amp;zaznamId=1108959&amp;reproId=3780052</v>
      </c>
      <c r="M3103">
        <f>VLOOKUP(F3103,Sheet2!$B$1:$E$19,2,FALSE)</f>
        <v>1073</v>
      </c>
      <c r="N3103">
        <f>VLOOKUP(F3103,Sheet2!$B$1:$E$19,3,FALSE)</f>
        <v>1108959</v>
      </c>
      <c r="O3103">
        <f>IF(G3103="Not available","",VLOOKUP(F3103,Sheet2!$B$1:$E$19,4,FALSE)+(G3103-1))</f>
        <v>3780052</v>
      </c>
    </row>
    <row r="3104" spans="1:15" s="1" customFormat="1" ht="15" customHeight="1" x14ac:dyDescent="0.25">
      <c r="A3104" s="19" t="s">
        <v>380</v>
      </c>
      <c r="B3104" s="19" t="s">
        <v>64</v>
      </c>
      <c r="C3104" s="5">
        <v>1799</v>
      </c>
      <c r="E3104" s="1" t="s">
        <v>2</v>
      </c>
      <c r="F3104" s="18">
        <v>2173</v>
      </c>
      <c r="G3104" s="18">
        <v>39</v>
      </c>
      <c r="H3104" s="5">
        <v>73</v>
      </c>
      <c r="I3104" s="1">
        <v>110</v>
      </c>
      <c r="J3104" s="1">
        <v>239</v>
      </c>
      <c r="L3104" t="str">
        <f t="shared" si="48"/>
        <v>http://www.badatelna.eu/reprodukce/?fondId=1073&amp;zaznamId=1108959&amp;reproId=3780032</v>
      </c>
      <c r="M3104">
        <f>VLOOKUP(F3104,Sheet2!$B$1:$E$19,2,FALSE)</f>
        <v>1073</v>
      </c>
      <c r="N3104">
        <f>VLOOKUP(F3104,Sheet2!$B$1:$E$19,3,FALSE)</f>
        <v>1108959</v>
      </c>
      <c r="O3104">
        <f>IF(G3104="Not available","",VLOOKUP(F3104,Sheet2!$B$1:$E$19,4,FALSE)+(G3104-1))</f>
        <v>3780032</v>
      </c>
    </row>
    <row r="3105" spans="1:15" s="1" customFormat="1" ht="15" customHeight="1" x14ac:dyDescent="0.25">
      <c r="A3105" s="18" t="s">
        <v>380</v>
      </c>
      <c r="B3105" s="18" t="s">
        <v>64</v>
      </c>
      <c r="C3105" s="5">
        <v>1811</v>
      </c>
      <c r="E3105" s="1" t="s">
        <v>2</v>
      </c>
      <c r="F3105" s="18">
        <v>2173</v>
      </c>
      <c r="G3105" s="18">
        <v>57</v>
      </c>
      <c r="H3105" s="14" t="s">
        <v>2983</v>
      </c>
      <c r="I3105" s="1">
        <v>111</v>
      </c>
      <c r="J3105" s="1">
        <v>240</v>
      </c>
      <c r="L3105" t="str">
        <f t="shared" si="48"/>
        <v>http://www.badatelna.eu/reprodukce/?fondId=1073&amp;zaznamId=1108959&amp;reproId=3780050</v>
      </c>
      <c r="M3105">
        <f>VLOOKUP(F3105,Sheet2!$B$1:$E$19,2,FALSE)</f>
        <v>1073</v>
      </c>
      <c r="N3105">
        <f>VLOOKUP(F3105,Sheet2!$B$1:$E$19,3,FALSE)</f>
        <v>1108959</v>
      </c>
      <c r="O3105">
        <f>IF(G3105="Not available","",VLOOKUP(F3105,Sheet2!$B$1:$E$19,4,FALSE)+(G3105-1))</f>
        <v>3780050</v>
      </c>
    </row>
    <row r="3106" spans="1:15" s="1" customFormat="1" ht="15" customHeight="1" x14ac:dyDescent="0.25">
      <c r="A3106" s="18" t="s">
        <v>380</v>
      </c>
      <c r="B3106" s="18" t="s">
        <v>75</v>
      </c>
      <c r="C3106" s="5">
        <v>1805</v>
      </c>
      <c r="E3106" s="1" t="s">
        <v>2</v>
      </c>
      <c r="F3106" s="18">
        <v>2173</v>
      </c>
      <c r="G3106" s="18">
        <v>49</v>
      </c>
      <c r="H3106" s="5">
        <v>92</v>
      </c>
      <c r="I3106" s="1">
        <v>111</v>
      </c>
      <c r="J3106" s="1">
        <v>240</v>
      </c>
      <c r="L3106" t="str">
        <f t="shared" si="48"/>
        <v>http://www.badatelna.eu/reprodukce/?fondId=1073&amp;zaznamId=1108959&amp;reproId=3780042</v>
      </c>
      <c r="M3106">
        <f>VLOOKUP(F3106,Sheet2!$B$1:$E$19,2,FALSE)</f>
        <v>1073</v>
      </c>
      <c r="N3106">
        <f>VLOOKUP(F3106,Sheet2!$B$1:$E$19,3,FALSE)</f>
        <v>1108959</v>
      </c>
      <c r="O3106">
        <f>IF(G3106="Not available","",VLOOKUP(F3106,Sheet2!$B$1:$E$19,4,FALSE)+(G3106-1))</f>
        <v>3780042</v>
      </c>
    </row>
    <row r="3107" spans="1:15" s="1" customFormat="1" ht="15" customHeight="1" x14ac:dyDescent="0.25">
      <c r="A3107" s="18" t="s">
        <v>380</v>
      </c>
      <c r="B3107" s="18" t="s">
        <v>75</v>
      </c>
      <c r="C3107" s="5">
        <v>1824</v>
      </c>
      <c r="E3107" s="1" t="s">
        <v>2</v>
      </c>
      <c r="F3107" s="18">
        <v>2173</v>
      </c>
      <c r="G3107" s="18">
        <v>75</v>
      </c>
      <c r="H3107" s="5">
        <v>143</v>
      </c>
      <c r="I3107" s="1">
        <v>111</v>
      </c>
      <c r="J3107" s="1">
        <v>241</v>
      </c>
      <c r="L3107" t="str">
        <f t="shared" si="48"/>
        <v>http://www.badatelna.eu/reprodukce/?fondId=1073&amp;zaznamId=1108959&amp;reproId=3780068</v>
      </c>
      <c r="M3107">
        <f>VLOOKUP(F3107,Sheet2!$B$1:$E$19,2,FALSE)</f>
        <v>1073</v>
      </c>
      <c r="N3107">
        <f>VLOOKUP(F3107,Sheet2!$B$1:$E$19,3,FALSE)</f>
        <v>1108959</v>
      </c>
      <c r="O3107">
        <f>IF(G3107="Not available","",VLOOKUP(F3107,Sheet2!$B$1:$E$19,4,FALSE)+(G3107-1))</f>
        <v>3780068</v>
      </c>
    </row>
    <row r="3108" spans="1:15" s="1" customFormat="1" ht="15" customHeight="1" x14ac:dyDescent="0.25">
      <c r="A3108" s="18" t="s">
        <v>380</v>
      </c>
      <c r="B3108" s="18" t="s">
        <v>312</v>
      </c>
      <c r="C3108" s="5">
        <v>1826</v>
      </c>
      <c r="E3108" s="1" t="s">
        <v>2</v>
      </c>
      <c r="F3108" s="18">
        <v>2173</v>
      </c>
      <c r="G3108" s="18">
        <v>78</v>
      </c>
      <c r="H3108" s="5">
        <v>149</v>
      </c>
      <c r="I3108" s="1">
        <v>111</v>
      </c>
      <c r="J3108" s="1">
        <v>241</v>
      </c>
      <c r="L3108" t="str">
        <f t="shared" si="48"/>
        <v>http://www.badatelna.eu/reprodukce/?fondId=1073&amp;zaznamId=1108959&amp;reproId=3780071</v>
      </c>
      <c r="M3108">
        <f>VLOOKUP(F3108,Sheet2!$B$1:$E$19,2,FALSE)</f>
        <v>1073</v>
      </c>
      <c r="N3108">
        <f>VLOOKUP(F3108,Sheet2!$B$1:$E$19,3,FALSE)</f>
        <v>1108959</v>
      </c>
      <c r="O3108">
        <f>IF(G3108="Not available","",VLOOKUP(F3108,Sheet2!$B$1:$E$19,4,FALSE)+(G3108-1))</f>
        <v>3780071</v>
      </c>
    </row>
    <row r="3109" spans="1:15" s="1" customFormat="1" ht="15" customHeight="1" x14ac:dyDescent="0.25">
      <c r="A3109" s="18" t="s">
        <v>380</v>
      </c>
      <c r="B3109" s="18" t="s">
        <v>120</v>
      </c>
      <c r="C3109" s="5">
        <v>1827</v>
      </c>
      <c r="E3109" s="1" t="s">
        <v>2</v>
      </c>
      <c r="F3109" s="18">
        <v>2173</v>
      </c>
      <c r="G3109" s="18">
        <v>79</v>
      </c>
      <c r="H3109" s="5">
        <v>151</v>
      </c>
      <c r="I3109" s="1">
        <v>111</v>
      </c>
      <c r="J3109" s="1">
        <v>241</v>
      </c>
      <c r="L3109" t="str">
        <f t="shared" si="48"/>
        <v>http://www.badatelna.eu/reprodukce/?fondId=1073&amp;zaznamId=1108959&amp;reproId=3780072</v>
      </c>
      <c r="M3109">
        <f>VLOOKUP(F3109,Sheet2!$B$1:$E$19,2,FALSE)</f>
        <v>1073</v>
      </c>
      <c r="N3109">
        <f>VLOOKUP(F3109,Sheet2!$B$1:$E$19,3,FALSE)</f>
        <v>1108959</v>
      </c>
      <c r="O3109">
        <f>IF(G3109="Not available","",VLOOKUP(F3109,Sheet2!$B$1:$E$19,4,FALSE)+(G3109-1))</f>
        <v>3780072</v>
      </c>
    </row>
    <row r="3110" spans="1:15" s="1" customFormat="1" ht="15" customHeight="1" x14ac:dyDescent="0.25">
      <c r="A3110" s="18" t="s">
        <v>380</v>
      </c>
      <c r="B3110" s="18" t="s">
        <v>133</v>
      </c>
      <c r="C3110" s="5">
        <v>1818</v>
      </c>
      <c r="E3110" s="1" t="s">
        <v>2</v>
      </c>
      <c r="F3110" s="18">
        <v>2173</v>
      </c>
      <c r="G3110" s="18">
        <v>67</v>
      </c>
      <c r="H3110" s="6" t="s">
        <v>2999</v>
      </c>
      <c r="I3110" s="1">
        <v>111</v>
      </c>
      <c r="J3110" s="1">
        <v>241</v>
      </c>
      <c r="L3110" t="str">
        <f t="shared" si="48"/>
        <v>http://www.badatelna.eu/reprodukce/?fondId=1073&amp;zaznamId=1108959&amp;reproId=3780060</v>
      </c>
      <c r="M3110">
        <f>VLOOKUP(F3110,Sheet2!$B$1:$E$19,2,FALSE)</f>
        <v>1073</v>
      </c>
      <c r="N3110">
        <f>VLOOKUP(F3110,Sheet2!$B$1:$E$19,3,FALSE)</f>
        <v>1108959</v>
      </c>
      <c r="O3110">
        <f>IF(G3110="Not available","",VLOOKUP(F3110,Sheet2!$B$1:$E$19,4,FALSE)+(G3110-1))</f>
        <v>3780060</v>
      </c>
    </row>
    <row r="3111" spans="1:15" s="1" customFormat="1" ht="15" customHeight="1" x14ac:dyDescent="0.25">
      <c r="A3111" s="18" t="s">
        <v>380</v>
      </c>
      <c r="B3111" s="18" t="s">
        <v>13</v>
      </c>
      <c r="C3111" s="6" t="s">
        <v>2981</v>
      </c>
      <c r="E3111" s="1" t="s">
        <v>2</v>
      </c>
      <c r="F3111" s="18">
        <v>2173</v>
      </c>
      <c r="G3111" s="18">
        <v>56</v>
      </c>
      <c r="H3111" s="6" t="s">
        <v>2980</v>
      </c>
      <c r="I3111" s="1">
        <v>111</v>
      </c>
      <c r="J3111" s="1">
        <v>240</v>
      </c>
      <c r="L3111" t="str">
        <f t="shared" si="48"/>
        <v>http://www.badatelna.eu/reprodukce/?fondId=1073&amp;zaznamId=1108959&amp;reproId=3780049</v>
      </c>
      <c r="M3111">
        <f>VLOOKUP(F3111,Sheet2!$B$1:$E$19,2,FALSE)</f>
        <v>1073</v>
      </c>
      <c r="N3111">
        <f>VLOOKUP(F3111,Sheet2!$B$1:$E$19,3,FALSE)</f>
        <v>1108959</v>
      </c>
      <c r="O3111">
        <f>IF(G3111="Not available","",VLOOKUP(F3111,Sheet2!$B$1:$E$19,4,FALSE)+(G3111-1))</f>
        <v>3780049</v>
      </c>
    </row>
    <row r="3112" spans="1:15" s="1" customFormat="1" ht="15" customHeight="1" x14ac:dyDescent="0.25">
      <c r="A3112" s="18" t="s">
        <v>380</v>
      </c>
      <c r="B3112" s="18" t="s">
        <v>398</v>
      </c>
      <c r="C3112" s="5">
        <v>1829</v>
      </c>
      <c r="E3112" s="1" t="s">
        <v>2</v>
      </c>
      <c r="F3112" s="18">
        <v>2173</v>
      </c>
      <c r="G3112" s="18">
        <v>85</v>
      </c>
      <c r="H3112" s="5">
        <v>160</v>
      </c>
      <c r="I3112" s="1">
        <v>111</v>
      </c>
      <c r="J3112" s="1">
        <v>241</v>
      </c>
      <c r="L3112" t="str">
        <f t="shared" si="48"/>
        <v>http://www.badatelna.eu/reprodukce/?fondId=1073&amp;zaznamId=1108959&amp;reproId=3780078</v>
      </c>
      <c r="M3112">
        <f>VLOOKUP(F3112,Sheet2!$B$1:$E$19,2,FALSE)</f>
        <v>1073</v>
      </c>
      <c r="N3112">
        <f>VLOOKUP(F3112,Sheet2!$B$1:$E$19,3,FALSE)</f>
        <v>1108959</v>
      </c>
      <c r="O3112">
        <f>IF(G3112="Not available","",VLOOKUP(F3112,Sheet2!$B$1:$E$19,4,FALSE)+(G3112-1))</f>
        <v>3780078</v>
      </c>
    </row>
    <row r="3113" spans="1:15" s="1" customFormat="1" ht="15" customHeight="1" x14ac:dyDescent="0.25">
      <c r="A3113" s="18" t="s">
        <v>380</v>
      </c>
      <c r="B3113" s="18" t="s">
        <v>145</v>
      </c>
      <c r="C3113" s="5">
        <v>1805</v>
      </c>
      <c r="E3113" s="1" t="s">
        <v>2</v>
      </c>
      <c r="F3113" s="18">
        <v>2173</v>
      </c>
      <c r="G3113" s="18">
        <v>49</v>
      </c>
      <c r="H3113" s="5">
        <v>93</v>
      </c>
      <c r="I3113" s="1">
        <v>111</v>
      </c>
      <c r="J3113" s="1">
        <v>240</v>
      </c>
      <c r="L3113" t="str">
        <f t="shared" si="48"/>
        <v>http://www.badatelna.eu/reprodukce/?fondId=1073&amp;zaznamId=1108959&amp;reproId=3780042</v>
      </c>
      <c r="M3113">
        <f>VLOOKUP(F3113,Sheet2!$B$1:$E$19,2,FALSE)</f>
        <v>1073</v>
      </c>
      <c r="N3113">
        <f>VLOOKUP(F3113,Sheet2!$B$1:$E$19,3,FALSE)</f>
        <v>1108959</v>
      </c>
      <c r="O3113">
        <f>IF(G3113="Not available","",VLOOKUP(F3113,Sheet2!$B$1:$E$19,4,FALSE)+(G3113-1))</f>
        <v>3780042</v>
      </c>
    </row>
    <row r="3114" spans="1:15" s="1" customFormat="1" ht="15" customHeight="1" x14ac:dyDescent="0.25">
      <c r="A3114" s="18" t="s">
        <v>380</v>
      </c>
      <c r="B3114" s="18" t="s">
        <v>381</v>
      </c>
      <c r="C3114" s="5">
        <v>1824</v>
      </c>
      <c r="E3114" s="1" t="s">
        <v>2</v>
      </c>
      <c r="F3114" s="18">
        <v>2173</v>
      </c>
      <c r="G3114" s="18">
        <v>75</v>
      </c>
      <c r="H3114" s="5">
        <v>143</v>
      </c>
      <c r="I3114" s="1">
        <v>111</v>
      </c>
      <c r="J3114" s="1">
        <v>241</v>
      </c>
      <c r="L3114" t="str">
        <f t="shared" si="48"/>
        <v>http://www.badatelna.eu/reprodukce/?fondId=1073&amp;zaznamId=1108959&amp;reproId=3780068</v>
      </c>
      <c r="M3114">
        <f>VLOOKUP(F3114,Sheet2!$B$1:$E$19,2,FALSE)</f>
        <v>1073</v>
      </c>
      <c r="N3114">
        <f>VLOOKUP(F3114,Sheet2!$B$1:$E$19,3,FALSE)</f>
        <v>1108959</v>
      </c>
      <c r="O3114">
        <f>IF(G3114="Not available","",VLOOKUP(F3114,Sheet2!$B$1:$E$19,4,FALSE)+(G3114-1))</f>
        <v>3780068</v>
      </c>
    </row>
    <row r="3115" spans="1:15" s="1" customFormat="1" ht="15" customHeight="1" x14ac:dyDescent="0.25">
      <c r="A3115" s="19" t="s">
        <v>380</v>
      </c>
      <c r="B3115" s="19" t="s">
        <v>244</v>
      </c>
      <c r="C3115" s="5">
        <v>1800</v>
      </c>
      <c r="E3115" s="1" t="s">
        <v>2</v>
      </c>
      <c r="F3115" s="18">
        <v>2173</v>
      </c>
      <c r="G3115" s="18">
        <v>43</v>
      </c>
      <c r="H3115" s="5">
        <v>81</v>
      </c>
      <c r="I3115" s="1">
        <v>110</v>
      </c>
      <c r="J3115" s="1">
        <v>239</v>
      </c>
      <c r="L3115" t="str">
        <f t="shared" si="48"/>
        <v>http://www.badatelna.eu/reprodukce/?fondId=1073&amp;zaznamId=1108959&amp;reproId=3780036</v>
      </c>
      <c r="M3115">
        <f>VLOOKUP(F3115,Sheet2!$B$1:$E$19,2,FALSE)</f>
        <v>1073</v>
      </c>
      <c r="N3115">
        <f>VLOOKUP(F3115,Sheet2!$B$1:$E$19,3,FALSE)</f>
        <v>1108959</v>
      </c>
      <c r="O3115">
        <f>IF(G3115="Not available","",VLOOKUP(F3115,Sheet2!$B$1:$E$19,4,FALSE)+(G3115-1))</f>
        <v>3780036</v>
      </c>
    </row>
    <row r="3116" spans="1:15" s="1" customFormat="1" ht="15" customHeight="1" x14ac:dyDescent="0.25">
      <c r="A3116" s="18" t="s">
        <v>380</v>
      </c>
      <c r="B3116" s="18" t="s">
        <v>17</v>
      </c>
      <c r="C3116" s="5">
        <v>1826</v>
      </c>
      <c r="E3116" s="1" t="s">
        <v>2</v>
      </c>
      <c r="F3116" s="18">
        <v>2173</v>
      </c>
      <c r="G3116" s="18">
        <v>79</v>
      </c>
      <c r="H3116" s="5">
        <v>150</v>
      </c>
      <c r="I3116" s="1">
        <v>111</v>
      </c>
      <c r="J3116" s="1">
        <v>241</v>
      </c>
      <c r="L3116" t="str">
        <f t="shared" si="48"/>
        <v>http://www.badatelna.eu/reprodukce/?fondId=1073&amp;zaznamId=1108959&amp;reproId=3780072</v>
      </c>
      <c r="M3116">
        <f>VLOOKUP(F3116,Sheet2!$B$1:$E$19,2,FALSE)</f>
        <v>1073</v>
      </c>
      <c r="N3116">
        <f>VLOOKUP(F3116,Sheet2!$B$1:$E$19,3,FALSE)</f>
        <v>1108959</v>
      </c>
      <c r="O3116">
        <f>IF(G3116="Not available","",VLOOKUP(F3116,Sheet2!$B$1:$E$19,4,FALSE)+(G3116-1))</f>
        <v>3780072</v>
      </c>
    </row>
    <row r="3117" spans="1:15" s="1" customFormat="1" ht="15" customHeight="1" x14ac:dyDescent="0.25">
      <c r="A3117" s="18" t="s">
        <v>380</v>
      </c>
      <c r="B3117" s="18" t="s">
        <v>23</v>
      </c>
      <c r="C3117" s="5">
        <v>1802</v>
      </c>
      <c r="E3117" s="1" t="s">
        <v>2</v>
      </c>
      <c r="F3117" s="18">
        <v>2173</v>
      </c>
      <c r="G3117" s="18">
        <v>45</v>
      </c>
      <c r="H3117" s="5">
        <v>85</v>
      </c>
      <c r="I3117" s="1">
        <v>111</v>
      </c>
      <c r="J3117" s="1">
        <v>240</v>
      </c>
      <c r="L3117" t="str">
        <f t="shared" si="48"/>
        <v>http://www.badatelna.eu/reprodukce/?fondId=1073&amp;zaznamId=1108959&amp;reproId=3780038</v>
      </c>
      <c r="M3117">
        <f>VLOOKUP(F3117,Sheet2!$B$1:$E$19,2,FALSE)</f>
        <v>1073</v>
      </c>
      <c r="N3117">
        <f>VLOOKUP(F3117,Sheet2!$B$1:$E$19,3,FALSE)</f>
        <v>1108959</v>
      </c>
      <c r="O3117">
        <f>IF(G3117="Not available","",VLOOKUP(F3117,Sheet2!$B$1:$E$19,4,FALSE)+(G3117-1))</f>
        <v>3780038</v>
      </c>
    </row>
    <row r="3118" spans="1:15" s="1" customFormat="1" ht="15" customHeight="1" x14ac:dyDescent="0.25">
      <c r="A3118" s="18" t="s">
        <v>380</v>
      </c>
      <c r="B3118" s="18" t="s">
        <v>23</v>
      </c>
      <c r="C3118" s="5">
        <v>1813</v>
      </c>
      <c r="E3118" s="1" t="s">
        <v>2</v>
      </c>
      <c r="F3118" s="18">
        <v>2173</v>
      </c>
      <c r="G3118" s="18">
        <v>61</v>
      </c>
      <c r="H3118" s="5">
        <v>117</v>
      </c>
      <c r="I3118" s="1">
        <v>111</v>
      </c>
      <c r="J3118" s="1">
        <v>240</v>
      </c>
      <c r="L3118" t="str">
        <f t="shared" si="48"/>
        <v>http://www.badatelna.eu/reprodukce/?fondId=1073&amp;zaznamId=1108959&amp;reproId=3780054</v>
      </c>
      <c r="M3118">
        <f>VLOOKUP(F3118,Sheet2!$B$1:$E$19,2,FALSE)</f>
        <v>1073</v>
      </c>
      <c r="N3118">
        <f>VLOOKUP(F3118,Sheet2!$B$1:$E$19,3,FALSE)</f>
        <v>1108959</v>
      </c>
      <c r="O3118">
        <f>IF(G3118="Not available","",VLOOKUP(F3118,Sheet2!$B$1:$E$19,4,FALSE)+(G3118-1))</f>
        <v>3780054</v>
      </c>
    </row>
    <row r="3119" spans="1:15" s="1" customFormat="1" ht="15" customHeight="1" x14ac:dyDescent="0.25">
      <c r="A3119" s="18" t="s">
        <v>380</v>
      </c>
      <c r="B3119" s="18" t="s">
        <v>23</v>
      </c>
      <c r="C3119" s="5">
        <v>1819</v>
      </c>
      <c r="E3119" s="1" t="s">
        <v>2</v>
      </c>
      <c r="F3119" s="18">
        <v>2173</v>
      </c>
      <c r="G3119" s="18">
        <v>70</v>
      </c>
      <c r="H3119" s="5">
        <v>132</v>
      </c>
      <c r="I3119" s="1">
        <v>111</v>
      </c>
      <c r="J3119" s="1">
        <v>240</v>
      </c>
      <c r="L3119" t="str">
        <f t="shared" si="48"/>
        <v>http://www.badatelna.eu/reprodukce/?fondId=1073&amp;zaznamId=1108959&amp;reproId=3780063</v>
      </c>
      <c r="M3119">
        <f>VLOOKUP(F3119,Sheet2!$B$1:$E$19,2,FALSE)</f>
        <v>1073</v>
      </c>
      <c r="N3119">
        <f>VLOOKUP(F3119,Sheet2!$B$1:$E$19,3,FALSE)</f>
        <v>1108959</v>
      </c>
      <c r="O3119">
        <f>IF(G3119="Not available","",VLOOKUP(F3119,Sheet2!$B$1:$E$19,4,FALSE)+(G3119-1))</f>
        <v>3780063</v>
      </c>
    </row>
    <row r="3120" spans="1:15" s="1" customFormat="1" ht="15" customHeight="1" x14ac:dyDescent="0.25">
      <c r="A3120" s="18" t="s">
        <v>380</v>
      </c>
      <c r="B3120" s="18" t="s">
        <v>288</v>
      </c>
      <c r="C3120" s="5">
        <v>1817</v>
      </c>
      <c r="E3120" s="1" t="s">
        <v>2</v>
      </c>
      <c r="F3120" s="18">
        <v>2173</v>
      </c>
      <c r="G3120" s="18">
        <v>66</v>
      </c>
      <c r="H3120" s="5">
        <v>127</v>
      </c>
      <c r="I3120" s="1">
        <v>111</v>
      </c>
      <c r="J3120" s="1">
        <v>241</v>
      </c>
      <c r="L3120" t="str">
        <f t="shared" si="48"/>
        <v>http://www.badatelna.eu/reprodukce/?fondId=1073&amp;zaznamId=1108959&amp;reproId=3780059</v>
      </c>
      <c r="M3120">
        <f>VLOOKUP(F3120,Sheet2!$B$1:$E$19,2,FALSE)</f>
        <v>1073</v>
      </c>
      <c r="N3120">
        <f>VLOOKUP(F3120,Sheet2!$B$1:$E$19,3,FALSE)</f>
        <v>1108959</v>
      </c>
      <c r="O3120">
        <f>IF(G3120="Not available","",VLOOKUP(F3120,Sheet2!$B$1:$E$19,4,FALSE)+(G3120-1))</f>
        <v>3780059</v>
      </c>
    </row>
    <row r="3121" spans="1:15" s="1" customFormat="1" ht="15" customHeight="1" x14ac:dyDescent="0.25">
      <c r="A3121" s="18" t="s">
        <v>380</v>
      </c>
      <c r="B3121" s="19" t="s">
        <v>2987</v>
      </c>
      <c r="C3121" s="5">
        <v>1829</v>
      </c>
      <c r="E3121" s="1" t="s">
        <v>2</v>
      </c>
      <c r="F3121" s="18">
        <v>2173</v>
      </c>
      <c r="G3121" s="18">
        <v>82</v>
      </c>
      <c r="H3121" s="5">
        <v>157</v>
      </c>
      <c r="I3121" s="1">
        <v>111</v>
      </c>
      <c r="J3121" s="1">
        <v>241</v>
      </c>
      <c r="L3121" t="str">
        <f t="shared" si="48"/>
        <v>http://www.badatelna.eu/reprodukce/?fondId=1073&amp;zaznamId=1108959&amp;reproId=3780075</v>
      </c>
      <c r="M3121">
        <f>VLOOKUP(F3121,Sheet2!$B$1:$E$19,2,FALSE)</f>
        <v>1073</v>
      </c>
      <c r="N3121">
        <f>VLOOKUP(F3121,Sheet2!$B$1:$E$19,3,FALSE)</f>
        <v>1108959</v>
      </c>
      <c r="O3121">
        <f>IF(G3121="Not available","",VLOOKUP(F3121,Sheet2!$B$1:$E$19,4,FALSE)+(G3121-1))</f>
        <v>3780075</v>
      </c>
    </row>
    <row r="3122" spans="1:15" s="1" customFormat="1" ht="15" customHeight="1" x14ac:dyDescent="0.25">
      <c r="A3122" s="19" t="s">
        <v>390</v>
      </c>
      <c r="B3122" s="18" t="s">
        <v>6</v>
      </c>
      <c r="C3122" s="5">
        <v>1812</v>
      </c>
      <c r="E3122" s="1" t="s">
        <v>2</v>
      </c>
      <c r="F3122" s="18">
        <v>2173</v>
      </c>
      <c r="G3122" s="18">
        <v>62</v>
      </c>
      <c r="H3122" s="6" t="s">
        <v>2976</v>
      </c>
      <c r="I3122" s="1">
        <v>111</v>
      </c>
      <c r="J3122" s="1">
        <v>240</v>
      </c>
      <c r="L3122" t="str">
        <f t="shared" si="48"/>
        <v>http://www.badatelna.eu/reprodukce/?fondId=1073&amp;zaznamId=1108959&amp;reproId=3780055</v>
      </c>
      <c r="M3122">
        <f>VLOOKUP(F3122,Sheet2!$B$1:$E$19,2,FALSE)</f>
        <v>1073</v>
      </c>
      <c r="N3122">
        <f>VLOOKUP(F3122,Sheet2!$B$1:$E$19,3,FALSE)</f>
        <v>1108959</v>
      </c>
      <c r="O3122">
        <f>IF(G3122="Not available","",VLOOKUP(F3122,Sheet2!$B$1:$E$19,4,FALSE)+(G3122-1))</f>
        <v>3780055</v>
      </c>
    </row>
    <row r="3123" spans="1:15" s="1" customFormat="1" ht="15" customHeight="1" x14ac:dyDescent="0.25">
      <c r="A3123" s="18" t="s">
        <v>390</v>
      </c>
      <c r="B3123" s="19" t="s">
        <v>1052</v>
      </c>
      <c r="C3123" s="5">
        <v>1859</v>
      </c>
      <c r="E3123" s="1" t="s">
        <v>939</v>
      </c>
      <c r="F3123" s="18">
        <v>999</v>
      </c>
      <c r="G3123" s="18">
        <v>15</v>
      </c>
      <c r="H3123" s="5">
        <v>13</v>
      </c>
      <c r="I3123" s="1">
        <v>74</v>
      </c>
      <c r="J3123" s="1">
        <v>108</v>
      </c>
      <c r="L3123" t="str">
        <f t="shared" si="48"/>
        <v>http://www.badatelna.eu/reprodukce/?fondId=241&amp;zaznamId=1133739&amp;reproId=3885744</v>
      </c>
      <c r="M3123">
        <f>VLOOKUP(F3123,Sheet2!$B$1:$E$19,2,FALSE)</f>
        <v>241</v>
      </c>
      <c r="N3123">
        <f>VLOOKUP(F3123,Sheet2!$B$1:$E$19,3,FALSE)</f>
        <v>1133739</v>
      </c>
      <c r="O3123">
        <f>IF(G3123="Not available","",VLOOKUP(F3123,Sheet2!$B$1:$E$19,4,FALSE)+(G3123-1))</f>
        <v>3885744</v>
      </c>
    </row>
    <row r="3124" spans="1:15" s="1" customFormat="1" ht="15" customHeight="1" x14ac:dyDescent="0.25">
      <c r="A3124" s="18" t="s">
        <v>390</v>
      </c>
      <c r="B3124" s="18" t="s">
        <v>23</v>
      </c>
      <c r="C3124" s="5">
        <v>1806</v>
      </c>
      <c r="E3124" s="1" t="s">
        <v>2</v>
      </c>
      <c r="F3124" s="18">
        <v>2173</v>
      </c>
      <c r="G3124" s="18">
        <v>51</v>
      </c>
      <c r="H3124" s="5">
        <v>97</v>
      </c>
      <c r="I3124" s="1">
        <v>111</v>
      </c>
      <c r="J3124" s="1">
        <v>240</v>
      </c>
      <c r="L3124" t="str">
        <f t="shared" si="48"/>
        <v>http://www.badatelna.eu/reprodukce/?fondId=1073&amp;zaznamId=1108959&amp;reproId=3780044</v>
      </c>
      <c r="M3124">
        <f>VLOOKUP(F3124,Sheet2!$B$1:$E$19,2,FALSE)</f>
        <v>1073</v>
      </c>
      <c r="N3124">
        <f>VLOOKUP(F3124,Sheet2!$B$1:$E$19,3,FALSE)</f>
        <v>1108959</v>
      </c>
      <c r="O3124">
        <f>IF(G3124="Not available","",VLOOKUP(F3124,Sheet2!$B$1:$E$19,4,FALSE)+(G3124-1))</f>
        <v>3780044</v>
      </c>
    </row>
    <row r="3125" spans="1:15" s="1" customFormat="1" ht="15" customHeight="1" x14ac:dyDescent="0.25">
      <c r="A3125" s="18" t="s">
        <v>365</v>
      </c>
      <c r="B3125" s="18" t="s">
        <v>3305</v>
      </c>
      <c r="C3125" s="5">
        <v>1862</v>
      </c>
      <c r="D3125" s="4" t="s">
        <v>304</v>
      </c>
      <c r="E3125" s="1" t="s">
        <v>939</v>
      </c>
      <c r="F3125" s="18">
        <v>999</v>
      </c>
      <c r="G3125" s="18">
        <v>38</v>
      </c>
      <c r="H3125" s="5">
        <v>36</v>
      </c>
      <c r="I3125" s="1">
        <v>74</v>
      </c>
      <c r="J3125" s="1">
        <v>108</v>
      </c>
      <c r="L3125" t="str">
        <f t="shared" si="48"/>
        <v>http://www.badatelna.eu/reprodukce/?fondId=241&amp;zaznamId=1133739&amp;reproId=3885767</v>
      </c>
      <c r="M3125">
        <f>VLOOKUP(F3125,Sheet2!$B$1:$E$19,2,FALSE)</f>
        <v>241</v>
      </c>
      <c r="N3125">
        <f>VLOOKUP(F3125,Sheet2!$B$1:$E$19,3,FALSE)</f>
        <v>1133739</v>
      </c>
      <c r="O3125">
        <f>IF(G3125="Not available","",VLOOKUP(F3125,Sheet2!$B$1:$E$19,4,FALSE)+(G3125-1))</f>
        <v>3885767</v>
      </c>
    </row>
    <row r="3126" spans="1:15" s="1" customFormat="1" ht="15" customHeight="1" x14ac:dyDescent="0.25">
      <c r="A3126" s="18" t="s">
        <v>365</v>
      </c>
      <c r="B3126" s="18" t="s">
        <v>50</v>
      </c>
      <c r="C3126" s="5">
        <v>1833</v>
      </c>
      <c r="D3126" s="1" t="s">
        <v>34</v>
      </c>
      <c r="E3126" s="1" t="s">
        <v>2</v>
      </c>
      <c r="F3126" s="18">
        <v>2174</v>
      </c>
      <c r="G3126" s="18">
        <v>84</v>
      </c>
      <c r="H3126" s="6" t="s">
        <v>3136</v>
      </c>
      <c r="I3126" s="1">
        <v>196</v>
      </c>
      <c r="J3126" s="1">
        <v>231</v>
      </c>
      <c r="L3126" t="str">
        <f t="shared" si="48"/>
        <v>http://www.badatelna.eu/reprodukce/?fondId=1073&amp;zaznamId=1108960&amp;reproId=3780308</v>
      </c>
      <c r="M3126">
        <f>VLOOKUP(F3126,Sheet2!$B$1:$E$19,2,FALSE)</f>
        <v>1073</v>
      </c>
      <c r="N3126">
        <f>VLOOKUP(F3126,Sheet2!$B$1:$E$19,3,FALSE)</f>
        <v>1108960</v>
      </c>
      <c r="O3126">
        <f>IF(G3126="Not available","",VLOOKUP(F3126,Sheet2!$B$1:$E$19,4,FALSE)+(G3126-1))</f>
        <v>3780308</v>
      </c>
    </row>
    <row r="3127" spans="1:15" s="1" customFormat="1" ht="15" customHeight="1" x14ac:dyDescent="0.25">
      <c r="A3127" s="18" t="s">
        <v>365</v>
      </c>
      <c r="B3127" s="19" t="s">
        <v>1020</v>
      </c>
      <c r="C3127" s="5">
        <v>1862</v>
      </c>
      <c r="E3127" s="1" t="s">
        <v>939</v>
      </c>
      <c r="F3127" s="18">
        <v>999</v>
      </c>
      <c r="G3127" s="18">
        <v>36</v>
      </c>
      <c r="H3127" s="5">
        <v>34</v>
      </c>
      <c r="I3127" s="1">
        <v>74</v>
      </c>
      <c r="J3127" s="1">
        <v>108</v>
      </c>
      <c r="L3127" t="str">
        <f t="shared" si="48"/>
        <v>http://www.badatelna.eu/reprodukce/?fondId=241&amp;zaznamId=1133739&amp;reproId=3885765</v>
      </c>
      <c r="M3127">
        <f>VLOOKUP(F3127,Sheet2!$B$1:$E$19,2,FALSE)</f>
        <v>241</v>
      </c>
      <c r="N3127">
        <f>VLOOKUP(F3127,Sheet2!$B$1:$E$19,3,FALSE)</f>
        <v>1133739</v>
      </c>
      <c r="O3127">
        <f>IF(G3127="Not available","",VLOOKUP(F3127,Sheet2!$B$1:$E$19,4,FALSE)+(G3127-1))</f>
        <v>3885765</v>
      </c>
    </row>
    <row r="3128" spans="1:15" s="1" customFormat="1" ht="15" customHeight="1" x14ac:dyDescent="0.25">
      <c r="A3128" s="18" t="s">
        <v>365</v>
      </c>
      <c r="B3128" s="18" t="s">
        <v>477</v>
      </c>
      <c r="C3128" s="5">
        <v>1854</v>
      </c>
      <c r="D3128" s="1" t="s">
        <v>133</v>
      </c>
      <c r="E3128" s="1" t="s">
        <v>2</v>
      </c>
      <c r="F3128" s="18">
        <v>2164</v>
      </c>
      <c r="G3128" s="18">
        <v>96</v>
      </c>
      <c r="H3128" s="5">
        <v>94</v>
      </c>
      <c r="I3128" s="1">
        <v>136</v>
      </c>
      <c r="J3128" s="3" t="s">
        <v>3271</v>
      </c>
      <c r="L3128" t="str">
        <f t="shared" si="48"/>
        <v>http://www.badatelna.eu/reprodukce/?fondId=1073&amp;zaznamId=1108951&amp;reproId=3778810</v>
      </c>
      <c r="M3128">
        <f>VLOOKUP(F3128,Sheet2!$B$1:$E$19,2,FALSE)</f>
        <v>1073</v>
      </c>
      <c r="N3128">
        <f>VLOOKUP(F3128,Sheet2!$B$1:$E$19,3,FALSE)</f>
        <v>1108951</v>
      </c>
      <c r="O3128">
        <f>IF(G3128="Not available","",VLOOKUP(F3128,Sheet2!$B$1:$E$19,4,FALSE)+(G3128-1))</f>
        <v>3778810</v>
      </c>
    </row>
    <row r="3129" spans="1:15" s="1" customFormat="1" ht="15" customHeight="1" x14ac:dyDescent="0.25">
      <c r="A3129" s="18" t="s">
        <v>365</v>
      </c>
      <c r="B3129" s="18" t="s">
        <v>1278</v>
      </c>
      <c r="C3129" s="10" t="s">
        <v>2041</v>
      </c>
      <c r="D3129" s="3" t="s">
        <v>2833</v>
      </c>
      <c r="E3129" s="4" t="s">
        <v>2</v>
      </c>
      <c r="F3129" s="18">
        <v>2176</v>
      </c>
      <c r="G3129" s="18" t="s">
        <v>3271</v>
      </c>
      <c r="H3129" s="10" t="s">
        <v>2436</v>
      </c>
      <c r="I3129" s="3">
        <v>34</v>
      </c>
      <c r="J3129" s="3" t="s">
        <v>3271</v>
      </c>
      <c r="K3129" s="3"/>
      <c r="L3129" t="str">
        <f t="shared" si="48"/>
        <v/>
      </c>
      <c r="M3129">
        <f>VLOOKUP(F3129,Sheet2!$B$1:$E$19,2,FALSE)</f>
        <v>1073</v>
      </c>
      <c r="N3129">
        <f>VLOOKUP(F3129,Sheet2!$B$1:$E$19,3,FALSE)</f>
        <v>1108963</v>
      </c>
      <c r="O3129" t="str">
        <f>IF(G3129="Not available","",VLOOKUP(F3129,Sheet2!$B$1:$E$19,4,FALSE)+(G3129-1))</f>
        <v/>
      </c>
    </row>
    <row r="3130" spans="1:15" s="1" customFormat="1" ht="15" customHeight="1" x14ac:dyDescent="0.25">
      <c r="A3130" s="18" t="s">
        <v>365</v>
      </c>
      <c r="B3130" s="18" t="s">
        <v>196</v>
      </c>
      <c r="C3130" s="5">
        <v>1843</v>
      </c>
      <c r="D3130" s="1" t="s">
        <v>40</v>
      </c>
      <c r="E3130" s="1" t="s">
        <v>2</v>
      </c>
      <c r="F3130" s="18">
        <v>2174</v>
      </c>
      <c r="G3130" s="18">
        <v>142</v>
      </c>
      <c r="H3130" s="6" t="s">
        <v>3208</v>
      </c>
      <c r="I3130" s="1">
        <v>197</v>
      </c>
      <c r="J3130" s="1">
        <v>232</v>
      </c>
      <c r="L3130" t="str">
        <f t="shared" si="48"/>
        <v>http://www.badatelna.eu/reprodukce/?fondId=1073&amp;zaznamId=1108960&amp;reproId=3780366</v>
      </c>
      <c r="M3130">
        <f>VLOOKUP(F3130,Sheet2!$B$1:$E$19,2,FALSE)</f>
        <v>1073</v>
      </c>
      <c r="N3130">
        <f>VLOOKUP(F3130,Sheet2!$B$1:$E$19,3,FALSE)</f>
        <v>1108960</v>
      </c>
      <c r="O3130">
        <f>IF(G3130="Not available","",VLOOKUP(F3130,Sheet2!$B$1:$E$19,4,FALSE)+(G3130-1))</f>
        <v>3780366</v>
      </c>
    </row>
    <row r="3131" spans="1:15" s="1" customFormat="1" ht="15" customHeight="1" x14ac:dyDescent="0.25">
      <c r="A3131" s="18" t="s">
        <v>365</v>
      </c>
      <c r="B3131" s="18" t="s">
        <v>1977</v>
      </c>
      <c r="C3131" s="10" t="s">
        <v>2596</v>
      </c>
      <c r="D3131" s="3" t="s">
        <v>2595</v>
      </c>
      <c r="E3131" s="4" t="s">
        <v>2</v>
      </c>
      <c r="F3131" s="18">
        <v>2176</v>
      </c>
      <c r="G3131" s="18" t="s">
        <v>3271</v>
      </c>
      <c r="H3131" s="10" t="s">
        <v>1979</v>
      </c>
      <c r="I3131" s="3">
        <v>34</v>
      </c>
      <c r="J3131" s="3" t="s">
        <v>3271</v>
      </c>
      <c r="L3131" t="str">
        <f t="shared" si="48"/>
        <v/>
      </c>
      <c r="M3131">
        <f>VLOOKUP(F3131,Sheet2!$B$1:$E$19,2,FALSE)</f>
        <v>1073</v>
      </c>
      <c r="N3131">
        <f>VLOOKUP(F3131,Sheet2!$B$1:$E$19,3,FALSE)</f>
        <v>1108963</v>
      </c>
      <c r="O3131" t="str">
        <f>IF(G3131="Not available","",VLOOKUP(F3131,Sheet2!$B$1:$E$19,4,FALSE)+(G3131-1))</f>
        <v/>
      </c>
    </row>
    <row r="3132" spans="1:15" s="1" customFormat="1" ht="15" customHeight="1" x14ac:dyDescent="0.25">
      <c r="A3132" s="18" t="s">
        <v>365</v>
      </c>
      <c r="B3132" s="18" t="s">
        <v>2096</v>
      </c>
      <c r="C3132" s="10" t="s">
        <v>1969</v>
      </c>
      <c r="D3132" s="3" t="s">
        <v>2547</v>
      </c>
      <c r="E3132" s="4" t="s">
        <v>2</v>
      </c>
      <c r="F3132" s="18">
        <v>2176</v>
      </c>
      <c r="G3132" s="18" t="s">
        <v>3271</v>
      </c>
      <c r="H3132" s="10" t="s">
        <v>2509</v>
      </c>
      <c r="I3132" s="3">
        <v>33</v>
      </c>
      <c r="J3132" s="3" t="s">
        <v>3271</v>
      </c>
      <c r="L3132" t="str">
        <f t="shared" si="48"/>
        <v/>
      </c>
      <c r="M3132">
        <f>VLOOKUP(F3132,Sheet2!$B$1:$E$19,2,FALSE)</f>
        <v>1073</v>
      </c>
      <c r="N3132">
        <f>VLOOKUP(F3132,Sheet2!$B$1:$E$19,3,FALSE)</f>
        <v>1108963</v>
      </c>
      <c r="O3132" t="str">
        <f>IF(G3132="Not available","",VLOOKUP(F3132,Sheet2!$B$1:$E$19,4,FALSE)+(G3132-1))</f>
        <v/>
      </c>
    </row>
    <row r="3133" spans="1:15" s="1" customFormat="1" ht="15" customHeight="1" x14ac:dyDescent="0.25">
      <c r="A3133" s="18" t="s">
        <v>365</v>
      </c>
      <c r="B3133" s="18" t="s">
        <v>849</v>
      </c>
      <c r="C3133" s="5" t="s">
        <v>1562</v>
      </c>
      <c r="D3133" s="1" t="s">
        <v>219</v>
      </c>
      <c r="E3133" s="1" t="s">
        <v>2</v>
      </c>
      <c r="F3133" s="18">
        <v>2165</v>
      </c>
      <c r="G3133" s="18">
        <v>62</v>
      </c>
      <c r="H3133" s="5">
        <v>59</v>
      </c>
      <c r="I3133" s="1">
        <v>91</v>
      </c>
      <c r="J3133" s="1" t="s">
        <v>3271</v>
      </c>
      <c r="L3133" t="str">
        <f t="shared" si="48"/>
        <v>http://www.badatelna.eu/reprodukce/?fondId=1073&amp;zaznamId=1108952&amp;reproId=3778923</v>
      </c>
      <c r="M3133">
        <f>VLOOKUP(F3133,Sheet2!$B$1:$E$19,2,FALSE)</f>
        <v>1073</v>
      </c>
      <c r="N3133">
        <f>VLOOKUP(F3133,Sheet2!$B$1:$E$19,3,FALSE)</f>
        <v>1108952</v>
      </c>
      <c r="O3133">
        <f>IF(G3133="Not available","",VLOOKUP(F3133,Sheet2!$B$1:$E$19,4,FALSE)+(G3133-1))</f>
        <v>3778923</v>
      </c>
    </row>
    <row r="3134" spans="1:15" s="1" customFormat="1" ht="15" customHeight="1" x14ac:dyDescent="0.25">
      <c r="A3134" s="18" t="s">
        <v>365</v>
      </c>
      <c r="B3134" s="18" t="s">
        <v>849</v>
      </c>
      <c r="C3134" s="5" t="s">
        <v>1561</v>
      </c>
      <c r="D3134" s="1" t="s">
        <v>1074</v>
      </c>
      <c r="E3134" s="1" t="s">
        <v>2</v>
      </c>
      <c r="F3134" s="18">
        <v>2165</v>
      </c>
      <c r="G3134" s="18">
        <v>60</v>
      </c>
      <c r="H3134" s="5">
        <v>57</v>
      </c>
      <c r="I3134" s="1">
        <v>91</v>
      </c>
      <c r="J3134" s="1" t="s">
        <v>3271</v>
      </c>
      <c r="L3134" t="str">
        <f t="shared" si="48"/>
        <v>http://www.badatelna.eu/reprodukce/?fondId=1073&amp;zaznamId=1108952&amp;reproId=3778921</v>
      </c>
      <c r="M3134">
        <f>VLOOKUP(F3134,Sheet2!$B$1:$E$19,2,FALSE)</f>
        <v>1073</v>
      </c>
      <c r="N3134">
        <f>VLOOKUP(F3134,Sheet2!$B$1:$E$19,3,FALSE)</f>
        <v>1108952</v>
      </c>
      <c r="O3134">
        <f>IF(G3134="Not available","",VLOOKUP(F3134,Sheet2!$B$1:$E$19,4,FALSE)+(G3134-1))</f>
        <v>3778921</v>
      </c>
    </row>
    <row r="3135" spans="1:15" s="1" customFormat="1" ht="15" customHeight="1" x14ac:dyDescent="0.25">
      <c r="A3135" s="18" t="s">
        <v>365</v>
      </c>
      <c r="B3135" s="18" t="s">
        <v>547</v>
      </c>
      <c r="C3135" s="5">
        <v>1839</v>
      </c>
      <c r="D3135" s="1" t="s">
        <v>71</v>
      </c>
      <c r="E3135" s="1" t="s">
        <v>2</v>
      </c>
      <c r="F3135" s="18">
        <v>2174</v>
      </c>
      <c r="G3135" s="18">
        <v>106</v>
      </c>
      <c r="H3135" s="6" t="s">
        <v>3173</v>
      </c>
      <c r="I3135" s="1">
        <v>197</v>
      </c>
      <c r="J3135" s="1">
        <v>232</v>
      </c>
      <c r="L3135" t="str">
        <f t="shared" si="48"/>
        <v>http://www.badatelna.eu/reprodukce/?fondId=1073&amp;zaznamId=1108960&amp;reproId=3780330</v>
      </c>
      <c r="M3135">
        <f>VLOOKUP(F3135,Sheet2!$B$1:$E$19,2,FALSE)</f>
        <v>1073</v>
      </c>
      <c r="N3135">
        <f>VLOOKUP(F3135,Sheet2!$B$1:$E$19,3,FALSE)</f>
        <v>1108960</v>
      </c>
      <c r="O3135">
        <f>IF(G3135="Not available","",VLOOKUP(F3135,Sheet2!$B$1:$E$19,4,FALSE)+(G3135-1))</f>
        <v>3780330</v>
      </c>
    </row>
    <row r="3136" spans="1:15" s="1" customFormat="1" ht="15" customHeight="1" x14ac:dyDescent="0.25">
      <c r="A3136" s="18" t="s">
        <v>365</v>
      </c>
      <c r="B3136" s="18" t="s">
        <v>482</v>
      </c>
      <c r="C3136" s="5">
        <v>1837</v>
      </c>
      <c r="D3136" s="1" t="s">
        <v>40</v>
      </c>
      <c r="E3136" s="1" t="s">
        <v>2</v>
      </c>
      <c r="F3136" s="18">
        <v>2174</v>
      </c>
      <c r="G3136" s="18">
        <v>94</v>
      </c>
      <c r="H3136" s="6" t="s">
        <v>3160</v>
      </c>
      <c r="I3136" s="1">
        <v>197</v>
      </c>
      <c r="J3136" s="1">
        <v>232</v>
      </c>
      <c r="L3136" t="str">
        <f t="shared" si="48"/>
        <v>http://www.badatelna.eu/reprodukce/?fondId=1073&amp;zaznamId=1108960&amp;reproId=3780318</v>
      </c>
      <c r="M3136">
        <f>VLOOKUP(F3136,Sheet2!$B$1:$E$19,2,FALSE)</f>
        <v>1073</v>
      </c>
      <c r="N3136">
        <f>VLOOKUP(F3136,Sheet2!$B$1:$E$19,3,FALSE)</f>
        <v>1108960</v>
      </c>
      <c r="O3136">
        <f>IF(G3136="Not available","",VLOOKUP(F3136,Sheet2!$B$1:$E$19,4,FALSE)+(G3136-1))</f>
        <v>3780318</v>
      </c>
    </row>
    <row r="3137" spans="1:15" s="1" customFormat="1" ht="15" customHeight="1" x14ac:dyDescent="0.25">
      <c r="A3137" s="18" t="s">
        <v>365</v>
      </c>
      <c r="B3137" s="18" t="s">
        <v>482</v>
      </c>
      <c r="C3137" s="5" t="s">
        <v>1537</v>
      </c>
      <c r="D3137" s="1" t="s">
        <v>546</v>
      </c>
      <c r="E3137" s="1" t="s">
        <v>2</v>
      </c>
      <c r="F3137" s="18">
        <v>2165</v>
      </c>
      <c r="G3137" s="18">
        <v>34</v>
      </c>
      <c r="H3137" s="5">
        <v>31</v>
      </c>
      <c r="I3137" s="1">
        <v>90</v>
      </c>
      <c r="J3137" s="1" t="s">
        <v>3271</v>
      </c>
      <c r="L3137" t="str">
        <f t="shared" si="48"/>
        <v>http://www.badatelna.eu/reprodukce/?fondId=1073&amp;zaznamId=1108952&amp;reproId=3778895</v>
      </c>
      <c r="M3137">
        <f>VLOOKUP(F3137,Sheet2!$B$1:$E$19,2,FALSE)</f>
        <v>1073</v>
      </c>
      <c r="N3137">
        <f>VLOOKUP(F3137,Sheet2!$B$1:$E$19,3,FALSE)</f>
        <v>1108952</v>
      </c>
      <c r="O3137">
        <f>IF(G3137="Not available","",VLOOKUP(F3137,Sheet2!$B$1:$E$19,4,FALSE)+(G3137-1))</f>
        <v>3778895</v>
      </c>
    </row>
    <row r="3138" spans="1:15" s="1" customFormat="1" ht="15" customHeight="1" x14ac:dyDescent="0.25">
      <c r="A3138" s="18" t="s">
        <v>365</v>
      </c>
      <c r="B3138" s="18" t="s">
        <v>1071</v>
      </c>
      <c r="C3138" s="5" t="s">
        <v>1379</v>
      </c>
      <c r="D3138" s="1" t="s">
        <v>998</v>
      </c>
      <c r="E3138" s="1" t="s">
        <v>2</v>
      </c>
      <c r="F3138" s="18">
        <v>2165</v>
      </c>
      <c r="G3138" s="18">
        <v>56</v>
      </c>
      <c r="H3138" s="5">
        <v>53</v>
      </c>
      <c r="I3138" s="1">
        <v>91</v>
      </c>
      <c r="J3138" s="1" t="s">
        <v>3271</v>
      </c>
      <c r="L3138" t="str">
        <f t="shared" si="48"/>
        <v>http://www.badatelna.eu/reprodukce/?fondId=1073&amp;zaznamId=1108952&amp;reproId=3778917</v>
      </c>
      <c r="M3138">
        <f>VLOOKUP(F3138,Sheet2!$B$1:$E$19,2,FALSE)</f>
        <v>1073</v>
      </c>
      <c r="N3138">
        <f>VLOOKUP(F3138,Sheet2!$B$1:$E$19,3,FALSE)</f>
        <v>1108952</v>
      </c>
      <c r="O3138">
        <f>IF(G3138="Not available","",VLOOKUP(F3138,Sheet2!$B$1:$E$19,4,FALSE)+(G3138-1))</f>
        <v>3778917</v>
      </c>
    </row>
    <row r="3139" spans="1:15" s="1" customFormat="1" ht="15" customHeight="1" x14ac:dyDescent="0.25">
      <c r="A3139" s="18" t="s">
        <v>365</v>
      </c>
      <c r="B3139" s="18" t="s">
        <v>546</v>
      </c>
      <c r="C3139" s="5">
        <v>1843</v>
      </c>
      <c r="D3139" s="1" t="s">
        <v>6</v>
      </c>
      <c r="E3139" s="1" t="s">
        <v>2</v>
      </c>
      <c r="F3139" s="18">
        <v>2174</v>
      </c>
      <c r="G3139" s="18">
        <v>134</v>
      </c>
      <c r="H3139" s="6" t="s">
        <v>3201</v>
      </c>
      <c r="I3139" s="1">
        <v>197</v>
      </c>
      <c r="J3139" s="1">
        <v>232</v>
      </c>
      <c r="L3139" t="str">
        <f t="shared" ref="L3139:L3202" si="49">IF(G3139="Not available","","http://www.badatelna.eu/reprodukce/?fondId="&amp;M3139&amp;"&amp;zaznamId="&amp;N3139&amp;"&amp;reproId="&amp;O3139)</f>
        <v>http://www.badatelna.eu/reprodukce/?fondId=1073&amp;zaznamId=1108960&amp;reproId=3780358</v>
      </c>
      <c r="M3139">
        <f>VLOOKUP(F3139,Sheet2!$B$1:$E$19,2,FALSE)</f>
        <v>1073</v>
      </c>
      <c r="N3139">
        <f>VLOOKUP(F3139,Sheet2!$B$1:$E$19,3,FALSE)</f>
        <v>1108960</v>
      </c>
      <c r="O3139">
        <f>IF(G3139="Not available","",VLOOKUP(F3139,Sheet2!$B$1:$E$19,4,FALSE)+(G3139-1))</f>
        <v>3780358</v>
      </c>
    </row>
    <row r="3140" spans="1:15" s="1" customFormat="1" ht="15" customHeight="1" x14ac:dyDescent="0.25">
      <c r="A3140" s="18" t="s">
        <v>365</v>
      </c>
      <c r="B3140" s="18" t="s">
        <v>191</v>
      </c>
      <c r="C3140" s="5">
        <v>1851</v>
      </c>
      <c r="D3140" s="1" t="s">
        <v>71</v>
      </c>
      <c r="E3140" s="1" t="s">
        <v>2</v>
      </c>
      <c r="F3140" s="18">
        <v>2164</v>
      </c>
      <c r="G3140" s="18">
        <v>77</v>
      </c>
      <c r="H3140" s="5">
        <v>75</v>
      </c>
      <c r="I3140" s="1">
        <v>136</v>
      </c>
      <c r="J3140" s="3" t="s">
        <v>3271</v>
      </c>
      <c r="L3140" t="str">
        <f t="shared" si="49"/>
        <v>http://www.badatelna.eu/reprodukce/?fondId=1073&amp;zaznamId=1108951&amp;reproId=3778791</v>
      </c>
      <c r="M3140">
        <f>VLOOKUP(F3140,Sheet2!$B$1:$E$19,2,FALSE)</f>
        <v>1073</v>
      </c>
      <c r="N3140">
        <f>VLOOKUP(F3140,Sheet2!$B$1:$E$19,3,FALSE)</f>
        <v>1108951</v>
      </c>
      <c r="O3140">
        <f>IF(G3140="Not available","",VLOOKUP(F3140,Sheet2!$B$1:$E$19,4,FALSE)+(G3140-1))</f>
        <v>3778791</v>
      </c>
    </row>
    <row r="3141" spans="1:15" s="1" customFormat="1" ht="15" customHeight="1" x14ac:dyDescent="0.25">
      <c r="A3141" s="18" t="s">
        <v>365</v>
      </c>
      <c r="B3141" s="18" t="s">
        <v>1126</v>
      </c>
      <c r="C3141" s="10" t="s">
        <v>2025</v>
      </c>
      <c r="D3141" s="3" t="s">
        <v>2572</v>
      </c>
      <c r="E3141" s="4" t="s">
        <v>2</v>
      </c>
      <c r="F3141" s="18">
        <v>2176</v>
      </c>
      <c r="G3141" s="18" t="s">
        <v>3271</v>
      </c>
      <c r="H3141" s="10" t="s">
        <v>2470</v>
      </c>
      <c r="I3141" s="3">
        <v>33</v>
      </c>
      <c r="J3141" s="3" t="s">
        <v>3271</v>
      </c>
      <c r="K3141" s="3"/>
      <c r="L3141" t="str">
        <f t="shared" si="49"/>
        <v/>
      </c>
      <c r="M3141">
        <f>VLOOKUP(F3141,Sheet2!$B$1:$E$19,2,FALSE)</f>
        <v>1073</v>
      </c>
      <c r="N3141">
        <f>VLOOKUP(F3141,Sheet2!$B$1:$E$19,3,FALSE)</f>
        <v>1108963</v>
      </c>
      <c r="O3141" t="str">
        <f>IF(G3141="Not available","",VLOOKUP(F3141,Sheet2!$B$1:$E$19,4,FALSE)+(G3141-1))</f>
        <v/>
      </c>
    </row>
    <row r="3142" spans="1:15" s="1" customFormat="1" ht="15" customHeight="1" x14ac:dyDescent="0.25">
      <c r="A3142" s="18" t="s">
        <v>365</v>
      </c>
      <c r="B3142" s="18" t="s">
        <v>1126</v>
      </c>
      <c r="C3142" s="10" t="s">
        <v>1285</v>
      </c>
      <c r="D3142" s="3" t="s">
        <v>2568</v>
      </c>
      <c r="E3142" s="4" t="s">
        <v>2</v>
      </c>
      <c r="F3142" s="18">
        <v>2176</v>
      </c>
      <c r="G3142" s="18" t="s">
        <v>3271</v>
      </c>
      <c r="H3142" s="10" t="s">
        <v>2080</v>
      </c>
      <c r="I3142" s="3">
        <v>34</v>
      </c>
      <c r="J3142" s="3" t="s">
        <v>3271</v>
      </c>
      <c r="K3142" s="3"/>
      <c r="L3142" t="str">
        <f t="shared" si="49"/>
        <v/>
      </c>
      <c r="M3142">
        <f>VLOOKUP(F3142,Sheet2!$B$1:$E$19,2,FALSE)</f>
        <v>1073</v>
      </c>
      <c r="N3142">
        <f>VLOOKUP(F3142,Sheet2!$B$1:$E$19,3,FALSE)</f>
        <v>1108963</v>
      </c>
      <c r="O3142" t="str">
        <f>IF(G3142="Not available","",VLOOKUP(F3142,Sheet2!$B$1:$E$19,4,FALSE)+(G3142-1))</f>
        <v/>
      </c>
    </row>
    <row r="3143" spans="1:15" s="1" customFormat="1" ht="15" customHeight="1" x14ac:dyDescent="0.25">
      <c r="A3143" s="18" t="s">
        <v>365</v>
      </c>
      <c r="B3143" s="18" t="s">
        <v>9</v>
      </c>
      <c r="C3143" s="5" t="s">
        <v>1526</v>
      </c>
      <c r="D3143" s="1" t="s">
        <v>58</v>
      </c>
      <c r="E3143" s="1" t="s">
        <v>2</v>
      </c>
      <c r="F3143" s="18">
        <v>2165</v>
      </c>
      <c r="G3143" s="18">
        <v>18</v>
      </c>
      <c r="H3143" s="5">
        <v>15</v>
      </c>
      <c r="I3143" s="1">
        <v>90</v>
      </c>
      <c r="J3143" s="1" t="s">
        <v>3271</v>
      </c>
      <c r="L3143" t="str">
        <f t="shared" si="49"/>
        <v>http://www.badatelna.eu/reprodukce/?fondId=1073&amp;zaznamId=1108952&amp;reproId=3778879</v>
      </c>
      <c r="M3143">
        <f>VLOOKUP(F3143,Sheet2!$B$1:$E$19,2,FALSE)</f>
        <v>1073</v>
      </c>
      <c r="N3143">
        <f>VLOOKUP(F3143,Sheet2!$B$1:$E$19,3,FALSE)</f>
        <v>1108952</v>
      </c>
      <c r="O3143">
        <f>IF(G3143="Not available","",VLOOKUP(F3143,Sheet2!$B$1:$E$19,4,FALSE)+(G3143-1))</f>
        <v>3778879</v>
      </c>
    </row>
    <row r="3144" spans="1:15" s="1" customFormat="1" ht="15" customHeight="1" x14ac:dyDescent="0.25">
      <c r="A3144" s="18" t="s">
        <v>365</v>
      </c>
      <c r="B3144" s="19" t="s">
        <v>769</v>
      </c>
      <c r="C3144" s="5">
        <v>1863</v>
      </c>
      <c r="D3144" s="4" t="s">
        <v>304</v>
      </c>
      <c r="E3144" s="1" t="s">
        <v>939</v>
      </c>
      <c r="F3144" s="18">
        <v>999</v>
      </c>
      <c r="G3144" s="18">
        <v>45</v>
      </c>
      <c r="H3144" s="5">
        <v>43</v>
      </c>
      <c r="I3144" s="1">
        <v>74</v>
      </c>
      <c r="J3144" s="1">
        <v>108</v>
      </c>
      <c r="L3144" t="str">
        <f t="shared" si="49"/>
        <v>http://www.badatelna.eu/reprodukce/?fondId=241&amp;zaznamId=1133739&amp;reproId=3885774</v>
      </c>
      <c r="M3144">
        <f>VLOOKUP(F3144,Sheet2!$B$1:$E$19,2,FALSE)</f>
        <v>241</v>
      </c>
      <c r="N3144">
        <f>VLOOKUP(F3144,Sheet2!$B$1:$E$19,3,FALSE)</f>
        <v>1133739</v>
      </c>
      <c r="O3144">
        <f>IF(G3144="Not available","",VLOOKUP(F3144,Sheet2!$B$1:$E$19,4,FALSE)+(G3144-1))</f>
        <v>3885774</v>
      </c>
    </row>
    <row r="3145" spans="1:15" s="1" customFormat="1" ht="15" customHeight="1" x14ac:dyDescent="0.25">
      <c r="A3145" s="18" t="s">
        <v>365</v>
      </c>
      <c r="B3145" s="18" t="s">
        <v>769</v>
      </c>
      <c r="C3145" s="10" t="s">
        <v>2026</v>
      </c>
      <c r="D3145" s="3" t="s">
        <v>2572</v>
      </c>
      <c r="E3145" s="4" t="s">
        <v>2</v>
      </c>
      <c r="F3145" s="18">
        <v>2176</v>
      </c>
      <c r="G3145" s="18" t="s">
        <v>3271</v>
      </c>
      <c r="H3145" s="10" t="s">
        <v>1976</v>
      </c>
      <c r="I3145" s="3">
        <v>34</v>
      </c>
      <c r="J3145" s="3" t="s">
        <v>3271</v>
      </c>
      <c r="K3145" s="3"/>
      <c r="L3145" t="str">
        <f t="shared" si="49"/>
        <v/>
      </c>
      <c r="M3145">
        <f>VLOOKUP(F3145,Sheet2!$B$1:$E$19,2,FALSE)</f>
        <v>1073</v>
      </c>
      <c r="N3145">
        <f>VLOOKUP(F3145,Sheet2!$B$1:$E$19,3,FALSE)</f>
        <v>1108963</v>
      </c>
      <c r="O3145" t="str">
        <f>IF(G3145="Not available","",VLOOKUP(F3145,Sheet2!$B$1:$E$19,4,FALSE)+(G3145-1))</f>
        <v/>
      </c>
    </row>
    <row r="3146" spans="1:15" s="1" customFormat="1" ht="15" customHeight="1" x14ac:dyDescent="0.25">
      <c r="A3146" s="18" t="s">
        <v>365</v>
      </c>
      <c r="B3146" s="18" t="s">
        <v>769</v>
      </c>
      <c r="C3146" s="5" t="s">
        <v>1530</v>
      </c>
      <c r="D3146" s="1" t="s">
        <v>58</v>
      </c>
      <c r="E3146" s="1" t="s">
        <v>2</v>
      </c>
      <c r="F3146" s="18">
        <v>2165</v>
      </c>
      <c r="G3146" s="18">
        <v>24</v>
      </c>
      <c r="H3146" s="5">
        <v>21</v>
      </c>
      <c r="I3146" s="1">
        <v>90</v>
      </c>
      <c r="J3146" s="1" t="s">
        <v>3271</v>
      </c>
      <c r="L3146" t="str">
        <f t="shared" si="49"/>
        <v>http://www.badatelna.eu/reprodukce/?fondId=1073&amp;zaznamId=1108952&amp;reproId=3778885</v>
      </c>
      <c r="M3146">
        <f>VLOOKUP(F3146,Sheet2!$B$1:$E$19,2,FALSE)</f>
        <v>1073</v>
      </c>
      <c r="N3146">
        <f>VLOOKUP(F3146,Sheet2!$B$1:$E$19,3,FALSE)</f>
        <v>1108952</v>
      </c>
      <c r="O3146">
        <f>IF(G3146="Not available","",VLOOKUP(F3146,Sheet2!$B$1:$E$19,4,FALSE)+(G3146-1))</f>
        <v>3778885</v>
      </c>
    </row>
    <row r="3147" spans="1:15" s="1" customFormat="1" ht="15" customHeight="1" x14ac:dyDescent="0.25">
      <c r="A3147" s="18" t="s">
        <v>365</v>
      </c>
      <c r="B3147" s="18" t="s">
        <v>769</v>
      </c>
      <c r="C3147" s="5" t="s">
        <v>1563</v>
      </c>
      <c r="D3147" s="1" t="s">
        <v>546</v>
      </c>
      <c r="E3147" s="1" t="s">
        <v>2</v>
      </c>
      <c r="F3147" s="18">
        <v>2165</v>
      </c>
      <c r="G3147" s="18">
        <v>62</v>
      </c>
      <c r="H3147" s="5">
        <v>59</v>
      </c>
      <c r="I3147" s="1">
        <v>91</v>
      </c>
      <c r="J3147" s="1" t="s">
        <v>3271</v>
      </c>
      <c r="L3147" t="str">
        <f t="shared" si="49"/>
        <v>http://www.badatelna.eu/reprodukce/?fondId=1073&amp;zaznamId=1108952&amp;reproId=3778923</v>
      </c>
      <c r="M3147">
        <f>VLOOKUP(F3147,Sheet2!$B$1:$E$19,2,FALSE)</f>
        <v>1073</v>
      </c>
      <c r="N3147">
        <f>VLOOKUP(F3147,Sheet2!$B$1:$E$19,3,FALSE)</f>
        <v>1108952</v>
      </c>
      <c r="O3147">
        <f>IF(G3147="Not available","",VLOOKUP(F3147,Sheet2!$B$1:$E$19,4,FALSE)+(G3147-1))</f>
        <v>3778923</v>
      </c>
    </row>
    <row r="3148" spans="1:15" s="1" customFormat="1" ht="15" customHeight="1" x14ac:dyDescent="0.25">
      <c r="A3148" s="18" t="s">
        <v>365</v>
      </c>
      <c r="B3148" s="18" t="s">
        <v>769</v>
      </c>
      <c r="C3148" s="5" t="s">
        <v>1724</v>
      </c>
      <c r="D3148" s="1" t="s">
        <v>44</v>
      </c>
      <c r="E3148" s="1" t="s">
        <v>2</v>
      </c>
      <c r="F3148" s="18">
        <v>2165</v>
      </c>
      <c r="G3148" s="18">
        <v>166</v>
      </c>
      <c r="H3148" s="5">
        <v>2</v>
      </c>
      <c r="I3148" s="1">
        <v>171</v>
      </c>
      <c r="J3148" s="1">
        <v>149</v>
      </c>
      <c r="L3148" t="str">
        <f t="shared" si="49"/>
        <v>http://www.badatelna.eu/reprodukce/?fondId=1073&amp;zaznamId=1108952&amp;reproId=3779027</v>
      </c>
      <c r="M3148">
        <f>VLOOKUP(F3148,Sheet2!$B$1:$E$19,2,FALSE)</f>
        <v>1073</v>
      </c>
      <c r="N3148">
        <f>VLOOKUP(F3148,Sheet2!$B$1:$E$19,3,FALSE)</f>
        <v>1108952</v>
      </c>
      <c r="O3148">
        <f>IF(G3148="Not available","",VLOOKUP(F3148,Sheet2!$B$1:$E$19,4,FALSE)+(G3148-1))</f>
        <v>3779027</v>
      </c>
    </row>
    <row r="3149" spans="1:15" s="1" customFormat="1" ht="15" customHeight="1" x14ac:dyDescent="0.25">
      <c r="A3149" s="18" t="s">
        <v>365</v>
      </c>
      <c r="B3149" s="18" t="s">
        <v>490</v>
      </c>
      <c r="C3149" s="5">
        <v>1850</v>
      </c>
      <c r="D3149" s="1" t="s">
        <v>71</v>
      </c>
      <c r="E3149" s="1" t="s">
        <v>2</v>
      </c>
      <c r="F3149" s="18">
        <v>2164</v>
      </c>
      <c r="G3149" s="18">
        <v>68</v>
      </c>
      <c r="H3149" s="5">
        <v>66</v>
      </c>
      <c r="I3149" s="1">
        <v>136</v>
      </c>
      <c r="J3149" s="3" t="s">
        <v>3271</v>
      </c>
      <c r="L3149" t="str">
        <f t="shared" si="49"/>
        <v>http://www.badatelna.eu/reprodukce/?fondId=1073&amp;zaznamId=1108951&amp;reproId=3778782</v>
      </c>
      <c r="M3149">
        <f>VLOOKUP(F3149,Sheet2!$B$1:$E$19,2,FALSE)</f>
        <v>1073</v>
      </c>
      <c r="N3149">
        <f>VLOOKUP(F3149,Sheet2!$B$1:$E$19,3,FALSE)</f>
        <v>1108951</v>
      </c>
      <c r="O3149">
        <f>IF(G3149="Not available","",VLOOKUP(F3149,Sheet2!$B$1:$E$19,4,FALSE)+(G3149-1))</f>
        <v>3778782</v>
      </c>
    </row>
    <row r="3150" spans="1:15" s="1" customFormat="1" ht="15" customHeight="1" x14ac:dyDescent="0.25">
      <c r="A3150" s="18" t="s">
        <v>365</v>
      </c>
      <c r="B3150" s="18" t="s">
        <v>789</v>
      </c>
      <c r="C3150" s="5">
        <v>1882</v>
      </c>
      <c r="D3150" s="1" t="s">
        <v>214</v>
      </c>
      <c r="E3150" s="1" t="s">
        <v>2</v>
      </c>
      <c r="F3150" s="18">
        <v>2165</v>
      </c>
      <c r="G3150" s="18">
        <v>178</v>
      </c>
      <c r="H3150" s="5">
        <v>2</v>
      </c>
      <c r="I3150" s="1">
        <v>183</v>
      </c>
      <c r="J3150" s="1">
        <v>160</v>
      </c>
      <c r="L3150" t="str">
        <f t="shared" si="49"/>
        <v>http://www.badatelna.eu/reprodukce/?fondId=1073&amp;zaznamId=1108952&amp;reproId=3779039</v>
      </c>
      <c r="M3150">
        <f>VLOOKUP(F3150,Sheet2!$B$1:$E$19,2,FALSE)</f>
        <v>1073</v>
      </c>
      <c r="N3150">
        <f>VLOOKUP(F3150,Sheet2!$B$1:$E$19,3,FALSE)</f>
        <v>1108952</v>
      </c>
      <c r="O3150">
        <f>IF(G3150="Not available","",VLOOKUP(F3150,Sheet2!$B$1:$E$19,4,FALSE)+(G3150-1))</f>
        <v>3779039</v>
      </c>
    </row>
    <row r="3151" spans="1:15" s="1" customFormat="1" ht="15" customHeight="1" x14ac:dyDescent="0.25">
      <c r="A3151" s="18" t="s">
        <v>365</v>
      </c>
      <c r="B3151" s="18" t="s">
        <v>774</v>
      </c>
      <c r="C3151" s="5">
        <v>1849</v>
      </c>
      <c r="D3151" s="1" t="s">
        <v>6</v>
      </c>
      <c r="E3151" s="1" t="s">
        <v>2</v>
      </c>
      <c r="F3151" s="18">
        <v>2164</v>
      </c>
      <c r="G3151" s="18">
        <v>57</v>
      </c>
      <c r="H3151" s="5">
        <v>55</v>
      </c>
      <c r="I3151" s="1">
        <v>136</v>
      </c>
      <c r="J3151" s="3" t="s">
        <v>3271</v>
      </c>
      <c r="L3151" t="str">
        <f t="shared" si="49"/>
        <v>http://www.badatelna.eu/reprodukce/?fondId=1073&amp;zaznamId=1108951&amp;reproId=3778771</v>
      </c>
      <c r="M3151">
        <f>VLOOKUP(F3151,Sheet2!$B$1:$E$19,2,FALSE)</f>
        <v>1073</v>
      </c>
      <c r="N3151">
        <f>VLOOKUP(F3151,Sheet2!$B$1:$E$19,3,FALSE)</f>
        <v>1108951</v>
      </c>
      <c r="O3151">
        <f>IF(G3151="Not available","",VLOOKUP(F3151,Sheet2!$B$1:$E$19,4,FALSE)+(G3151-1))</f>
        <v>3778771</v>
      </c>
    </row>
    <row r="3152" spans="1:15" s="1" customFormat="1" ht="15" customHeight="1" x14ac:dyDescent="0.25">
      <c r="A3152" s="18" t="s">
        <v>365</v>
      </c>
      <c r="B3152" s="18" t="s">
        <v>774</v>
      </c>
      <c r="C3152" s="5">
        <v>1867</v>
      </c>
      <c r="D3152" s="1" t="s">
        <v>304</v>
      </c>
      <c r="E3152" s="1" t="s">
        <v>2</v>
      </c>
      <c r="F3152" s="18">
        <v>2165</v>
      </c>
      <c r="G3152" s="18">
        <v>208</v>
      </c>
      <c r="H3152" s="5">
        <v>2</v>
      </c>
      <c r="I3152" s="1">
        <v>211</v>
      </c>
      <c r="J3152" s="1">
        <v>187</v>
      </c>
      <c r="L3152" t="str">
        <f t="shared" si="49"/>
        <v>http://www.badatelna.eu/reprodukce/?fondId=1073&amp;zaznamId=1108952&amp;reproId=3779069</v>
      </c>
      <c r="M3152">
        <f>VLOOKUP(F3152,Sheet2!$B$1:$E$19,2,FALSE)</f>
        <v>1073</v>
      </c>
      <c r="N3152">
        <f>VLOOKUP(F3152,Sheet2!$B$1:$E$19,3,FALSE)</f>
        <v>1108952</v>
      </c>
      <c r="O3152">
        <f>IF(G3152="Not available","",VLOOKUP(F3152,Sheet2!$B$1:$E$19,4,FALSE)+(G3152-1))</f>
        <v>3779069</v>
      </c>
    </row>
    <row r="3153" spans="1:15" s="1" customFormat="1" ht="15" customHeight="1" x14ac:dyDescent="0.25">
      <c r="A3153" s="18" t="s">
        <v>365</v>
      </c>
      <c r="B3153" s="18" t="s">
        <v>774</v>
      </c>
      <c r="C3153" s="5" t="s">
        <v>1567</v>
      </c>
      <c r="D3153" s="1" t="s">
        <v>58</v>
      </c>
      <c r="E3153" s="1" t="s">
        <v>2</v>
      </c>
      <c r="F3153" s="18">
        <v>2165</v>
      </c>
      <c r="G3153" s="18">
        <v>65</v>
      </c>
      <c r="H3153" s="5">
        <v>62</v>
      </c>
      <c r="I3153" s="1">
        <v>91</v>
      </c>
      <c r="J3153" s="1" t="s">
        <v>3271</v>
      </c>
      <c r="L3153" t="str">
        <f t="shared" si="49"/>
        <v>http://www.badatelna.eu/reprodukce/?fondId=1073&amp;zaznamId=1108952&amp;reproId=3778926</v>
      </c>
      <c r="M3153">
        <f>VLOOKUP(F3153,Sheet2!$B$1:$E$19,2,FALSE)</f>
        <v>1073</v>
      </c>
      <c r="N3153">
        <f>VLOOKUP(F3153,Sheet2!$B$1:$E$19,3,FALSE)</f>
        <v>1108952</v>
      </c>
      <c r="O3153">
        <f>IF(G3153="Not available","",VLOOKUP(F3153,Sheet2!$B$1:$E$19,4,FALSE)+(G3153-1))</f>
        <v>3778926</v>
      </c>
    </row>
    <row r="3154" spans="1:15" s="1" customFormat="1" ht="15" customHeight="1" x14ac:dyDescent="0.25">
      <c r="A3154" s="18" t="s">
        <v>365</v>
      </c>
      <c r="B3154" s="19" t="s">
        <v>2871</v>
      </c>
      <c r="C3154" s="5">
        <v>1864</v>
      </c>
      <c r="D3154" s="4" t="s">
        <v>58</v>
      </c>
      <c r="E3154" s="1" t="s">
        <v>939</v>
      </c>
      <c r="F3154" s="18">
        <v>999</v>
      </c>
      <c r="G3154" s="18">
        <v>49</v>
      </c>
      <c r="H3154" s="5">
        <v>47</v>
      </c>
      <c r="I3154" s="1">
        <v>74</v>
      </c>
      <c r="J3154" s="1">
        <v>108</v>
      </c>
      <c r="L3154" t="str">
        <f t="shared" si="49"/>
        <v>http://www.badatelna.eu/reprodukce/?fondId=241&amp;zaznamId=1133739&amp;reproId=3885778</v>
      </c>
      <c r="M3154">
        <f>VLOOKUP(F3154,Sheet2!$B$1:$E$19,2,FALSE)</f>
        <v>241</v>
      </c>
      <c r="N3154">
        <f>VLOOKUP(F3154,Sheet2!$B$1:$E$19,3,FALSE)</f>
        <v>1133739</v>
      </c>
      <c r="O3154">
        <f>IF(G3154="Not available","",VLOOKUP(F3154,Sheet2!$B$1:$E$19,4,FALSE)+(G3154-1))</f>
        <v>3885778</v>
      </c>
    </row>
    <row r="3155" spans="1:15" s="1" customFormat="1" ht="15" customHeight="1" x14ac:dyDescent="0.25">
      <c r="A3155" s="18" t="s">
        <v>365</v>
      </c>
      <c r="B3155" s="18" t="s">
        <v>1069</v>
      </c>
      <c r="C3155" s="5" t="s">
        <v>1555</v>
      </c>
      <c r="D3155" s="1" t="s">
        <v>484</v>
      </c>
      <c r="E3155" s="1" t="s">
        <v>2</v>
      </c>
      <c r="F3155" s="18">
        <v>2165</v>
      </c>
      <c r="G3155" s="18">
        <v>54</v>
      </c>
      <c r="H3155" s="5">
        <v>51</v>
      </c>
      <c r="I3155" s="1">
        <v>91</v>
      </c>
      <c r="J3155" s="1" t="s">
        <v>3271</v>
      </c>
      <c r="L3155" t="str">
        <f t="shared" si="49"/>
        <v>http://www.badatelna.eu/reprodukce/?fondId=1073&amp;zaznamId=1108952&amp;reproId=3778915</v>
      </c>
      <c r="M3155">
        <f>VLOOKUP(F3155,Sheet2!$B$1:$E$19,2,FALSE)</f>
        <v>1073</v>
      </c>
      <c r="N3155">
        <f>VLOOKUP(F3155,Sheet2!$B$1:$E$19,3,FALSE)</f>
        <v>1108952</v>
      </c>
      <c r="O3155">
        <f>IF(G3155="Not available","",VLOOKUP(F3155,Sheet2!$B$1:$E$19,4,FALSE)+(G3155-1))</f>
        <v>3778915</v>
      </c>
    </row>
    <row r="3156" spans="1:15" s="1" customFormat="1" ht="15" customHeight="1" x14ac:dyDescent="0.25">
      <c r="A3156" s="18" t="s">
        <v>365</v>
      </c>
      <c r="B3156" s="18" t="s">
        <v>1136</v>
      </c>
      <c r="C3156" s="10" t="s">
        <v>2005</v>
      </c>
      <c r="D3156" s="3" t="s">
        <v>2557</v>
      </c>
      <c r="E3156" s="4" t="s">
        <v>2</v>
      </c>
      <c r="F3156" s="18">
        <v>2176</v>
      </c>
      <c r="G3156" s="18" t="s">
        <v>3271</v>
      </c>
      <c r="H3156" s="10" t="s">
        <v>2562</v>
      </c>
      <c r="I3156" s="3">
        <v>33</v>
      </c>
      <c r="J3156" s="3" t="s">
        <v>3271</v>
      </c>
      <c r="K3156" s="3"/>
      <c r="L3156" t="str">
        <f t="shared" si="49"/>
        <v/>
      </c>
      <c r="M3156">
        <f>VLOOKUP(F3156,Sheet2!$B$1:$E$19,2,FALSE)</f>
        <v>1073</v>
      </c>
      <c r="N3156">
        <f>VLOOKUP(F3156,Sheet2!$B$1:$E$19,3,FALSE)</f>
        <v>1108963</v>
      </c>
      <c r="O3156" t="str">
        <f>IF(G3156="Not available","",VLOOKUP(F3156,Sheet2!$B$1:$E$19,4,FALSE)+(G3156-1))</f>
        <v/>
      </c>
    </row>
    <row r="3157" spans="1:15" s="1" customFormat="1" ht="15" customHeight="1" x14ac:dyDescent="0.25">
      <c r="A3157" s="18" t="s">
        <v>365</v>
      </c>
      <c r="B3157" s="18" t="s">
        <v>494</v>
      </c>
      <c r="C3157" s="5">
        <v>1839</v>
      </c>
      <c r="D3157" s="1" t="s">
        <v>40</v>
      </c>
      <c r="E3157" s="1" t="s">
        <v>2</v>
      </c>
      <c r="F3157" s="18">
        <v>2174</v>
      </c>
      <c r="G3157" s="18">
        <v>107</v>
      </c>
      <c r="H3157" s="6" t="s">
        <v>3177</v>
      </c>
      <c r="I3157" s="1">
        <v>197</v>
      </c>
      <c r="J3157" s="1">
        <v>232</v>
      </c>
      <c r="L3157" t="str">
        <f t="shared" si="49"/>
        <v>http://www.badatelna.eu/reprodukce/?fondId=1073&amp;zaznamId=1108960&amp;reproId=3780331</v>
      </c>
      <c r="M3157">
        <f>VLOOKUP(F3157,Sheet2!$B$1:$E$19,2,FALSE)</f>
        <v>1073</v>
      </c>
      <c r="N3157">
        <f>VLOOKUP(F3157,Sheet2!$B$1:$E$19,3,FALSE)</f>
        <v>1108960</v>
      </c>
      <c r="O3157">
        <f>IF(G3157="Not available","",VLOOKUP(F3157,Sheet2!$B$1:$E$19,4,FALSE)+(G3157-1))</f>
        <v>3780331</v>
      </c>
    </row>
    <row r="3158" spans="1:15" s="1" customFormat="1" ht="15" customHeight="1" x14ac:dyDescent="0.25">
      <c r="A3158" s="18" t="s">
        <v>365</v>
      </c>
      <c r="B3158" s="18" t="s">
        <v>737</v>
      </c>
      <c r="C3158" s="5">
        <v>1844</v>
      </c>
      <c r="D3158" s="1" t="s">
        <v>6</v>
      </c>
      <c r="E3158" s="1" t="s">
        <v>2</v>
      </c>
      <c r="F3158" s="18">
        <v>2174</v>
      </c>
      <c r="G3158" s="18">
        <v>151</v>
      </c>
      <c r="H3158" s="6" t="s">
        <v>3218</v>
      </c>
      <c r="I3158" s="1">
        <v>197</v>
      </c>
      <c r="J3158" s="1">
        <v>233</v>
      </c>
      <c r="L3158" t="str">
        <f t="shared" si="49"/>
        <v>http://www.badatelna.eu/reprodukce/?fondId=1073&amp;zaznamId=1108960&amp;reproId=3780375</v>
      </c>
      <c r="M3158">
        <f>VLOOKUP(F3158,Sheet2!$B$1:$E$19,2,FALSE)</f>
        <v>1073</v>
      </c>
      <c r="N3158">
        <f>VLOOKUP(F3158,Sheet2!$B$1:$E$19,3,FALSE)</f>
        <v>1108960</v>
      </c>
      <c r="O3158">
        <f>IF(G3158="Not available","",VLOOKUP(F3158,Sheet2!$B$1:$E$19,4,FALSE)+(G3158-1))</f>
        <v>3780375</v>
      </c>
    </row>
    <row r="3159" spans="1:15" s="1" customFormat="1" ht="15" customHeight="1" x14ac:dyDescent="0.25">
      <c r="A3159" s="18" t="s">
        <v>365</v>
      </c>
      <c r="B3159" s="18" t="s">
        <v>739</v>
      </c>
      <c r="C3159" s="5">
        <v>1846</v>
      </c>
      <c r="D3159" s="1" t="s">
        <v>40</v>
      </c>
      <c r="E3159" s="1" t="s">
        <v>2</v>
      </c>
      <c r="F3159" s="18">
        <v>2174</v>
      </c>
      <c r="G3159" s="18">
        <v>164</v>
      </c>
      <c r="H3159" s="6" t="s">
        <v>3231</v>
      </c>
      <c r="I3159" s="1">
        <v>197</v>
      </c>
      <c r="J3159" s="1">
        <v>233</v>
      </c>
      <c r="L3159" t="str">
        <f t="shared" si="49"/>
        <v>http://www.badatelna.eu/reprodukce/?fondId=1073&amp;zaznamId=1108960&amp;reproId=3780388</v>
      </c>
      <c r="M3159">
        <f>VLOOKUP(F3159,Sheet2!$B$1:$E$19,2,FALSE)</f>
        <v>1073</v>
      </c>
      <c r="N3159">
        <f>VLOOKUP(F3159,Sheet2!$B$1:$E$19,3,FALSE)</f>
        <v>1108960</v>
      </c>
      <c r="O3159">
        <f>IF(G3159="Not available","",VLOOKUP(F3159,Sheet2!$B$1:$E$19,4,FALSE)+(G3159-1))</f>
        <v>3780388</v>
      </c>
    </row>
    <row r="3160" spans="1:15" s="1" customFormat="1" ht="15" customHeight="1" x14ac:dyDescent="0.25">
      <c r="A3160" s="18" t="s">
        <v>365</v>
      </c>
      <c r="B3160" s="18" t="s">
        <v>436</v>
      </c>
      <c r="C3160" s="5" t="s">
        <v>1532</v>
      </c>
      <c r="D3160" s="1" t="s">
        <v>24</v>
      </c>
      <c r="E3160" s="1" t="s">
        <v>2</v>
      </c>
      <c r="F3160" s="18">
        <v>2165</v>
      </c>
      <c r="G3160" s="18">
        <v>26</v>
      </c>
      <c r="H3160" s="5">
        <v>23</v>
      </c>
      <c r="I3160" s="1">
        <v>90</v>
      </c>
      <c r="J3160" s="1" t="s">
        <v>3271</v>
      </c>
      <c r="L3160" t="str">
        <f t="shared" si="49"/>
        <v>http://www.badatelna.eu/reprodukce/?fondId=1073&amp;zaznamId=1108952&amp;reproId=3778887</v>
      </c>
      <c r="M3160">
        <f>VLOOKUP(F3160,Sheet2!$B$1:$E$19,2,FALSE)</f>
        <v>1073</v>
      </c>
      <c r="N3160">
        <f>VLOOKUP(F3160,Sheet2!$B$1:$E$19,3,FALSE)</f>
        <v>1108952</v>
      </c>
      <c r="O3160">
        <f>IF(G3160="Not available","",VLOOKUP(F3160,Sheet2!$B$1:$E$19,4,FALSE)+(G3160-1))</f>
        <v>3778887</v>
      </c>
    </row>
    <row r="3161" spans="1:15" s="1" customFormat="1" ht="15" customHeight="1" x14ac:dyDescent="0.25">
      <c r="A3161" s="18" t="s">
        <v>365</v>
      </c>
      <c r="B3161" s="18" t="s">
        <v>90</v>
      </c>
      <c r="C3161" s="10" t="s">
        <v>2594</v>
      </c>
      <c r="D3161" s="3" t="s">
        <v>2595</v>
      </c>
      <c r="E3161" s="4" t="s">
        <v>2</v>
      </c>
      <c r="F3161" s="18">
        <v>2176</v>
      </c>
      <c r="G3161" s="18" t="s">
        <v>3271</v>
      </c>
      <c r="H3161" s="10" t="s">
        <v>1976</v>
      </c>
      <c r="I3161" s="3">
        <v>34</v>
      </c>
      <c r="J3161" s="3" t="s">
        <v>3271</v>
      </c>
      <c r="L3161" t="str">
        <f t="shared" si="49"/>
        <v/>
      </c>
      <c r="M3161">
        <f>VLOOKUP(F3161,Sheet2!$B$1:$E$19,2,FALSE)</f>
        <v>1073</v>
      </c>
      <c r="N3161">
        <f>VLOOKUP(F3161,Sheet2!$B$1:$E$19,3,FALSE)</f>
        <v>1108963</v>
      </c>
      <c r="O3161" t="str">
        <f>IF(G3161="Not available","",VLOOKUP(F3161,Sheet2!$B$1:$E$19,4,FALSE)+(G3161-1))</f>
        <v/>
      </c>
    </row>
    <row r="3162" spans="1:15" s="1" customFormat="1" ht="15" customHeight="1" x14ac:dyDescent="0.25">
      <c r="A3162" s="18" t="s">
        <v>365</v>
      </c>
      <c r="B3162" s="18" t="s">
        <v>129</v>
      </c>
      <c r="C3162" s="5">
        <v>1865</v>
      </c>
      <c r="D3162" s="1" t="s">
        <v>304</v>
      </c>
      <c r="E3162" s="1" t="s">
        <v>2</v>
      </c>
      <c r="F3162" s="18">
        <v>2165</v>
      </c>
      <c r="G3162" s="18">
        <v>208</v>
      </c>
      <c r="H3162" s="5">
        <v>2</v>
      </c>
      <c r="I3162" s="1">
        <v>211</v>
      </c>
      <c r="J3162" s="1">
        <v>187</v>
      </c>
      <c r="L3162" t="str">
        <f t="shared" si="49"/>
        <v>http://www.badatelna.eu/reprodukce/?fondId=1073&amp;zaznamId=1108952&amp;reproId=3779069</v>
      </c>
      <c r="M3162">
        <f>VLOOKUP(F3162,Sheet2!$B$1:$E$19,2,FALSE)</f>
        <v>1073</v>
      </c>
      <c r="N3162">
        <f>VLOOKUP(F3162,Sheet2!$B$1:$E$19,3,FALSE)</f>
        <v>1108952</v>
      </c>
      <c r="O3162">
        <f>IF(G3162="Not available","",VLOOKUP(F3162,Sheet2!$B$1:$E$19,4,FALSE)+(G3162-1))</f>
        <v>3779069</v>
      </c>
    </row>
    <row r="3163" spans="1:15" s="1" customFormat="1" ht="15" customHeight="1" x14ac:dyDescent="0.25">
      <c r="A3163" s="18" t="s">
        <v>365</v>
      </c>
      <c r="B3163" s="18" t="s">
        <v>90</v>
      </c>
      <c r="C3163" s="10" t="s">
        <v>2005</v>
      </c>
      <c r="D3163" s="3" t="s">
        <v>2561</v>
      </c>
      <c r="E3163" s="4" t="s">
        <v>2</v>
      </c>
      <c r="F3163" s="18">
        <v>2176</v>
      </c>
      <c r="G3163" s="18" t="s">
        <v>3271</v>
      </c>
      <c r="H3163" s="10" t="s">
        <v>1996</v>
      </c>
      <c r="I3163" s="3">
        <v>33</v>
      </c>
      <c r="J3163" s="3" t="s">
        <v>3271</v>
      </c>
      <c r="K3163" s="3"/>
      <c r="L3163" t="str">
        <f t="shared" si="49"/>
        <v/>
      </c>
      <c r="M3163">
        <f>VLOOKUP(F3163,Sheet2!$B$1:$E$19,2,FALSE)</f>
        <v>1073</v>
      </c>
      <c r="N3163">
        <f>VLOOKUP(F3163,Sheet2!$B$1:$E$19,3,FALSE)</f>
        <v>1108963</v>
      </c>
      <c r="O3163" t="str">
        <f>IF(G3163="Not available","",VLOOKUP(F3163,Sheet2!$B$1:$E$19,4,FALSE)+(G3163-1))</f>
        <v/>
      </c>
    </row>
    <row r="3164" spans="1:15" s="1" customFormat="1" ht="15" customHeight="1" x14ac:dyDescent="0.25">
      <c r="A3164" s="18" t="s">
        <v>365</v>
      </c>
      <c r="B3164" s="18" t="s">
        <v>495</v>
      </c>
      <c r="C3164" s="5">
        <v>1841</v>
      </c>
      <c r="D3164" s="1" t="s">
        <v>71</v>
      </c>
      <c r="E3164" s="1" t="s">
        <v>2</v>
      </c>
      <c r="F3164" s="18">
        <v>2174</v>
      </c>
      <c r="G3164" s="18">
        <v>115</v>
      </c>
      <c r="H3164" s="6" t="s">
        <v>3184</v>
      </c>
      <c r="I3164" s="1">
        <v>197</v>
      </c>
      <c r="J3164" s="1">
        <v>232</v>
      </c>
      <c r="L3164" t="str">
        <f t="shared" si="49"/>
        <v>http://www.badatelna.eu/reprodukce/?fondId=1073&amp;zaznamId=1108960&amp;reproId=3780339</v>
      </c>
      <c r="M3164">
        <f>VLOOKUP(F3164,Sheet2!$B$1:$E$19,2,FALSE)</f>
        <v>1073</v>
      </c>
      <c r="N3164">
        <f>VLOOKUP(F3164,Sheet2!$B$1:$E$19,3,FALSE)</f>
        <v>1108960</v>
      </c>
      <c r="O3164">
        <f>IF(G3164="Not available","",VLOOKUP(F3164,Sheet2!$B$1:$E$19,4,FALSE)+(G3164-1))</f>
        <v>3780339</v>
      </c>
    </row>
    <row r="3165" spans="1:15" s="1" customFormat="1" ht="15" customHeight="1" x14ac:dyDescent="0.25">
      <c r="A3165" s="18" t="s">
        <v>365</v>
      </c>
      <c r="B3165" s="18" t="s">
        <v>1102</v>
      </c>
      <c r="C3165" s="10" t="s">
        <v>2024</v>
      </c>
      <c r="D3165" s="3" t="s">
        <v>2547</v>
      </c>
      <c r="E3165" s="4" t="s">
        <v>2</v>
      </c>
      <c r="F3165" s="18">
        <v>2176</v>
      </c>
      <c r="G3165" s="18" t="s">
        <v>3271</v>
      </c>
      <c r="H3165" s="10" t="s">
        <v>2578</v>
      </c>
      <c r="I3165" s="3">
        <v>34</v>
      </c>
      <c r="J3165" s="3" t="s">
        <v>3271</v>
      </c>
      <c r="K3165" s="3"/>
      <c r="L3165" t="str">
        <f t="shared" si="49"/>
        <v/>
      </c>
      <c r="M3165">
        <f>VLOOKUP(F3165,Sheet2!$B$1:$E$19,2,FALSE)</f>
        <v>1073</v>
      </c>
      <c r="N3165">
        <f>VLOOKUP(F3165,Sheet2!$B$1:$E$19,3,FALSE)</f>
        <v>1108963</v>
      </c>
      <c r="O3165" t="str">
        <f>IF(G3165="Not available","",VLOOKUP(F3165,Sheet2!$B$1:$E$19,4,FALSE)+(G3165-1))</f>
        <v/>
      </c>
    </row>
    <row r="3166" spans="1:15" s="1" customFormat="1" ht="15" customHeight="1" x14ac:dyDescent="0.25">
      <c r="A3166" s="18" t="s">
        <v>365</v>
      </c>
      <c r="B3166" s="18" t="s">
        <v>466</v>
      </c>
      <c r="C3166" s="5">
        <v>1836</v>
      </c>
      <c r="D3166" s="1" t="s">
        <v>466</v>
      </c>
      <c r="E3166" s="1" t="s">
        <v>2</v>
      </c>
      <c r="F3166" s="18">
        <v>2174</v>
      </c>
      <c r="G3166" s="18">
        <v>85</v>
      </c>
      <c r="H3166" s="6" t="s">
        <v>3152</v>
      </c>
      <c r="I3166" s="1">
        <v>196</v>
      </c>
      <c r="J3166" s="1">
        <v>231</v>
      </c>
      <c r="L3166" t="str">
        <f t="shared" si="49"/>
        <v>http://www.badatelna.eu/reprodukce/?fondId=1073&amp;zaznamId=1108960&amp;reproId=3780309</v>
      </c>
      <c r="M3166">
        <f>VLOOKUP(F3166,Sheet2!$B$1:$E$19,2,FALSE)</f>
        <v>1073</v>
      </c>
      <c r="N3166">
        <f>VLOOKUP(F3166,Sheet2!$B$1:$E$19,3,FALSE)</f>
        <v>1108960</v>
      </c>
      <c r="O3166">
        <f>IF(G3166="Not available","",VLOOKUP(F3166,Sheet2!$B$1:$E$19,4,FALSE)+(G3166-1))</f>
        <v>3780309</v>
      </c>
    </row>
    <row r="3167" spans="1:15" s="1" customFormat="1" ht="15" customHeight="1" x14ac:dyDescent="0.25">
      <c r="A3167" s="18" t="s">
        <v>365</v>
      </c>
      <c r="B3167" s="18" t="s">
        <v>34</v>
      </c>
      <c r="C3167" s="5">
        <v>1791</v>
      </c>
      <c r="D3167" s="1" t="s">
        <v>44</v>
      </c>
      <c r="E3167" s="1" t="s">
        <v>2</v>
      </c>
      <c r="F3167" s="18">
        <v>2173</v>
      </c>
      <c r="G3167" s="18">
        <v>25</v>
      </c>
      <c r="H3167" s="5">
        <v>44</v>
      </c>
      <c r="I3167" s="1">
        <v>110</v>
      </c>
      <c r="J3167" s="1">
        <v>239</v>
      </c>
      <c r="L3167" t="str">
        <f t="shared" si="49"/>
        <v>http://www.badatelna.eu/reprodukce/?fondId=1073&amp;zaznamId=1108959&amp;reproId=3780018</v>
      </c>
      <c r="M3167">
        <f>VLOOKUP(F3167,Sheet2!$B$1:$E$19,2,FALSE)</f>
        <v>1073</v>
      </c>
      <c r="N3167">
        <f>VLOOKUP(F3167,Sheet2!$B$1:$E$19,3,FALSE)</f>
        <v>1108959</v>
      </c>
      <c r="O3167">
        <f>IF(G3167="Not available","",VLOOKUP(F3167,Sheet2!$B$1:$E$19,4,FALSE)+(G3167-1))</f>
        <v>3780018</v>
      </c>
    </row>
    <row r="3168" spans="1:15" s="1" customFormat="1" ht="15" customHeight="1" x14ac:dyDescent="0.25">
      <c r="A3168" s="18" t="s">
        <v>365</v>
      </c>
      <c r="B3168" s="19" t="s">
        <v>160</v>
      </c>
      <c r="C3168" s="5">
        <v>1798</v>
      </c>
      <c r="D3168" s="1" t="s">
        <v>44</v>
      </c>
      <c r="E3168" s="1" t="s">
        <v>2</v>
      </c>
      <c r="F3168" s="18">
        <v>2173</v>
      </c>
      <c r="G3168" s="18">
        <v>36</v>
      </c>
      <c r="H3168" s="5">
        <v>67</v>
      </c>
      <c r="I3168" s="1">
        <v>110</v>
      </c>
      <c r="J3168" s="1">
        <v>239</v>
      </c>
      <c r="L3168" t="str">
        <f t="shared" si="49"/>
        <v>http://www.badatelna.eu/reprodukce/?fondId=1073&amp;zaznamId=1108959&amp;reproId=3780029</v>
      </c>
      <c r="M3168">
        <f>VLOOKUP(F3168,Sheet2!$B$1:$E$19,2,FALSE)</f>
        <v>1073</v>
      </c>
      <c r="N3168">
        <f>VLOOKUP(F3168,Sheet2!$B$1:$E$19,3,FALSE)</f>
        <v>1108959</v>
      </c>
      <c r="O3168">
        <f>IF(G3168="Not available","",VLOOKUP(F3168,Sheet2!$B$1:$E$19,4,FALSE)+(G3168-1))</f>
        <v>3780029</v>
      </c>
    </row>
    <row r="3169" spans="1:15" s="1" customFormat="1" ht="15" customHeight="1" x14ac:dyDescent="0.25">
      <c r="A3169" s="18" t="s">
        <v>365</v>
      </c>
      <c r="B3169" s="18" t="s">
        <v>2584</v>
      </c>
      <c r="C3169" s="10" t="s">
        <v>1285</v>
      </c>
      <c r="D3169" s="3" t="s">
        <v>2835</v>
      </c>
      <c r="E3169" s="4" t="s">
        <v>2</v>
      </c>
      <c r="F3169" s="18">
        <v>2176</v>
      </c>
      <c r="G3169" s="18" t="s">
        <v>3271</v>
      </c>
      <c r="H3169" s="10" t="s">
        <v>1974</v>
      </c>
      <c r="I3169" s="3">
        <v>34</v>
      </c>
      <c r="J3169" s="3" t="s">
        <v>3271</v>
      </c>
      <c r="K3169" s="3"/>
      <c r="L3169" t="str">
        <f t="shared" si="49"/>
        <v/>
      </c>
      <c r="M3169">
        <f>VLOOKUP(F3169,Sheet2!$B$1:$E$19,2,FALSE)</f>
        <v>1073</v>
      </c>
      <c r="N3169">
        <f>VLOOKUP(F3169,Sheet2!$B$1:$E$19,3,FALSE)</f>
        <v>1108963</v>
      </c>
      <c r="O3169" t="str">
        <f>IF(G3169="Not available","",VLOOKUP(F3169,Sheet2!$B$1:$E$19,4,FALSE)+(G3169-1))</f>
        <v/>
      </c>
    </row>
    <row r="3170" spans="1:15" s="1" customFormat="1" ht="15" customHeight="1" x14ac:dyDescent="0.25">
      <c r="A3170" s="18" t="s">
        <v>365</v>
      </c>
      <c r="B3170" s="18" t="s">
        <v>2089</v>
      </c>
      <c r="C3170" s="10" t="s">
        <v>2025</v>
      </c>
      <c r="D3170" s="3" t="s">
        <v>2547</v>
      </c>
      <c r="E3170" s="4" t="s">
        <v>2</v>
      </c>
      <c r="F3170" s="18">
        <v>2176</v>
      </c>
      <c r="G3170" s="18" t="s">
        <v>3271</v>
      </c>
      <c r="H3170" s="10" t="s">
        <v>2016</v>
      </c>
      <c r="I3170" s="3">
        <v>33</v>
      </c>
      <c r="J3170" s="3" t="s">
        <v>3271</v>
      </c>
      <c r="K3170" s="3"/>
      <c r="L3170" t="str">
        <f t="shared" si="49"/>
        <v/>
      </c>
      <c r="M3170">
        <f>VLOOKUP(F3170,Sheet2!$B$1:$E$19,2,FALSE)</f>
        <v>1073</v>
      </c>
      <c r="N3170">
        <f>VLOOKUP(F3170,Sheet2!$B$1:$E$19,3,FALSE)</f>
        <v>1108963</v>
      </c>
      <c r="O3170" t="str">
        <f>IF(G3170="Not available","",VLOOKUP(F3170,Sheet2!$B$1:$E$19,4,FALSE)+(G3170-1))</f>
        <v/>
      </c>
    </row>
    <row r="3171" spans="1:15" s="1" customFormat="1" ht="15" customHeight="1" x14ac:dyDescent="0.25">
      <c r="A3171" s="18" t="s">
        <v>365</v>
      </c>
      <c r="B3171" s="18" t="s">
        <v>1134</v>
      </c>
      <c r="C3171" s="5">
        <v>1882</v>
      </c>
      <c r="D3171" s="4" t="s">
        <v>2820</v>
      </c>
      <c r="E3171" s="1" t="s">
        <v>2</v>
      </c>
      <c r="F3171" s="18">
        <v>2165</v>
      </c>
      <c r="G3171" s="18">
        <v>178</v>
      </c>
      <c r="H3171" s="5">
        <v>2</v>
      </c>
      <c r="I3171" s="1">
        <v>183</v>
      </c>
      <c r="J3171" s="1">
        <v>160</v>
      </c>
      <c r="L3171" t="str">
        <f t="shared" si="49"/>
        <v>http://www.badatelna.eu/reprodukce/?fondId=1073&amp;zaznamId=1108952&amp;reproId=3779039</v>
      </c>
      <c r="M3171">
        <f>VLOOKUP(F3171,Sheet2!$B$1:$E$19,2,FALSE)</f>
        <v>1073</v>
      </c>
      <c r="N3171">
        <f>VLOOKUP(F3171,Sheet2!$B$1:$E$19,3,FALSE)</f>
        <v>1108952</v>
      </c>
      <c r="O3171">
        <f>IF(G3171="Not available","",VLOOKUP(F3171,Sheet2!$B$1:$E$19,4,FALSE)+(G3171-1))</f>
        <v>3779039</v>
      </c>
    </row>
    <row r="3172" spans="1:15" s="1" customFormat="1" ht="15" customHeight="1" x14ac:dyDescent="0.25">
      <c r="A3172" s="18" t="s">
        <v>365</v>
      </c>
      <c r="B3172" s="18" t="s">
        <v>863</v>
      </c>
      <c r="C3172" s="5">
        <v>1883</v>
      </c>
      <c r="D3172" s="1" t="s">
        <v>214</v>
      </c>
      <c r="E3172" s="1" t="s">
        <v>2</v>
      </c>
      <c r="F3172" s="18">
        <v>2165</v>
      </c>
      <c r="G3172" s="18">
        <v>187</v>
      </c>
      <c r="H3172" s="5">
        <v>3</v>
      </c>
      <c r="I3172" s="1">
        <v>191</v>
      </c>
      <c r="J3172" s="1">
        <v>168</v>
      </c>
      <c r="L3172" t="str">
        <f t="shared" si="49"/>
        <v>http://www.badatelna.eu/reprodukce/?fondId=1073&amp;zaznamId=1108952&amp;reproId=3779048</v>
      </c>
      <c r="M3172">
        <f>VLOOKUP(F3172,Sheet2!$B$1:$E$19,2,FALSE)</f>
        <v>1073</v>
      </c>
      <c r="N3172">
        <f>VLOOKUP(F3172,Sheet2!$B$1:$E$19,3,FALSE)</f>
        <v>1108952</v>
      </c>
      <c r="O3172">
        <f>IF(G3172="Not available","",VLOOKUP(F3172,Sheet2!$B$1:$E$19,4,FALSE)+(G3172-1))</f>
        <v>3779048</v>
      </c>
    </row>
    <row r="3173" spans="1:15" s="1" customFormat="1" ht="15" customHeight="1" x14ac:dyDescent="0.25">
      <c r="A3173" s="18" t="s">
        <v>365</v>
      </c>
      <c r="B3173" s="18" t="s">
        <v>863</v>
      </c>
      <c r="C3173" s="10" t="s">
        <v>2036</v>
      </c>
      <c r="D3173" s="3" t="s">
        <v>2583</v>
      </c>
      <c r="E3173" s="4" t="s">
        <v>2</v>
      </c>
      <c r="F3173" s="18">
        <v>2176</v>
      </c>
      <c r="G3173" s="18" t="s">
        <v>3271</v>
      </c>
      <c r="H3173" s="10" t="s">
        <v>2031</v>
      </c>
      <c r="I3173" s="3">
        <v>34</v>
      </c>
      <c r="J3173" s="3" t="s">
        <v>3271</v>
      </c>
      <c r="K3173" s="3"/>
      <c r="L3173" t="str">
        <f t="shared" si="49"/>
        <v/>
      </c>
      <c r="M3173">
        <f>VLOOKUP(F3173,Sheet2!$B$1:$E$19,2,FALSE)</f>
        <v>1073</v>
      </c>
      <c r="N3173">
        <f>VLOOKUP(F3173,Sheet2!$B$1:$E$19,3,FALSE)</f>
        <v>1108963</v>
      </c>
      <c r="O3173" t="str">
        <f>IF(G3173="Not available","",VLOOKUP(F3173,Sheet2!$B$1:$E$19,4,FALSE)+(G3173-1))</f>
        <v/>
      </c>
    </row>
    <row r="3174" spans="1:15" s="1" customFormat="1" ht="15" customHeight="1" x14ac:dyDescent="0.25">
      <c r="A3174" s="18" t="s">
        <v>365</v>
      </c>
      <c r="B3174" s="18" t="s">
        <v>49</v>
      </c>
      <c r="C3174" s="5">
        <v>1847</v>
      </c>
      <c r="D3174" s="1" t="s">
        <v>71</v>
      </c>
      <c r="E3174" s="1" t="s">
        <v>2</v>
      </c>
      <c r="F3174" s="18">
        <v>2164</v>
      </c>
      <c r="G3174" s="18">
        <v>3</v>
      </c>
      <c r="H3174" s="5">
        <v>1</v>
      </c>
      <c r="I3174" s="1">
        <v>136</v>
      </c>
      <c r="J3174" s="3" t="s">
        <v>3271</v>
      </c>
      <c r="L3174" t="str">
        <f t="shared" si="49"/>
        <v>http://www.badatelna.eu/reprodukce/?fondId=1073&amp;zaznamId=1108951&amp;reproId=3778717</v>
      </c>
      <c r="M3174">
        <f>VLOOKUP(F3174,Sheet2!$B$1:$E$19,2,FALSE)</f>
        <v>1073</v>
      </c>
      <c r="N3174">
        <f>VLOOKUP(F3174,Sheet2!$B$1:$E$19,3,FALSE)</f>
        <v>1108951</v>
      </c>
      <c r="O3174">
        <f>IF(G3174="Not available","",VLOOKUP(F3174,Sheet2!$B$1:$E$19,4,FALSE)+(G3174-1))</f>
        <v>3778717</v>
      </c>
    </row>
    <row r="3175" spans="1:15" s="1" customFormat="1" ht="15" customHeight="1" x14ac:dyDescent="0.25">
      <c r="A3175" s="18" t="s">
        <v>365</v>
      </c>
      <c r="B3175" s="18" t="s">
        <v>1175</v>
      </c>
      <c r="C3175" s="10" t="s">
        <v>2025</v>
      </c>
      <c r="D3175" s="3" t="s">
        <v>2561</v>
      </c>
      <c r="E3175" s="4" t="s">
        <v>2</v>
      </c>
      <c r="F3175" s="18">
        <v>2176</v>
      </c>
      <c r="G3175" s="18" t="s">
        <v>3271</v>
      </c>
      <c r="H3175" s="10" t="s">
        <v>2571</v>
      </c>
      <c r="I3175" s="3">
        <v>33</v>
      </c>
      <c r="J3175" s="3" t="s">
        <v>3271</v>
      </c>
      <c r="K3175" s="3"/>
      <c r="L3175" t="str">
        <f t="shared" si="49"/>
        <v/>
      </c>
      <c r="M3175">
        <f>VLOOKUP(F3175,Sheet2!$B$1:$E$19,2,FALSE)</f>
        <v>1073</v>
      </c>
      <c r="N3175">
        <f>VLOOKUP(F3175,Sheet2!$B$1:$E$19,3,FALSE)</f>
        <v>1108963</v>
      </c>
      <c r="O3175" t="str">
        <f>IF(G3175="Not available","",VLOOKUP(F3175,Sheet2!$B$1:$E$19,4,FALSE)+(G3175-1))</f>
        <v/>
      </c>
    </row>
    <row r="3176" spans="1:15" s="1" customFormat="1" ht="15" customHeight="1" x14ac:dyDescent="0.25">
      <c r="A3176" s="18" t="s">
        <v>365</v>
      </c>
      <c r="B3176" s="18" t="s">
        <v>2590</v>
      </c>
      <c r="C3176" s="10" t="s">
        <v>2043</v>
      </c>
      <c r="D3176" s="3" t="s">
        <v>2591</v>
      </c>
      <c r="E3176" s="4" t="s">
        <v>2</v>
      </c>
      <c r="F3176" s="18">
        <v>2176</v>
      </c>
      <c r="G3176" s="18" t="s">
        <v>3271</v>
      </c>
      <c r="H3176" s="10" t="s">
        <v>2016</v>
      </c>
      <c r="I3176" s="3">
        <v>34</v>
      </c>
      <c r="J3176" s="3" t="s">
        <v>3271</v>
      </c>
      <c r="K3176" s="3"/>
      <c r="L3176" t="str">
        <f t="shared" si="49"/>
        <v/>
      </c>
      <c r="M3176">
        <f>VLOOKUP(F3176,Sheet2!$B$1:$E$19,2,FALSE)</f>
        <v>1073</v>
      </c>
      <c r="N3176">
        <f>VLOOKUP(F3176,Sheet2!$B$1:$E$19,3,FALSE)</f>
        <v>1108963</v>
      </c>
      <c r="O3176" t="str">
        <f>IF(G3176="Not available","",VLOOKUP(F3176,Sheet2!$B$1:$E$19,4,FALSE)+(G3176-1))</f>
        <v/>
      </c>
    </row>
    <row r="3177" spans="1:15" s="1" customFormat="1" ht="15" customHeight="1" x14ac:dyDescent="0.25">
      <c r="A3177" s="18" t="s">
        <v>365</v>
      </c>
      <c r="B3177" s="18" t="s">
        <v>1176</v>
      </c>
      <c r="C3177" s="5">
        <v>1885</v>
      </c>
      <c r="D3177" s="1" t="s">
        <v>214</v>
      </c>
      <c r="E3177" s="1" t="s">
        <v>2</v>
      </c>
      <c r="F3177" s="18">
        <v>2165</v>
      </c>
      <c r="G3177" s="18">
        <v>200</v>
      </c>
      <c r="H3177" s="5">
        <v>2</v>
      </c>
      <c r="I3177" s="1">
        <v>204</v>
      </c>
      <c r="J3177" s="1">
        <v>187</v>
      </c>
      <c r="L3177" t="str">
        <f t="shared" si="49"/>
        <v>http://www.badatelna.eu/reprodukce/?fondId=1073&amp;zaznamId=1108952&amp;reproId=3779061</v>
      </c>
      <c r="M3177">
        <f>VLOOKUP(F3177,Sheet2!$B$1:$E$19,2,FALSE)</f>
        <v>1073</v>
      </c>
      <c r="N3177">
        <f>VLOOKUP(F3177,Sheet2!$B$1:$E$19,3,FALSE)</f>
        <v>1108952</v>
      </c>
      <c r="O3177">
        <f>IF(G3177="Not available","",VLOOKUP(F3177,Sheet2!$B$1:$E$19,4,FALSE)+(G3177-1))</f>
        <v>3779061</v>
      </c>
    </row>
    <row r="3178" spans="1:15" s="1" customFormat="1" ht="15" customHeight="1" x14ac:dyDescent="0.25">
      <c r="A3178" s="18" t="s">
        <v>365</v>
      </c>
      <c r="B3178" s="18" t="s">
        <v>893</v>
      </c>
      <c r="C3178" s="5">
        <v>1849</v>
      </c>
      <c r="D3178" s="1" t="s">
        <v>40</v>
      </c>
      <c r="E3178" s="1" t="s">
        <v>2</v>
      </c>
      <c r="F3178" s="18">
        <v>2164</v>
      </c>
      <c r="G3178" s="18">
        <v>46</v>
      </c>
      <c r="H3178" s="5">
        <v>44</v>
      </c>
      <c r="I3178" s="1">
        <v>136</v>
      </c>
      <c r="J3178" s="3" t="s">
        <v>3271</v>
      </c>
      <c r="L3178" t="str">
        <f t="shared" si="49"/>
        <v>http://www.badatelna.eu/reprodukce/?fondId=1073&amp;zaznamId=1108951&amp;reproId=3778760</v>
      </c>
      <c r="M3178">
        <f>VLOOKUP(F3178,Sheet2!$B$1:$E$19,2,FALSE)</f>
        <v>1073</v>
      </c>
      <c r="N3178">
        <f>VLOOKUP(F3178,Sheet2!$B$1:$E$19,3,FALSE)</f>
        <v>1108951</v>
      </c>
      <c r="O3178">
        <f>IF(G3178="Not available","",VLOOKUP(F3178,Sheet2!$B$1:$E$19,4,FALSE)+(G3178-1))</f>
        <v>3778760</v>
      </c>
    </row>
    <row r="3179" spans="1:15" s="1" customFormat="1" ht="15" customHeight="1" x14ac:dyDescent="0.25">
      <c r="A3179" s="18" t="s">
        <v>365</v>
      </c>
      <c r="B3179" s="18" t="s">
        <v>1070</v>
      </c>
      <c r="C3179" s="5" t="s">
        <v>1556</v>
      </c>
      <c r="D3179" s="1" t="s">
        <v>58</v>
      </c>
      <c r="E3179" s="1" t="s">
        <v>2</v>
      </c>
      <c r="F3179" s="18">
        <v>2165</v>
      </c>
      <c r="G3179" s="18">
        <v>54</v>
      </c>
      <c r="H3179" s="5">
        <v>51</v>
      </c>
      <c r="I3179" s="1">
        <v>91</v>
      </c>
      <c r="J3179" s="1" t="s">
        <v>3271</v>
      </c>
      <c r="L3179" t="str">
        <f t="shared" si="49"/>
        <v>http://www.badatelna.eu/reprodukce/?fondId=1073&amp;zaznamId=1108952&amp;reproId=3778915</v>
      </c>
      <c r="M3179">
        <f>VLOOKUP(F3179,Sheet2!$B$1:$E$19,2,FALSE)</f>
        <v>1073</v>
      </c>
      <c r="N3179">
        <f>VLOOKUP(F3179,Sheet2!$B$1:$E$19,3,FALSE)</f>
        <v>1108952</v>
      </c>
      <c r="O3179">
        <f>IF(G3179="Not available","",VLOOKUP(F3179,Sheet2!$B$1:$E$19,4,FALSE)+(G3179-1))</f>
        <v>3778915</v>
      </c>
    </row>
    <row r="3180" spans="1:15" s="1" customFormat="1" ht="15" customHeight="1" x14ac:dyDescent="0.25">
      <c r="A3180" s="18" t="s">
        <v>365</v>
      </c>
      <c r="B3180" s="18" t="s">
        <v>25</v>
      </c>
      <c r="C3180" s="5">
        <v>1835</v>
      </c>
      <c r="D3180" s="1" t="s">
        <v>40</v>
      </c>
      <c r="E3180" s="1" t="s">
        <v>2</v>
      </c>
      <c r="F3180" s="18">
        <v>2174</v>
      </c>
      <c r="G3180" s="18">
        <v>84</v>
      </c>
      <c r="H3180" s="6" t="s">
        <v>3150</v>
      </c>
      <c r="I3180" s="1">
        <v>196</v>
      </c>
      <c r="J3180" s="1">
        <v>231</v>
      </c>
      <c r="L3180" t="str">
        <f t="shared" si="49"/>
        <v>http://www.badatelna.eu/reprodukce/?fondId=1073&amp;zaznamId=1108960&amp;reproId=3780308</v>
      </c>
      <c r="M3180">
        <f>VLOOKUP(F3180,Sheet2!$B$1:$E$19,2,FALSE)</f>
        <v>1073</v>
      </c>
      <c r="N3180">
        <f>VLOOKUP(F3180,Sheet2!$B$1:$E$19,3,FALSE)</f>
        <v>1108960</v>
      </c>
      <c r="O3180">
        <f>IF(G3180="Not available","",VLOOKUP(F3180,Sheet2!$B$1:$E$19,4,FALSE)+(G3180-1))</f>
        <v>3780308</v>
      </c>
    </row>
    <row r="3181" spans="1:15" s="1" customFormat="1" ht="15" customHeight="1" x14ac:dyDescent="0.25">
      <c r="A3181" s="18" t="s">
        <v>365</v>
      </c>
      <c r="B3181" s="18" t="s">
        <v>25</v>
      </c>
      <c r="C3181" s="10" t="s">
        <v>1987</v>
      </c>
      <c r="D3181" s="3" t="s">
        <v>2556</v>
      </c>
      <c r="E3181" s="4" t="s">
        <v>2</v>
      </c>
      <c r="F3181" s="18">
        <v>2176</v>
      </c>
      <c r="G3181" s="18" t="s">
        <v>3271</v>
      </c>
      <c r="H3181" s="10" t="s">
        <v>2292</v>
      </c>
      <c r="I3181" s="3">
        <v>33</v>
      </c>
      <c r="J3181" s="3" t="s">
        <v>3271</v>
      </c>
      <c r="L3181" t="str">
        <f t="shared" si="49"/>
        <v/>
      </c>
      <c r="M3181">
        <f>VLOOKUP(F3181,Sheet2!$B$1:$E$19,2,FALSE)</f>
        <v>1073</v>
      </c>
      <c r="N3181">
        <f>VLOOKUP(F3181,Sheet2!$B$1:$E$19,3,FALSE)</f>
        <v>1108963</v>
      </c>
      <c r="O3181" t="str">
        <f>IF(G3181="Not available","",VLOOKUP(F3181,Sheet2!$B$1:$E$19,4,FALSE)+(G3181-1))</f>
        <v/>
      </c>
    </row>
    <row r="3182" spans="1:15" s="1" customFormat="1" ht="15" customHeight="1" x14ac:dyDescent="0.25">
      <c r="A3182" s="18" t="s">
        <v>365</v>
      </c>
      <c r="B3182" s="18" t="s">
        <v>214</v>
      </c>
      <c r="C3182" s="5">
        <v>1847</v>
      </c>
      <c r="D3182" s="1" t="s">
        <v>6</v>
      </c>
      <c r="E3182" s="1" t="s">
        <v>2</v>
      </c>
      <c r="F3182" s="18">
        <v>2164</v>
      </c>
      <c r="G3182" s="18">
        <v>7</v>
      </c>
      <c r="H3182" s="5">
        <v>5</v>
      </c>
      <c r="I3182" s="1">
        <v>136</v>
      </c>
      <c r="J3182" s="3" t="s">
        <v>3271</v>
      </c>
      <c r="L3182" t="str">
        <f t="shared" si="49"/>
        <v>http://www.badatelna.eu/reprodukce/?fondId=1073&amp;zaznamId=1108951&amp;reproId=3778721</v>
      </c>
      <c r="M3182">
        <f>VLOOKUP(F3182,Sheet2!$B$1:$E$19,2,FALSE)</f>
        <v>1073</v>
      </c>
      <c r="N3182">
        <f>VLOOKUP(F3182,Sheet2!$B$1:$E$19,3,FALSE)</f>
        <v>1108951</v>
      </c>
      <c r="O3182">
        <f>IF(G3182="Not available","",VLOOKUP(F3182,Sheet2!$B$1:$E$19,4,FALSE)+(G3182-1))</f>
        <v>3778721</v>
      </c>
    </row>
    <row r="3183" spans="1:15" s="1" customFormat="1" ht="15" customHeight="1" x14ac:dyDescent="0.25">
      <c r="A3183" s="18" t="s">
        <v>365</v>
      </c>
      <c r="B3183" s="18" t="s">
        <v>434</v>
      </c>
      <c r="C3183" s="5">
        <v>1861</v>
      </c>
      <c r="E3183" s="1" t="s">
        <v>939</v>
      </c>
      <c r="F3183" s="18">
        <v>999</v>
      </c>
      <c r="G3183" s="18">
        <v>31</v>
      </c>
      <c r="H3183" s="5">
        <v>29</v>
      </c>
      <c r="I3183" s="1">
        <v>74</v>
      </c>
      <c r="J3183" s="1">
        <v>108</v>
      </c>
      <c r="L3183" t="str">
        <f t="shared" si="49"/>
        <v>http://www.badatelna.eu/reprodukce/?fondId=241&amp;zaznamId=1133739&amp;reproId=3885760</v>
      </c>
      <c r="M3183">
        <f>VLOOKUP(F3183,Sheet2!$B$1:$E$19,2,FALSE)</f>
        <v>241</v>
      </c>
      <c r="N3183">
        <f>VLOOKUP(F3183,Sheet2!$B$1:$E$19,3,FALSE)</f>
        <v>1133739</v>
      </c>
      <c r="O3183">
        <f>IF(G3183="Not available","",VLOOKUP(F3183,Sheet2!$B$1:$E$19,4,FALSE)+(G3183-1))</f>
        <v>3885760</v>
      </c>
    </row>
    <row r="3184" spans="1:15" s="1" customFormat="1" ht="15" customHeight="1" x14ac:dyDescent="0.25">
      <c r="A3184" s="18" t="s">
        <v>365</v>
      </c>
      <c r="B3184" s="18" t="s">
        <v>434</v>
      </c>
      <c r="C3184" s="5" t="s">
        <v>1543</v>
      </c>
      <c r="D3184" s="1" t="s">
        <v>546</v>
      </c>
      <c r="E3184" s="1" t="s">
        <v>2</v>
      </c>
      <c r="F3184" s="18">
        <v>2165</v>
      </c>
      <c r="G3184" s="18">
        <v>41</v>
      </c>
      <c r="H3184" s="5">
        <v>38</v>
      </c>
      <c r="I3184" s="1">
        <v>90</v>
      </c>
      <c r="J3184" s="1" t="s">
        <v>3271</v>
      </c>
      <c r="L3184" t="str">
        <f t="shared" si="49"/>
        <v>http://www.badatelna.eu/reprodukce/?fondId=1073&amp;zaznamId=1108952&amp;reproId=3778902</v>
      </c>
      <c r="M3184">
        <f>VLOOKUP(F3184,Sheet2!$B$1:$E$19,2,FALSE)</f>
        <v>1073</v>
      </c>
      <c r="N3184">
        <f>VLOOKUP(F3184,Sheet2!$B$1:$E$19,3,FALSE)</f>
        <v>1108952</v>
      </c>
      <c r="O3184">
        <f>IF(G3184="Not available","",VLOOKUP(F3184,Sheet2!$B$1:$E$19,4,FALSE)+(G3184-1))</f>
        <v>3778902</v>
      </c>
    </row>
    <row r="3185" spans="1:15" s="1" customFormat="1" ht="15" customHeight="1" x14ac:dyDescent="0.25">
      <c r="A3185" s="18" t="s">
        <v>365</v>
      </c>
      <c r="B3185" s="18" t="s">
        <v>100</v>
      </c>
      <c r="C3185" s="5">
        <v>1840</v>
      </c>
      <c r="D3185" s="1" t="s">
        <v>40</v>
      </c>
      <c r="E3185" s="1" t="s">
        <v>2</v>
      </c>
      <c r="F3185" s="18">
        <v>2174</v>
      </c>
      <c r="G3185" s="18">
        <v>114</v>
      </c>
      <c r="H3185" s="6" t="s">
        <v>3180</v>
      </c>
      <c r="I3185" s="1">
        <v>197</v>
      </c>
      <c r="J3185" s="1">
        <v>232</v>
      </c>
      <c r="L3185" t="str">
        <f t="shared" si="49"/>
        <v>http://www.badatelna.eu/reprodukce/?fondId=1073&amp;zaznamId=1108960&amp;reproId=3780338</v>
      </c>
      <c r="M3185">
        <f>VLOOKUP(F3185,Sheet2!$B$1:$E$19,2,FALSE)</f>
        <v>1073</v>
      </c>
      <c r="N3185">
        <f>VLOOKUP(F3185,Sheet2!$B$1:$E$19,3,FALSE)</f>
        <v>1108960</v>
      </c>
      <c r="O3185">
        <f>IF(G3185="Not available","",VLOOKUP(F3185,Sheet2!$B$1:$E$19,4,FALSE)+(G3185-1))</f>
        <v>3780338</v>
      </c>
    </row>
    <row r="3186" spans="1:15" s="1" customFormat="1" ht="15" customHeight="1" x14ac:dyDescent="0.25">
      <c r="A3186" s="18" t="s">
        <v>365</v>
      </c>
      <c r="B3186" s="18" t="s">
        <v>100</v>
      </c>
      <c r="C3186" s="5">
        <v>1863</v>
      </c>
      <c r="E3186" s="1" t="s">
        <v>939</v>
      </c>
      <c r="F3186" s="18">
        <v>999</v>
      </c>
      <c r="G3186" s="18">
        <v>44</v>
      </c>
      <c r="H3186" s="5">
        <v>42</v>
      </c>
      <c r="I3186" s="1">
        <v>74</v>
      </c>
      <c r="J3186" s="1">
        <v>108</v>
      </c>
      <c r="L3186" t="str">
        <f t="shared" si="49"/>
        <v>http://www.badatelna.eu/reprodukce/?fondId=241&amp;zaznamId=1133739&amp;reproId=3885773</v>
      </c>
      <c r="M3186">
        <f>VLOOKUP(F3186,Sheet2!$B$1:$E$19,2,FALSE)</f>
        <v>241</v>
      </c>
      <c r="N3186">
        <f>VLOOKUP(F3186,Sheet2!$B$1:$E$19,3,FALSE)</f>
        <v>1133739</v>
      </c>
      <c r="O3186">
        <f>IF(G3186="Not available","",VLOOKUP(F3186,Sheet2!$B$1:$E$19,4,FALSE)+(G3186-1))</f>
        <v>3885773</v>
      </c>
    </row>
    <row r="3187" spans="1:15" s="1" customFormat="1" ht="15" customHeight="1" x14ac:dyDescent="0.25">
      <c r="A3187" s="18" t="s">
        <v>365</v>
      </c>
      <c r="B3187" s="18" t="s">
        <v>965</v>
      </c>
      <c r="C3187" s="5">
        <v>1860</v>
      </c>
      <c r="E3187" s="1" t="s">
        <v>939</v>
      </c>
      <c r="F3187" s="18">
        <v>999</v>
      </c>
      <c r="G3187" s="18">
        <v>24</v>
      </c>
      <c r="H3187" s="5">
        <v>22</v>
      </c>
      <c r="I3187" s="1">
        <v>74</v>
      </c>
      <c r="J3187" s="1">
        <v>108</v>
      </c>
      <c r="L3187" t="str">
        <f t="shared" si="49"/>
        <v>http://www.badatelna.eu/reprodukce/?fondId=241&amp;zaznamId=1133739&amp;reproId=3885753</v>
      </c>
      <c r="M3187">
        <f>VLOOKUP(F3187,Sheet2!$B$1:$E$19,2,FALSE)</f>
        <v>241</v>
      </c>
      <c r="N3187">
        <f>VLOOKUP(F3187,Sheet2!$B$1:$E$19,3,FALSE)</f>
        <v>1133739</v>
      </c>
      <c r="O3187">
        <f>IF(G3187="Not available","",VLOOKUP(F3187,Sheet2!$B$1:$E$19,4,FALSE)+(G3187-1))</f>
        <v>3885753</v>
      </c>
    </row>
    <row r="3188" spans="1:15" s="1" customFormat="1" ht="15" customHeight="1" x14ac:dyDescent="0.25">
      <c r="A3188" s="19" t="s">
        <v>365</v>
      </c>
      <c r="B3188" s="19" t="s">
        <v>834</v>
      </c>
      <c r="C3188" s="5">
        <v>1785</v>
      </c>
      <c r="D3188" s="1" t="s">
        <v>34</v>
      </c>
      <c r="E3188" s="1" t="s">
        <v>2</v>
      </c>
      <c r="F3188" s="18">
        <v>2173</v>
      </c>
      <c r="G3188" s="18">
        <v>7</v>
      </c>
      <c r="H3188" s="14" t="s">
        <v>3066</v>
      </c>
      <c r="I3188" s="1">
        <v>110</v>
      </c>
      <c r="J3188" s="1">
        <v>239</v>
      </c>
      <c r="L3188" t="str">
        <f t="shared" si="49"/>
        <v>http://www.badatelna.eu/reprodukce/?fondId=1073&amp;zaznamId=1108959&amp;reproId=3780000</v>
      </c>
      <c r="M3188">
        <f>VLOOKUP(F3188,Sheet2!$B$1:$E$19,2,FALSE)</f>
        <v>1073</v>
      </c>
      <c r="N3188">
        <f>VLOOKUP(F3188,Sheet2!$B$1:$E$19,3,FALSE)</f>
        <v>1108959</v>
      </c>
      <c r="O3188">
        <f>IF(G3188="Not available","",VLOOKUP(F3188,Sheet2!$B$1:$E$19,4,FALSE)+(G3188-1))</f>
        <v>3780000</v>
      </c>
    </row>
    <row r="3189" spans="1:15" s="1" customFormat="1" ht="15" customHeight="1" x14ac:dyDescent="0.25">
      <c r="A3189" s="18" t="s">
        <v>365</v>
      </c>
      <c r="B3189" s="18" t="s">
        <v>476</v>
      </c>
      <c r="C3189" s="5">
        <v>1834</v>
      </c>
      <c r="D3189" s="1" t="s">
        <v>40</v>
      </c>
      <c r="E3189" s="1" t="s">
        <v>2</v>
      </c>
      <c r="F3189" s="18">
        <v>2174</v>
      </c>
      <c r="G3189" s="18">
        <v>76</v>
      </c>
      <c r="H3189" s="6" t="s">
        <v>3142</v>
      </c>
      <c r="I3189" s="1">
        <v>196</v>
      </c>
      <c r="J3189" s="1">
        <v>231</v>
      </c>
      <c r="L3189" t="str">
        <f t="shared" si="49"/>
        <v>http://www.badatelna.eu/reprodukce/?fondId=1073&amp;zaznamId=1108960&amp;reproId=3780300</v>
      </c>
      <c r="M3189">
        <f>VLOOKUP(F3189,Sheet2!$B$1:$E$19,2,FALSE)</f>
        <v>1073</v>
      </c>
      <c r="N3189">
        <f>VLOOKUP(F3189,Sheet2!$B$1:$E$19,3,FALSE)</f>
        <v>1108960</v>
      </c>
      <c r="O3189">
        <f>IF(G3189="Not available","",VLOOKUP(F3189,Sheet2!$B$1:$E$19,4,FALSE)+(G3189-1))</f>
        <v>3780300</v>
      </c>
    </row>
    <row r="3190" spans="1:15" s="1" customFormat="1" ht="15" customHeight="1" x14ac:dyDescent="0.25">
      <c r="A3190" s="18" t="s">
        <v>365</v>
      </c>
      <c r="B3190" s="18" t="s">
        <v>1033</v>
      </c>
      <c r="C3190" s="10" t="s">
        <v>2043</v>
      </c>
      <c r="D3190" s="3" t="s">
        <v>2592</v>
      </c>
      <c r="E3190" s="4" t="s">
        <v>2</v>
      </c>
      <c r="F3190" s="18">
        <v>2176</v>
      </c>
      <c r="G3190" s="18" t="s">
        <v>3271</v>
      </c>
      <c r="H3190" s="10" t="s">
        <v>1955</v>
      </c>
      <c r="I3190" s="3">
        <v>34</v>
      </c>
      <c r="J3190" s="3" t="s">
        <v>3271</v>
      </c>
      <c r="K3190" s="3"/>
      <c r="L3190" t="str">
        <f t="shared" si="49"/>
        <v/>
      </c>
      <c r="M3190">
        <f>VLOOKUP(F3190,Sheet2!$B$1:$E$19,2,FALSE)</f>
        <v>1073</v>
      </c>
      <c r="N3190">
        <f>VLOOKUP(F3190,Sheet2!$B$1:$E$19,3,FALSE)</f>
        <v>1108963</v>
      </c>
      <c r="O3190" t="str">
        <f>IF(G3190="Not available","",VLOOKUP(F3190,Sheet2!$B$1:$E$19,4,FALSE)+(G3190-1))</f>
        <v/>
      </c>
    </row>
    <row r="3191" spans="1:15" s="1" customFormat="1" ht="15" customHeight="1" x14ac:dyDescent="0.25">
      <c r="A3191" s="18" t="s">
        <v>365</v>
      </c>
      <c r="B3191" s="18" t="s">
        <v>1033</v>
      </c>
      <c r="C3191" s="5">
        <v>1886</v>
      </c>
      <c r="D3191" s="1" t="s">
        <v>44</v>
      </c>
      <c r="E3191" s="1" t="s">
        <v>2</v>
      </c>
      <c r="F3191" s="18">
        <v>2165</v>
      </c>
      <c r="G3191" s="18">
        <v>207</v>
      </c>
      <c r="H3191" s="5">
        <v>1</v>
      </c>
      <c r="I3191" s="1">
        <v>210</v>
      </c>
      <c r="J3191" s="1">
        <v>186</v>
      </c>
      <c r="L3191" t="str">
        <f t="shared" si="49"/>
        <v>http://www.badatelna.eu/reprodukce/?fondId=1073&amp;zaznamId=1108952&amp;reproId=3779068</v>
      </c>
      <c r="M3191">
        <f>VLOOKUP(F3191,Sheet2!$B$1:$E$19,2,FALSE)</f>
        <v>1073</v>
      </c>
      <c r="N3191">
        <f>VLOOKUP(F3191,Sheet2!$B$1:$E$19,3,FALSE)</f>
        <v>1108952</v>
      </c>
      <c r="O3191">
        <f>IF(G3191="Not available","",VLOOKUP(F3191,Sheet2!$B$1:$E$19,4,FALSE)+(G3191-1))</f>
        <v>3779068</v>
      </c>
    </row>
    <row r="3192" spans="1:15" s="1" customFormat="1" ht="15" customHeight="1" x14ac:dyDescent="0.25">
      <c r="A3192" s="18" t="s">
        <v>365</v>
      </c>
      <c r="B3192" s="18" t="s">
        <v>2587</v>
      </c>
      <c r="C3192" s="10" t="s">
        <v>1285</v>
      </c>
      <c r="D3192" s="3" t="s">
        <v>2572</v>
      </c>
      <c r="E3192" s="4" t="s">
        <v>2</v>
      </c>
      <c r="F3192" s="18">
        <v>2176</v>
      </c>
      <c r="G3192" s="18" t="s">
        <v>3271</v>
      </c>
      <c r="H3192" s="10" t="s">
        <v>2049</v>
      </c>
      <c r="I3192" s="3">
        <v>34</v>
      </c>
      <c r="J3192" s="3" t="s">
        <v>3271</v>
      </c>
      <c r="K3192" s="3"/>
      <c r="L3192" t="str">
        <f t="shared" si="49"/>
        <v/>
      </c>
      <c r="M3192">
        <f>VLOOKUP(F3192,Sheet2!$B$1:$E$19,2,FALSE)</f>
        <v>1073</v>
      </c>
      <c r="N3192">
        <f>VLOOKUP(F3192,Sheet2!$B$1:$E$19,3,FALSE)</f>
        <v>1108963</v>
      </c>
      <c r="O3192" t="str">
        <f>IF(G3192="Not available","",VLOOKUP(F3192,Sheet2!$B$1:$E$19,4,FALSE)+(G3192-1))</f>
        <v/>
      </c>
    </row>
    <row r="3193" spans="1:15" s="1" customFormat="1" ht="15" customHeight="1" x14ac:dyDescent="0.25">
      <c r="A3193" s="18" t="s">
        <v>365</v>
      </c>
      <c r="B3193" s="18" t="s">
        <v>1068</v>
      </c>
      <c r="C3193" s="5">
        <v>1882</v>
      </c>
      <c r="D3193" s="1" t="s">
        <v>44</v>
      </c>
      <c r="E3193" s="1" t="s">
        <v>2</v>
      </c>
      <c r="F3193" s="18">
        <v>2165</v>
      </c>
      <c r="G3193" s="18">
        <v>181</v>
      </c>
      <c r="H3193" s="5">
        <v>5</v>
      </c>
      <c r="I3193" s="1">
        <v>183</v>
      </c>
      <c r="J3193" s="1">
        <v>160</v>
      </c>
      <c r="L3193" t="str">
        <f t="shared" si="49"/>
        <v>http://www.badatelna.eu/reprodukce/?fondId=1073&amp;zaznamId=1108952&amp;reproId=3779042</v>
      </c>
      <c r="M3193">
        <f>VLOOKUP(F3193,Sheet2!$B$1:$E$19,2,FALSE)</f>
        <v>1073</v>
      </c>
      <c r="N3193">
        <f>VLOOKUP(F3193,Sheet2!$B$1:$E$19,3,FALSE)</f>
        <v>1108952</v>
      </c>
      <c r="O3193">
        <f>IF(G3193="Not available","",VLOOKUP(F3193,Sheet2!$B$1:$E$19,4,FALSE)+(G3193-1))</f>
        <v>3779042</v>
      </c>
    </row>
    <row r="3194" spans="1:15" s="1" customFormat="1" ht="15" customHeight="1" x14ac:dyDescent="0.25">
      <c r="A3194" s="18" t="s">
        <v>365</v>
      </c>
      <c r="B3194" s="18" t="s">
        <v>1068</v>
      </c>
      <c r="C3194" s="5" t="s">
        <v>1546</v>
      </c>
      <c r="D3194" s="1" t="s">
        <v>219</v>
      </c>
      <c r="E3194" s="1" t="s">
        <v>2</v>
      </c>
      <c r="F3194" s="18">
        <v>2165</v>
      </c>
      <c r="G3194" s="18">
        <v>46</v>
      </c>
      <c r="H3194" s="5">
        <v>43</v>
      </c>
      <c r="I3194" s="1">
        <v>90</v>
      </c>
      <c r="J3194" s="1" t="s">
        <v>3271</v>
      </c>
      <c r="L3194" t="str">
        <f t="shared" si="49"/>
        <v>http://www.badatelna.eu/reprodukce/?fondId=1073&amp;zaznamId=1108952&amp;reproId=3778907</v>
      </c>
      <c r="M3194">
        <f>VLOOKUP(F3194,Sheet2!$B$1:$E$19,2,FALSE)</f>
        <v>1073</v>
      </c>
      <c r="N3194">
        <f>VLOOKUP(F3194,Sheet2!$B$1:$E$19,3,FALSE)</f>
        <v>1108952</v>
      </c>
      <c r="O3194">
        <f>IF(G3194="Not available","",VLOOKUP(F3194,Sheet2!$B$1:$E$19,4,FALSE)+(G3194-1))</f>
        <v>3778907</v>
      </c>
    </row>
    <row r="3195" spans="1:15" s="1" customFormat="1" ht="15" customHeight="1" x14ac:dyDescent="0.25">
      <c r="A3195" s="18" t="s">
        <v>365</v>
      </c>
      <c r="B3195" s="18" t="s">
        <v>427</v>
      </c>
      <c r="C3195" s="5">
        <v>1832</v>
      </c>
      <c r="D3195" s="1" t="s">
        <v>466</v>
      </c>
      <c r="E3195" s="1" t="s">
        <v>2</v>
      </c>
      <c r="F3195" s="18">
        <v>2174</v>
      </c>
      <c r="G3195" s="18">
        <v>66</v>
      </c>
      <c r="H3195" s="6" t="s">
        <v>3133</v>
      </c>
      <c r="I3195" s="1">
        <v>196</v>
      </c>
      <c r="J3195" s="1">
        <v>231</v>
      </c>
      <c r="K3195" s="2"/>
      <c r="L3195" t="str">
        <f t="shared" si="49"/>
        <v>http://www.badatelna.eu/reprodukce/?fondId=1073&amp;zaznamId=1108960&amp;reproId=3780290</v>
      </c>
      <c r="M3195">
        <f>VLOOKUP(F3195,Sheet2!$B$1:$E$19,2,FALSE)</f>
        <v>1073</v>
      </c>
      <c r="N3195">
        <f>VLOOKUP(F3195,Sheet2!$B$1:$E$19,3,FALSE)</f>
        <v>1108960</v>
      </c>
      <c r="O3195">
        <f>IF(G3195="Not available","",VLOOKUP(F3195,Sheet2!$B$1:$E$19,4,FALSE)+(G3195-1))</f>
        <v>3780290</v>
      </c>
    </row>
    <row r="3196" spans="1:15" s="1" customFormat="1" ht="15" customHeight="1" x14ac:dyDescent="0.25">
      <c r="A3196" s="18" t="s">
        <v>365</v>
      </c>
      <c r="B3196" s="18" t="s">
        <v>96</v>
      </c>
      <c r="C3196" s="5">
        <v>1834</v>
      </c>
      <c r="D3196" s="1" t="s">
        <v>466</v>
      </c>
      <c r="E3196" s="1" t="s">
        <v>2</v>
      </c>
      <c r="F3196" s="18">
        <v>2174</v>
      </c>
      <c r="G3196" s="18">
        <v>80</v>
      </c>
      <c r="H3196" s="6" t="s">
        <v>3146</v>
      </c>
      <c r="I3196" s="1">
        <v>196</v>
      </c>
      <c r="J3196" s="1">
        <v>231</v>
      </c>
      <c r="L3196" t="str">
        <f t="shared" si="49"/>
        <v>http://www.badatelna.eu/reprodukce/?fondId=1073&amp;zaznamId=1108960&amp;reproId=3780304</v>
      </c>
      <c r="M3196">
        <f>VLOOKUP(F3196,Sheet2!$B$1:$E$19,2,FALSE)</f>
        <v>1073</v>
      </c>
      <c r="N3196">
        <f>VLOOKUP(F3196,Sheet2!$B$1:$E$19,3,FALSE)</f>
        <v>1108960</v>
      </c>
      <c r="O3196">
        <f>IF(G3196="Not available","",VLOOKUP(F3196,Sheet2!$B$1:$E$19,4,FALSE)+(G3196-1))</f>
        <v>3780304</v>
      </c>
    </row>
    <row r="3197" spans="1:15" s="1" customFormat="1" ht="15" customHeight="1" x14ac:dyDescent="0.25">
      <c r="A3197" s="18" t="s">
        <v>365</v>
      </c>
      <c r="B3197" s="18" t="s">
        <v>18</v>
      </c>
      <c r="C3197" s="5">
        <v>1788</v>
      </c>
      <c r="D3197" s="1" t="s">
        <v>44</v>
      </c>
      <c r="E3197" s="1" t="s">
        <v>2</v>
      </c>
      <c r="F3197" s="18">
        <v>2173</v>
      </c>
      <c r="G3197" s="18">
        <v>18</v>
      </c>
      <c r="H3197" s="5">
        <v>30</v>
      </c>
      <c r="I3197" s="1">
        <v>110</v>
      </c>
      <c r="J3197" s="1">
        <v>239</v>
      </c>
      <c r="L3197" t="str">
        <f t="shared" si="49"/>
        <v>http://www.badatelna.eu/reprodukce/?fondId=1073&amp;zaznamId=1108959&amp;reproId=3780011</v>
      </c>
      <c r="M3197">
        <f>VLOOKUP(F3197,Sheet2!$B$1:$E$19,2,FALSE)</f>
        <v>1073</v>
      </c>
      <c r="N3197">
        <f>VLOOKUP(F3197,Sheet2!$B$1:$E$19,3,FALSE)</f>
        <v>1108959</v>
      </c>
      <c r="O3197">
        <f>IF(G3197="Not available","",VLOOKUP(F3197,Sheet2!$B$1:$E$19,4,FALSE)+(G3197-1))</f>
        <v>3780011</v>
      </c>
    </row>
    <row r="3198" spans="1:15" s="1" customFormat="1" ht="15" customHeight="1" x14ac:dyDescent="0.25">
      <c r="A3198" s="18" t="s">
        <v>365</v>
      </c>
      <c r="B3198" s="18" t="s">
        <v>398</v>
      </c>
      <c r="C3198" s="5">
        <v>1851</v>
      </c>
      <c r="D3198" s="1" t="s">
        <v>133</v>
      </c>
      <c r="E3198" s="1" t="s">
        <v>2</v>
      </c>
      <c r="F3198" s="18">
        <v>2164</v>
      </c>
      <c r="G3198" s="18">
        <v>76</v>
      </c>
      <c r="H3198" s="5">
        <v>74</v>
      </c>
      <c r="I3198" s="1">
        <v>136</v>
      </c>
      <c r="J3198" s="3" t="s">
        <v>3271</v>
      </c>
      <c r="L3198" t="str">
        <f t="shared" si="49"/>
        <v>http://www.badatelna.eu/reprodukce/?fondId=1073&amp;zaznamId=1108951&amp;reproId=3778790</v>
      </c>
      <c r="M3198">
        <f>VLOOKUP(F3198,Sheet2!$B$1:$E$19,2,FALSE)</f>
        <v>1073</v>
      </c>
      <c r="N3198">
        <f>VLOOKUP(F3198,Sheet2!$B$1:$E$19,3,FALSE)</f>
        <v>1108951</v>
      </c>
      <c r="O3198">
        <f>IF(G3198="Not available","",VLOOKUP(F3198,Sheet2!$B$1:$E$19,4,FALSE)+(G3198-1))</f>
        <v>3778790</v>
      </c>
    </row>
    <row r="3199" spans="1:15" s="1" customFormat="1" ht="15" customHeight="1" x14ac:dyDescent="0.25">
      <c r="A3199" s="18" t="s">
        <v>365</v>
      </c>
      <c r="B3199" s="18" t="s">
        <v>398</v>
      </c>
      <c r="C3199" s="5">
        <v>1859</v>
      </c>
      <c r="E3199" s="1" t="s">
        <v>939</v>
      </c>
      <c r="F3199" s="18">
        <v>999</v>
      </c>
      <c r="G3199" s="18">
        <v>14</v>
      </c>
      <c r="H3199" s="5">
        <v>12</v>
      </c>
      <c r="I3199" s="1">
        <v>74</v>
      </c>
      <c r="J3199" s="1">
        <v>108</v>
      </c>
      <c r="L3199" t="str">
        <f t="shared" si="49"/>
        <v>http://www.badatelna.eu/reprodukce/?fondId=241&amp;zaznamId=1133739&amp;reproId=3885743</v>
      </c>
      <c r="M3199">
        <f>VLOOKUP(F3199,Sheet2!$B$1:$E$19,2,FALSE)</f>
        <v>241</v>
      </c>
      <c r="N3199">
        <f>VLOOKUP(F3199,Sheet2!$B$1:$E$19,3,FALSE)</f>
        <v>1133739</v>
      </c>
      <c r="O3199">
        <f>IF(G3199="Not available","",VLOOKUP(F3199,Sheet2!$B$1:$E$19,4,FALSE)+(G3199-1))</f>
        <v>3885743</v>
      </c>
    </row>
    <row r="3200" spans="1:15" s="1" customFormat="1" ht="15" customHeight="1" x14ac:dyDescent="0.25">
      <c r="A3200" s="18" t="s">
        <v>365</v>
      </c>
      <c r="B3200" s="18" t="s">
        <v>1007</v>
      </c>
      <c r="C3200" s="5">
        <v>1882</v>
      </c>
      <c r="D3200" s="1" t="s">
        <v>546</v>
      </c>
      <c r="E3200" s="1" t="s">
        <v>2</v>
      </c>
      <c r="F3200" s="18">
        <v>2165</v>
      </c>
      <c r="G3200" s="18">
        <v>178</v>
      </c>
      <c r="H3200" s="5">
        <v>2</v>
      </c>
      <c r="I3200" s="1">
        <v>183</v>
      </c>
      <c r="J3200" s="1">
        <v>160</v>
      </c>
      <c r="L3200" t="str">
        <f t="shared" si="49"/>
        <v>http://www.badatelna.eu/reprodukce/?fondId=1073&amp;zaznamId=1108952&amp;reproId=3779039</v>
      </c>
      <c r="M3200">
        <f>VLOOKUP(F3200,Sheet2!$B$1:$E$19,2,FALSE)</f>
        <v>1073</v>
      </c>
      <c r="N3200">
        <f>VLOOKUP(F3200,Sheet2!$B$1:$E$19,3,FALSE)</f>
        <v>1108952</v>
      </c>
      <c r="O3200">
        <f>IF(G3200="Not available","",VLOOKUP(F3200,Sheet2!$B$1:$E$19,4,FALSE)+(G3200-1))</f>
        <v>3779039</v>
      </c>
    </row>
    <row r="3201" spans="1:15" s="1" customFormat="1" ht="15" customHeight="1" x14ac:dyDescent="0.25">
      <c r="A3201" s="18" t="s">
        <v>365</v>
      </c>
      <c r="B3201" s="18" t="s">
        <v>1007</v>
      </c>
      <c r="C3201" s="10" t="s">
        <v>1285</v>
      </c>
      <c r="D3201" s="3" t="s">
        <v>2547</v>
      </c>
      <c r="E3201" s="4" t="s">
        <v>2</v>
      </c>
      <c r="F3201" s="18">
        <v>2176</v>
      </c>
      <c r="G3201" s="18" t="s">
        <v>3271</v>
      </c>
      <c r="H3201" s="10" t="s">
        <v>2006</v>
      </c>
      <c r="I3201" s="3">
        <v>34</v>
      </c>
      <c r="J3201" s="3" t="s">
        <v>3271</v>
      </c>
      <c r="K3201" s="3"/>
      <c r="L3201" t="str">
        <f t="shared" si="49"/>
        <v/>
      </c>
      <c r="M3201">
        <f>VLOOKUP(F3201,Sheet2!$B$1:$E$19,2,FALSE)</f>
        <v>1073</v>
      </c>
      <c r="N3201">
        <f>VLOOKUP(F3201,Sheet2!$B$1:$E$19,3,FALSE)</f>
        <v>1108963</v>
      </c>
      <c r="O3201" t="str">
        <f>IF(G3201="Not available","",VLOOKUP(F3201,Sheet2!$B$1:$E$19,4,FALSE)+(G3201-1))</f>
        <v/>
      </c>
    </row>
    <row r="3202" spans="1:15" s="1" customFormat="1" ht="15" customHeight="1" x14ac:dyDescent="0.25">
      <c r="A3202" s="18" t="s">
        <v>365</v>
      </c>
      <c r="B3202" s="18" t="s">
        <v>1007</v>
      </c>
      <c r="C3202" s="5" t="s">
        <v>1550</v>
      </c>
      <c r="D3202" s="1" t="s">
        <v>546</v>
      </c>
      <c r="E3202" s="1" t="s">
        <v>2</v>
      </c>
      <c r="F3202" s="18">
        <v>2165</v>
      </c>
      <c r="G3202" s="18">
        <v>50</v>
      </c>
      <c r="H3202" s="5">
        <v>47</v>
      </c>
      <c r="I3202" s="1">
        <v>91</v>
      </c>
      <c r="J3202" s="1" t="s">
        <v>3271</v>
      </c>
      <c r="L3202" t="str">
        <f t="shared" si="49"/>
        <v>http://www.badatelna.eu/reprodukce/?fondId=1073&amp;zaznamId=1108952&amp;reproId=3778911</v>
      </c>
      <c r="M3202">
        <f>VLOOKUP(F3202,Sheet2!$B$1:$E$19,2,FALSE)</f>
        <v>1073</v>
      </c>
      <c r="N3202">
        <f>VLOOKUP(F3202,Sheet2!$B$1:$E$19,3,FALSE)</f>
        <v>1108952</v>
      </c>
      <c r="O3202">
        <f>IF(G3202="Not available","",VLOOKUP(F3202,Sheet2!$B$1:$E$19,4,FALSE)+(G3202-1))</f>
        <v>3778911</v>
      </c>
    </row>
    <row r="3203" spans="1:15" s="1" customFormat="1" ht="15" customHeight="1" x14ac:dyDescent="0.25">
      <c r="A3203" s="18" t="s">
        <v>365</v>
      </c>
      <c r="B3203" s="18" t="s">
        <v>593</v>
      </c>
      <c r="C3203" s="5">
        <v>1844</v>
      </c>
      <c r="D3203" s="1" t="s">
        <v>71</v>
      </c>
      <c r="E3203" s="1" t="s">
        <v>2</v>
      </c>
      <c r="F3203" s="18">
        <v>2174</v>
      </c>
      <c r="G3203" s="18">
        <v>146</v>
      </c>
      <c r="H3203" s="6" t="s">
        <v>3215</v>
      </c>
      <c r="I3203" s="1">
        <v>197</v>
      </c>
      <c r="J3203" s="1">
        <v>233</v>
      </c>
      <c r="L3203" t="str">
        <f t="shared" ref="L3203:L3266" si="50">IF(G3203="Not available","","http://www.badatelna.eu/reprodukce/?fondId="&amp;M3203&amp;"&amp;zaznamId="&amp;N3203&amp;"&amp;reproId="&amp;O3203)</f>
        <v>http://www.badatelna.eu/reprodukce/?fondId=1073&amp;zaznamId=1108960&amp;reproId=3780370</v>
      </c>
      <c r="M3203">
        <f>VLOOKUP(F3203,Sheet2!$B$1:$E$19,2,FALSE)</f>
        <v>1073</v>
      </c>
      <c r="N3203">
        <f>VLOOKUP(F3203,Sheet2!$B$1:$E$19,3,FALSE)</f>
        <v>1108960</v>
      </c>
      <c r="O3203">
        <f>IF(G3203="Not available","",VLOOKUP(F3203,Sheet2!$B$1:$E$19,4,FALSE)+(G3203-1))</f>
        <v>3780370</v>
      </c>
    </row>
    <row r="3204" spans="1:15" s="1" customFormat="1" ht="15" customHeight="1" x14ac:dyDescent="0.25">
      <c r="A3204" s="18" t="s">
        <v>365</v>
      </c>
      <c r="B3204" s="18" t="s">
        <v>1067</v>
      </c>
      <c r="C3204" s="5" t="s">
        <v>1540</v>
      </c>
      <c r="D3204" s="1" t="s">
        <v>58</v>
      </c>
      <c r="E3204" s="1" t="s">
        <v>2</v>
      </c>
      <c r="F3204" s="18">
        <v>2165</v>
      </c>
      <c r="G3204" s="18">
        <v>38</v>
      </c>
      <c r="H3204" s="5">
        <v>35</v>
      </c>
      <c r="I3204" s="1">
        <v>90</v>
      </c>
      <c r="J3204" s="1" t="s">
        <v>3271</v>
      </c>
      <c r="L3204" t="str">
        <f t="shared" si="50"/>
        <v>http://www.badatelna.eu/reprodukce/?fondId=1073&amp;zaznamId=1108952&amp;reproId=3778899</v>
      </c>
      <c r="M3204">
        <f>VLOOKUP(F3204,Sheet2!$B$1:$E$19,2,FALSE)</f>
        <v>1073</v>
      </c>
      <c r="N3204">
        <f>VLOOKUP(F3204,Sheet2!$B$1:$E$19,3,FALSE)</f>
        <v>1108952</v>
      </c>
      <c r="O3204">
        <f>IF(G3204="Not available","",VLOOKUP(F3204,Sheet2!$B$1:$E$19,4,FALSE)+(G3204-1))</f>
        <v>3778899</v>
      </c>
    </row>
    <row r="3205" spans="1:15" s="1" customFormat="1" ht="15" customHeight="1" x14ac:dyDescent="0.25">
      <c r="A3205" s="18" t="s">
        <v>365</v>
      </c>
      <c r="B3205" s="18" t="s">
        <v>145</v>
      </c>
      <c r="C3205" s="5">
        <v>1843</v>
      </c>
      <c r="D3205" s="1" t="s">
        <v>71</v>
      </c>
      <c r="E3205" s="1" t="s">
        <v>2</v>
      </c>
      <c r="F3205" s="18">
        <v>2174</v>
      </c>
      <c r="G3205" s="18">
        <v>137</v>
      </c>
      <c r="H3205" s="6" t="s">
        <v>3209</v>
      </c>
      <c r="I3205" s="1">
        <v>197</v>
      </c>
      <c r="J3205" s="1">
        <v>232</v>
      </c>
      <c r="L3205" t="str">
        <f t="shared" si="50"/>
        <v>http://www.badatelna.eu/reprodukce/?fondId=1073&amp;zaznamId=1108960&amp;reproId=3780361</v>
      </c>
      <c r="M3205">
        <f>VLOOKUP(F3205,Sheet2!$B$1:$E$19,2,FALSE)</f>
        <v>1073</v>
      </c>
      <c r="N3205">
        <f>VLOOKUP(F3205,Sheet2!$B$1:$E$19,3,FALSE)</f>
        <v>1108960</v>
      </c>
      <c r="O3205">
        <f>IF(G3205="Not available","",VLOOKUP(F3205,Sheet2!$B$1:$E$19,4,FALSE)+(G3205-1))</f>
        <v>3780361</v>
      </c>
    </row>
    <row r="3206" spans="1:15" s="1" customFormat="1" ht="15" customHeight="1" x14ac:dyDescent="0.25">
      <c r="A3206" s="18" t="s">
        <v>365</v>
      </c>
      <c r="B3206" s="18" t="s">
        <v>145</v>
      </c>
      <c r="C3206" s="5">
        <v>1847</v>
      </c>
      <c r="D3206" s="1" t="s">
        <v>40</v>
      </c>
      <c r="E3206" s="1" t="s">
        <v>2</v>
      </c>
      <c r="F3206" s="18">
        <v>2164</v>
      </c>
      <c r="G3206" s="18">
        <v>11</v>
      </c>
      <c r="H3206" s="5">
        <v>9</v>
      </c>
      <c r="I3206" s="1">
        <v>136</v>
      </c>
      <c r="J3206" s="3" t="s">
        <v>3271</v>
      </c>
      <c r="L3206" t="str">
        <f t="shared" si="50"/>
        <v>http://www.badatelna.eu/reprodukce/?fondId=1073&amp;zaznamId=1108951&amp;reproId=3778725</v>
      </c>
      <c r="M3206">
        <f>VLOOKUP(F3206,Sheet2!$B$1:$E$19,2,FALSE)</f>
        <v>1073</v>
      </c>
      <c r="N3206">
        <f>VLOOKUP(F3206,Sheet2!$B$1:$E$19,3,FALSE)</f>
        <v>1108951</v>
      </c>
      <c r="O3206">
        <f>IF(G3206="Not available","",VLOOKUP(F3206,Sheet2!$B$1:$E$19,4,FALSE)+(G3206-1))</f>
        <v>3778725</v>
      </c>
    </row>
    <row r="3207" spans="1:15" s="1" customFormat="1" ht="15" customHeight="1" x14ac:dyDescent="0.25">
      <c r="A3207" s="18" t="s">
        <v>365</v>
      </c>
      <c r="B3207" s="18" t="s">
        <v>156</v>
      </c>
      <c r="C3207" s="5">
        <v>1859</v>
      </c>
      <c r="E3207" s="1" t="s">
        <v>939</v>
      </c>
      <c r="F3207" s="18">
        <v>999</v>
      </c>
      <c r="G3207" s="18">
        <v>15</v>
      </c>
      <c r="H3207" s="5">
        <v>13</v>
      </c>
      <c r="I3207" s="1">
        <v>74</v>
      </c>
      <c r="J3207" s="1">
        <v>108</v>
      </c>
      <c r="L3207" t="str">
        <f t="shared" si="50"/>
        <v>http://www.badatelna.eu/reprodukce/?fondId=241&amp;zaznamId=1133739&amp;reproId=3885744</v>
      </c>
      <c r="M3207">
        <f>VLOOKUP(F3207,Sheet2!$B$1:$E$19,2,FALSE)</f>
        <v>241</v>
      </c>
      <c r="N3207">
        <f>VLOOKUP(F3207,Sheet2!$B$1:$E$19,3,FALSE)</f>
        <v>1133739</v>
      </c>
      <c r="O3207">
        <f>IF(G3207="Not available","",VLOOKUP(F3207,Sheet2!$B$1:$E$19,4,FALSE)+(G3207-1))</f>
        <v>3885744</v>
      </c>
    </row>
    <row r="3208" spans="1:15" s="1" customFormat="1" ht="15" customHeight="1" x14ac:dyDescent="0.25">
      <c r="A3208" s="18" t="s">
        <v>365</v>
      </c>
      <c r="B3208" s="18" t="s">
        <v>713</v>
      </c>
      <c r="C3208" s="5">
        <v>1852</v>
      </c>
      <c r="D3208" s="1" t="s">
        <v>133</v>
      </c>
      <c r="E3208" s="1" t="s">
        <v>2</v>
      </c>
      <c r="F3208" s="18">
        <v>2164</v>
      </c>
      <c r="G3208" s="18">
        <v>88</v>
      </c>
      <c r="H3208" s="5">
        <v>86</v>
      </c>
      <c r="I3208" s="1">
        <v>136</v>
      </c>
      <c r="J3208" s="3" t="s">
        <v>3271</v>
      </c>
      <c r="L3208" t="str">
        <f t="shared" si="50"/>
        <v>http://www.badatelna.eu/reprodukce/?fondId=1073&amp;zaznamId=1108951&amp;reproId=3778802</v>
      </c>
      <c r="M3208">
        <f>VLOOKUP(F3208,Sheet2!$B$1:$E$19,2,FALSE)</f>
        <v>1073</v>
      </c>
      <c r="N3208">
        <f>VLOOKUP(F3208,Sheet2!$B$1:$E$19,3,FALSE)</f>
        <v>1108951</v>
      </c>
      <c r="O3208">
        <f>IF(G3208="Not available","",VLOOKUP(F3208,Sheet2!$B$1:$E$19,4,FALSE)+(G3208-1))</f>
        <v>3778802</v>
      </c>
    </row>
    <row r="3209" spans="1:15" s="1" customFormat="1" ht="15" customHeight="1" x14ac:dyDescent="0.25">
      <c r="A3209" s="18" t="s">
        <v>365</v>
      </c>
      <c r="B3209" s="18" t="s">
        <v>71</v>
      </c>
      <c r="C3209" s="5">
        <v>1791</v>
      </c>
      <c r="D3209" s="1" t="s">
        <v>373</v>
      </c>
      <c r="E3209" s="1" t="s">
        <v>2</v>
      </c>
      <c r="F3209" s="18">
        <v>2173</v>
      </c>
      <c r="G3209" s="18">
        <v>25</v>
      </c>
      <c r="H3209" s="5">
        <v>44</v>
      </c>
      <c r="I3209" s="1">
        <v>110</v>
      </c>
      <c r="J3209" s="1">
        <v>239</v>
      </c>
      <c r="L3209" t="str">
        <f t="shared" si="50"/>
        <v>http://www.badatelna.eu/reprodukce/?fondId=1073&amp;zaznamId=1108959&amp;reproId=3780018</v>
      </c>
      <c r="M3209">
        <f>VLOOKUP(F3209,Sheet2!$B$1:$E$19,2,FALSE)</f>
        <v>1073</v>
      </c>
      <c r="N3209">
        <f>VLOOKUP(F3209,Sheet2!$B$1:$E$19,3,FALSE)</f>
        <v>1108959</v>
      </c>
      <c r="O3209">
        <f>IF(G3209="Not available","",VLOOKUP(F3209,Sheet2!$B$1:$E$19,4,FALSE)+(G3209-1))</f>
        <v>3780018</v>
      </c>
    </row>
    <row r="3210" spans="1:15" s="1" customFormat="1" ht="15" customHeight="1" x14ac:dyDescent="0.25">
      <c r="A3210" s="18" t="s">
        <v>365</v>
      </c>
      <c r="B3210" s="18" t="s">
        <v>44</v>
      </c>
      <c r="C3210" s="5">
        <v>1788</v>
      </c>
      <c r="D3210" s="1" t="s">
        <v>34</v>
      </c>
      <c r="E3210" s="1" t="s">
        <v>2</v>
      </c>
      <c r="F3210" s="18">
        <v>2173</v>
      </c>
      <c r="G3210" s="18">
        <v>19</v>
      </c>
      <c r="H3210" s="5">
        <v>33</v>
      </c>
      <c r="I3210" s="1">
        <v>110</v>
      </c>
      <c r="J3210" s="1">
        <v>239</v>
      </c>
      <c r="L3210" t="str">
        <f t="shared" si="50"/>
        <v>http://www.badatelna.eu/reprodukce/?fondId=1073&amp;zaznamId=1108959&amp;reproId=3780012</v>
      </c>
      <c r="M3210">
        <f>VLOOKUP(F3210,Sheet2!$B$1:$E$19,2,FALSE)</f>
        <v>1073</v>
      </c>
      <c r="N3210">
        <f>VLOOKUP(F3210,Sheet2!$B$1:$E$19,3,FALSE)</f>
        <v>1108959</v>
      </c>
      <c r="O3210">
        <f>IF(G3210="Not available","",VLOOKUP(F3210,Sheet2!$B$1:$E$19,4,FALSE)+(G3210-1))</f>
        <v>3780012</v>
      </c>
    </row>
    <row r="3211" spans="1:15" s="1" customFormat="1" ht="15" customHeight="1" x14ac:dyDescent="0.25">
      <c r="A3211" s="18" t="s">
        <v>365</v>
      </c>
      <c r="B3211" s="18" t="s">
        <v>44</v>
      </c>
      <c r="C3211" s="5">
        <v>1842</v>
      </c>
      <c r="D3211" s="1" t="s">
        <v>40</v>
      </c>
      <c r="E3211" s="1" t="s">
        <v>2</v>
      </c>
      <c r="F3211" s="18">
        <v>2174</v>
      </c>
      <c r="G3211" s="18">
        <v>128</v>
      </c>
      <c r="H3211" s="6" t="s">
        <v>3194</v>
      </c>
      <c r="I3211" s="1">
        <v>197</v>
      </c>
      <c r="J3211" s="1">
        <v>232</v>
      </c>
      <c r="L3211" t="str">
        <f t="shared" si="50"/>
        <v>http://www.badatelna.eu/reprodukce/?fondId=1073&amp;zaznamId=1108960&amp;reproId=3780352</v>
      </c>
      <c r="M3211">
        <f>VLOOKUP(F3211,Sheet2!$B$1:$E$19,2,FALSE)</f>
        <v>1073</v>
      </c>
      <c r="N3211">
        <f>VLOOKUP(F3211,Sheet2!$B$1:$E$19,3,FALSE)</f>
        <v>1108960</v>
      </c>
      <c r="O3211">
        <f>IF(G3211="Not available","",VLOOKUP(F3211,Sheet2!$B$1:$E$19,4,FALSE)+(G3211-1))</f>
        <v>3780352</v>
      </c>
    </row>
    <row r="3212" spans="1:15" s="1" customFormat="1" ht="15" customHeight="1" x14ac:dyDescent="0.25">
      <c r="A3212" s="18" t="s">
        <v>365</v>
      </c>
      <c r="B3212" s="18" t="s">
        <v>44</v>
      </c>
      <c r="C3212" s="5">
        <v>1845</v>
      </c>
      <c r="D3212" s="1" t="s">
        <v>71</v>
      </c>
      <c r="E3212" s="1" t="s">
        <v>2</v>
      </c>
      <c r="F3212" s="18">
        <v>2174</v>
      </c>
      <c r="G3212" s="18">
        <v>159</v>
      </c>
      <c r="H3212" s="6" t="s">
        <v>3225</v>
      </c>
      <c r="I3212" s="1">
        <v>197</v>
      </c>
      <c r="J3212" s="1">
        <v>233</v>
      </c>
      <c r="L3212" t="str">
        <f t="shared" si="50"/>
        <v>http://www.badatelna.eu/reprodukce/?fondId=1073&amp;zaznamId=1108960&amp;reproId=3780383</v>
      </c>
      <c r="M3212">
        <f>VLOOKUP(F3212,Sheet2!$B$1:$E$19,2,FALSE)</f>
        <v>1073</v>
      </c>
      <c r="N3212">
        <f>VLOOKUP(F3212,Sheet2!$B$1:$E$19,3,FALSE)</f>
        <v>1108960</v>
      </c>
      <c r="O3212">
        <f>IF(G3212="Not available","",VLOOKUP(F3212,Sheet2!$B$1:$E$19,4,FALSE)+(G3212-1))</f>
        <v>3780383</v>
      </c>
    </row>
    <row r="3213" spans="1:15" s="1" customFormat="1" ht="15" customHeight="1" x14ac:dyDescent="0.25">
      <c r="A3213" s="18" t="s">
        <v>365</v>
      </c>
      <c r="B3213" s="18" t="s">
        <v>924</v>
      </c>
      <c r="C3213" s="5" t="s">
        <v>1571</v>
      </c>
      <c r="D3213" s="1" t="s">
        <v>546</v>
      </c>
      <c r="E3213" s="1" t="s">
        <v>2</v>
      </c>
      <c r="F3213" s="18">
        <v>2165</v>
      </c>
      <c r="G3213" s="18">
        <v>72</v>
      </c>
      <c r="H3213" s="5">
        <v>69</v>
      </c>
      <c r="I3213" s="1">
        <v>91</v>
      </c>
      <c r="J3213" s="1" t="s">
        <v>3271</v>
      </c>
      <c r="L3213" t="str">
        <f t="shared" si="50"/>
        <v>http://www.badatelna.eu/reprodukce/?fondId=1073&amp;zaznamId=1108952&amp;reproId=3778933</v>
      </c>
      <c r="M3213">
        <f>VLOOKUP(F3213,Sheet2!$B$1:$E$19,2,FALSE)</f>
        <v>1073</v>
      </c>
      <c r="N3213">
        <f>VLOOKUP(F3213,Sheet2!$B$1:$E$19,3,FALSE)</f>
        <v>1108952</v>
      </c>
      <c r="O3213">
        <f>IF(G3213="Not available","",VLOOKUP(F3213,Sheet2!$B$1:$E$19,4,FALSE)+(G3213-1))</f>
        <v>3778933</v>
      </c>
    </row>
    <row r="3214" spans="1:15" s="1" customFormat="1" ht="15" customHeight="1" x14ac:dyDescent="0.25">
      <c r="A3214" s="18" t="s">
        <v>365</v>
      </c>
      <c r="B3214" s="18" t="s">
        <v>304</v>
      </c>
      <c r="C3214" s="5">
        <v>1837</v>
      </c>
      <c r="D3214" s="1" t="s">
        <v>71</v>
      </c>
      <c r="E3214" s="1" t="s">
        <v>2</v>
      </c>
      <c r="F3214" s="18">
        <v>2174</v>
      </c>
      <c r="G3214" s="18">
        <v>91</v>
      </c>
      <c r="H3214" s="6" t="s">
        <v>3157</v>
      </c>
      <c r="I3214" s="1">
        <v>197</v>
      </c>
      <c r="J3214" s="1">
        <v>232</v>
      </c>
      <c r="L3214" t="str">
        <f t="shared" si="50"/>
        <v>http://www.badatelna.eu/reprodukce/?fondId=1073&amp;zaznamId=1108960&amp;reproId=3780315</v>
      </c>
      <c r="M3214">
        <f>VLOOKUP(F3214,Sheet2!$B$1:$E$19,2,FALSE)</f>
        <v>1073</v>
      </c>
      <c r="N3214">
        <f>VLOOKUP(F3214,Sheet2!$B$1:$E$19,3,FALSE)</f>
        <v>1108960</v>
      </c>
      <c r="O3214">
        <f>IF(G3214="Not available","",VLOOKUP(F3214,Sheet2!$B$1:$E$19,4,FALSE)+(G3214-1))</f>
        <v>3780315</v>
      </c>
    </row>
    <row r="3215" spans="1:15" s="1" customFormat="1" ht="15" customHeight="1" x14ac:dyDescent="0.25">
      <c r="A3215" s="18" t="s">
        <v>365</v>
      </c>
      <c r="B3215" s="18" t="s">
        <v>58</v>
      </c>
      <c r="C3215" s="5">
        <v>1795</v>
      </c>
      <c r="D3215" s="1" t="s">
        <v>34</v>
      </c>
      <c r="E3215" s="1" t="s">
        <v>2</v>
      </c>
      <c r="F3215" s="18">
        <v>2173</v>
      </c>
      <c r="G3215" s="18">
        <v>33</v>
      </c>
      <c r="H3215" s="5">
        <v>60</v>
      </c>
      <c r="I3215" s="1">
        <v>110</v>
      </c>
      <c r="J3215" s="1">
        <v>239</v>
      </c>
      <c r="L3215" t="str">
        <f t="shared" si="50"/>
        <v>http://www.badatelna.eu/reprodukce/?fondId=1073&amp;zaznamId=1108959&amp;reproId=3780026</v>
      </c>
      <c r="M3215">
        <f>VLOOKUP(F3215,Sheet2!$B$1:$E$19,2,FALSE)</f>
        <v>1073</v>
      </c>
      <c r="N3215">
        <f>VLOOKUP(F3215,Sheet2!$B$1:$E$19,3,FALSE)</f>
        <v>1108959</v>
      </c>
      <c r="O3215">
        <f>IF(G3215="Not available","",VLOOKUP(F3215,Sheet2!$B$1:$E$19,4,FALSE)+(G3215-1))</f>
        <v>3780026</v>
      </c>
    </row>
    <row r="3216" spans="1:15" s="1" customFormat="1" ht="15" customHeight="1" x14ac:dyDescent="0.25">
      <c r="A3216" s="18" t="s">
        <v>365</v>
      </c>
      <c r="B3216" s="18" t="s">
        <v>58</v>
      </c>
      <c r="C3216" s="5">
        <v>1832</v>
      </c>
      <c r="D3216" s="1" t="s">
        <v>40</v>
      </c>
      <c r="E3216" s="1" t="s">
        <v>2</v>
      </c>
      <c r="F3216" s="18">
        <v>2174</v>
      </c>
      <c r="G3216" s="18">
        <v>66</v>
      </c>
      <c r="H3216" s="6" t="s">
        <v>3133</v>
      </c>
      <c r="I3216" s="1">
        <v>196</v>
      </c>
      <c r="J3216" s="1">
        <v>231</v>
      </c>
      <c r="K3216" s="2"/>
      <c r="L3216" t="str">
        <f t="shared" si="50"/>
        <v>http://www.badatelna.eu/reprodukce/?fondId=1073&amp;zaznamId=1108960&amp;reproId=3780290</v>
      </c>
      <c r="M3216">
        <f>VLOOKUP(F3216,Sheet2!$B$1:$E$19,2,FALSE)</f>
        <v>1073</v>
      </c>
      <c r="N3216">
        <f>VLOOKUP(F3216,Sheet2!$B$1:$E$19,3,FALSE)</f>
        <v>1108960</v>
      </c>
      <c r="O3216">
        <f>IF(G3216="Not available","",VLOOKUP(F3216,Sheet2!$B$1:$E$19,4,FALSE)+(G3216-1))</f>
        <v>3780290</v>
      </c>
    </row>
    <row r="3217" spans="1:15" s="1" customFormat="1" ht="15" customHeight="1" x14ac:dyDescent="0.25">
      <c r="A3217" s="18" t="s">
        <v>365</v>
      </c>
      <c r="B3217" s="18" t="s">
        <v>1185</v>
      </c>
      <c r="C3217" s="5">
        <v>1887</v>
      </c>
      <c r="D3217" s="4" t="s">
        <v>2890</v>
      </c>
      <c r="E3217" s="1" t="s">
        <v>2</v>
      </c>
      <c r="F3217" s="18">
        <v>2165</v>
      </c>
      <c r="G3217" s="18">
        <v>212</v>
      </c>
      <c r="H3217" s="5">
        <v>1</v>
      </c>
      <c r="I3217" s="1">
        <v>216</v>
      </c>
      <c r="J3217" s="1">
        <v>192</v>
      </c>
      <c r="L3217" t="str">
        <f t="shared" si="50"/>
        <v>http://www.badatelna.eu/reprodukce/?fondId=1073&amp;zaznamId=1108952&amp;reproId=3779073</v>
      </c>
      <c r="M3217">
        <f>VLOOKUP(F3217,Sheet2!$B$1:$E$19,2,FALSE)</f>
        <v>1073</v>
      </c>
      <c r="N3217">
        <f>VLOOKUP(F3217,Sheet2!$B$1:$E$19,3,FALSE)</f>
        <v>1108952</v>
      </c>
      <c r="O3217">
        <f>IF(G3217="Not available","",VLOOKUP(F3217,Sheet2!$B$1:$E$19,4,FALSE)+(G3217-1))</f>
        <v>3779073</v>
      </c>
    </row>
    <row r="3218" spans="1:15" s="1" customFormat="1" ht="15" customHeight="1" x14ac:dyDescent="0.25">
      <c r="A3218" s="18" t="s">
        <v>365</v>
      </c>
      <c r="B3218" s="18" t="s">
        <v>1185</v>
      </c>
      <c r="C3218" s="10" t="s">
        <v>2055</v>
      </c>
      <c r="D3218" s="3" t="s">
        <v>2834</v>
      </c>
      <c r="E3218" s="4" t="s">
        <v>2</v>
      </c>
      <c r="F3218" s="18">
        <v>2176</v>
      </c>
      <c r="G3218" s="18" t="s">
        <v>3271</v>
      </c>
      <c r="H3218" s="10" t="s">
        <v>2478</v>
      </c>
      <c r="I3218" s="3">
        <v>34</v>
      </c>
      <c r="J3218" s="3" t="s">
        <v>3271</v>
      </c>
      <c r="K3218" s="3"/>
      <c r="L3218" t="str">
        <f t="shared" si="50"/>
        <v/>
      </c>
      <c r="M3218">
        <f>VLOOKUP(F3218,Sheet2!$B$1:$E$19,2,FALSE)</f>
        <v>1073</v>
      </c>
      <c r="N3218">
        <f>VLOOKUP(F3218,Sheet2!$B$1:$E$19,3,FALSE)</f>
        <v>1108963</v>
      </c>
      <c r="O3218" t="str">
        <f>IF(G3218="Not available","",VLOOKUP(F3218,Sheet2!$B$1:$E$19,4,FALSE)+(G3218-1))</f>
        <v/>
      </c>
    </row>
    <row r="3219" spans="1:15" s="1" customFormat="1" ht="15" customHeight="1" x14ac:dyDescent="0.25">
      <c r="A3219" s="18" t="s">
        <v>365</v>
      </c>
      <c r="B3219" s="18" t="s">
        <v>2022</v>
      </c>
      <c r="C3219" s="10" t="s">
        <v>1987</v>
      </c>
      <c r="D3219" s="3" t="s">
        <v>2557</v>
      </c>
      <c r="E3219" s="4" t="s">
        <v>2</v>
      </c>
      <c r="F3219" s="18">
        <v>2176</v>
      </c>
      <c r="G3219" s="18" t="s">
        <v>3271</v>
      </c>
      <c r="H3219" s="10" t="s">
        <v>2558</v>
      </c>
      <c r="I3219" s="3">
        <v>33</v>
      </c>
      <c r="J3219" s="3" t="s">
        <v>3271</v>
      </c>
      <c r="L3219" t="str">
        <f t="shared" si="50"/>
        <v/>
      </c>
      <c r="M3219">
        <f>VLOOKUP(F3219,Sheet2!$B$1:$E$19,2,FALSE)</f>
        <v>1073</v>
      </c>
      <c r="N3219">
        <f>VLOOKUP(F3219,Sheet2!$B$1:$E$19,3,FALSE)</f>
        <v>1108963</v>
      </c>
      <c r="O3219" t="str">
        <f>IF(G3219="Not available","",VLOOKUP(F3219,Sheet2!$B$1:$E$19,4,FALSE)+(G3219-1))</f>
        <v/>
      </c>
    </row>
    <row r="3220" spans="1:15" s="1" customFormat="1" ht="15" customHeight="1" x14ac:dyDescent="0.25">
      <c r="A3220" s="18" t="s">
        <v>365</v>
      </c>
      <c r="B3220" s="18" t="s">
        <v>620</v>
      </c>
      <c r="C3220" s="5">
        <v>1842</v>
      </c>
      <c r="D3220" s="1" t="s">
        <v>71</v>
      </c>
      <c r="E3220" s="1" t="s">
        <v>2</v>
      </c>
      <c r="F3220" s="18">
        <v>2174</v>
      </c>
      <c r="G3220" s="18">
        <v>124</v>
      </c>
      <c r="H3220" s="6" t="s">
        <v>3198</v>
      </c>
      <c r="I3220" s="1">
        <v>197</v>
      </c>
      <c r="J3220" s="1">
        <v>232</v>
      </c>
      <c r="L3220" t="str">
        <f t="shared" si="50"/>
        <v>http://www.badatelna.eu/reprodukce/?fondId=1073&amp;zaznamId=1108960&amp;reproId=3780348</v>
      </c>
      <c r="M3220">
        <f>VLOOKUP(F3220,Sheet2!$B$1:$E$19,2,FALSE)</f>
        <v>1073</v>
      </c>
      <c r="N3220">
        <f>VLOOKUP(F3220,Sheet2!$B$1:$E$19,3,FALSE)</f>
        <v>1108960</v>
      </c>
      <c r="O3220">
        <f>IF(G3220="Not available","",VLOOKUP(F3220,Sheet2!$B$1:$E$19,4,FALSE)+(G3220-1))</f>
        <v>3780348</v>
      </c>
    </row>
    <row r="3221" spans="1:15" s="1" customFormat="1" ht="15" customHeight="1" x14ac:dyDescent="0.25">
      <c r="A3221" s="18" t="s">
        <v>2543</v>
      </c>
      <c r="B3221" s="18" t="s">
        <v>92</v>
      </c>
      <c r="C3221" s="10" t="s">
        <v>1969</v>
      </c>
      <c r="D3221" s="3" t="s">
        <v>2544</v>
      </c>
      <c r="E3221" s="4" t="s">
        <v>2</v>
      </c>
      <c r="F3221" s="18">
        <v>2176</v>
      </c>
      <c r="G3221" s="18" t="s">
        <v>3271</v>
      </c>
      <c r="H3221" s="10" t="s">
        <v>1954</v>
      </c>
      <c r="I3221" s="3">
        <v>33</v>
      </c>
      <c r="J3221" s="3" t="s">
        <v>3271</v>
      </c>
      <c r="L3221" t="str">
        <f t="shared" si="50"/>
        <v/>
      </c>
      <c r="M3221">
        <f>VLOOKUP(F3221,Sheet2!$B$1:$E$19,2,FALSE)</f>
        <v>1073</v>
      </c>
      <c r="N3221">
        <f>VLOOKUP(F3221,Sheet2!$B$1:$E$19,3,FALSE)</f>
        <v>1108963</v>
      </c>
      <c r="O3221" t="str">
        <f>IF(G3221="Not available","",VLOOKUP(F3221,Sheet2!$B$1:$E$19,4,FALSE)+(G3221-1))</f>
        <v/>
      </c>
    </row>
    <row r="3222" spans="1:15" s="1" customFormat="1" ht="15" customHeight="1" x14ac:dyDescent="0.25">
      <c r="A3222" s="18" t="s">
        <v>741</v>
      </c>
      <c r="B3222" s="18" t="s">
        <v>742</v>
      </c>
      <c r="C3222" s="5">
        <v>1846</v>
      </c>
      <c r="D3222" s="1" t="s">
        <v>50</v>
      </c>
      <c r="E3222" s="1" t="s">
        <v>2</v>
      </c>
      <c r="F3222" s="18">
        <v>2174</v>
      </c>
      <c r="G3222" s="18">
        <v>168</v>
      </c>
      <c r="H3222" s="6" t="s">
        <v>3230</v>
      </c>
      <c r="I3222" s="1">
        <v>197</v>
      </c>
      <c r="J3222" s="1">
        <v>233</v>
      </c>
      <c r="L3222" t="str">
        <f t="shared" si="50"/>
        <v>http://www.badatelna.eu/reprodukce/?fondId=1073&amp;zaznamId=1108960&amp;reproId=3780392</v>
      </c>
      <c r="M3222">
        <f>VLOOKUP(F3222,Sheet2!$B$1:$E$19,2,FALSE)</f>
        <v>1073</v>
      </c>
      <c r="N3222">
        <f>VLOOKUP(F3222,Sheet2!$B$1:$E$19,3,FALSE)</f>
        <v>1108960</v>
      </c>
      <c r="O3222">
        <f>IF(G3222="Not available","",VLOOKUP(F3222,Sheet2!$B$1:$E$19,4,FALSE)+(G3222-1))</f>
        <v>3780392</v>
      </c>
    </row>
    <row r="3223" spans="1:15" s="1" customFormat="1" ht="15" customHeight="1" x14ac:dyDescent="0.25">
      <c r="A3223" s="18" t="s">
        <v>741</v>
      </c>
      <c r="B3223" s="18" t="s">
        <v>816</v>
      </c>
      <c r="C3223" s="5" t="s">
        <v>1557</v>
      </c>
      <c r="D3223" s="1" t="s">
        <v>850</v>
      </c>
      <c r="E3223" s="1" t="s">
        <v>2</v>
      </c>
      <c r="F3223" s="18">
        <v>2165</v>
      </c>
      <c r="G3223" s="18">
        <v>57</v>
      </c>
      <c r="H3223" s="5">
        <v>54</v>
      </c>
      <c r="I3223" s="1">
        <v>91</v>
      </c>
      <c r="J3223" s="1" t="s">
        <v>3271</v>
      </c>
      <c r="L3223" t="str">
        <f t="shared" si="50"/>
        <v>http://www.badatelna.eu/reprodukce/?fondId=1073&amp;zaznamId=1108952&amp;reproId=3778918</v>
      </c>
      <c r="M3223">
        <f>VLOOKUP(F3223,Sheet2!$B$1:$E$19,2,FALSE)</f>
        <v>1073</v>
      </c>
      <c r="N3223">
        <f>VLOOKUP(F3223,Sheet2!$B$1:$E$19,3,FALSE)</f>
        <v>1108952</v>
      </c>
      <c r="O3223">
        <f>IF(G3223="Not available","",VLOOKUP(F3223,Sheet2!$B$1:$E$19,4,FALSE)+(G3223-1))</f>
        <v>3778918</v>
      </c>
    </row>
    <row r="3224" spans="1:15" s="1" customFormat="1" ht="15" customHeight="1" x14ac:dyDescent="0.25">
      <c r="A3224" s="18" t="s">
        <v>741</v>
      </c>
      <c r="B3224" s="18" t="s">
        <v>1126</v>
      </c>
      <c r="C3224" s="5">
        <v>1882</v>
      </c>
      <c r="D3224" s="1" t="s">
        <v>850</v>
      </c>
      <c r="E3224" s="1" t="s">
        <v>2</v>
      </c>
      <c r="F3224" s="18">
        <v>2165</v>
      </c>
      <c r="G3224" s="18">
        <v>179</v>
      </c>
      <c r="H3224" s="5">
        <v>3</v>
      </c>
      <c r="I3224" s="1">
        <v>183</v>
      </c>
      <c r="J3224" s="1">
        <v>160</v>
      </c>
      <c r="L3224" t="str">
        <f t="shared" si="50"/>
        <v>http://www.badatelna.eu/reprodukce/?fondId=1073&amp;zaznamId=1108952&amp;reproId=3779040</v>
      </c>
      <c r="M3224">
        <f>VLOOKUP(F3224,Sheet2!$B$1:$E$19,2,FALSE)</f>
        <v>1073</v>
      </c>
      <c r="N3224">
        <f>VLOOKUP(F3224,Sheet2!$B$1:$E$19,3,FALSE)</f>
        <v>1108952</v>
      </c>
      <c r="O3224">
        <f>IF(G3224="Not available","",VLOOKUP(F3224,Sheet2!$B$1:$E$19,4,FALSE)+(G3224-1))</f>
        <v>3779040</v>
      </c>
    </row>
    <row r="3225" spans="1:15" s="1" customFormat="1" ht="15" customHeight="1" x14ac:dyDescent="0.25">
      <c r="A3225" s="18" t="s">
        <v>741</v>
      </c>
      <c r="B3225" s="18" t="s">
        <v>769</v>
      </c>
      <c r="C3225" s="5" t="s">
        <v>1571</v>
      </c>
      <c r="D3225" s="1" t="s">
        <v>850</v>
      </c>
      <c r="E3225" s="1" t="s">
        <v>2</v>
      </c>
      <c r="F3225" s="18">
        <v>2165</v>
      </c>
      <c r="G3225" s="18">
        <v>74</v>
      </c>
      <c r="H3225" s="5">
        <v>71</v>
      </c>
      <c r="I3225" s="1">
        <v>91</v>
      </c>
      <c r="J3225" s="1" t="s">
        <v>3271</v>
      </c>
      <c r="L3225" t="str">
        <f t="shared" si="50"/>
        <v>http://www.badatelna.eu/reprodukce/?fondId=1073&amp;zaznamId=1108952&amp;reproId=3778935</v>
      </c>
      <c r="M3225">
        <f>VLOOKUP(F3225,Sheet2!$B$1:$E$19,2,FALSE)</f>
        <v>1073</v>
      </c>
      <c r="N3225">
        <f>VLOOKUP(F3225,Sheet2!$B$1:$E$19,3,FALSE)</f>
        <v>1108952</v>
      </c>
      <c r="O3225">
        <f>IF(G3225="Not available","",VLOOKUP(F3225,Sheet2!$B$1:$E$19,4,FALSE)+(G3225-1))</f>
        <v>3778935</v>
      </c>
    </row>
    <row r="3226" spans="1:15" s="1" customFormat="1" ht="15" customHeight="1" x14ac:dyDescent="0.25">
      <c r="A3226" s="18" t="s">
        <v>741</v>
      </c>
      <c r="B3226" s="18" t="s">
        <v>1151</v>
      </c>
      <c r="C3226" s="5">
        <v>1883</v>
      </c>
      <c r="D3226" s="1" t="s">
        <v>850</v>
      </c>
      <c r="E3226" s="1" t="s">
        <v>2</v>
      </c>
      <c r="F3226" s="18">
        <v>2165</v>
      </c>
      <c r="G3226" s="18">
        <v>186</v>
      </c>
      <c r="H3226" s="5">
        <v>2</v>
      </c>
      <c r="I3226" s="1">
        <v>191</v>
      </c>
      <c r="J3226" s="1">
        <v>168</v>
      </c>
      <c r="L3226" t="str">
        <f t="shared" si="50"/>
        <v>http://www.badatelna.eu/reprodukce/?fondId=1073&amp;zaznamId=1108952&amp;reproId=3779047</v>
      </c>
      <c r="M3226">
        <f>VLOOKUP(F3226,Sheet2!$B$1:$E$19,2,FALSE)</f>
        <v>1073</v>
      </c>
      <c r="N3226">
        <f>VLOOKUP(F3226,Sheet2!$B$1:$E$19,3,FALSE)</f>
        <v>1108952</v>
      </c>
      <c r="O3226">
        <f>IF(G3226="Not available","",VLOOKUP(F3226,Sheet2!$B$1:$E$19,4,FALSE)+(G3226-1))</f>
        <v>3779047</v>
      </c>
    </row>
    <row r="3227" spans="1:15" s="1" customFormat="1" ht="15" customHeight="1" x14ac:dyDescent="0.25">
      <c r="A3227" s="18" t="s">
        <v>741</v>
      </c>
      <c r="B3227" s="18" t="s">
        <v>992</v>
      </c>
      <c r="C3227" s="5" t="s">
        <v>1565</v>
      </c>
      <c r="D3227" s="1" t="s">
        <v>850</v>
      </c>
      <c r="E3227" s="1" t="s">
        <v>2</v>
      </c>
      <c r="F3227" s="18">
        <v>2165</v>
      </c>
      <c r="G3227" s="18">
        <v>65</v>
      </c>
      <c r="H3227" s="5">
        <v>62</v>
      </c>
      <c r="I3227" s="1">
        <v>91</v>
      </c>
      <c r="J3227" s="1" t="s">
        <v>3271</v>
      </c>
      <c r="L3227" t="str">
        <f t="shared" si="50"/>
        <v>http://www.badatelna.eu/reprodukce/?fondId=1073&amp;zaznamId=1108952&amp;reproId=3778926</v>
      </c>
      <c r="M3227">
        <f>VLOOKUP(F3227,Sheet2!$B$1:$E$19,2,FALSE)</f>
        <v>1073</v>
      </c>
      <c r="N3227">
        <f>VLOOKUP(F3227,Sheet2!$B$1:$E$19,3,FALSE)</f>
        <v>1108952</v>
      </c>
      <c r="O3227">
        <f>IF(G3227="Not available","",VLOOKUP(F3227,Sheet2!$B$1:$E$19,4,FALSE)+(G3227-1))</f>
        <v>3778926</v>
      </c>
    </row>
    <row r="3228" spans="1:15" s="1" customFormat="1" ht="15" customHeight="1" x14ac:dyDescent="0.25">
      <c r="A3228" s="18" t="s">
        <v>741</v>
      </c>
      <c r="B3228" s="18" t="s">
        <v>1007</v>
      </c>
      <c r="C3228" s="10" t="s">
        <v>2015</v>
      </c>
      <c r="D3228" s="3" t="s">
        <v>2568</v>
      </c>
      <c r="E3228" s="4" t="s">
        <v>2</v>
      </c>
      <c r="F3228" s="18">
        <v>2176</v>
      </c>
      <c r="G3228" s="18" t="s">
        <v>3271</v>
      </c>
      <c r="H3228" s="10" t="s">
        <v>1954</v>
      </c>
      <c r="I3228" s="3">
        <v>33</v>
      </c>
      <c r="J3228" s="3" t="s">
        <v>3271</v>
      </c>
      <c r="K3228" s="3"/>
      <c r="L3228" t="str">
        <f t="shared" si="50"/>
        <v/>
      </c>
      <c r="M3228">
        <f>VLOOKUP(F3228,Sheet2!$B$1:$E$19,2,FALSE)</f>
        <v>1073</v>
      </c>
      <c r="N3228">
        <f>VLOOKUP(F3228,Sheet2!$B$1:$E$19,3,FALSE)</f>
        <v>1108963</v>
      </c>
      <c r="O3228" t="str">
        <f>IF(G3228="Not available","",VLOOKUP(F3228,Sheet2!$B$1:$E$19,4,FALSE)+(G3228-1))</f>
        <v/>
      </c>
    </row>
    <row r="3229" spans="1:15" s="1" customFormat="1" ht="15" customHeight="1" x14ac:dyDescent="0.25">
      <c r="A3229" s="18" t="s">
        <v>741</v>
      </c>
      <c r="B3229" s="18" t="s">
        <v>593</v>
      </c>
      <c r="C3229" s="10" t="s">
        <v>2024</v>
      </c>
      <c r="D3229" s="3" t="s">
        <v>2574</v>
      </c>
      <c r="E3229" s="4" t="s">
        <v>2</v>
      </c>
      <c r="F3229" s="18">
        <v>2176</v>
      </c>
      <c r="G3229" s="18" t="s">
        <v>3271</v>
      </c>
      <c r="H3229" s="10" t="s">
        <v>2575</v>
      </c>
      <c r="I3229" s="3">
        <v>33</v>
      </c>
      <c r="J3229" s="3" t="s">
        <v>3271</v>
      </c>
      <c r="K3229" s="3"/>
      <c r="L3229" t="str">
        <f t="shared" si="50"/>
        <v/>
      </c>
      <c r="M3229">
        <f>VLOOKUP(F3229,Sheet2!$B$1:$E$19,2,FALSE)</f>
        <v>1073</v>
      </c>
      <c r="N3229">
        <f>VLOOKUP(F3229,Sheet2!$B$1:$E$19,3,FALSE)</f>
        <v>1108963</v>
      </c>
      <c r="O3229" t="str">
        <f>IF(G3229="Not available","",VLOOKUP(F3229,Sheet2!$B$1:$E$19,4,FALSE)+(G3229-1))</f>
        <v/>
      </c>
    </row>
    <row r="3230" spans="1:15" s="1" customFormat="1" ht="15" customHeight="1" x14ac:dyDescent="0.25">
      <c r="A3230" s="18" t="s">
        <v>741</v>
      </c>
      <c r="B3230" s="18" t="s">
        <v>924</v>
      </c>
      <c r="C3230" s="5" t="s">
        <v>1549</v>
      </c>
      <c r="D3230" s="1" t="s">
        <v>850</v>
      </c>
      <c r="E3230" s="1" t="s">
        <v>2</v>
      </c>
      <c r="F3230" s="18">
        <v>2165</v>
      </c>
      <c r="G3230" s="18">
        <v>49</v>
      </c>
      <c r="H3230" s="5">
        <v>46</v>
      </c>
      <c r="I3230" s="1">
        <v>90</v>
      </c>
      <c r="J3230" s="1" t="s">
        <v>3271</v>
      </c>
      <c r="L3230" t="str">
        <f t="shared" si="50"/>
        <v>http://www.badatelna.eu/reprodukce/?fondId=1073&amp;zaznamId=1108952&amp;reproId=3778910</v>
      </c>
      <c r="M3230">
        <f>VLOOKUP(F3230,Sheet2!$B$1:$E$19,2,FALSE)</f>
        <v>1073</v>
      </c>
      <c r="N3230">
        <f>VLOOKUP(F3230,Sheet2!$B$1:$E$19,3,FALSE)</f>
        <v>1108952</v>
      </c>
      <c r="O3230">
        <f>IF(G3230="Not available","",VLOOKUP(F3230,Sheet2!$B$1:$E$19,4,FALSE)+(G3230-1))</f>
        <v>3778910</v>
      </c>
    </row>
    <row r="3231" spans="1:15" s="1" customFormat="1" ht="15" customHeight="1" x14ac:dyDescent="0.25">
      <c r="A3231" s="18" t="s">
        <v>895</v>
      </c>
      <c r="B3231" s="18" t="s">
        <v>1073</v>
      </c>
      <c r="C3231" s="5" t="s">
        <v>1560</v>
      </c>
      <c r="D3231" s="1" t="s">
        <v>12</v>
      </c>
      <c r="E3231" s="1" t="s">
        <v>2</v>
      </c>
      <c r="F3231" s="18">
        <v>2165</v>
      </c>
      <c r="G3231" s="18">
        <v>60</v>
      </c>
      <c r="H3231" s="5">
        <v>57</v>
      </c>
      <c r="I3231" s="1">
        <v>91</v>
      </c>
      <c r="J3231" s="1" t="s">
        <v>3271</v>
      </c>
      <c r="L3231" t="str">
        <f t="shared" si="50"/>
        <v>http://www.badatelna.eu/reprodukce/?fondId=1073&amp;zaznamId=1108952&amp;reproId=3778921</v>
      </c>
      <c r="M3231">
        <f>VLOOKUP(F3231,Sheet2!$B$1:$E$19,2,FALSE)</f>
        <v>1073</v>
      </c>
      <c r="N3231">
        <f>VLOOKUP(F3231,Sheet2!$B$1:$E$19,3,FALSE)</f>
        <v>1108952</v>
      </c>
      <c r="O3231">
        <f>IF(G3231="Not available","",VLOOKUP(F3231,Sheet2!$B$1:$E$19,4,FALSE)+(G3231-1))</f>
        <v>3778921</v>
      </c>
    </row>
    <row r="3232" spans="1:15" s="1" customFormat="1" ht="15" customHeight="1" x14ac:dyDescent="0.25">
      <c r="A3232" s="18" t="s">
        <v>895</v>
      </c>
      <c r="B3232" s="18" t="s">
        <v>92</v>
      </c>
      <c r="C3232" s="5" t="s">
        <v>1559</v>
      </c>
      <c r="D3232" s="1" t="s">
        <v>234</v>
      </c>
      <c r="E3232" s="1" t="s">
        <v>2</v>
      </c>
      <c r="F3232" s="18">
        <v>2165</v>
      </c>
      <c r="G3232" s="18">
        <v>58</v>
      </c>
      <c r="H3232" s="5">
        <v>55</v>
      </c>
      <c r="I3232" s="1">
        <v>91</v>
      </c>
      <c r="J3232" s="1" t="s">
        <v>3271</v>
      </c>
      <c r="L3232" t="str">
        <f t="shared" si="50"/>
        <v>http://www.badatelna.eu/reprodukce/?fondId=1073&amp;zaznamId=1108952&amp;reproId=3778919</v>
      </c>
      <c r="M3232">
        <f>VLOOKUP(F3232,Sheet2!$B$1:$E$19,2,FALSE)</f>
        <v>1073</v>
      </c>
      <c r="N3232">
        <f>VLOOKUP(F3232,Sheet2!$B$1:$E$19,3,FALSE)</f>
        <v>1108952</v>
      </c>
      <c r="O3232">
        <f>IF(G3232="Not available","",VLOOKUP(F3232,Sheet2!$B$1:$E$19,4,FALSE)+(G3232-1))</f>
        <v>3778919</v>
      </c>
    </row>
    <row r="3233" spans="1:15" s="1" customFormat="1" ht="15" customHeight="1" x14ac:dyDescent="0.25">
      <c r="A3233" s="18" t="s">
        <v>895</v>
      </c>
      <c r="B3233" s="18" t="s">
        <v>849</v>
      </c>
      <c r="C3233" s="5" t="s">
        <v>1569</v>
      </c>
      <c r="D3233" s="1" t="s">
        <v>234</v>
      </c>
      <c r="E3233" s="1" t="s">
        <v>2</v>
      </c>
      <c r="F3233" s="18">
        <v>2165</v>
      </c>
      <c r="G3233" s="18">
        <v>69</v>
      </c>
      <c r="H3233" s="5">
        <v>66</v>
      </c>
      <c r="I3233" s="1">
        <v>91</v>
      </c>
      <c r="J3233" s="1" t="s">
        <v>3271</v>
      </c>
      <c r="L3233" t="str">
        <f t="shared" si="50"/>
        <v>http://www.badatelna.eu/reprodukce/?fondId=1073&amp;zaznamId=1108952&amp;reproId=3778930</v>
      </c>
      <c r="M3233">
        <f>VLOOKUP(F3233,Sheet2!$B$1:$E$19,2,FALSE)</f>
        <v>1073</v>
      </c>
      <c r="N3233">
        <f>VLOOKUP(F3233,Sheet2!$B$1:$E$19,3,FALSE)</f>
        <v>1108952</v>
      </c>
      <c r="O3233">
        <f>IF(G3233="Not available","",VLOOKUP(F3233,Sheet2!$B$1:$E$19,4,FALSE)+(G3233-1))</f>
        <v>3778930</v>
      </c>
    </row>
    <row r="3234" spans="1:15" s="1" customFormat="1" ht="15" customHeight="1" x14ac:dyDescent="0.25">
      <c r="A3234" s="18" t="s">
        <v>895</v>
      </c>
      <c r="B3234" s="18" t="s">
        <v>482</v>
      </c>
      <c r="C3234" s="5" t="s">
        <v>1522</v>
      </c>
      <c r="D3234" s="1" t="s">
        <v>590</v>
      </c>
      <c r="E3234" s="1" t="s">
        <v>2</v>
      </c>
      <c r="F3234" s="18">
        <v>2165</v>
      </c>
      <c r="G3234" s="18">
        <v>8</v>
      </c>
      <c r="H3234" s="5">
        <v>5</v>
      </c>
      <c r="I3234" s="1">
        <v>90</v>
      </c>
      <c r="J3234" s="1" t="s">
        <v>3271</v>
      </c>
      <c r="L3234" t="str">
        <f t="shared" si="50"/>
        <v>http://www.badatelna.eu/reprodukce/?fondId=1073&amp;zaznamId=1108952&amp;reproId=3778869</v>
      </c>
      <c r="M3234">
        <f>VLOOKUP(F3234,Sheet2!$B$1:$E$19,2,FALSE)</f>
        <v>1073</v>
      </c>
      <c r="N3234">
        <f>VLOOKUP(F3234,Sheet2!$B$1:$E$19,3,FALSE)</f>
        <v>1108952</v>
      </c>
      <c r="O3234">
        <f>IF(G3234="Not available","",VLOOKUP(F3234,Sheet2!$B$1:$E$19,4,FALSE)+(G3234-1))</f>
        <v>3778869</v>
      </c>
    </row>
    <row r="3235" spans="1:15" s="1" customFormat="1" ht="15" customHeight="1" x14ac:dyDescent="0.25">
      <c r="A3235" s="18" t="s">
        <v>895</v>
      </c>
      <c r="B3235" s="18" t="s">
        <v>2560</v>
      </c>
      <c r="C3235" s="10" t="s">
        <v>2005</v>
      </c>
      <c r="D3235" s="3" t="s">
        <v>2836</v>
      </c>
      <c r="E3235" s="4" t="s">
        <v>2</v>
      </c>
      <c r="F3235" s="18">
        <v>2176</v>
      </c>
      <c r="G3235" s="18" t="s">
        <v>3271</v>
      </c>
      <c r="H3235" s="10" t="s">
        <v>2297</v>
      </c>
      <c r="I3235" s="3">
        <v>33</v>
      </c>
      <c r="J3235" s="3" t="s">
        <v>3271</v>
      </c>
      <c r="K3235" s="3"/>
      <c r="L3235" t="str">
        <f t="shared" si="50"/>
        <v/>
      </c>
      <c r="M3235">
        <f>VLOOKUP(F3235,Sheet2!$B$1:$E$19,2,FALSE)</f>
        <v>1073</v>
      </c>
      <c r="N3235">
        <f>VLOOKUP(F3235,Sheet2!$B$1:$E$19,3,FALSE)</f>
        <v>1108963</v>
      </c>
      <c r="O3235" t="str">
        <f>IF(G3235="Not available","",VLOOKUP(F3235,Sheet2!$B$1:$E$19,4,FALSE)+(G3235-1))</f>
        <v/>
      </c>
    </row>
    <row r="3236" spans="1:15" s="1" customFormat="1" ht="15" customHeight="1" x14ac:dyDescent="0.25">
      <c r="A3236" s="18" t="s">
        <v>895</v>
      </c>
      <c r="B3236" s="18" t="s">
        <v>2550</v>
      </c>
      <c r="C3236" s="10" t="s">
        <v>1969</v>
      </c>
      <c r="D3236" s="3" t="s">
        <v>2551</v>
      </c>
      <c r="E3236" s="4" t="s">
        <v>2</v>
      </c>
      <c r="F3236" s="18">
        <v>2176</v>
      </c>
      <c r="G3236" s="18" t="s">
        <v>3271</v>
      </c>
      <c r="H3236" s="10" t="s">
        <v>2552</v>
      </c>
      <c r="I3236" s="3">
        <v>33</v>
      </c>
      <c r="J3236" s="3" t="s">
        <v>3271</v>
      </c>
      <c r="L3236" t="str">
        <f t="shared" si="50"/>
        <v/>
      </c>
      <c r="M3236">
        <f>VLOOKUP(F3236,Sheet2!$B$1:$E$19,2,FALSE)</f>
        <v>1073</v>
      </c>
      <c r="N3236">
        <f>VLOOKUP(F3236,Sheet2!$B$1:$E$19,3,FALSE)</f>
        <v>1108963</v>
      </c>
      <c r="O3236" t="str">
        <f>IF(G3236="Not available","",VLOOKUP(F3236,Sheet2!$B$1:$E$19,4,FALSE)+(G3236-1))</f>
        <v/>
      </c>
    </row>
    <row r="3237" spans="1:15" s="1" customFormat="1" ht="15" customHeight="1" x14ac:dyDescent="0.25">
      <c r="A3237" s="18" t="s">
        <v>895</v>
      </c>
      <c r="B3237" s="18" t="s">
        <v>12</v>
      </c>
      <c r="C3237" s="5" t="s">
        <v>1531</v>
      </c>
      <c r="D3237" s="1" t="s">
        <v>34</v>
      </c>
      <c r="E3237" s="1" t="s">
        <v>2</v>
      </c>
      <c r="F3237" s="18">
        <v>2165</v>
      </c>
      <c r="G3237" s="18">
        <v>25</v>
      </c>
      <c r="H3237" s="5">
        <v>22</v>
      </c>
      <c r="I3237" s="1">
        <v>90</v>
      </c>
      <c r="J3237" s="1" t="s">
        <v>3271</v>
      </c>
      <c r="K3237" s="4" t="s">
        <v>363</v>
      </c>
      <c r="L3237" t="str">
        <f t="shared" si="50"/>
        <v>http://www.badatelna.eu/reprodukce/?fondId=1073&amp;zaznamId=1108952&amp;reproId=3778886</v>
      </c>
      <c r="M3237">
        <f>VLOOKUP(F3237,Sheet2!$B$1:$E$19,2,FALSE)</f>
        <v>1073</v>
      </c>
      <c r="N3237">
        <f>VLOOKUP(F3237,Sheet2!$B$1:$E$19,3,FALSE)</f>
        <v>1108952</v>
      </c>
      <c r="O3237">
        <f>IF(G3237="Not available","",VLOOKUP(F3237,Sheet2!$B$1:$E$19,4,FALSE)+(G3237-1))</f>
        <v>3778886</v>
      </c>
    </row>
    <row r="3238" spans="1:15" s="1" customFormat="1" ht="15" customHeight="1" x14ac:dyDescent="0.25">
      <c r="A3238" s="18" t="s">
        <v>895</v>
      </c>
      <c r="B3238" s="18" t="s">
        <v>197</v>
      </c>
      <c r="C3238" s="5" t="s">
        <v>1531</v>
      </c>
      <c r="D3238" s="1" t="s">
        <v>34</v>
      </c>
      <c r="E3238" s="1" t="s">
        <v>2</v>
      </c>
      <c r="F3238" s="18">
        <v>2165</v>
      </c>
      <c r="G3238" s="18">
        <v>25</v>
      </c>
      <c r="H3238" s="5">
        <v>22</v>
      </c>
      <c r="I3238" s="1">
        <v>90</v>
      </c>
      <c r="J3238" s="1" t="s">
        <v>3271</v>
      </c>
      <c r="K3238" s="4" t="s">
        <v>363</v>
      </c>
      <c r="L3238" t="str">
        <f t="shared" si="50"/>
        <v>http://www.badatelna.eu/reprodukce/?fondId=1073&amp;zaznamId=1108952&amp;reproId=3778886</v>
      </c>
      <c r="M3238">
        <f>VLOOKUP(F3238,Sheet2!$B$1:$E$19,2,FALSE)</f>
        <v>1073</v>
      </c>
      <c r="N3238">
        <f>VLOOKUP(F3238,Sheet2!$B$1:$E$19,3,FALSE)</f>
        <v>1108952</v>
      </c>
      <c r="O3238">
        <f>IF(G3238="Not available","",VLOOKUP(F3238,Sheet2!$B$1:$E$19,4,FALSE)+(G3238-1))</f>
        <v>3778886</v>
      </c>
    </row>
    <row r="3239" spans="1:15" s="1" customFormat="1" ht="15" customHeight="1" x14ac:dyDescent="0.25">
      <c r="A3239" s="18" t="s">
        <v>895</v>
      </c>
      <c r="B3239" s="18" t="s">
        <v>602</v>
      </c>
      <c r="C3239" s="5">
        <v>1850</v>
      </c>
      <c r="D3239" s="1" t="s">
        <v>590</v>
      </c>
      <c r="E3239" s="1" t="s">
        <v>2</v>
      </c>
      <c r="F3239" s="18">
        <v>2164</v>
      </c>
      <c r="G3239" s="18">
        <v>68</v>
      </c>
      <c r="H3239" s="5">
        <v>66</v>
      </c>
      <c r="I3239" s="1">
        <v>136</v>
      </c>
      <c r="J3239" s="3" t="s">
        <v>3271</v>
      </c>
      <c r="L3239" t="str">
        <f t="shared" si="50"/>
        <v>http://www.badatelna.eu/reprodukce/?fondId=1073&amp;zaznamId=1108951&amp;reproId=3778782</v>
      </c>
      <c r="M3239">
        <f>VLOOKUP(F3239,Sheet2!$B$1:$E$19,2,FALSE)</f>
        <v>1073</v>
      </c>
      <c r="N3239">
        <f>VLOOKUP(F3239,Sheet2!$B$1:$E$19,3,FALSE)</f>
        <v>1108951</v>
      </c>
      <c r="O3239">
        <f>IF(G3239="Not available","",VLOOKUP(F3239,Sheet2!$B$1:$E$19,4,FALSE)+(G3239-1))</f>
        <v>3778782</v>
      </c>
    </row>
    <row r="3240" spans="1:15" s="1" customFormat="1" ht="15" customHeight="1" x14ac:dyDescent="0.25">
      <c r="A3240" s="18" t="s">
        <v>895</v>
      </c>
      <c r="B3240" s="18" t="s">
        <v>233</v>
      </c>
      <c r="C3240" s="5" t="s">
        <v>1575</v>
      </c>
      <c r="D3240" s="1" t="s">
        <v>12</v>
      </c>
      <c r="E3240" s="1" t="s">
        <v>2</v>
      </c>
      <c r="F3240" s="18">
        <v>2165</v>
      </c>
      <c r="G3240" s="18">
        <v>72</v>
      </c>
      <c r="H3240" s="5">
        <v>69</v>
      </c>
      <c r="I3240" s="1">
        <v>91</v>
      </c>
      <c r="J3240" s="1" t="s">
        <v>3271</v>
      </c>
      <c r="L3240" t="str">
        <f t="shared" si="50"/>
        <v>http://www.badatelna.eu/reprodukce/?fondId=1073&amp;zaznamId=1108952&amp;reproId=3778933</v>
      </c>
      <c r="M3240">
        <f>VLOOKUP(F3240,Sheet2!$B$1:$E$19,2,FALSE)</f>
        <v>1073</v>
      </c>
      <c r="N3240">
        <f>VLOOKUP(F3240,Sheet2!$B$1:$E$19,3,FALSE)</f>
        <v>1108952</v>
      </c>
      <c r="O3240">
        <f>IF(G3240="Not available","",VLOOKUP(F3240,Sheet2!$B$1:$E$19,4,FALSE)+(G3240-1))</f>
        <v>3778933</v>
      </c>
    </row>
    <row r="3241" spans="1:15" s="1" customFormat="1" ht="15" customHeight="1" x14ac:dyDescent="0.25">
      <c r="A3241" s="18" t="s">
        <v>895</v>
      </c>
      <c r="B3241" s="18" t="s">
        <v>544</v>
      </c>
      <c r="C3241" s="5" t="s">
        <v>1545</v>
      </c>
      <c r="D3241" s="1" t="s">
        <v>50</v>
      </c>
      <c r="E3241" s="1" t="s">
        <v>2</v>
      </c>
      <c r="F3241" s="18">
        <v>2165</v>
      </c>
      <c r="G3241" s="18">
        <v>43</v>
      </c>
      <c r="H3241" s="5">
        <v>40</v>
      </c>
      <c r="I3241" s="1">
        <v>90</v>
      </c>
      <c r="J3241" s="1" t="s">
        <v>3271</v>
      </c>
      <c r="L3241" t="str">
        <f t="shared" si="50"/>
        <v>http://www.badatelna.eu/reprodukce/?fondId=1073&amp;zaznamId=1108952&amp;reproId=3778904</v>
      </c>
      <c r="M3241">
        <f>VLOOKUP(F3241,Sheet2!$B$1:$E$19,2,FALSE)</f>
        <v>1073</v>
      </c>
      <c r="N3241">
        <f>VLOOKUP(F3241,Sheet2!$B$1:$E$19,3,FALSE)</f>
        <v>1108952</v>
      </c>
      <c r="O3241">
        <f>IF(G3241="Not available","",VLOOKUP(F3241,Sheet2!$B$1:$E$19,4,FALSE)+(G3241-1))</f>
        <v>3778904</v>
      </c>
    </row>
    <row r="3242" spans="1:15" s="1" customFormat="1" ht="15" customHeight="1" x14ac:dyDescent="0.25">
      <c r="A3242" s="18" t="s">
        <v>895</v>
      </c>
      <c r="B3242" s="18" t="s">
        <v>1055</v>
      </c>
      <c r="C3242" s="10" t="s">
        <v>2005</v>
      </c>
      <c r="D3242" s="3" t="s">
        <v>2559</v>
      </c>
      <c r="E3242" s="4" t="s">
        <v>2</v>
      </c>
      <c r="F3242" s="18">
        <v>2176</v>
      </c>
      <c r="G3242" s="18" t="s">
        <v>3271</v>
      </c>
      <c r="H3242" s="10" t="s">
        <v>1992</v>
      </c>
      <c r="I3242" s="3">
        <v>33</v>
      </c>
      <c r="J3242" s="3" t="s">
        <v>3271</v>
      </c>
      <c r="K3242" s="3"/>
      <c r="L3242" t="str">
        <f t="shared" si="50"/>
        <v/>
      </c>
      <c r="M3242">
        <f>VLOOKUP(F3242,Sheet2!$B$1:$E$19,2,FALSE)</f>
        <v>1073</v>
      </c>
      <c r="N3242">
        <f>VLOOKUP(F3242,Sheet2!$B$1:$E$19,3,FALSE)</f>
        <v>1108963</v>
      </c>
      <c r="O3242" t="str">
        <f>IF(G3242="Not available","",VLOOKUP(F3242,Sheet2!$B$1:$E$19,4,FALSE)+(G3242-1))</f>
        <v/>
      </c>
    </row>
    <row r="3243" spans="1:15" s="1" customFormat="1" ht="15" customHeight="1" x14ac:dyDescent="0.25">
      <c r="A3243" s="18" t="s">
        <v>895</v>
      </c>
      <c r="B3243" s="18" t="s">
        <v>545</v>
      </c>
      <c r="C3243" s="5">
        <v>1858</v>
      </c>
      <c r="E3243" s="1" t="s">
        <v>939</v>
      </c>
      <c r="F3243" s="18">
        <v>999</v>
      </c>
      <c r="G3243" s="18">
        <v>11</v>
      </c>
      <c r="H3243" s="5">
        <v>9</v>
      </c>
      <c r="I3243" s="1">
        <v>74</v>
      </c>
      <c r="J3243" s="1">
        <v>108</v>
      </c>
      <c r="L3243" t="str">
        <f t="shared" si="50"/>
        <v>http://www.badatelna.eu/reprodukce/?fondId=241&amp;zaznamId=1133739&amp;reproId=3885740</v>
      </c>
      <c r="M3243">
        <f>VLOOKUP(F3243,Sheet2!$B$1:$E$19,2,FALSE)</f>
        <v>241</v>
      </c>
      <c r="N3243">
        <f>VLOOKUP(F3243,Sheet2!$B$1:$E$19,3,FALSE)</f>
        <v>1133739</v>
      </c>
      <c r="O3243">
        <f>IF(G3243="Not available","",VLOOKUP(F3243,Sheet2!$B$1:$E$19,4,FALSE)+(G3243-1))</f>
        <v>3885740</v>
      </c>
    </row>
    <row r="3244" spans="1:15" s="1" customFormat="1" ht="15" customHeight="1" x14ac:dyDescent="0.25">
      <c r="A3244" s="18" t="s">
        <v>364</v>
      </c>
      <c r="B3244" s="18" t="s">
        <v>50</v>
      </c>
      <c r="C3244" s="5">
        <v>1808</v>
      </c>
      <c r="E3244" s="1" t="s">
        <v>2</v>
      </c>
      <c r="F3244" s="18">
        <v>2173</v>
      </c>
      <c r="G3244" s="18">
        <v>53</v>
      </c>
      <c r="H3244" s="5">
        <v>101</v>
      </c>
      <c r="I3244" s="1">
        <v>111</v>
      </c>
      <c r="J3244" s="1">
        <v>240</v>
      </c>
      <c r="L3244" t="str">
        <f t="shared" si="50"/>
        <v>http://www.badatelna.eu/reprodukce/?fondId=1073&amp;zaznamId=1108959&amp;reproId=3780046</v>
      </c>
      <c r="M3244">
        <f>VLOOKUP(F3244,Sheet2!$B$1:$E$19,2,FALSE)</f>
        <v>1073</v>
      </c>
      <c r="N3244">
        <f>VLOOKUP(F3244,Sheet2!$B$1:$E$19,3,FALSE)</f>
        <v>1108959</v>
      </c>
      <c r="O3244">
        <f>IF(G3244="Not available","",VLOOKUP(F3244,Sheet2!$B$1:$E$19,4,FALSE)+(G3244-1))</f>
        <v>3780046</v>
      </c>
    </row>
    <row r="3245" spans="1:15" s="1" customFormat="1" ht="15" customHeight="1" x14ac:dyDescent="0.25">
      <c r="A3245" s="18" t="s">
        <v>364</v>
      </c>
      <c r="B3245" s="18" t="s">
        <v>50</v>
      </c>
      <c r="C3245" s="5">
        <v>1809</v>
      </c>
      <c r="E3245" s="1" t="s">
        <v>2</v>
      </c>
      <c r="F3245" s="18">
        <v>2173</v>
      </c>
      <c r="G3245" s="18">
        <v>55</v>
      </c>
      <c r="H3245" s="14" t="s">
        <v>2803</v>
      </c>
      <c r="I3245" s="1">
        <v>111</v>
      </c>
      <c r="J3245" s="1">
        <v>240</v>
      </c>
      <c r="L3245" t="str">
        <f t="shared" si="50"/>
        <v>http://www.badatelna.eu/reprodukce/?fondId=1073&amp;zaznamId=1108959&amp;reproId=3780048</v>
      </c>
      <c r="M3245">
        <f>VLOOKUP(F3245,Sheet2!$B$1:$E$19,2,FALSE)</f>
        <v>1073</v>
      </c>
      <c r="N3245">
        <f>VLOOKUP(F3245,Sheet2!$B$1:$E$19,3,FALSE)</f>
        <v>1108959</v>
      </c>
      <c r="O3245">
        <f>IF(G3245="Not available","",VLOOKUP(F3245,Sheet2!$B$1:$E$19,4,FALSE)+(G3245-1))</f>
        <v>3780048</v>
      </c>
    </row>
    <row r="3246" spans="1:15" s="1" customFormat="1" ht="15" customHeight="1" x14ac:dyDescent="0.25">
      <c r="A3246" s="18" t="s">
        <v>364</v>
      </c>
      <c r="B3246" s="18" t="s">
        <v>50</v>
      </c>
      <c r="C3246" s="5">
        <v>1814</v>
      </c>
      <c r="E3246" s="1" t="s">
        <v>2</v>
      </c>
      <c r="F3246" s="18">
        <v>2173</v>
      </c>
      <c r="G3246" s="18">
        <v>62</v>
      </c>
      <c r="H3246" s="5">
        <v>118</v>
      </c>
      <c r="I3246" s="1">
        <v>111</v>
      </c>
      <c r="J3246" s="1">
        <v>240</v>
      </c>
      <c r="L3246" t="str">
        <f t="shared" si="50"/>
        <v>http://www.badatelna.eu/reprodukce/?fondId=1073&amp;zaznamId=1108959&amp;reproId=3780055</v>
      </c>
      <c r="M3246">
        <f>VLOOKUP(F3246,Sheet2!$B$1:$E$19,2,FALSE)</f>
        <v>1073</v>
      </c>
      <c r="N3246">
        <f>VLOOKUP(F3246,Sheet2!$B$1:$E$19,3,FALSE)</f>
        <v>1108959</v>
      </c>
      <c r="O3246">
        <f>IF(G3246="Not available","",VLOOKUP(F3246,Sheet2!$B$1:$E$19,4,FALSE)+(G3246-1))</f>
        <v>3780055</v>
      </c>
    </row>
    <row r="3247" spans="1:15" s="1" customFormat="1" ht="15" customHeight="1" x14ac:dyDescent="0.25">
      <c r="A3247" s="18" t="s">
        <v>364</v>
      </c>
      <c r="B3247" s="18" t="s">
        <v>486</v>
      </c>
      <c r="C3247" s="5">
        <v>1841</v>
      </c>
      <c r="D3247" s="1" t="s">
        <v>495</v>
      </c>
      <c r="E3247" s="1" t="s">
        <v>2</v>
      </c>
      <c r="F3247" s="18">
        <v>2174</v>
      </c>
      <c r="G3247" s="18">
        <v>178</v>
      </c>
      <c r="H3247" s="14" t="s">
        <v>3242</v>
      </c>
      <c r="I3247" s="1">
        <v>197</v>
      </c>
      <c r="J3247" s="1">
        <v>233</v>
      </c>
      <c r="L3247" t="str">
        <f t="shared" si="50"/>
        <v>http://www.badatelna.eu/reprodukce/?fondId=1073&amp;zaznamId=1108960&amp;reproId=3780402</v>
      </c>
      <c r="M3247">
        <f>VLOOKUP(F3247,Sheet2!$B$1:$E$19,2,FALSE)</f>
        <v>1073</v>
      </c>
      <c r="N3247">
        <f>VLOOKUP(F3247,Sheet2!$B$1:$E$19,3,FALSE)</f>
        <v>1108960</v>
      </c>
      <c r="O3247">
        <f>IF(G3247="Not available","",VLOOKUP(F3247,Sheet2!$B$1:$E$19,4,FALSE)+(G3247-1))</f>
        <v>3780402</v>
      </c>
    </row>
    <row r="3248" spans="1:15" s="1" customFormat="1" ht="15" customHeight="1" x14ac:dyDescent="0.25">
      <c r="A3248" s="18" t="s">
        <v>364</v>
      </c>
      <c r="B3248" s="18" t="s">
        <v>477</v>
      </c>
      <c r="C3248" s="5">
        <v>1852</v>
      </c>
      <c r="D3248" s="1" t="s">
        <v>504</v>
      </c>
      <c r="E3248" s="1" t="s">
        <v>2</v>
      </c>
      <c r="F3248" s="18">
        <v>2164</v>
      </c>
      <c r="G3248" s="18">
        <v>90</v>
      </c>
      <c r="H3248" s="5">
        <v>88</v>
      </c>
      <c r="I3248" s="1">
        <v>136</v>
      </c>
      <c r="J3248" s="3" t="s">
        <v>3271</v>
      </c>
      <c r="L3248" t="str">
        <f t="shared" si="50"/>
        <v>http://www.badatelna.eu/reprodukce/?fondId=1073&amp;zaznamId=1108951&amp;reproId=3778804</v>
      </c>
      <c r="M3248">
        <f>VLOOKUP(F3248,Sheet2!$B$1:$E$19,2,FALSE)</f>
        <v>1073</v>
      </c>
      <c r="N3248">
        <f>VLOOKUP(F3248,Sheet2!$B$1:$E$19,3,FALSE)</f>
        <v>1108951</v>
      </c>
      <c r="O3248">
        <f>IF(G3248="Not available","",VLOOKUP(F3248,Sheet2!$B$1:$E$19,4,FALSE)+(G3248-1))</f>
        <v>3778804</v>
      </c>
    </row>
    <row r="3249" spans="1:15" s="1" customFormat="1" ht="15" customHeight="1" x14ac:dyDescent="0.25">
      <c r="A3249" s="18" t="s">
        <v>364</v>
      </c>
      <c r="B3249" s="18" t="s">
        <v>477</v>
      </c>
      <c r="C3249" s="10" t="s">
        <v>2025</v>
      </c>
      <c r="D3249" s="3" t="s">
        <v>2559</v>
      </c>
      <c r="E3249" s="4" t="s">
        <v>2</v>
      </c>
      <c r="F3249" s="18">
        <v>2176</v>
      </c>
      <c r="G3249" s="18" t="s">
        <v>3271</v>
      </c>
      <c r="H3249" s="10" t="s">
        <v>2061</v>
      </c>
      <c r="I3249" s="3">
        <v>33</v>
      </c>
      <c r="J3249" s="3" t="s">
        <v>3271</v>
      </c>
      <c r="K3249" s="3"/>
      <c r="L3249" t="str">
        <f t="shared" si="50"/>
        <v/>
      </c>
      <c r="M3249">
        <f>VLOOKUP(F3249,Sheet2!$B$1:$E$19,2,FALSE)</f>
        <v>1073</v>
      </c>
      <c r="N3249">
        <f>VLOOKUP(F3249,Sheet2!$B$1:$E$19,3,FALSE)</f>
        <v>1108963</v>
      </c>
      <c r="O3249" t="str">
        <f>IF(G3249="Not available","",VLOOKUP(F3249,Sheet2!$B$1:$E$19,4,FALSE)+(G3249-1))</f>
        <v/>
      </c>
    </row>
    <row r="3250" spans="1:15" s="1" customFormat="1" ht="15" customHeight="1" x14ac:dyDescent="0.25">
      <c r="A3250" s="18" t="s">
        <v>364</v>
      </c>
      <c r="B3250" s="18" t="s">
        <v>632</v>
      </c>
      <c r="C3250" s="5">
        <v>1863</v>
      </c>
      <c r="E3250" s="1" t="s">
        <v>939</v>
      </c>
      <c r="F3250" s="18">
        <v>999</v>
      </c>
      <c r="G3250" s="18">
        <v>40</v>
      </c>
      <c r="H3250" s="5">
        <v>38</v>
      </c>
      <c r="I3250" s="1">
        <v>74</v>
      </c>
      <c r="J3250" s="1">
        <v>108</v>
      </c>
      <c r="L3250" t="str">
        <f t="shared" si="50"/>
        <v>http://www.badatelna.eu/reprodukce/?fondId=241&amp;zaznamId=1133739&amp;reproId=3885769</v>
      </c>
      <c r="M3250">
        <f>VLOOKUP(F3250,Sheet2!$B$1:$E$19,2,FALSE)</f>
        <v>241</v>
      </c>
      <c r="N3250">
        <f>VLOOKUP(F3250,Sheet2!$B$1:$E$19,3,FALSE)</f>
        <v>1133739</v>
      </c>
      <c r="O3250">
        <f>IF(G3250="Not available","",VLOOKUP(F3250,Sheet2!$B$1:$E$19,4,FALSE)+(G3250-1))</f>
        <v>3885769</v>
      </c>
    </row>
    <row r="3251" spans="1:15" s="1" customFormat="1" ht="15" customHeight="1" x14ac:dyDescent="0.25">
      <c r="A3251" s="18" t="s">
        <v>364</v>
      </c>
      <c r="B3251" s="18" t="s">
        <v>850</v>
      </c>
      <c r="C3251" s="10" t="s">
        <v>2079</v>
      </c>
      <c r="D3251" s="3" t="s">
        <v>2588</v>
      </c>
      <c r="E3251" s="4" t="s">
        <v>2</v>
      </c>
      <c r="F3251" s="18">
        <v>2176</v>
      </c>
      <c r="G3251" s="18" t="s">
        <v>3271</v>
      </c>
      <c r="H3251" s="10" t="s">
        <v>2083</v>
      </c>
      <c r="I3251" s="3">
        <v>35</v>
      </c>
      <c r="J3251" s="3" t="s">
        <v>3271</v>
      </c>
      <c r="K3251" s="3"/>
      <c r="L3251" t="str">
        <f t="shared" si="50"/>
        <v/>
      </c>
      <c r="M3251">
        <f>VLOOKUP(F3251,Sheet2!$B$1:$E$19,2,FALSE)</f>
        <v>1073</v>
      </c>
      <c r="N3251">
        <f>VLOOKUP(F3251,Sheet2!$B$1:$E$19,3,FALSE)</f>
        <v>1108963</v>
      </c>
      <c r="O3251" t="str">
        <f>IF(G3251="Not available","",VLOOKUP(F3251,Sheet2!$B$1:$E$19,4,FALSE)+(G3251-1))</f>
        <v/>
      </c>
    </row>
    <row r="3252" spans="1:15" s="1" customFormat="1" ht="15" customHeight="1" x14ac:dyDescent="0.25">
      <c r="A3252" s="18" t="s">
        <v>364</v>
      </c>
      <c r="B3252" s="18" t="s">
        <v>850</v>
      </c>
      <c r="C3252" s="5" t="s">
        <v>1804</v>
      </c>
      <c r="D3252" s="1" t="s">
        <v>234</v>
      </c>
      <c r="E3252" s="1" t="s">
        <v>2</v>
      </c>
      <c r="F3252" s="18">
        <v>2165</v>
      </c>
      <c r="G3252" s="18">
        <v>241</v>
      </c>
      <c r="H3252" s="5">
        <v>1</v>
      </c>
      <c r="I3252" s="1">
        <v>245</v>
      </c>
      <c r="J3252" s="1">
        <v>227</v>
      </c>
      <c r="L3252" t="str">
        <f t="shared" si="50"/>
        <v>http://www.badatelna.eu/reprodukce/?fondId=1073&amp;zaznamId=1108952&amp;reproId=3779102</v>
      </c>
      <c r="M3252">
        <f>VLOOKUP(F3252,Sheet2!$B$1:$E$19,2,FALSE)</f>
        <v>1073</v>
      </c>
      <c r="N3252">
        <f>VLOOKUP(F3252,Sheet2!$B$1:$E$19,3,FALSE)</f>
        <v>1108952</v>
      </c>
      <c r="O3252">
        <f>IF(G3252="Not available","",VLOOKUP(F3252,Sheet2!$B$1:$E$19,4,FALSE)+(G3252-1))</f>
        <v>3779102</v>
      </c>
    </row>
    <row r="3253" spans="1:15" s="1" customFormat="1" ht="15" customHeight="1" x14ac:dyDescent="0.25">
      <c r="A3253" s="18" t="s">
        <v>364</v>
      </c>
      <c r="B3253" s="18" t="s">
        <v>92</v>
      </c>
      <c r="C3253" s="5">
        <v>1843</v>
      </c>
      <c r="D3253" s="1" t="s">
        <v>495</v>
      </c>
      <c r="E3253" s="1" t="s">
        <v>2</v>
      </c>
      <c r="F3253" s="18">
        <v>2174</v>
      </c>
      <c r="G3253" s="18">
        <v>178</v>
      </c>
      <c r="H3253" s="14" t="s">
        <v>3242</v>
      </c>
      <c r="I3253" s="1">
        <v>197</v>
      </c>
      <c r="J3253" s="1">
        <v>233</v>
      </c>
      <c r="L3253" t="str">
        <f t="shared" si="50"/>
        <v>http://www.badatelna.eu/reprodukce/?fondId=1073&amp;zaznamId=1108960&amp;reproId=3780402</v>
      </c>
      <c r="M3253">
        <f>VLOOKUP(F3253,Sheet2!$B$1:$E$19,2,FALSE)</f>
        <v>1073</v>
      </c>
      <c r="N3253">
        <f>VLOOKUP(F3253,Sheet2!$B$1:$E$19,3,FALSE)</f>
        <v>1108960</v>
      </c>
      <c r="O3253">
        <f>IF(G3253="Not available","",VLOOKUP(F3253,Sheet2!$B$1:$E$19,4,FALSE)+(G3253-1))</f>
        <v>3780402</v>
      </c>
    </row>
    <row r="3254" spans="1:15" s="1" customFormat="1" ht="15" customHeight="1" x14ac:dyDescent="0.25">
      <c r="A3254" s="18" t="s">
        <v>364</v>
      </c>
      <c r="B3254" s="18" t="s">
        <v>92</v>
      </c>
      <c r="C3254" s="10" t="s">
        <v>2024</v>
      </c>
      <c r="D3254" s="3" t="s">
        <v>2576</v>
      </c>
      <c r="E3254" s="4" t="s">
        <v>2</v>
      </c>
      <c r="F3254" s="18">
        <v>2176</v>
      </c>
      <c r="G3254" s="18" t="s">
        <v>3271</v>
      </c>
      <c r="H3254" s="10" t="s">
        <v>2577</v>
      </c>
      <c r="I3254" s="3">
        <v>34</v>
      </c>
      <c r="J3254" s="3" t="s">
        <v>3271</v>
      </c>
      <c r="K3254" s="3"/>
      <c r="L3254" t="str">
        <f t="shared" si="50"/>
        <v/>
      </c>
      <c r="M3254">
        <f>VLOOKUP(F3254,Sheet2!$B$1:$E$19,2,FALSE)</f>
        <v>1073</v>
      </c>
      <c r="N3254">
        <f>VLOOKUP(F3254,Sheet2!$B$1:$E$19,3,FALSE)</f>
        <v>1108963</v>
      </c>
      <c r="O3254" t="str">
        <f>IF(G3254="Not available","",VLOOKUP(F3254,Sheet2!$B$1:$E$19,4,FALSE)+(G3254-1))</f>
        <v/>
      </c>
    </row>
    <row r="3255" spans="1:15" s="1" customFormat="1" ht="15" customHeight="1" x14ac:dyDescent="0.25">
      <c r="A3255" s="18" t="s">
        <v>364</v>
      </c>
      <c r="B3255" s="18" t="s">
        <v>1968</v>
      </c>
      <c r="C3255" s="10" t="s">
        <v>2079</v>
      </c>
      <c r="D3255" s="3" t="s">
        <v>2607</v>
      </c>
      <c r="E3255" s="4" t="s">
        <v>2</v>
      </c>
      <c r="F3255" s="18">
        <v>2176</v>
      </c>
      <c r="G3255" s="18" t="s">
        <v>3271</v>
      </c>
      <c r="H3255" s="10" t="s">
        <v>2075</v>
      </c>
      <c r="I3255" s="3">
        <v>35</v>
      </c>
      <c r="J3255" s="3" t="s">
        <v>3271</v>
      </c>
      <c r="K3255" s="3"/>
      <c r="L3255" t="str">
        <f t="shared" si="50"/>
        <v/>
      </c>
      <c r="M3255">
        <f>VLOOKUP(F3255,Sheet2!$B$1:$E$19,2,FALSE)</f>
        <v>1073</v>
      </c>
      <c r="N3255">
        <f>VLOOKUP(F3255,Sheet2!$B$1:$E$19,3,FALSE)</f>
        <v>1108963</v>
      </c>
      <c r="O3255" t="str">
        <f>IF(G3255="Not available","",VLOOKUP(F3255,Sheet2!$B$1:$E$19,4,FALSE)+(G3255-1))</f>
        <v/>
      </c>
    </row>
    <row r="3256" spans="1:15" s="1" customFormat="1" ht="15" customHeight="1" x14ac:dyDescent="0.25">
      <c r="A3256" s="18" t="s">
        <v>364</v>
      </c>
      <c r="B3256" s="18" t="s">
        <v>1968</v>
      </c>
      <c r="C3256" s="10" t="s">
        <v>2102</v>
      </c>
      <c r="D3256" s="3" t="s">
        <v>2608</v>
      </c>
      <c r="E3256" s="4" t="s">
        <v>2</v>
      </c>
      <c r="F3256" s="18">
        <v>2176</v>
      </c>
      <c r="G3256" s="18" t="s">
        <v>3271</v>
      </c>
      <c r="H3256" s="10" t="s">
        <v>2006</v>
      </c>
      <c r="I3256" s="3">
        <v>35</v>
      </c>
      <c r="J3256" s="3" t="s">
        <v>3271</v>
      </c>
      <c r="K3256" s="3"/>
      <c r="L3256" t="str">
        <f t="shared" si="50"/>
        <v/>
      </c>
      <c r="M3256">
        <f>VLOOKUP(F3256,Sheet2!$B$1:$E$19,2,FALSE)</f>
        <v>1073</v>
      </c>
      <c r="N3256">
        <f>VLOOKUP(F3256,Sheet2!$B$1:$E$19,3,FALSE)</f>
        <v>1108963</v>
      </c>
      <c r="O3256" t="str">
        <f>IF(G3256="Not available","",VLOOKUP(F3256,Sheet2!$B$1:$E$19,4,FALSE)+(G3256-1))</f>
        <v/>
      </c>
    </row>
    <row r="3257" spans="1:15" s="1" customFormat="1" ht="15" customHeight="1" x14ac:dyDescent="0.25">
      <c r="A3257" s="18" t="s">
        <v>364</v>
      </c>
      <c r="B3257" s="18" t="s">
        <v>2096</v>
      </c>
      <c r="C3257" s="10" t="s">
        <v>1957</v>
      </c>
      <c r="D3257" s="3" t="s">
        <v>2607</v>
      </c>
      <c r="E3257" s="4" t="s">
        <v>2</v>
      </c>
      <c r="F3257" s="18">
        <v>2176</v>
      </c>
      <c r="G3257" s="18" t="s">
        <v>3271</v>
      </c>
      <c r="H3257" s="10" t="s">
        <v>1979</v>
      </c>
      <c r="I3257" s="3">
        <v>35</v>
      </c>
      <c r="J3257" s="3" t="s">
        <v>3271</v>
      </c>
      <c r="K3257" s="3"/>
      <c r="L3257" t="str">
        <f t="shared" si="50"/>
        <v/>
      </c>
      <c r="M3257">
        <f>VLOOKUP(F3257,Sheet2!$B$1:$E$19,2,FALSE)</f>
        <v>1073</v>
      </c>
      <c r="N3257">
        <f>VLOOKUP(F3257,Sheet2!$B$1:$E$19,3,FALSE)</f>
        <v>1108963</v>
      </c>
      <c r="O3257" t="str">
        <f>IF(G3257="Not available","",VLOOKUP(F3257,Sheet2!$B$1:$E$19,4,FALSE)+(G3257-1))</f>
        <v/>
      </c>
    </row>
    <row r="3258" spans="1:15" s="1" customFormat="1" ht="15" customHeight="1" x14ac:dyDescent="0.25">
      <c r="A3258" s="18" t="s">
        <v>364</v>
      </c>
      <c r="B3258" s="18" t="s">
        <v>2096</v>
      </c>
      <c r="C3258" s="10" t="s">
        <v>2095</v>
      </c>
      <c r="D3258" s="3" t="s">
        <v>2608</v>
      </c>
      <c r="E3258" s="4" t="s">
        <v>2</v>
      </c>
      <c r="F3258" s="18">
        <v>2176</v>
      </c>
      <c r="G3258" s="18" t="s">
        <v>3271</v>
      </c>
      <c r="H3258" s="10" t="s">
        <v>2311</v>
      </c>
      <c r="I3258" s="3">
        <v>35</v>
      </c>
      <c r="J3258" s="3" t="s">
        <v>3271</v>
      </c>
      <c r="K3258" s="3"/>
      <c r="L3258" t="str">
        <f t="shared" si="50"/>
        <v/>
      </c>
      <c r="M3258">
        <f>VLOOKUP(F3258,Sheet2!$B$1:$E$19,2,FALSE)</f>
        <v>1073</v>
      </c>
      <c r="N3258">
        <f>VLOOKUP(F3258,Sheet2!$B$1:$E$19,3,FALSE)</f>
        <v>1108963</v>
      </c>
      <c r="O3258" t="str">
        <f>IF(G3258="Not available","",VLOOKUP(F3258,Sheet2!$B$1:$E$19,4,FALSE)+(G3258-1))</f>
        <v/>
      </c>
    </row>
    <row r="3259" spans="1:15" s="1" customFormat="1" ht="15" customHeight="1" x14ac:dyDescent="0.25">
      <c r="A3259" s="18" t="s">
        <v>364</v>
      </c>
      <c r="B3259" s="18" t="s">
        <v>547</v>
      </c>
      <c r="C3259" s="5">
        <v>1832</v>
      </c>
      <c r="D3259" s="1" t="s">
        <v>495</v>
      </c>
      <c r="E3259" s="1" t="s">
        <v>2</v>
      </c>
      <c r="F3259" s="18">
        <v>2174</v>
      </c>
      <c r="G3259" s="18">
        <v>69</v>
      </c>
      <c r="H3259" s="6" t="s">
        <v>3110</v>
      </c>
      <c r="I3259" s="1">
        <v>196</v>
      </c>
      <c r="J3259" s="1">
        <v>231</v>
      </c>
      <c r="L3259" t="str">
        <f t="shared" si="50"/>
        <v>http://www.badatelna.eu/reprodukce/?fondId=1073&amp;zaznamId=1108960&amp;reproId=3780293</v>
      </c>
      <c r="M3259">
        <f>VLOOKUP(F3259,Sheet2!$B$1:$E$19,2,FALSE)</f>
        <v>1073</v>
      </c>
      <c r="N3259">
        <f>VLOOKUP(F3259,Sheet2!$B$1:$E$19,3,FALSE)</f>
        <v>1108960</v>
      </c>
      <c r="O3259">
        <f>IF(G3259="Not available","",VLOOKUP(F3259,Sheet2!$B$1:$E$19,4,FALSE)+(G3259-1))</f>
        <v>3780293</v>
      </c>
    </row>
    <row r="3260" spans="1:15" s="1" customFormat="1" ht="15" customHeight="1" x14ac:dyDescent="0.25">
      <c r="A3260" s="18" t="s">
        <v>364</v>
      </c>
      <c r="B3260" s="18" t="s">
        <v>547</v>
      </c>
      <c r="C3260" s="5">
        <v>1852</v>
      </c>
      <c r="D3260" s="1" t="s">
        <v>34</v>
      </c>
      <c r="E3260" s="1" t="s">
        <v>2</v>
      </c>
      <c r="F3260" s="18">
        <v>2164</v>
      </c>
      <c r="G3260" s="18">
        <v>89</v>
      </c>
      <c r="H3260" s="5">
        <v>87</v>
      </c>
      <c r="I3260" s="1">
        <v>136</v>
      </c>
      <c r="J3260" s="3" t="s">
        <v>3271</v>
      </c>
      <c r="L3260" t="str">
        <f t="shared" si="50"/>
        <v>http://www.badatelna.eu/reprodukce/?fondId=1073&amp;zaznamId=1108951&amp;reproId=3778803</v>
      </c>
      <c r="M3260">
        <f>VLOOKUP(F3260,Sheet2!$B$1:$E$19,2,FALSE)</f>
        <v>1073</v>
      </c>
      <c r="N3260">
        <f>VLOOKUP(F3260,Sheet2!$B$1:$E$19,3,FALSE)</f>
        <v>1108951</v>
      </c>
      <c r="O3260">
        <f>IF(G3260="Not available","",VLOOKUP(F3260,Sheet2!$B$1:$E$19,4,FALSE)+(G3260-1))</f>
        <v>3778803</v>
      </c>
    </row>
    <row r="3261" spans="1:15" s="1" customFormat="1" ht="15" customHeight="1" x14ac:dyDescent="0.25">
      <c r="A3261" s="18" t="s">
        <v>364</v>
      </c>
      <c r="B3261" s="18" t="s">
        <v>6</v>
      </c>
      <c r="C3261" s="5">
        <v>1814</v>
      </c>
      <c r="E3261" s="1" t="s">
        <v>2</v>
      </c>
      <c r="F3261" s="18">
        <v>2173</v>
      </c>
      <c r="G3261" s="18">
        <v>63</v>
      </c>
      <c r="H3261" s="5">
        <v>121</v>
      </c>
      <c r="I3261" s="1">
        <v>111</v>
      </c>
      <c r="J3261" s="1">
        <v>240</v>
      </c>
      <c r="L3261" t="str">
        <f t="shared" si="50"/>
        <v>http://www.badatelna.eu/reprodukce/?fondId=1073&amp;zaznamId=1108959&amp;reproId=3780056</v>
      </c>
      <c r="M3261">
        <f>VLOOKUP(F3261,Sheet2!$B$1:$E$19,2,FALSE)</f>
        <v>1073</v>
      </c>
      <c r="N3261">
        <f>VLOOKUP(F3261,Sheet2!$B$1:$E$19,3,FALSE)</f>
        <v>1108959</v>
      </c>
      <c r="O3261">
        <f>IF(G3261="Not available","",VLOOKUP(F3261,Sheet2!$B$1:$E$19,4,FALSE)+(G3261-1))</f>
        <v>3780056</v>
      </c>
    </row>
    <row r="3262" spans="1:15" s="1" customFormat="1" ht="15" customHeight="1" x14ac:dyDescent="0.25">
      <c r="A3262" s="18" t="s">
        <v>364</v>
      </c>
      <c r="B3262" s="18" t="s">
        <v>6</v>
      </c>
      <c r="C3262" s="5">
        <v>1815</v>
      </c>
      <c r="E3262" s="1" t="s">
        <v>2</v>
      </c>
      <c r="F3262" s="18">
        <v>2173</v>
      </c>
      <c r="G3262" s="18">
        <v>65</v>
      </c>
      <c r="H3262" s="5">
        <v>124</v>
      </c>
      <c r="I3262" s="1">
        <v>111</v>
      </c>
      <c r="J3262" s="1">
        <v>240</v>
      </c>
      <c r="L3262" t="str">
        <f t="shared" si="50"/>
        <v>http://www.badatelna.eu/reprodukce/?fondId=1073&amp;zaznamId=1108959&amp;reproId=3780058</v>
      </c>
      <c r="M3262">
        <f>VLOOKUP(F3262,Sheet2!$B$1:$E$19,2,FALSE)</f>
        <v>1073</v>
      </c>
      <c r="N3262">
        <f>VLOOKUP(F3262,Sheet2!$B$1:$E$19,3,FALSE)</f>
        <v>1108959</v>
      </c>
      <c r="O3262">
        <f>IF(G3262="Not available","",VLOOKUP(F3262,Sheet2!$B$1:$E$19,4,FALSE)+(G3262-1))</f>
        <v>3780058</v>
      </c>
    </row>
    <row r="3263" spans="1:15" s="1" customFormat="1" ht="15" customHeight="1" x14ac:dyDescent="0.25">
      <c r="A3263" s="18" t="s">
        <v>364</v>
      </c>
      <c r="B3263" s="18" t="s">
        <v>1126</v>
      </c>
      <c r="C3263" s="10" t="s">
        <v>1952</v>
      </c>
      <c r="D3263" s="3" t="s">
        <v>2607</v>
      </c>
      <c r="E3263" s="4" t="s">
        <v>2</v>
      </c>
      <c r="F3263" s="18">
        <v>2176</v>
      </c>
      <c r="G3263" s="18" t="s">
        <v>3271</v>
      </c>
      <c r="H3263" s="10" t="s">
        <v>2142</v>
      </c>
      <c r="I3263" s="3">
        <v>35</v>
      </c>
      <c r="J3263" s="3" t="s">
        <v>3271</v>
      </c>
      <c r="K3263" s="3"/>
      <c r="L3263" t="str">
        <f t="shared" si="50"/>
        <v/>
      </c>
      <c r="M3263">
        <f>VLOOKUP(F3263,Sheet2!$B$1:$E$19,2,FALSE)</f>
        <v>1073</v>
      </c>
      <c r="N3263">
        <f>VLOOKUP(F3263,Sheet2!$B$1:$E$19,3,FALSE)</f>
        <v>1108963</v>
      </c>
      <c r="O3263" t="str">
        <f>IF(G3263="Not available","",VLOOKUP(F3263,Sheet2!$B$1:$E$19,4,FALSE)+(G3263-1))</f>
        <v/>
      </c>
    </row>
    <row r="3264" spans="1:15" s="1" customFormat="1" ht="15" customHeight="1" x14ac:dyDescent="0.25">
      <c r="A3264" s="18" t="s">
        <v>364</v>
      </c>
      <c r="B3264" s="18" t="s">
        <v>1126</v>
      </c>
      <c r="C3264" s="10" t="s">
        <v>2087</v>
      </c>
      <c r="D3264" s="3" t="s">
        <v>2608</v>
      </c>
      <c r="E3264" s="4" t="s">
        <v>2</v>
      </c>
      <c r="F3264" s="18">
        <v>2176</v>
      </c>
      <c r="G3264" s="18" t="s">
        <v>3271</v>
      </c>
      <c r="H3264" s="10" t="s">
        <v>2038</v>
      </c>
      <c r="I3264" s="3">
        <v>35</v>
      </c>
      <c r="J3264" s="3" t="s">
        <v>3271</v>
      </c>
      <c r="K3264" s="3"/>
      <c r="L3264" t="str">
        <f t="shared" si="50"/>
        <v/>
      </c>
      <c r="M3264">
        <f>VLOOKUP(F3264,Sheet2!$B$1:$E$19,2,FALSE)</f>
        <v>1073</v>
      </c>
      <c r="N3264">
        <f>VLOOKUP(F3264,Sheet2!$B$1:$E$19,3,FALSE)</f>
        <v>1108963</v>
      </c>
      <c r="O3264" t="str">
        <f>IF(G3264="Not available","",VLOOKUP(F3264,Sheet2!$B$1:$E$19,4,FALSE)+(G3264-1))</f>
        <v/>
      </c>
    </row>
    <row r="3265" spans="1:15" s="1" customFormat="1" ht="15" customHeight="1" x14ac:dyDescent="0.25">
      <c r="A3265" s="18" t="s">
        <v>364</v>
      </c>
      <c r="B3265" s="18" t="s">
        <v>1224</v>
      </c>
      <c r="C3265" s="5" t="s">
        <v>1850</v>
      </c>
      <c r="D3265" s="1" t="s">
        <v>96</v>
      </c>
      <c r="E3265" s="1" t="s">
        <v>2</v>
      </c>
      <c r="F3265" s="18">
        <v>2165</v>
      </c>
      <c r="G3265" s="18">
        <v>254</v>
      </c>
      <c r="H3265" s="5">
        <v>1</v>
      </c>
      <c r="I3265" s="1">
        <v>253</v>
      </c>
      <c r="J3265" s="1">
        <v>229</v>
      </c>
      <c r="L3265" t="str">
        <f t="shared" si="50"/>
        <v>http://www.badatelna.eu/reprodukce/?fondId=1073&amp;zaznamId=1108952&amp;reproId=3779115</v>
      </c>
      <c r="M3265">
        <f>VLOOKUP(F3265,Sheet2!$B$1:$E$19,2,FALSE)</f>
        <v>1073</v>
      </c>
      <c r="N3265">
        <f>VLOOKUP(F3265,Sheet2!$B$1:$E$19,3,FALSE)</f>
        <v>1108952</v>
      </c>
      <c r="O3265">
        <f>IF(G3265="Not available","",VLOOKUP(F3265,Sheet2!$B$1:$E$19,4,FALSE)+(G3265-1))</f>
        <v>3779115</v>
      </c>
    </row>
    <row r="3266" spans="1:15" s="1" customFormat="1" ht="15" customHeight="1" x14ac:dyDescent="0.25">
      <c r="A3266" s="18" t="s">
        <v>364</v>
      </c>
      <c r="B3266" s="18" t="s">
        <v>1224</v>
      </c>
      <c r="C3266" s="5" t="s">
        <v>1874</v>
      </c>
      <c r="D3266" s="1" t="s">
        <v>1234</v>
      </c>
      <c r="E3266" s="1" t="s">
        <v>2</v>
      </c>
      <c r="F3266" s="18">
        <v>2165</v>
      </c>
      <c r="G3266" s="18">
        <v>263</v>
      </c>
      <c r="H3266" s="5">
        <v>4</v>
      </c>
      <c r="I3266" s="1">
        <v>266</v>
      </c>
      <c r="J3266" s="1">
        <v>240</v>
      </c>
      <c r="L3266" t="str">
        <f t="shared" si="50"/>
        <v>http://www.badatelna.eu/reprodukce/?fondId=1073&amp;zaznamId=1108952&amp;reproId=3779124</v>
      </c>
      <c r="M3266">
        <f>VLOOKUP(F3266,Sheet2!$B$1:$E$19,2,FALSE)</f>
        <v>1073</v>
      </c>
      <c r="N3266">
        <f>VLOOKUP(F3266,Sheet2!$B$1:$E$19,3,FALSE)</f>
        <v>1108952</v>
      </c>
      <c r="O3266">
        <f>IF(G3266="Not available","",VLOOKUP(F3266,Sheet2!$B$1:$E$19,4,FALSE)+(G3266-1))</f>
        <v>3779124</v>
      </c>
    </row>
    <row r="3267" spans="1:15" s="1" customFormat="1" ht="15" customHeight="1" x14ac:dyDescent="0.25">
      <c r="A3267" s="18" t="s">
        <v>364</v>
      </c>
      <c r="B3267" s="18" t="s">
        <v>2261</v>
      </c>
      <c r="C3267" s="10" t="s">
        <v>1285</v>
      </c>
      <c r="D3267" s="3" t="s">
        <v>2583</v>
      </c>
      <c r="E3267" s="4" t="s">
        <v>2</v>
      </c>
      <c r="F3267" s="18">
        <v>2176</v>
      </c>
      <c r="G3267" s="18" t="s">
        <v>3271</v>
      </c>
      <c r="H3267" s="10" t="s">
        <v>2094</v>
      </c>
      <c r="I3267" s="3">
        <v>34</v>
      </c>
      <c r="J3267" s="3" t="s">
        <v>3271</v>
      </c>
      <c r="K3267" s="3"/>
      <c r="L3267" t="str">
        <f t="shared" ref="L3267:L3330" si="51">IF(G3267="Not available","","http://www.badatelna.eu/reprodukce/?fondId="&amp;M3267&amp;"&amp;zaznamId="&amp;N3267&amp;"&amp;reproId="&amp;O3267)</f>
        <v/>
      </c>
      <c r="M3267">
        <f>VLOOKUP(F3267,Sheet2!$B$1:$E$19,2,FALSE)</f>
        <v>1073</v>
      </c>
      <c r="N3267">
        <f>VLOOKUP(F3267,Sheet2!$B$1:$E$19,3,FALSE)</f>
        <v>1108963</v>
      </c>
      <c r="O3267" t="str">
        <f>IF(G3267="Not available","",VLOOKUP(F3267,Sheet2!$B$1:$E$19,4,FALSE)+(G3267-1))</f>
        <v/>
      </c>
    </row>
    <row r="3268" spans="1:15" s="1" customFormat="1" ht="15" customHeight="1" x14ac:dyDescent="0.25">
      <c r="A3268" s="18" t="s">
        <v>364</v>
      </c>
      <c r="B3268" s="18" t="s">
        <v>769</v>
      </c>
      <c r="C3268" s="10" t="s">
        <v>2093</v>
      </c>
      <c r="D3268" s="3" t="s">
        <v>2608</v>
      </c>
      <c r="E3268" s="4" t="s">
        <v>2</v>
      </c>
      <c r="F3268" s="18">
        <v>2176</v>
      </c>
      <c r="G3268" s="18" t="s">
        <v>3271</v>
      </c>
      <c r="H3268" s="10" t="s">
        <v>1955</v>
      </c>
      <c r="I3268" s="3">
        <v>35</v>
      </c>
      <c r="J3268" s="3" t="s">
        <v>3271</v>
      </c>
      <c r="K3268" s="3"/>
      <c r="L3268" t="str">
        <f t="shared" si="51"/>
        <v/>
      </c>
      <c r="M3268">
        <f>VLOOKUP(F3268,Sheet2!$B$1:$E$19,2,FALSE)</f>
        <v>1073</v>
      </c>
      <c r="N3268">
        <f>VLOOKUP(F3268,Sheet2!$B$1:$E$19,3,FALSE)</f>
        <v>1108963</v>
      </c>
      <c r="O3268" t="str">
        <f>IF(G3268="Not available","",VLOOKUP(F3268,Sheet2!$B$1:$E$19,4,FALSE)+(G3268-1))</f>
        <v/>
      </c>
    </row>
    <row r="3269" spans="1:15" s="1" customFormat="1" ht="15" customHeight="1" x14ac:dyDescent="0.25">
      <c r="A3269" s="18" t="s">
        <v>364</v>
      </c>
      <c r="B3269" s="18" t="s">
        <v>769</v>
      </c>
      <c r="C3269" s="10" t="s">
        <v>2244</v>
      </c>
      <c r="D3269" s="3" t="s">
        <v>2615</v>
      </c>
      <c r="E3269" s="4" t="s">
        <v>2</v>
      </c>
      <c r="F3269" s="18">
        <v>2176</v>
      </c>
      <c r="G3269" s="18" t="s">
        <v>3271</v>
      </c>
      <c r="H3269" s="10" t="s">
        <v>2351</v>
      </c>
      <c r="I3269" s="3">
        <v>35</v>
      </c>
      <c r="J3269" s="3" t="s">
        <v>3271</v>
      </c>
      <c r="K3269" s="3"/>
      <c r="L3269" t="str">
        <f t="shared" si="51"/>
        <v/>
      </c>
      <c r="M3269">
        <f>VLOOKUP(F3269,Sheet2!$B$1:$E$19,2,FALSE)</f>
        <v>1073</v>
      </c>
      <c r="N3269">
        <f>VLOOKUP(F3269,Sheet2!$B$1:$E$19,3,FALSE)</f>
        <v>1108963</v>
      </c>
      <c r="O3269" t="str">
        <f>IF(G3269="Not available","",VLOOKUP(F3269,Sheet2!$B$1:$E$19,4,FALSE)+(G3269-1))</f>
        <v/>
      </c>
    </row>
    <row r="3270" spans="1:15" s="1" customFormat="1" ht="15" customHeight="1" x14ac:dyDescent="0.25">
      <c r="A3270" s="18" t="s">
        <v>364</v>
      </c>
      <c r="B3270" s="18" t="s">
        <v>769</v>
      </c>
      <c r="C3270" s="14" t="s">
        <v>2244</v>
      </c>
      <c r="D3270" s="4" t="s">
        <v>545</v>
      </c>
      <c r="E3270" s="1" t="s">
        <v>2</v>
      </c>
      <c r="F3270" s="18">
        <v>2165</v>
      </c>
      <c r="G3270" s="18">
        <v>298</v>
      </c>
      <c r="H3270" s="5">
        <v>2</v>
      </c>
      <c r="I3270" s="1">
        <v>300</v>
      </c>
      <c r="J3270" s="1">
        <v>273</v>
      </c>
      <c r="L3270" t="str">
        <f t="shared" si="51"/>
        <v>http://www.badatelna.eu/reprodukce/?fondId=1073&amp;zaznamId=1108952&amp;reproId=3779159</v>
      </c>
      <c r="M3270">
        <f>VLOOKUP(F3270,Sheet2!$B$1:$E$19,2,FALSE)</f>
        <v>1073</v>
      </c>
      <c r="N3270">
        <f>VLOOKUP(F3270,Sheet2!$B$1:$E$19,3,FALSE)</f>
        <v>1108952</v>
      </c>
      <c r="O3270">
        <f>IF(G3270="Not available","",VLOOKUP(F3270,Sheet2!$B$1:$E$19,4,FALSE)+(G3270-1))</f>
        <v>3779159</v>
      </c>
    </row>
    <row r="3271" spans="1:15" s="1" customFormat="1" ht="15" customHeight="1" x14ac:dyDescent="0.25">
      <c r="A3271" s="18" t="s">
        <v>364</v>
      </c>
      <c r="B3271" s="18" t="s">
        <v>769</v>
      </c>
      <c r="C3271" s="5" t="s">
        <v>1916</v>
      </c>
      <c r="D3271" s="1" t="s">
        <v>963</v>
      </c>
      <c r="E3271" s="1" t="s">
        <v>2</v>
      </c>
      <c r="F3271" s="18">
        <v>2165</v>
      </c>
      <c r="G3271" s="18">
        <v>275</v>
      </c>
      <c r="H3271" s="5">
        <v>1</v>
      </c>
      <c r="I3271" s="1">
        <v>278</v>
      </c>
      <c r="J3271" s="1">
        <v>252</v>
      </c>
      <c r="L3271" t="str">
        <f t="shared" si="51"/>
        <v>http://www.badatelna.eu/reprodukce/?fondId=1073&amp;zaznamId=1108952&amp;reproId=3779136</v>
      </c>
      <c r="M3271">
        <f>VLOOKUP(F3271,Sheet2!$B$1:$E$19,2,FALSE)</f>
        <v>1073</v>
      </c>
      <c r="N3271">
        <f>VLOOKUP(F3271,Sheet2!$B$1:$E$19,3,FALSE)</f>
        <v>1108952</v>
      </c>
      <c r="O3271">
        <f>IF(G3271="Not available","",VLOOKUP(F3271,Sheet2!$B$1:$E$19,4,FALSE)+(G3271-1))</f>
        <v>3779136</v>
      </c>
    </row>
    <row r="3272" spans="1:15" s="1" customFormat="1" ht="15" customHeight="1" x14ac:dyDescent="0.25">
      <c r="A3272" s="18" t="s">
        <v>364</v>
      </c>
      <c r="B3272" s="18" t="s">
        <v>1051</v>
      </c>
      <c r="C3272" s="5" t="s">
        <v>1805</v>
      </c>
      <c r="D3272" s="1" t="s">
        <v>96</v>
      </c>
      <c r="E3272" s="1" t="s">
        <v>2</v>
      </c>
      <c r="F3272" s="18">
        <v>2165</v>
      </c>
      <c r="G3272" s="18">
        <v>241</v>
      </c>
      <c r="H3272" s="5">
        <v>1</v>
      </c>
      <c r="I3272" s="1">
        <v>245</v>
      </c>
      <c r="J3272" s="1">
        <v>227</v>
      </c>
      <c r="L3272" t="str">
        <f t="shared" si="51"/>
        <v>http://www.badatelna.eu/reprodukce/?fondId=1073&amp;zaznamId=1108952&amp;reproId=3779102</v>
      </c>
      <c r="M3272">
        <f>VLOOKUP(F3272,Sheet2!$B$1:$E$19,2,FALSE)</f>
        <v>1073</v>
      </c>
      <c r="N3272">
        <f>VLOOKUP(F3272,Sheet2!$B$1:$E$19,3,FALSE)</f>
        <v>1108952</v>
      </c>
      <c r="O3272">
        <f>IF(G3272="Not available","",VLOOKUP(F3272,Sheet2!$B$1:$E$19,4,FALSE)+(G3272-1))</f>
        <v>3779102</v>
      </c>
    </row>
    <row r="3273" spans="1:15" s="1" customFormat="1" ht="15" customHeight="1" x14ac:dyDescent="0.25">
      <c r="A3273" s="18" t="s">
        <v>364</v>
      </c>
      <c r="B3273" s="18" t="s">
        <v>59</v>
      </c>
      <c r="C3273" s="5">
        <v>1793</v>
      </c>
      <c r="D3273" s="1" t="s">
        <v>21</v>
      </c>
      <c r="E3273" s="1" t="s">
        <v>2</v>
      </c>
      <c r="F3273" s="18">
        <v>2173</v>
      </c>
      <c r="G3273" s="18">
        <v>28</v>
      </c>
      <c r="H3273" s="5">
        <v>51</v>
      </c>
      <c r="I3273" s="1">
        <v>110</v>
      </c>
      <c r="J3273" s="1">
        <v>239</v>
      </c>
      <c r="L3273" t="str">
        <f t="shared" si="51"/>
        <v>http://www.badatelna.eu/reprodukce/?fondId=1073&amp;zaznamId=1108959&amp;reproId=3780021</v>
      </c>
      <c r="M3273">
        <f>VLOOKUP(F3273,Sheet2!$B$1:$E$19,2,FALSE)</f>
        <v>1073</v>
      </c>
      <c r="N3273">
        <f>VLOOKUP(F3273,Sheet2!$B$1:$E$19,3,FALSE)</f>
        <v>1108959</v>
      </c>
      <c r="O3273">
        <f>IF(G3273="Not available","",VLOOKUP(F3273,Sheet2!$B$1:$E$19,4,FALSE)+(G3273-1))</f>
        <v>3780021</v>
      </c>
    </row>
    <row r="3274" spans="1:15" s="1" customFormat="1" ht="15" customHeight="1" x14ac:dyDescent="0.25">
      <c r="A3274" s="18" t="s">
        <v>364</v>
      </c>
      <c r="B3274" s="18" t="s">
        <v>59</v>
      </c>
      <c r="C3274" s="5">
        <v>1821</v>
      </c>
      <c r="E3274" s="1" t="s">
        <v>2</v>
      </c>
      <c r="F3274" s="18">
        <v>2173</v>
      </c>
      <c r="G3274" s="18">
        <v>71</v>
      </c>
      <c r="H3274" s="5">
        <v>135</v>
      </c>
      <c r="I3274" s="1">
        <v>111</v>
      </c>
      <c r="J3274" s="1">
        <v>241</v>
      </c>
      <c r="L3274" t="str">
        <f t="shared" si="51"/>
        <v>http://www.badatelna.eu/reprodukce/?fondId=1073&amp;zaznamId=1108959&amp;reproId=3780064</v>
      </c>
      <c r="M3274">
        <f>VLOOKUP(F3274,Sheet2!$B$1:$E$19,2,FALSE)</f>
        <v>1073</v>
      </c>
      <c r="N3274">
        <f>VLOOKUP(F3274,Sheet2!$B$1:$E$19,3,FALSE)</f>
        <v>1108959</v>
      </c>
      <c r="O3274">
        <f>IF(G3274="Not available","",VLOOKUP(F3274,Sheet2!$B$1:$E$19,4,FALSE)+(G3274-1))</f>
        <v>3780064</v>
      </c>
    </row>
    <row r="3275" spans="1:15" s="1" customFormat="1" ht="15" customHeight="1" x14ac:dyDescent="0.25">
      <c r="A3275" s="18" t="s">
        <v>364</v>
      </c>
      <c r="B3275" s="19" t="s">
        <v>135</v>
      </c>
      <c r="C3275" s="5">
        <v>1860</v>
      </c>
      <c r="E3275" s="1" t="s">
        <v>939</v>
      </c>
      <c r="F3275" s="18">
        <v>999</v>
      </c>
      <c r="G3275" s="18">
        <v>23</v>
      </c>
      <c r="H3275" s="5">
        <v>21</v>
      </c>
      <c r="I3275" s="1">
        <v>74</v>
      </c>
      <c r="J3275" s="1">
        <v>108</v>
      </c>
      <c r="L3275" t="str">
        <f t="shared" si="51"/>
        <v>http://www.badatelna.eu/reprodukce/?fondId=241&amp;zaznamId=1133739&amp;reproId=3885752</v>
      </c>
      <c r="M3275">
        <f>VLOOKUP(F3275,Sheet2!$B$1:$E$19,2,FALSE)</f>
        <v>241</v>
      </c>
      <c r="N3275">
        <f>VLOOKUP(F3275,Sheet2!$B$1:$E$19,3,FALSE)</f>
        <v>1133739</v>
      </c>
      <c r="O3275">
        <f>IF(G3275="Not available","",VLOOKUP(F3275,Sheet2!$B$1:$E$19,4,FALSE)+(G3275-1))</f>
        <v>3885752</v>
      </c>
    </row>
    <row r="3276" spans="1:15" s="1" customFormat="1" ht="15" customHeight="1" x14ac:dyDescent="0.25">
      <c r="A3276" s="18" t="s">
        <v>364</v>
      </c>
      <c r="B3276" s="19" t="s">
        <v>2971</v>
      </c>
      <c r="C3276" s="5">
        <v>1786</v>
      </c>
      <c r="D3276" s="12" t="s">
        <v>128</v>
      </c>
      <c r="E3276" s="1" t="s">
        <v>2</v>
      </c>
      <c r="F3276" s="18">
        <v>2173</v>
      </c>
      <c r="G3276" s="18">
        <v>12</v>
      </c>
      <c r="H3276" s="5">
        <v>19</v>
      </c>
      <c r="I3276" s="1">
        <v>110</v>
      </c>
      <c r="J3276" s="1">
        <v>239</v>
      </c>
      <c r="L3276" t="str">
        <f t="shared" si="51"/>
        <v>http://www.badatelna.eu/reprodukce/?fondId=1073&amp;zaznamId=1108959&amp;reproId=3780005</v>
      </c>
      <c r="M3276">
        <f>VLOOKUP(F3276,Sheet2!$B$1:$E$19,2,FALSE)</f>
        <v>1073</v>
      </c>
      <c r="N3276">
        <f>VLOOKUP(F3276,Sheet2!$B$1:$E$19,3,FALSE)</f>
        <v>1108959</v>
      </c>
      <c r="O3276">
        <f>IF(G3276="Not available","",VLOOKUP(F3276,Sheet2!$B$1:$E$19,4,FALSE)+(G3276-1))</f>
        <v>3780005</v>
      </c>
    </row>
    <row r="3277" spans="1:15" s="1" customFormat="1" ht="15" customHeight="1" x14ac:dyDescent="0.25">
      <c r="A3277" s="18" t="s">
        <v>364</v>
      </c>
      <c r="B3277" s="19" t="s">
        <v>2970</v>
      </c>
      <c r="C3277" s="5">
        <v>1784</v>
      </c>
      <c r="D3277" s="4" t="s">
        <v>152</v>
      </c>
      <c r="E3277" s="1" t="s">
        <v>2</v>
      </c>
      <c r="F3277" s="18">
        <v>2173</v>
      </c>
      <c r="G3277" s="18">
        <v>4</v>
      </c>
      <c r="H3277" s="6" t="s">
        <v>2969</v>
      </c>
      <c r="I3277" s="1">
        <v>110</v>
      </c>
      <c r="J3277" s="1">
        <v>239</v>
      </c>
      <c r="L3277" t="str">
        <f t="shared" si="51"/>
        <v>http://www.badatelna.eu/reprodukce/?fondId=1073&amp;zaznamId=1108959&amp;reproId=3779997</v>
      </c>
      <c r="M3277">
        <f>VLOOKUP(F3277,Sheet2!$B$1:$E$19,2,FALSE)</f>
        <v>1073</v>
      </c>
      <c r="N3277">
        <f>VLOOKUP(F3277,Sheet2!$B$1:$E$19,3,FALSE)</f>
        <v>1108959</v>
      </c>
      <c r="O3277">
        <f>IF(G3277="Not available","",VLOOKUP(F3277,Sheet2!$B$1:$E$19,4,FALSE)+(G3277-1))</f>
        <v>3779997</v>
      </c>
    </row>
    <row r="3278" spans="1:15" s="1" customFormat="1" ht="15" customHeight="1" x14ac:dyDescent="0.25">
      <c r="A3278" s="18" t="s">
        <v>364</v>
      </c>
      <c r="B3278" s="18" t="s">
        <v>231</v>
      </c>
      <c r="C3278" s="5">
        <v>1790</v>
      </c>
      <c r="D3278" s="1" t="s">
        <v>21</v>
      </c>
      <c r="E3278" s="1" t="s">
        <v>2</v>
      </c>
      <c r="F3278" s="18">
        <v>2173</v>
      </c>
      <c r="G3278" s="18">
        <v>21</v>
      </c>
      <c r="H3278" s="5">
        <v>39</v>
      </c>
      <c r="I3278" s="1">
        <v>110</v>
      </c>
      <c r="J3278" s="1">
        <v>239</v>
      </c>
      <c r="L3278" t="str">
        <f t="shared" si="51"/>
        <v>http://www.badatelna.eu/reprodukce/?fondId=1073&amp;zaznamId=1108959&amp;reproId=3780014</v>
      </c>
      <c r="M3278">
        <f>VLOOKUP(F3278,Sheet2!$B$1:$E$19,2,FALSE)</f>
        <v>1073</v>
      </c>
      <c r="N3278">
        <f>VLOOKUP(F3278,Sheet2!$B$1:$E$19,3,FALSE)</f>
        <v>1108959</v>
      </c>
      <c r="O3278">
        <f>IF(G3278="Not available","",VLOOKUP(F3278,Sheet2!$B$1:$E$19,4,FALSE)+(G3278-1))</f>
        <v>3780014</v>
      </c>
    </row>
    <row r="3279" spans="1:15" s="1" customFormat="1" ht="15" customHeight="1" x14ac:dyDescent="0.25">
      <c r="A3279" s="18" t="s">
        <v>364</v>
      </c>
      <c r="B3279" s="18" t="s">
        <v>1209</v>
      </c>
      <c r="C3279" s="14" t="s">
        <v>2095</v>
      </c>
      <c r="D3279" s="1" t="s">
        <v>963</v>
      </c>
      <c r="E3279" s="1" t="s">
        <v>2</v>
      </c>
      <c r="F3279" s="18">
        <v>2165</v>
      </c>
      <c r="G3279" s="18">
        <v>290</v>
      </c>
      <c r="H3279" s="5">
        <v>3</v>
      </c>
      <c r="I3279" s="1">
        <v>287</v>
      </c>
      <c r="J3279" s="1">
        <v>261</v>
      </c>
      <c r="L3279" t="str">
        <f t="shared" si="51"/>
        <v>http://www.badatelna.eu/reprodukce/?fondId=1073&amp;zaznamId=1108952&amp;reproId=3779151</v>
      </c>
      <c r="M3279">
        <f>VLOOKUP(F3279,Sheet2!$B$1:$E$19,2,FALSE)</f>
        <v>1073</v>
      </c>
      <c r="N3279">
        <f>VLOOKUP(F3279,Sheet2!$B$1:$E$19,3,FALSE)</f>
        <v>1108952</v>
      </c>
      <c r="O3279">
        <f>IF(G3279="Not available","",VLOOKUP(F3279,Sheet2!$B$1:$E$19,4,FALSE)+(G3279-1))</f>
        <v>3779151</v>
      </c>
    </row>
    <row r="3280" spans="1:15" s="1" customFormat="1" ht="15" customHeight="1" x14ac:dyDescent="0.25">
      <c r="A3280" s="18" t="s">
        <v>364</v>
      </c>
      <c r="B3280" s="18" t="s">
        <v>1209</v>
      </c>
      <c r="C3280" s="5" t="s">
        <v>1933</v>
      </c>
      <c r="D3280" s="1" t="s">
        <v>96</v>
      </c>
      <c r="E3280" s="1" t="s">
        <v>2</v>
      </c>
      <c r="F3280" s="18">
        <v>2165</v>
      </c>
      <c r="G3280" s="18">
        <v>282</v>
      </c>
      <c r="H3280" s="5">
        <v>2</v>
      </c>
      <c r="I3280" s="1">
        <v>284</v>
      </c>
      <c r="J3280" s="1">
        <v>258</v>
      </c>
      <c r="L3280" t="str">
        <f t="shared" si="51"/>
        <v>http://www.badatelna.eu/reprodukce/?fondId=1073&amp;zaznamId=1108952&amp;reproId=3779143</v>
      </c>
      <c r="M3280">
        <f>VLOOKUP(F3280,Sheet2!$B$1:$E$19,2,FALSE)</f>
        <v>1073</v>
      </c>
      <c r="N3280">
        <f>VLOOKUP(F3280,Sheet2!$B$1:$E$19,3,FALSE)</f>
        <v>1108952</v>
      </c>
      <c r="O3280">
        <f>IF(G3280="Not available","",VLOOKUP(F3280,Sheet2!$B$1:$E$19,4,FALSE)+(G3280-1))</f>
        <v>3779143</v>
      </c>
    </row>
    <row r="3281" spans="1:15" s="1" customFormat="1" ht="15" customHeight="1" x14ac:dyDescent="0.25">
      <c r="A3281" s="18" t="s">
        <v>364</v>
      </c>
      <c r="B3281" s="18" t="s">
        <v>744</v>
      </c>
      <c r="C3281" s="5">
        <v>1846</v>
      </c>
      <c r="D3281" s="1" t="s">
        <v>495</v>
      </c>
      <c r="E3281" s="1" t="s">
        <v>2</v>
      </c>
      <c r="F3281" s="18">
        <v>2174</v>
      </c>
      <c r="G3281" s="18">
        <v>178</v>
      </c>
      <c r="H3281" s="14" t="s">
        <v>3242</v>
      </c>
      <c r="I3281" s="1">
        <v>197</v>
      </c>
      <c r="J3281" s="1">
        <v>233</v>
      </c>
      <c r="L3281" t="str">
        <f t="shared" si="51"/>
        <v>http://www.badatelna.eu/reprodukce/?fondId=1073&amp;zaznamId=1108960&amp;reproId=3780402</v>
      </c>
      <c r="M3281">
        <f>VLOOKUP(F3281,Sheet2!$B$1:$E$19,2,FALSE)</f>
        <v>1073</v>
      </c>
      <c r="N3281">
        <f>VLOOKUP(F3281,Sheet2!$B$1:$E$19,3,FALSE)</f>
        <v>1108960</v>
      </c>
      <c r="O3281">
        <f>IF(G3281="Not available","",VLOOKUP(F3281,Sheet2!$B$1:$E$19,4,FALSE)+(G3281-1))</f>
        <v>3780402</v>
      </c>
    </row>
    <row r="3282" spans="1:15" s="1" customFormat="1" ht="15" customHeight="1" x14ac:dyDescent="0.25">
      <c r="A3282" s="18" t="s">
        <v>364</v>
      </c>
      <c r="B3282" s="18" t="s">
        <v>201</v>
      </c>
      <c r="C3282" s="5">
        <v>1854</v>
      </c>
      <c r="D3282" s="1" t="s">
        <v>6</v>
      </c>
      <c r="E3282" s="1" t="s">
        <v>2</v>
      </c>
      <c r="F3282" s="18">
        <v>2164</v>
      </c>
      <c r="G3282" s="18">
        <v>99</v>
      </c>
      <c r="H3282" s="5">
        <v>97</v>
      </c>
      <c r="I3282" s="1">
        <v>136</v>
      </c>
      <c r="J3282" s="3" t="s">
        <v>3271</v>
      </c>
      <c r="L3282" t="str">
        <f t="shared" si="51"/>
        <v>http://www.badatelna.eu/reprodukce/?fondId=1073&amp;zaznamId=1108951&amp;reproId=3778813</v>
      </c>
      <c r="M3282">
        <f>VLOOKUP(F3282,Sheet2!$B$1:$E$19,2,FALSE)</f>
        <v>1073</v>
      </c>
      <c r="N3282">
        <f>VLOOKUP(F3282,Sheet2!$B$1:$E$19,3,FALSE)</f>
        <v>1108951</v>
      </c>
      <c r="O3282">
        <f>IF(G3282="Not available","",VLOOKUP(F3282,Sheet2!$B$1:$E$19,4,FALSE)+(G3282-1))</f>
        <v>3778813</v>
      </c>
    </row>
    <row r="3283" spans="1:15" s="1" customFormat="1" ht="15" customHeight="1" x14ac:dyDescent="0.25">
      <c r="A3283" s="18" t="s">
        <v>364</v>
      </c>
      <c r="B3283" s="18" t="s">
        <v>2137</v>
      </c>
      <c r="C3283" s="10" t="s">
        <v>2262</v>
      </c>
      <c r="D3283" s="3" t="s">
        <v>2619</v>
      </c>
      <c r="E3283" s="4" t="s">
        <v>2</v>
      </c>
      <c r="F3283" s="18">
        <v>2176</v>
      </c>
      <c r="G3283" s="18" t="s">
        <v>3271</v>
      </c>
      <c r="H3283" s="10" t="s">
        <v>1954</v>
      </c>
      <c r="I3283" s="3">
        <v>35</v>
      </c>
      <c r="J3283" s="3" t="s">
        <v>3271</v>
      </c>
      <c r="K3283" s="3"/>
      <c r="L3283" t="str">
        <f t="shared" si="51"/>
        <v/>
      </c>
      <c r="M3283">
        <f>VLOOKUP(F3283,Sheet2!$B$1:$E$19,2,FALSE)</f>
        <v>1073</v>
      </c>
      <c r="N3283">
        <f>VLOOKUP(F3283,Sheet2!$B$1:$E$19,3,FALSE)</f>
        <v>1108963</v>
      </c>
      <c r="O3283" t="str">
        <f>IF(G3283="Not available","",VLOOKUP(F3283,Sheet2!$B$1:$E$19,4,FALSE)+(G3283-1))</f>
        <v/>
      </c>
    </row>
    <row r="3284" spans="1:15" s="1" customFormat="1" ht="15" customHeight="1" x14ac:dyDescent="0.25">
      <c r="A3284" s="18" t="s">
        <v>364</v>
      </c>
      <c r="B3284" s="18" t="s">
        <v>1049</v>
      </c>
      <c r="C3284" s="5">
        <v>1887</v>
      </c>
      <c r="D3284" s="1" t="s">
        <v>234</v>
      </c>
      <c r="E3284" s="1" t="s">
        <v>2</v>
      </c>
      <c r="F3284" s="18">
        <v>2165</v>
      </c>
      <c r="G3284" s="18">
        <v>214</v>
      </c>
      <c r="H3284" s="5">
        <v>3</v>
      </c>
      <c r="I3284" s="1">
        <v>216</v>
      </c>
      <c r="J3284" s="1">
        <v>192</v>
      </c>
      <c r="L3284" t="str">
        <f t="shared" si="51"/>
        <v>http://www.badatelna.eu/reprodukce/?fondId=1073&amp;zaznamId=1108952&amp;reproId=3779075</v>
      </c>
      <c r="M3284">
        <f>VLOOKUP(F3284,Sheet2!$B$1:$E$19,2,FALSE)</f>
        <v>1073</v>
      </c>
      <c r="N3284">
        <f>VLOOKUP(F3284,Sheet2!$B$1:$E$19,3,FALSE)</f>
        <v>1108952</v>
      </c>
      <c r="O3284">
        <f>IF(G3284="Not available","",VLOOKUP(F3284,Sheet2!$B$1:$E$19,4,FALSE)+(G3284-1))</f>
        <v>3779075</v>
      </c>
    </row>
    <row r="3285" spans="1:15" s="1" customFormat="1" ht="15" customHeight="1" x14ac:dyDescent="0.25">
      <c r="A3285" s="18" t="s">
        <v>364</v>
      </c>
      <c r="B3285" s="18" t="s">
        <v>194</v>
      </c>
      <c r="C3285" s="5">
        <v>1816</v>
      </c>
      <c r="E3285" s="1" t="s">
        <v>2</v>
      </c>
      <c r="F3285" s="18">
        <v>2173</v>
      </c>
      <c r="G3285" s="18">
        <v>65</v>
      </c>
      <c r="H3285" s="5">
        <v>124</v>
      </c>
      <c r="I3285" s="1">
        <v>111</v>
      </c>
      <c r="J3285" s="1">
        <v>240</v>
      </c>
      <c r="L3285" t="str">
        <f t="shared" si="51"/>
        <v>http://www.badatelna.eu/reprodukce/?fondId=1073&amp;zaznamId=1108959&amp;reproId=3780058</v>
      </c>
      <c r="M3285">
        <f>VLOOKUP(F3285,Sheet2!$B$1:$E$19,2,FALSE)</f>
        <v>1073</v>
      </c>
      <c r="N3285">
        <f>VLOOKUP(F3285,Sheet2!$B$1:$E$19,3,FALSE)</f>
        <v>1108959</v>
      </c>
      <c r="O3285">
        <f>IF(G3285="Not available","",VLOOKUP(F3285,Sheet2!$B$1:$E$19,4,FALSE)+(G3285-1))</f>
        <v>3780058</v>
      </c>
    </row>
    <row r="3286" spans="1:15" s="1" customFormat="1" ht="15" customHeight="1" x14ac:dyDescent="0.25">
      <c r="A3286" s="18" t="s">
        <v>364</v>
      </c>
      <c r="B3286" s="18" t="s">
        <v>219</v>
      </c>
      <c r="C3286" s="5">
        <v>1883</v>
      </c>
      <c r="D3286" s="1" t="s">
        <v>234</v>
      </c>
      <c r="E3286" s="1" t="s">
        <v>2</v>
      </c>
      <c r="F3286" s="18">
        <v>2165</v>
      </c>
      <c r="G3286" s="18">
        <v>185</v>
      </c>
      <c r="H3286" s="5">
        <v>1</v>
      </c>
      <c r="I3286" s="1">
        <v>191</v>
      </c>
      <c r="J3286" s="1">
        <v>168</v>
      </c>
      <c r="L3286" t="str">
        <f t="shared" si="51"/>
        <v>http://www.badatelna.eu/reprodukce/?fondId=1073&amp;zaznamId=1108952&amp;reproId=3779046</v>
      </c>
      <c r="M3286">
        <f>VLOOKUP(F3286,Sheet2!$B$1:$E$19,2,FALSE)</f>
        <v>1073</v>
      </c>
      <c r="N3286">
        <f>VLOOKUP(F3286,Sheet2!$B$1:$E$19,3,FALSE)</f>
        <v>1108952</v>
      </c>
      <c r="O3286">
        <f>IF(G3286="Not available","",VLOOKUP(F3286,Sheet2!$B$1:$E$19,4,FALSE)+(G3286-1))</f>
        <v>3779046</v>
      </c>
    </row>
    <row r="3287" spans="1:15" s="1" customFormat="1" ht="15" customHeight="1" x14ac:dyDescent="0.25">
      <c r="A3287" s="18" t="s">
        <v>364</v>
      </c>
      <c r="B3287" s="18" t="s">
        <v>481</v>
      </c>
      <c r="C3287" s="10" t="s">
        <v>2036</v>
      </c>
      <c r="D3287" s="3" t="s">
        <v>2588</v>
      </c>
      <c r="E3287" s="4" t="s">
        <v>2</v>
      </c>
      <c r="F3287" s="18">
        <v>2176</v>
      </c>
      <c r="G3287" s="18" t="s">
        <v>3271</v>
      </c>
      <c r="H3287" s="10" t="s">
        <v>1971</v>
      </c>
      <c r="I3287" s="3">
        <v>34</v>
      </c>
      <c r="J3287" s="3" t="s">
        <v>3271</v>
      </c>
      <c r="K3287" s="3"/>
      <c r="L3287" t="str">
        <f t="shared" si="51"/>
        <v/>
      </c>
      <c r="M3287">
        <f>VLOOKUP(F3287,Sheet2!$B$1:$E$19,2,FALSE)</f>
        <v>1073</v>
      </c>
      <c r="N3287">
        <f>VLOOKUP(F3287,Sheet2!$B$1:$E$19,3,FALSE)</f>
        <v>1108963</v>
      </c>
      <c r="O3287" t="str">
        <f>IF(G3287="Not available","",VLOOKUP(F3287,Sheet2!$B$1:$E$19,4,FALSE)+(G3287-1))</f>
        <v/>
      </c>
    </row>
    <row r="3288" spans="1:15" s="1" customFormat="1" ht="15" customHeight="1" x14ac:dyDescent="0.25">
      <c r="A3288" s="18" t="s">
        <v>364</v>
      </c>
      <c r="B3288" s="18" t="s">
        <v>75</v>
      </c>
      <c r="C3288" s="5">
        <v>1805</v>
      </c>
      <c r="E3288" s="1" t="s">
        <v>2</v>
      </c>
      <c r="F3288" s="18">
        <v>2173</v>
      </c>
      <c r="G3288" s="18">
        <v>49</v>
      </c>
      <c r="H3288" s="5">
        <v>93</v>
      </c>
      <c r="I3288" s="1">
        <v>111</v>
      </c>
      <c r="J3288" s="1">
        <v>240</v>
      </c>
      <c r="L3288" t="str">
        <f t="shared" si="51"/>
        <v>http://www.badatelna.eu/reprodukce/?fondId=1073&amp;zaznamId=1108959&amp;reproId=3780042</v>
      </c>
      <c r="M3288">
        <f>VLOOKUP(F3288,Sheet2!$B$1:$E$19,2,FALSE)</f>
        <v>1073</v>
      </c>
      <c r="N3288">
        <f>VLOOKUP(F3288,Sheet2!$B$1:$E$19,3,FALSE)</f>
        <v>1108959</v>
      </c>
      <c r="O3288">
        <f>IF(G3288="Not available","",VLOOKUP(F3288,Sheet2!$B$1:$E$19,4,FALSE)+(G3288-1))</f>
        <v>3780042</v>
      </c>
    </row>
    <row r="3289" spans="1:15" s="1" customFormat="1" ht="15" customHeight="1" x14ac:dyDescent="0.25">
      <c r="A3289" s="18" t="s">
        <v>364</v>
      </c>
      <c r="B3289" s="18" t="s">
        <v>1052</v>
      </c>
      <c r="C3289" s="10" t="s">
        <v>1952</v>
      </c>
      <c r="D3289" s="3" t="s">
        <v>2608</v>
      </c>
      <c r="E3289" s="4" t="s">
        <v>2</v>
      </c>
      <c r="F3289" s="18">
        <v>2176</v>
      </c>
      <c r="G3289" s="18" t="s">
        <v>3271</v>
      </c>
      <c r="H3289" s="10" t="s">
        <v>2091</v>
      </c>
      <c r="I3289" s="3">
        <v>35</v>
      </c>
      <c r="J3289" s="3" t="s">
        <v>3271</v>
      </c>
      <c r="K3289" s="3"/>
      <c r="L3289" t="str">
        <f t="shared" si="51"/>
        <v/>
      </c>
      <c r="M3289">
        <f>VLOOKUP(F3289,Sheet2!$B$1:$E$19,2,FALSE)</f>
        <v>1073</v>
      </c>
      <c r="N3289">
        <f>VLOOKUP(F3289,Sheet2!$B$1:$E$19,3,FALSE)</f>
        <v>1108963</v>
      </c>
      <c r="O3289" t="str">
        <f>IF(G3289="Not available","",VLOOKUP(F3289,Sheet2!$B$1:$E$19,4,FALSE)+(G3289-1))</f>
        <v/>
      </c>
    </row>
    <row r="3290" spans="1:15" s="1" customFormat="1" ht="15" customHeight="1" x14ac:dyDescent="0.25">
      <c r="A3290" s="18" t="s">
        <v>364</v>
      </c>
      <c r="B3290" s="18" t="s">
        <v>1052</v>
      </c>
      <c r="C3290" s="5" t="s">
        <v>1851</v>
      </c>
      <c r="D3290" s="1" t="s">
        <v>963</v>
      </c>
      <c r="E3290" s="1" t="s">
        <v>2</v>
      </c>
      <c r="F3290" s="18">
        <v>2165</v>
      </c>
      <c r="G3290" s="18">
        <v>257</v>
      </c>
      <c r="H3290" s="5">
        <v>4</v>
      </c>
      <c r="I3290" s="1">
        <v>253</v>
      </c>
      <c r="J3290" s="1">
        <v>229</v>
      </c>
      <c r="L3290" t="str">
        <f t="shared" si="51"/>
        <v>http://www.badatelna.eu/reprodukce/?fondId=1073&amp;zaznamId=1108952&amp;reproId=3779118</v>
      </c>
      <c r="M3290">
        <f>VLOOKUP(F3290,Sheet2!$B$1:$E$19,2,FALSE)</f>
        <v>1073</v>
      </c>
      <c r="N3290">
        <f>VLOOKUP(F3290,Sheet2!$B$1:$E$19,3,FALSE)</f>
        <v>1108952</v>
      </c>
      <c r="O3290">
        <f>IF(G3290="Not available","",VLOOKUP(F3290,Sheet2!$B$1:$E$19,4,FALSE)+(G3290-1))</f>
        <v>3779118</v>
      </c>
    </row>
    <row r="3291" spans="1:15" s="1" customFormat="1" ht="15" customHeight="1" x14ac:dyDescent="0.25">
      <c r="A3291" s="18" t="s">
        <v>364</v>
      </c>
      <c r="B3291" s="18" t="s">
        <v>1102</v>
      </c>
      <c r="C3291" s="5">
        <v>1887</v>
      </c>
      <c r="D3291" s="1" t="s">
        <v>12</v>
      </c>
      <c r="E3291" s="1" t="s">
        <v>2</v>
      </c>
      <c r="F3291" s="18">
        <v>2165</v>
      </c>
      <c r="G3291" s="18">
        <v>212</v>
      </c>
      <c r="H3291" s="5">
        <v>1</v>
      </c>
      <c r="I3291" s="1">
        <v>216</v>
      </c>
      <c r="J3291" s="1">
        <v>192</v>
      </c>
      <c r="L3291" t="str">
        <f t="shared" si="51"/>
        <v>http://www.badatelna.eu/reprodukce/?fondId=1073&amp;zaznamId=1108952&amp;reproId=3779073</v>
      </c>
      <c r="M3291">
        <f>VLOOKUP(F3291,Sheet2!$B$1:$E$19,2,FALSE)</f>
        <v>1073</v>
      </c>
      <c r="N3291">
        <f>VLOOKUP(F3291,Sheet2!$B$1:$E$19,3,FALSE)</f>
        <v>1108952</v>
      </c>
      <c r="O3291">
        <f>IF(G3291="Not available","",VLOOKUP(F3291,Sheet2!$B$1:$E$19,4,FALSE)+(G3291-1))</f>
        <v>3779073</v>
      </c>
    </row>
    <row r="3292" spans="1:15" s="1" customFormat="1" ht="15" customHeight="1" x14ac:dyDescent="0.25">
      <c r="A3292" s="18" t="s">
        <v>364</v>
      </c>
      <c r="B3292" s="18" t="s">
        <v>1102</v>
      </c>
      <c r="C3292" s="10" t="s">
        <v>2055</v>
      </c>
      <c r="D3292" s="3" t="s">
        <v>2581</v>
      </c>
      <c r="E3292" s="4" t="s">
        <v>2</v>
      </c>
      <c r="F3292" s="18">
        <v>2176</v>
      </c>
      <c r="G3292" s="18" t="s">
        <v>3271</v>
      </c>
      <c r="H3292" s="10" t="s">
        <v>1971</v>
      </c>
      <c r="I3292" s="3">
        <v>34</v>
      </c>
      <c r="J3292" s="3" t="s">
        <v>3271</v>
      </c>
      <c r="K3292" s="3"/>
      <c r="L3292" t="str">
        <f t="shared" si="51"/>
        <v/>
      </c>
      <c r="M3292">
        <f>VLOOKUP(F3292,Sheet2!$B$1:$E$19,2,FALSE)</f>
        <v>1073</v>
      </c>
      <c r="N3292">
        <f>VLOOKUP(F3292,Sheet2!$B$1:$E$19,3,FALSE)</f>
        <v>1108963</v>
      </c>
      <c r="O3292" t="str">
        <f>IF(G3292="Not available","",VLOOKUP(F3292,Sheet2!$B$1:$E$19,4,FALSE)+(G3292-1))</f>
        <v/>
      </c>
    </row>
    <row r="3293" spans="1:15" s="1" customFormat="1" ht="15" customHeight="1" x14ac:dyDescent="0.25">
      <c r="A3293" s="18" t="s">
        <v>364</v>
      </c>
      <c r="B3293" s="18" t="s">
        <v>1152</v>
      </c>
      <c r="C3293" s="14" t="s">
        <v>2098</v>
      </c>
      <c r="D3293" s="4" t="s">
        <v>963</v>
      </c>
      <c r="E3293" s="1" t="s">
        <v>2</v>
      </c>
      <c r="F3293" s="18">
        <v>2165</v>
      </c>
      <c r="G3293" s="18">
        <v>213</v>
      </c>
      <c r="H3293" s="5">
        <v>2</v>
      </c>
      <c r="I3293" s="1">
        <v>305</v>
      </c>
      <c r="J3293" s="1">
        <v>278</v>
      </c>
      <c r="L3293" t="str">
        <f t="shared" si="51"/>
        <v>http://www.badatelna.eu/reprodukce/?fondId=1073&amp;zaznamId=1108952&amp;reproId=3779074</v>
      </c>
      <c r="M3293">
        <f>VLOOKUP(F3293,Sheet2!$B$1:$E$19,2,FALSE)</f>
        <v>1073</v>
      </c>
      <c r="N3293">
        <f>VLOOKUP(F3293,Sheet2!$B$1:$E$19,3,FALSE)</f>
        <v>1108952</v>
      </c>
      <c r="O3293">
        <f>IF(G3293="Not available","",VLOOKUP(F3293,Sheet2!$B$1:$E$19,4,FALSE)+(G3293-1))</f>
        <v>3779074</v>
      </c>
    </row>
    <row r="3294" spans="1:15" s="1" customFormat="1" ht="15" customHeight="1" x14ac:dyDescent="0.25">
      <c r="A3294" s="18" t="s">
        <v>364</v>
      </c>
      <c r="B3294" s="18" t="s">
        <v>1152</v>
      </c>
      <c r="C3294" s="10" t="s">
        <v>2098</v>
      </c>
      <c r="D3294" s="3" t="s">
        <v>2608</v>
      </c>
      <c r="E3294" s="4" t="s">
        <v>2</v>
      </c>
      <c r="F3294" s="18">
        <v>2176</v>
      </c>
      <c r="G3294" s="18" t="s">
        <v>3271</v>
      </c>
      <c r="H3294" s="10" t="s">
        <v>2016</v>
      </c>
      <c r="I3294" s="3">
        <v>35</v>
      </c>
      <c r="J3294" s="3" t="s">
        <v>3271</v>
      </c>
      <c r="K3294" s="3"/>
      <c r="L3294" t="str">
        <f t="shared" si="51"/>
        <v/>
      </c>
      <c r="M3294">
        <f>VLOOKUP(F3294,Sheet2!$B$1:$E$19,2,FALSE)</f>
        <v>1073</v>
      </c>
      <c r="N3294">
        <f>VLOOKUP(F3294,Sheet2!$B$1:$E$19,3,FALSE)</f>
        <v>1108963</v>
      </c>
      <c r="O3294" t="str">
        <f>IF(G3294="Not available","",VLOOKUP(F3294,Sheet2!$B$1:$E$19,4,FALSE)+(G3294-1))</f>
        <v/>
      </c>
    </row>
    <row r="3295" spans="1:15" s="1" customFormat="1" ht="15" customHeight="1" x14ac:dyDescent="0.25">
      <c r="A3295" s="18" t="s">
        <v>364</v>
      </c>
      <c r="B3295" s="18" t="s">
        <v>34</v>
      </c>
      <c r="C3295" s="5">
        <v>1823</v>
      </c>
      <c r="E3295" s="1" t="s">
        <v>2</v>
      </c>
      <c r="F3295" s="18">
        <v>2173</v>
      </c>
      <c r="G3295" s="18">
        <v>74</v>
      </c>
      <c r="H3295" s="5">
        <v>141</v>
      </c>
      <c r="I3295" s="1">
        <v>111</v>
      </c>
      <c r="J3295" s="1">
        <v>241</v>
      </c>
      <c r="L3295" t="str">
        <f t="shared" si="51"/>
        <v>http://www.badatelna.eu/reprodukce/?fondId=1073&amp;zaznamId=1108959&amp;reproId=3780067</v>
      </c>
      <c r="M3295">
        <f>VLOOKUP(F3295,Sheet2!$B$1:$E$19,2,FALSE)</f>
        <v>1073</v>
      </c>
      <c r="N3295">
        <f>VLOOKUP(F3295,Sheet2!$B$1:$E$19,3,FALSE)</f>
        <v>1108959</v>
      </c>
      <c r="O3295">
        <f>IF(G3295="Not available","",VLOOKUP(F3295,Sheet2!$B$1:$E$19,4,FALSE)+(G3295-1))</f>
        <v>3780067</v>
      </c>
    </row>
    <row r="3296" spans="1:15" s="1" customFormat="1" ht="15" customHeight="1" x14ac:dyDescent="0.25">
      <c r="A3296" s="18" t="s">
        <v>364</v>
      </c>
      <c r="B3296" s="18" t="s">
        <v>809</v>
      </c>
      <c r="C3296" s="5">
        <v>1885</v>
      </c>
      <c r="D3296" s="1" t="s">
        <v>234</v>
      </c>
      <c r="E3296" s="1" t="s">
        <v>2</v>
      </c>
      <c r="F3296" s="18">
        <v>2165</v>
      </c>
      <c r="G3296" s="18">
        <v>202</v>
      </c>
      <c r="H3296" s="5">
        <v>4</v>
      </c>
      <c r="I3296" s="1">
        <v>204</v>
      </c>
      <c r="J3296" s="1">
        <v>187</v>
      </c>
      <c r="L3296" t="str">
        <f t="shared" si="51"/>
        <v>http://www.badatelna.eu/reprodukce/?fondId=1073&amp;zaznamId=1108952&amp;reproId=3779063</v>
      </c>
      <c r="M3296">
        <f>VLOOKUP(F3296,Sheet2!$B$1:$E$19,2,FALSE)</f>
        <v>1073</v>
      </c>
      <c r="N3296">
        <f>VLOOKUP(F3296,Sheet2!$B$1:$E$19,3,FALSE)</f>
        <v>1108952</v>
      </c>
      <c r="O3296">
        <f>IF(G3296="Not available","",VLOOKUP(F3296,Sheet2!$B$1:$E$19,4,FALSE)+(G3296-1))</f>
        <v>3779063</v>
      </c>
    </row>
    <row r="3297" spans="1:15" s="1" customFormat="1" ht="15" customHeight="1" x14ac:dyDescent="0.25">
      <c r="A3297" s="18" t="s">
        <v>364</v>
      </c>
      <c r="B3297" s="18" t="s">
        <v>809</v>
      </c>
      <c r="C3297" s="10" t="s">
        <v>2043</v>
      </c>
      <c r="D3297" s="3" t="s">
        <v>2588</v>
      </c>
      <c r="E3297" s="4" t="s">
        <v>2</v>
      </c>
      <c r="F3297" s="18">
        <v>2176</v>
      </c>
      <c r="G3297" s="18" t="s">
        <v>3271</v>
      </c>
      <c r="H3297" s="10" t="s">
        <v>2019</v>
      </c>
      <c r="I3297" s="3">
        <v>34</v>
      </c>
      <c r="J3297" s="3" t="s">
        <v>3271</v>
      </c>
      <c r="K3297" s="3"/>
      <c r="L3297" t="str">
        <f t="shared" si="51"/>
        <v/>
      </c>
      <c r="M3297">
        <f>VLOOKUP(F3297,Sheet2!$B$1:$E$19,2,FALSE)</f>
        <v>1073</v>
      </c>
      <c r="N3297">
        <f>VLOOKUP(F3297,Sheet2!$B$1:$E$19,3,FALSE)</f>
        <v>1108963</v>
      </c>
      <c r="O3297" t="str">
        <f>IF(G3297="Not available","",VLOOKUP(F3297,Sheet2!$B$1:$E$19,4,FALSE)+(G3297-1))</f>
        <v/>
      </c>
    </row>
    <row r="3298" spans="1:15" s="1" customFormat="1" ht="15" customHeight="1" x14ac:dyDescent="0.25">
      <c r="A3298" s="19" t="s">
        <v>364</v>
      </c>
      <c r="B3298" s="19" t="s">
        <v>12</v>
      </c>
      <c r="C3298" s="5">
        <v>1798</v>
      </c>
      <c r="D3298" s="1" t="s">
        <v>21</v>
      </c>
      <c r="E3298" s="1" t="s">
        <v>2</v>
      </c>
      <c r="F3298" s="18">
        <v>2173</v>
      </c>
      <c r="G3298" s="18">
        <v>37</v>
      </c>
      <c r="H3298" s="5">
        <v>68</v>
      </c>
      <c r="I3298" s="1">
        <v>110</v>
      </c>
      <c r="J3298" s="1">
        <v>239</v>
      </c>
      <c r="L3298" t="str">
        <f t="shared" si="51"/>
        <v>http://www.badatelna.eu/reprodukce/?fondId=1073&amp;zaznamId=1108959&amp;reproId=3780030</v>
      </c>
      <c r="M3298">
        <f>VLOOKUP(F3298,Sheet2!$B$1:$E$19,2,FALSE)</f>
        <v>1073</v>
      </c>
      <c r="N3298">
        <f>VLOOKUP(F3298,Sheet2!$B$1:$E$19,3,FALSE)</f>
        <v>1108959</v>
      </c>
      <c r="O3298">
        <f>IF(G3298="Not available","",VLOOKUP(F3298,Sheet2!$B$1:$E$19,4,FALSE)+(G3298-1))</f>
        <v>3780030</v>
      </c>
    </row>
    <row r="3299" spans="1:15" s="1" customFormat="1" ht="15" customHeight="1" x14ac:dyDescent="0.25">
      <c r="A3299" s="18" t="s">
        <v>364</v>
      </c>
      <c r="B3299" s="18" t="s">
        <v>12</v>
      </c>
      <c r="C3299" s="5">
        <v>1850</v>
      </c>
      <c r="D3299" s="1" t="s">
        <v>615</v>
      </c>
      <c r="E3299" s="1" t="s">
        <v>2</v>
      </c>
      <c r="F3299" s="18">
        <v>2164</v>
      </c>
      <c r="G3299" s="18">
        <v>68</v>
      </c>
      <c r="H3299" s="5">
        <v>66</v>
      </c>
      <c r="I3299" s="1">
        <v>136</v>
      </c>
      <c r="J3299" s="3" t="s">
        <v>3271</v>
      </c>
      <c r="L3299" t="str">
        <f t="shared" si="51"/>
        <v>http://www.badatelna.eu/reprodukce/?fondId=1073&amp;zaznamId=1108951&amp;reproId=3778782</v>
      </c>
      <c r="M3299">
        <f>VLOOKUP(F3299,Sheet2!$B$1:$E$19,2,FALSE)</f>
        <v>1073</v>
      </c>
      <c r="N3299">
        <f>VLOOKUP(F3299,Sheet2!$B$1:$E$19,3,FALSE)</f>
        <v>1108951</v>
      </c>
      <c r="O3299">
        <f>IF(G3299="Not available","",VLOOKUP(F3299,Sheet2!$B$1:$E$19,4,FALSE)+(G3299-1))</f>
        <v>3778782</v>
      </c>
    </row>
    <row r="3300" spans="1:15" s="1" customFormat="1" ht="15" customHeight="1" x14ac:dyDescent="0.25">
      <c r="A3300" s="18" t="s">
        <v>364</v>
      </c>
      <c r="B3300" s="18" t="s">
        <v>12</v>
      </c>
      <c r="C3300" s="5">
        <v>1858</v>
      </c>
      <c r="E3300" s="1" t="s">
        <v>939</v>
      </c>
      <c r="F3300" s="18">
        <v>999</v>
      </c>
      <c r="G3300" s="18">
        <v>10</v>
      </c>
      <c r="H3300" s="5">
        <v>8</v>
      </c>
      <c r="I3300" s="1">
        <v>74</v>
      </c>
      <c r="J3300" s="1">
        <v>108</v>
      </c>
      <c r="L3300" t="str">
        <f t="shared" si="51"/>
        <v>http://www.badatelna.eu/reprodukce/?fondId=241&amp;zaznamId=1133739&amp;reproId=3885739</v>
      </c>
      <c r="M3300">
        <f>VLOOKUP(F3300,Sheet2!$B$1:$E$19,2,FALSE)</f>
        <v>241</v>
      </c>
      <c r="N3300">
        <f>VLOOKUP(F3300,Sheet2!$B$1:$E$19,3,FALSE)</f>
        <v>1133739</v>
      </c>
      <c r="O3300">
        <f>IF(G3300="Not available","",VLOOKUP(F3300,Sheet2!$B$1:$E$19,4,FALSE)+(G3300-1))</f>
        <v>3885739</v>
      </c>
    </row>
    <row r="3301" spans="1:15" s="1" customFormat="1" ht="15" customHeight="1" x14ac:dyDescent="0.25">
      <c r="A3301" s="18" t="s">
        <v>364</v>
      </c>
      <c r="B3301" s="18" t="s">
        <v>2089</v>
      </c>
      <c r="C3301" s="10" t="s">
        <v>2043</v>
      </c>
      <c r="D3301" s="3" t="s">
        <v>2581</v>
      </c>
      <c r="E3301" s="4" t="s">
        <v>2</v>
      </c>
      <c r="F3301" s="18">
        <v>2176</v>
      </c>
      <c r="G3301" s="18" t="s">
        <v>3271</v>
      </c>
      <c r="H3301" s="10" t="s">
        <v>1979</v>
      </c>
      <c r="I3301" s="3">
        <v>34</v>
      </c>
      <c r="J3301" s="3" t="s">
        <v>3271</v>
      </c>
      <c r="K3301" s="3"/>
      <c r="L3301" t="str">
        <f t="shared" si="51"/>
        <v/>
      </c>
      <c r="M3301">
        <f>VLOOKUP(F3301,Sheet2!$B$1:$E$19,2,FALSE)</f>
        <v>1073</v>
      </c>
      <c r="N3301">
        <f>VLOOKUP(F3301,Sheet2!$B$1:$E$19,3,FALSE)</f>
        <v>1108963</v>
      </c>
      <c r="O3301" t="str">
        <f>IF(G3301="Not available","",VLOOKUP(F3301,Sheet2!$B$1:$E$19,4,FALSE)+(G3301-1))</f>
        <v/>
      </c>
    </row>
    <row r="3302" spans="1:15" s="1" customFormat="1" ht="15" customHeight="1" x14ac:dyDescent="0.25">
      <c r="A3302" s="18" t="s">
        <v>364</v>
      </c>
      <c r="B3302" s="18" t="s">
        <v>1138</v>
      </c>
      <c r="C3302" s="5">
        <v>1885</v>
      </c>
      <c r="D3302" s="1" t="s">
        <v>12</v>
      </c>
      <c r="E3302" s="1" t="s">
        <v>2</v>
      </c>
      <c r="F3302" s="18">
        <v>2165</v>
      </c>
      <c r="G3302" s="18">
        <v>200</v>
      </c>
      <c r="H3302" s="5">
        <v>2</v>
      </c>
      <c r="I3302" s="1">
        <v>204</v>
      </c>
      <c r="J3302" s="1">
        <v>187</v>
      </c>
      <c r="L3302" t="str">
        <f t="shared" si="51"/>
        <v>http://www.badatelna.eu/reprodukce/?fondId=1073&amp;zaznamId=1108952&amp;reproId=3779061</v>
      </c>
      <c r="M3302">
        <f>VLOOKUP(F3302,Sheet2!$B$1:$E$19,2,FALSE)</f>
        <v>1073</v>
      </c>
      <c r="N3302">
        <f>VLOOKUP(F3302,Sheet2!$B$1:$E$19,3,FALSE)</f>
        <v>1108952</v>
      </c>
      <c r="O3302">
        <f>IF(G3302="Not available","",VLOOKUP(F3302,Sheet2!$B$1:$E$19,4,FALSE)+(G3302-1))</f>
        <v>3779061</v>
      </c>
    </row>
    <row r="3303" spans="1:15" s="1" customFormat="1" ht="15" customHeight="1" x14ac:dyDescent="0.25">
      <c r="A3303" s="18" t="s">
        <v>364</v>
      </c>
      <c r="B3303" s="18" t="s">
        <v>472</v>
      </c>
      <c r="C3303" s="5">
        <v>1845</v>
      </c>
      <c r="D3303" s="1" t="s">
        <v>486</v>
      </c>
      <c r="E3303" s="1" t="s">
        <v>2</v>
      </c>
      <c r="F3303" s="18">
        <v>2174</v>
      </c>
      <c r="G3303" s="18">
        <v>151</v>
      </c>
      <c r="H3303" s="6" t="s">
        <v>3218</v>
      </c>
      <c r="I3303" s="1">
        <v>197</v>
      </c>
      <c r="J3303" s="1">
        <v>233</v>
      </c>
      <c r="L3303" t="str">
        <f t="shared" si="51"/>
        <v>http://www.badatelna.eu/reprodukce/?fondId=1073&amp;zaznamId=1108960&amp;reproId=3780375</v>
      </c>
      <c r="M3303">
        <f>VLOOKUP(F3303,Sheet2!$B$1:$E$19,2,FALSE)</f>
        <v>1073</v>
      </c>
      <c r="N3303">
        <f>VLOOKUP(F3303,Sheet2!$B$1:$E$19,3,FALSE)</f>
        <v>1108960</v>
      </c>
      <c r="O3303">
        <f>IF(G3303="Not available","",VLOOKUP(F3303,Sheet2!$B$1:$E$19,4,FALSE)+(G3303-1))</f>
        <v>3780375</v>
      </c>
    </row>
    <row r="3304" spans="1:15" s="1" customFormat="1" ht="15" customHeight="1" x14ac:dyDescent="0.25">
      <c r="A3304" s="18" t="s">
        <v>364</v>
      </c>
      <c r="B3304" s="18" t="s">
        <v>2173</v>
      </c>
      <c r="C3304" s="10" t="s">
        <v>2036</v>
      </c>
      <c r="D3304" s="3" t="s">
        <v>2568</v>
      </c>
      <c r="E3304" s="4" t="s">
        <v>2</v>
      </c>
      <c r="F3304" s="18">
        <v>2176</v>
      </c>
      <c r="G3304" s="18" t="s">
        <v>3271</v>
      </c>
      <c r="H3304" s="10" t="s">
        <v>2006</v>
      </c>
      <c r="I3304" s="3">
        <v>34</v>
      </c>
      <c r="J3304" s="3" t="s">
        <v>3271</v>
      </c>
      <c r="K3304" s="3"/>
      <c r="L3304" t="str">
        <f t="shared" si="51"/>
        <v/>
      </c>
      <c r="M3304">
        <f>VLOOKUP(F3304,Sheet2!$B$1:$E$19,2,FALSE)</f>
        <v>1073</v>
      </c>
      <c r="N3304">
        <f>VLOOKUP(F3304,Sheet2!$B$1:$E$19,3,FALSE)</f>
        <v>1108963</v>
      </c>
      <c r="O3304" t="str">
        <f>IF(G3304="Not available","",VLOOKUP(F3304,Sheet2!$B$1:$E$19,4,FALSE)+(G3304-1))</f>
        <v/>
      </c>
    </row>
    <row r="3305" spans="1:15" s="1" customFormat="1" ht="15" customHeight="1" x14ac:dyDescent="0.25">
      <c r="A3305" s="18" t="s">
        <v>364</v>
      </c>
      <c r="B3305" s="18" t="s">
        <v>26</v>
      </c>
      <c r="C3305" s="5">
        <v>1806</v>
      </c>
      <c r="E3305" s="1" t="s">
        <v>2</v>
      </c>
      <c r="F3305" s="18">
        <v>2173</v>
      </c>
      <c r="G3305" s="18">
        <v>51</v>
      </c>
      <c r="H3305" s="5">
        <v>97</v>
      </c>
      <c r="I3305" s="1">
        <v>111</v>
      </c>
      <c r="J3305" s="1">
        <v>240</v>
      </c>
      <c r="L3305" t="str">
        <f t="shared" si="51"/>
        <v>http://www.badatelna.eu/reprodukce/?fondId=1073&amp;zaznamId=1108959&amp;reproId=3780044</v>
      </c>
      <c r="M3305">
        <f>VLOOKUP(F3305,Sheet2!$B$1:$E$19,2,FALSE)</f>
        <v>1073</v>
      </c>
      <c r="N3305">
        <f>VLOOKUP(F3305,Sheet2!$B$1:$E$19,3,FALSE)</f>
        <v>1108959</v>
      </c>
      <c r="O3305">
        <f>IF(G3305="Not available","",VLOOKUP(F3305,Sheet2!$B$1:$E$19,4,FALSE)+(G3305-1))</f>
        <v>3780044</v>
      </c>
    </row>
    <row r="3306" spans="1:15" s="1" customFormat="1" ht="15" customHeight="1" x14ac:dyDescent="0.25">
      <c r="A3306" s="18" t="s">
        <v>364</v>
      </c>
      <c r="B3306" s="18" t="s">
        <v>4</v>
      </c>
      <c r="C3306" s="5">
        <v>1812</v>
      </c>
      <c r="E3306" s="1" t="s">
        <v>2</v>
      </c>
      <c r="F3306" s="18">
        <v>2173</v>
      </c>
      <c r="G3306" s="18">
        <v>59</v>
      </c>
      <c r="H3306" s="14" t="s">
        <v>2985</v>
      </c>
      <c r="I3306" s="1">
        <v>111</v>
      </c>
      <c r="J3306" s="1">
        <v>240</v>
      </c>
      <c r="L3306" t="str">
        <f t="shared" si="51"/>
        <v>http://www.badatelna.eu/reprodukce/?fondId=1073&amp;zaznamId=1108959&amp;reproId=3780052</v>
      </c>
      <c r="M3306">
        <f>VLOOKUP(F3306,Sheet2!$B$1:$E$19,2,FALSE)</f>
        <v>1073</v>
      </c>
      <c r="N3306">
        <f>VLOOKUP(F3306,Sheet2!$B$1:$E$19,3,FALSE)</f>
        <v>1108959</v>
      </c>
      <c r="O3306">
        <f>IF(G3306="Not available","",VLOOKUP(F3306,Sheet2!$B$1:$E$19,4,FALSE)+(G3306-1))</f>
        <v>3780052</v>
      </c>
    </row>
    <row r="3307" spans="1:15" s="1" customFormat="1" ht="15" customHeight="1" x14ac:dyDescent="0.25">
      <c r="A3307" s="18" t="s">
        <v>364</v>
      </c>
      <c r="B3307" s="18" t="s">
        <v>240</v>
      </c>
      <c r="C3307" s="5">
        <v>1819</v>
      </c>
      <c r="E3307" s="1" t="s">
        <v>2</v>
      </c>
      <c r="F3307" s="18">
        <v>2173</v>
      </c>
      <c r="G3307" s="18">
        <v>66</v>
      </c>
      <c r="H3307" s="5">
        <v>126</v>
      </c>
      <c r="I3307" s="1">
        <v>111</v>
      </c>
      <c r="J3307" s="1">
        <v>240</v>
      </c>
      <c r="L3307" t="str">
        <f t="shared" si="51"/>
        <v>http://www.badatelna.eu/reprodukce/?fondId=1073&amp;zaznamId=1108959&amp;reproId=3780059</v>
      </c>
      <c r="M3307">
        <f>VLOOKUP(F3307,Sheet2!$B$1:$E$19,2,FALSE)</f>
        <v>1073</v>
      </c>
      <c r="N3307">
        <f>VLOOKUP(F3307,Sheet2!$B$1:$E$19,3,FALSE)</f>
        <v>1108959</v>
      </c>
      <c r="O3307">
        <f>IF(G3307="Not available","",VLOOKUP(F3307,Sheet2!$B$1:$E$19,4,FALSE)+(G3307-1))</f>
        <v>3780059</v>
      </c>
    </row>
    <row r="3308" spans="1:15" s="1" customFormat="1" ht="15" customHeight="1" x14ac:dyDescent="0.25">
      <c r="A3308" s="18" t="s">
        <v>364</v>
      </c>
      <c r="B3308" s="18" t="s">
        <v>602</v>
      </c>
      <c r="C3308" s="5">
        <v>1855</v>
      </c>
      <c r="D3308" s="1" t="s">
        <v>6</v>
      </c>
      <c r="E3308" s="1" t="s">
        <v>2</v>
      </c>
      <c r="F3308" s="18">
        <v>2164</v>
      </c>
      <c r="G3308" s="18">
        <v>107</v>
      </c>
      <c r="H3308" s="5">
        <v>105</v>
      </c>
      <c r="I3308" s="1">
        <v>136</v>
      </c>
      <c r="J3308" s="3" t="s">
        <v>3271</v>
      </c>
      <c r="L3308" t="str">
        <f t="shared" si="51"/>
        <v>http://www.badatelna.eu/reprodukce/?fondId=1073&amp;zaznamId=1108951&amp;reproId=3778821</v>
      </c>
      <c r="M3308">
        <f>VLOOKUP(F3308,Sheet2!$B$1:$E$19,2,FALSE)</f>
        <v>1073</v>
      </c>
      <c r="N3308">
        <f>VLOOKUP(F3308,Sheet2!$B$1:$E$19,3,FALSE)</f>
        <v>1108951</v>
      </c>
      <c r="O3308">
        <f>IF(G3308="Not available","",VLOOKUP(F3308,Sheet2!$B$1:$E$19,4,FALSE)+(G3308-1))</f>
        <v>3778821</v>
      </c>
    </row>
    <row r="3309" spans="1:15" s="1" customFormat="1" ht="15" customHeight="1" x14ac:dyDescent="0.25">
      <c r="A3309" s="18" t="s">
        <v>364</v>
      </c>
      <c r="B3309" s="18" t="s">
        <v>602</v>
      </c>
      <c r="C3309" s="10" t="s">
        <v>2026</v>
      </c>
      <c r="D3309" s="3" t="s">
        <v>2581</v>
      </c>
      <c r="E3309" s="4" t="s">
        <v>2</v>
      </c>
      <c r="F3309" s="18">
        <v>2176</v>
      </c>
      <c r="G3309" s="18" t="s">
        <v>3271</v>
      </c>
      <c r="H3309" s="10" t="s">
        <v>2230</v>
      </c>
      <c r="I3309" s="3">
        <v>34</v>
      </c>
      <c r="J3309" s="3" t="s">
        <v>3271</v>
      </c>
      <c r="K3309" s="3"/>
      <c r="L3309" t="str">
        <f t="shared" si="51"/>
        <v/>
      </c>
      <c r="M3309">
        <f>VLOOKUP(F3309,Sheet2!$B$1:$E$19,2,FALSE)</f>
        <v>1073</v>
      </c>
      <c r="N3309">
        <f>VLOOKUP(F3309,Sheet2!$B$1:$E$19,3,FALSE)</f>
        <v>1108963</v>
      </c>
      <c r="O3309" t="str">
        <f>IF(G3309="Not available","",VLOOKUP(F3309,Sheet2!$B$1:$E$19,4,FALSE)+(G3309-1))</f>
        <v/>
      </c>
    </row>
    <row r="3310" spans="1:15" s="1" customFormat="1" ht="15" customHeight="1" x14ac:dyDescent="0.25">
      <c r="A3310" s="18" t="s">
        <v>364</v>
      </c>
      <c r="B3310" s="18" t="s">
        <v>602</v>
      </c>
      <c r="C3310" s="5" t="s">
        <v>1736</v>
      </c>
      <c r="D3310" s="1" t="s">
        <v>12</v>
      </c>
      <c r="E3310" s="1" t="s">
        <v>2</v>
      </c>
      <c r="F3310" s="18">
        <v>2165</v>
      </c>
      <c r="G3310" s="18">
        <v>167</v>
      </c>
      <c r="H3310" s="5">
        <v>3</v>
      </c>
      <c r="I3310" s="1">
        <v>171</v>
      </c>
      <c r="J3310" s="1">
        <v>149</v>
      </c>
      <c r="L3310" t="str">
        <f t="shared" si="51"/>
        <v>http://www.badatelna.eu/reprodukce/?fondId=1073&amp;zaznamId=1108952&amp;reproId=3779028</v>
      </c>
      <c r="M3310">
        <f>VLOOKUP(F3310,Sheet2!$B$1:$E$19,2,FALSE)</f>
        <v>1073</v>
      </c>
      <c r="N3310">
        <f>VLOOKUP(F3310,Sheet2!$B$1:$E$19,3,FALSE)</f>
        <v>1108952</v>
      </c>
      <c r="O3310">
        <f>IF(G3310="Not available","",VLOOKUP(F3310,Sheet2!$B$1:$E$19,4,FALSE)+(G3310-1))</f>
        <v>3779028</v>
      </c>
    </row>
    <row r="3311" spans="1:15" s="1" customFormat="1" ht="15" customHeight="1" x14ac:dyDescent="0.25">
      <c r="A3311" s="18" t="s">
        <v>364</v>
      </c>
      <c r="B3311" s="18" t="s">
        <v>2027</v>
      </c>
      <c r="C3311" s="10" t="s">
        <v>2068</v>
      </c>
      <c r="D3311" s="3" t="s">
        <v>2601</v>
      </c>
      <c r="E3311" s="4" t="s">
        <v>2</v>
      </c>
      <c r="F3311" s="18">
        <v>2176</v>
      </c>
      <c r="G3311" s="18" t="s">
        <v>3271</v>
      </c>
      <c r="H3311" s="10" t="s">
        <v>2061</v>
      </c>
      <c r="I3311" s="3">
        <v>34</v>
      </c>
      <c r="J3311" s="3" t="s">
        <v>3271</v>
      </c>
      <c r="K3311" s="3"/>
      <c r="L3311" t="str">
        <f t="shared" si="51"/>
        <v/>
      </c>
      <c r="M3311">
        <f>VLOOKUP(F3311,Sheet2!$B$1:$E$19,2,FALSE)</f>
        <v>1073</v>
      </c>
      <c r="N3311">
        <f>VLOOKUP(F3311,Sheet2!$B$1:$E$19,3,FALSE)</f>
        <v>1108963</v>
      </c>
      <c r="O3311" t="str">
        <f>IF(G3311="Not available","",VLOOKUP(F3311,Sheet2!$B$1:$E$19,4,FALSE)+(G3311-1))</f>
        <v/>
      </c>
    </row>
    <row r="3312" spans="1:15" s="1" customFormat="1" ht="15" customHeight="1" x14ac:dyDescent="0.25">
      <c r="A3312" s="18" t="s">
        <v>364</v>
      </c>
      <c r="B3312" s="18" t="s">
        <v>847</v>
      </c>
      <c r="C3312" s="5">
        <v>1889</v>
      </c>
      <c r="D3312" s="1" t="s">
        <v>234</v>
      </c>
      <c r="E3312" s="1" t="s">
        <v>2</v>
      </c>
      <c r="F3312" s="18">
        <v>2165</v>
      </c>
      <c r="G3312" s="18">
        <v>222</v>
      </c>
      <c r="H3312" s="5">
        <v>2</v>
      </c>
      <c r="I3312" s="1">
        <v>225</v>
      </c>
      <c r="J3312" s="1">
        <v>201</v>
      </c>
      <c r="L3312" t="str">
        <f t="shared" si="51"/>
        <v>http://www.badatelna.eu/reprodukce/?fondId=1073&amp;zaznamId=1108952&amp;reproId=3779083</v>
      </c>
      <c r="M3312">
        <f>VLOOKUP(F3312,Sheet2!$B$1:$E$19,2,FALSE)</f>
        <v>1073</v>
      </c>
      <c r="N3312">
        <f>VLOOKUP(F3312,Sheet2!$B$1:$E$19,3,FALSE)</f>
        <v>1108952</v>
      </c>
      <c r="O3312">
        <f>IF(G3312="Not available","",VLOOKUP(F3312,Sheet2!$B$1:$E$19,4,FALSE)+(G3312-1))</f>
        <v>3779083</v>
      </c>
    </row>
    <row r="3313" spans="1:15" s="1" customFormat="1" ht="15" customHeight="1" x14ac:dyDescent="0.25">
      <c r="A3313" s="18" t="s">
        <v>364</v>
      </c>
      <c r="B3313" s="18" t="s">
        <v>2027</v>
      </c>
      <c r="C3313" s="10" t="s">
        <v>1957</v>
      </c>
      <c r="D3313" s="3" t="s">
        <v>2608</v>
      </c>
      <c r="E3313" s="4" t="s">
        <v>2</v>
      </c>
      <c r="F3313" s="18">
        <v>2176</v>
      </c>
      <c r="G3313" s="18" t="s">
        <v>3271</v>
      </c>
      <c r="H3313" s="10" t="s">
        <v>1954</v>
      </c>
      <c r="I3313" s="3">
        <v>35</v>
      </c>
      <c r="J3313" s="3" t="s">
        <v>3271</v>
      </c>
      <c r="K3313" s="3"/>
      <c r="L3313" t="str">
        <f t="shared" si="51"/>
        <v/>
      </c>
      <c r="M3313">
        <f>VLOOKUP(F3313,Sheet2!$B$1:$E$19,2,FALSE)</f>
        <v>1073</v>
      </c>
      <c r="N3313">
        <f>VLOOKUP(F3313,Sheet2!$B$1:$E$19,3,FALSE)</f>
        <v>1108963</v>
      </c>
      <c r="O3313" t="str">
        <f>IF(G3313="Not available","",VLOOKUP(F3313,Sheet2!$B$1:$E$19,4,FALSE)+(G3313-1))</f>
        <v/>
      </c>
    </row>
    <row r="3314" spans="1:15" s="1" customFormat="1" ht="15" customHeight="1" x14ac:dyDescent="0.25">
      <c r="A3314" s="18" t="s">
        <v>364</v>
      </c>
      <c r="B3314" s="18" t="s">
        <v>847</v>
      </c>
      <c r="C3314" s="5" t="s">
        <v>1930</v>
      </c>
      <c r="D3314" s="1" t="s">
        <v>963</v>
      </c>
      <c r="E3314" s="1" t="s">
        <v>2</v>
      </c>
      <c r="F3314" s="18">
        <v>2165</v>
      </c>
      <c r="G3314" s="18">
        <v>281</v>
      </c>
      <c r="H3314" s="5">
        <v>1</v>
      </c>
      <c r="I3314" s="1">
        <v>284</v>
      </c>
      <c r="J3314" s="1">
        <v>258</v>
      </c>
      <c r="L3314" t="str">
        <f t="shared" si="51"/>
        <v>http://www.badatelna.eu/reprodukce/?fondId=1073&amp;zaznamId=1108952&amp;reproId=3779142</v>
      </c>
      <c r="M3314">
        <f>VLOOKUP(F3314,Sheet2!$B$1:$E$19,2,FALSE)</f>
        <v>1073</v>
      </c>
      <c r="N3314">
        <f>VLOOKUP(F3314,Sheet2!$B$1:$E$19,3,FALSE)</f>
        <v>1108952</v>
      </c>
      <c r="O3314">
        <f>IF(G3314="Not available","",VLOOKUP(F3314,Sheet2!$B$1:$E$19,4,FALSE)+(G3314-1))</f>
        <v>3779142</v>
      </c>
    </row>
    <row r="3315" spans="1:15" s="1" customFormat="1" ht="15" customHeight="1" x14ac:dyDescent="0.25">
      <c r="A3315" s="18" t="s">
        <v>364</v>
      </c>
      <c r="B3315" s="18" t="s">
        <v>172</v>
      </c>
      <c r="C3315" s="5">
        <v>1865</v>
      </c>
      <c r="E3315" s="1" t="s">
        <v>939</v>
      </c>
      <c r="F3315" s="18">
        <v>999</v>
      </c>
      <c r="G3315" s="18">
        <v>55</v>
      </c>
      <c r="H3315" s="5">
        <v>53</v>
      </c>
      <c r="I3315" s="1">
        <v>74</v>
      </c>
      <c r="J3315" s="1">
        <v>108</v>
      </c>
      <c r="L3315" t="str">
        <f t="shared" si="51"/>
        <v>http://www.badatelna.eu/reprodukce/?fondId=241&amp;zaznamId=1133739&amp;reproId=3885784</v>
      </c>
      <c r="M3315">
        <f>VLOOKUP(F3315,Sheet2!$B$1:$E$19,2,FALSE)</f>
        <v>241</v>
      </c>
      <c r="N3315">
        <f>VLOOKUP(F3315,Sheet2!$B$1:$E$19,3,FALSE)</f>
        <v>1133739</v>
      </c>
      <c r="O3315">
        <f>IF(G3315="Not available","",VLOOKUP(F3315,Sheet2!$B$1:$E$19,4,FALSE)+(G3315-1))</f>
        <v>3885784</v>
      </c>
    </row>
    <row r="3316" spans="1:15" s="1" customFormat="1" ht="15" customHeight="1" x14ac:dyDescent="0.25">
      <c r="A3316" s="18" t="s">
        <v>364</v>
      </c>
      <c r="B3316" s="18" t="s">
        <v>624</v>
      </c>
      <c r="C3316" s="5">
        <v>1838</v>
      </c>
      <c r="D3316" s="1" t="s">
        <v>729</v>
      </c>
      <c r="E3316" s="1" t="s">
        <v>2</v>
      </c>
      <c r="F3316" s="18">
        <v>2174</v>
      </c>
      <c r="G3316" s="18">
        <v>97</v>
      </c>
      <c r="H3316" s="6" t="s">
        <v>3167</v>
      </c>
      <c r="I3316" s="1">
        <v>197</v>
      </c>
      <c r="J3316" s="1">
        <v>232</v>
      </c>
      <c r="L3316" t="str">
        <f t="shared" si="51"/>
        <v>http://www.badatelna.eu/reprodukce/?fondId=1073&amp;zaznamId=1108960&amp;reproId=3780321</v>
      </c>
      <c r="M3316">
        <f>VLOOKUP(F3316,Sheet2!$B$1:$E$19,2,FALSE)</f>
        <v>1073</v>
      </c>
      <c r="N3316">
        <f>VLOOKUP(F3316,Sheet2!$B$1:$E$19,3,FALSE)</f>
        <v>1108960</v>
      </c>
      <c r="O3316">
        <f>IF(G3316="Not available","",VLOOKUP(F3316,Sheet2!$B$1:$E$19,4,FALSE)+(G3316-1))</f>
        <v>3780321</v>
      </c>
    </row>
    <row r="3317" spans="1:15" s="1" customFormat="1" ht="15" customHeight="1" x14ac:dyDescent="0.25">
      <c r="A3317" s="18" t="s">
        <v>364</v>
      </c>
      <c r="B3317" s="18" t="s">
        <v>233</v>
      </c>
      <c r="C3317" s="5">
        <v>1843</v>
      </c>
      <c r="D3317" s="1" t="s">
        <v>50</v>
      </c>
      <c r="E3317" s="1" t="s">
        <v>2</v>
      </c>
      <c r="F3317" s="18">
        <v>2174</v>
      </c>
      <c r="G3317" s="18">
        <v>134</v>
      </c>
      <c r="H3317" s="6" t="s">
        <v>3201</v>
      </c>
      <c r="I3317" s="1">
        <v>197</v>
      </c>
      <c r="J3317" s="1">
        <v>232</v>
      </c>
      <c r="L3317" t="str">
        <f t="shared" si="51"/>
        <v>http://www.badatelna.eu/reprodukce/?fondId=1073&amp;zaznamId=1108960&amp;reproId=3780358</v>
      </c>
      <c r="M3317">
        <f>VLOOKUP(F3317,Sheet2!$B$1:$E$19,2,FALSE)</f>
        <v>1073</v>
      </c>
      <c r="N3317">
        <f>VLOOKUP(F3317,Sheet2!$B$1:$E$19,3,FALSE)</f>
        <v>1108960</v>
      </c>
      <c r="O3317">
        <f>IF(G3317="Not available","",VLOOKUP(F3317,Sheet2!$B$1:$E$19,4,FALSE)+(G3317-1))</f>
        <v>3780358</v>
      </c>
    </row>
    <row r="3318" spans="1:15" s="1" customFormat="1" ht="15" customHeight="1" x14ac:dyDescent="0.25">
      <c r="A3318" s="18" t="s">
        <v>364</v>
      </c>
      <c r="B3318" s="18" t="s">
        <v>2621</v>
      </c>
      <c r="C3318" s="10" t="s">
        <v>2122</v>
      </c>
      <c r="D3318" s="3" t="s">
        <v>2622</v>
      </c>
      <c r="E3318" s="4" t="s">
        <v>2</v>
      </c>
      <c r="F3318" s="18">
        <v>2176</v>
      </c>
      <c r="G3318" s="18" t="s">
        <v>3271</v>
      </c>
      <c r="H3318" s="10" t="s">
        <v>1954</v>
      </c>
      <c r="I3318" s="3">
        <v>36</v>
      </c>
      <c r="J3318" s="3" t="s">
        <v>3271</v>
      </c>
      <c r="K3318" s="3"/>
      <c r="L3318" t="str">
        <f t="shared" si="51"/>
        <v/>
      </c>
      <c r="M3318">
        <f>VLOOKUP(F3318,Sheet2!$B$1:$E$19,2,FALSE)</f>
        <v>1073</v>
      </c>
      <c r="N3318">
        <f>VLOOKUP(F3318,Sheet2!$B$1:$E$19,3,FALSE)</f>
        <v>1108963</v>
      </c>
      <c r="O3318" t="str">
        <f>IF(G3318="Not available","",VLOOKUP(F3318,Sheet2!$B$1:$E$19,4,FALSE)+(G3318-1))</f>
        <v/>
      </c>
    </row>
    <row r="3319" spans="1:15" s="1" customFormat="1" ht="15" customHeight="1" x14ac:dyDescent="0.25">
      <c r="A3319" s="18" t="s">
        <v>364</v>
      </c>
      <c r="B3319" s="18" t="s">
        <v>830</v>
      </c>
      <c r="C3319" s="5">
        <v>1859</v>
      </c>
      <c r="E3319" s="1" t="s">
        <v>939</v>
      </c>
      <c r="F3319" s="18">
        <v>999</v>
      </c>
      <c r="G3319" s="18">
        <v>19</v>
      </c>
      <c r="H3319" s="5">
        <v>17</v>
      </c>
      <c r="I3319" s="1">
        <v>74</v>
      </c>
      <c r="J3319" s="1">
        <v>108</v>
      </c>
      <c r="L3319" t="str">
        <f t="shared" si="51"/>
        <v>http://www.badatelna.eu/reprodukce/?fondId=241&amp;zaznamId=1133739&amp;reproId=3885748</v>
      </c>
      <c r="M3319">
        <f>VLOOKUP(F3319,Sheet2!$B$1:$E$19,2,FALSE)</f>
        <v>241</v>
      </c>
      <c r="N3319">
        <f>VLOOKUP(F3319,Sheet2!$B$1:$E$19,3,FALSE)</f>
        <v>1133739</v>
      </c>
      <c r="O3319">
        <f>IF(G3319="Not available","",VLOOKUP(F3319,Sheet2!$B$1:$E$19,4,FALSE)+(G3319-1))</f>
        <v>3885748</v>
      </c>
    </row>
    <row r="3320" spans="1:15" s="1" customFormat="1" ht="15" customHeight="1" x14ac:dyDescent="0.25">
      <c r="A3320" s="18" t="s">
        <v>364</v>
      </c>
      <c r="B3320" s="18" t="s">
        <v>310</v>
      </c>
      <c r="C3320" s="5">
        <v>1797</v>
      </c>
      <c r="D3320" s="1" t="s">
        <v>379</v>
      </c>
      <c r="E3320" s="1" t="s">
        <v>2</v>
      </c>
      <c r="F3320" s="18">
        <v>2173</v>
      </c>
      <c r="G3320" s="18">
        <v>36</v>
      </c>
      <c r="H3320" s="5">
        <v>66</v>
      </c>
      <c r="I3320" s="1">
        <v>110</v>
      </c>
      <c r="J3320" s="1">
        <v>239</v>
      </c>
      <c r="L3320" t="str">
        <f t="shared" si="51"/>
        <v>http://www.badatelna.eu/reprodukce/?fondId=1073&amp;zaznamId=1108959&amp;reproId=3780029</v>
      </c>
      <c r="M3320">
        <f>VLOOKUP(F3320,Sheet2!$B$1:$E$19,2,FALSE)</f>
        <v>1073</v>
      </c>
      <c r="N3320">
        <f>VLOOKUP(F3320,Sheet2!$B$1:$E$19,3,FALSE)</f>
        <v>1108959</v>
      </c>
      <c r="O3320">
        <f>IF(G3320="Not available","",VLOOKUP(F3320,Sheet2!$B$1:$E$19,4,FALSE)+(G3320-1))</f>
        <v>3780029</v>
      </c>
    </row>
    <row r="3321" spans="1:15" s="1" customFormat="1" ht="15" customHeight="1" x14ac:dyDescent="0.25">
      <c r="A3321" s="18" t="s">
        <v>364</v>
      </c>
      <c r="B3321" s="18" t="s">
        <v>310</v>
      </c>
      <c r="C3321" s="5">
        <v>1849</v>
      </c>
      <c r="D3321" s="1" t="s">
        <v>26</v>
      </c>
      <c r="E3321" s="1" t="s">
        <v>2</v>
      </c>
      <c r="F3321" s="18">
        <v>2164</v>
      </c>
      <c r="G3321" s="18">
        <v>55</v>
      </c>
      <c r="H3321" s="5">
        <v>53</v>
      </c>
      <c r="I3321" s="1">
        <v>136</v>
      </c>
      <c r="J3321" s="3" t="s">
        <v>3271</v>
      </c>
      <c r="L3321" t="str">
        <f t="shared" si="51"/>
        <v>http://www.badatelna.eu/reprodukce/?fondId=1073&amp;zaznamId=1108951&amp;reproId=3778769</v>
      </c>
      <c r="M3321">
        <f>VLOOKUP(F3321,Sheet2!$B$1:$E$19,2,FALSE)</f>
        <v>1073</v>
      </c>
      <c r="N3321">
        <f>VLOOKUP(F3321,Sheet2!$B$1:$E$19,3,FALSE)</f>
        <v>1108951</v>
      </c>
      <c r="O3321">
        <f>IF(G3321="Not available","",VLOOKUP(F3321,Sheet2!$B$1:$E$19,4,FALSE)+(G3321-1))</f>
        <v>3778769</v>
      </c>
    </row>
    <row r="3322" spans="1:15" s="1" customFormat="1" ht="15" customHeight="1" x14ac:dyDescent="0.25">
      <c r="A3322" s="18" t="s">
        <v>364</v>
      </c>
      <c r="B3322" s="18" t="s">
        <v>228</v>
      </c>
      <c r="C3322" s="5">
        <v>1839</v>
      </c>
      <c r="D3322" s="1" t="s">
        <v>495</v>
      </c>
      <c r="E3322" s="1" t="s">
        <v>2</v>
      </c>
      <c r="F3322" s="18">
        <v>2174</v>
      </c>
      <c r="G3322" s="18">
        <v>178</v>
      </c>
      <c r="H3322" s="14" t="s">
        <v>3242</v>
      </c>
      <c r="I3322" s="1">
        <v>197</v>
      </c>
      <c r="J3322" s="1">
        <v>233</v>
      </c>
      <c r="L3322" t="str">
        <f t="shared" si="51"/>
        <v>http://www.badatelna.eu/reprodukce/?fondId=1073&amp;zaznamId=1108960&amp;reproId=3780402</v>
      </c>
      <c r="M3322">
        <f>VLOOKUP(F3322,Sheet2!$B$1:$E$19,2,FALSE)</f>
        <v>1073</v>
      </c>
      <c r="N3322">
        <f>VLOOKUP(F3322,Sheet2!$B$1:$E$19,3,FALSE)</f>
        <v>1108960</v>
      </c>
      <c r="O3322">
        <f>IF(G3322="Not available","",VLOOKUP(F3322,Sheet2!$B$1:$E$19,4,FALSE)+(G3322-1))</f>
        <v>3780402</v>
      </c>
    </row>
    <row r="3323" spans="1:15" s="1" customFormat="1" ht="15" customHeight="1" x14ac:dyDescent="0.25">
      <c r="A3323" s="18" t="s">
        <v>364</v>
      </c>
      <c r="B3323" s="18" t="s">
        <v>20</v>
      </c>
      <c r="C3323" s="5">
        <v>1850</v>
      </c>
      <c r="D3323" s="1" t="s">
        <v>26</v>
      </c>
      <c r="E3323" s="1" t="s">
        <v>2</v>
      </c>
      <c r="F3323" s="18">
        <v>2164</v>
      </c>
      <c r="G3323" s="18">
        <v>68</v>
      </c>
      <c r="H3323" s="5">
        <v>66</v>
      </c>
      <c r="I3323" s="1">
        <v>136</v>
      </c>
      <c r="J3323" s="3" t="s">
        <v>3271</v>
      </c>
      <c r="L3323" t="str">
        <f t="shared" si="51"/>
        <v>http://www.badatelna.eu/reprodukce/?fondId=1073&amp;zaznamId=1108951&amp;reproId=3778782</v>
      </c>
      <c r="M3323">
        <f>VLOOKUP(F3323,Sheet2!$B$1:$E$19,2,FALSE)</f>
        <v>1073</v>
      </c>
      <c r="N3323">
        <f>VLOOKUP(F3323,Sheet2!$B$1:$E$19,3,FALSE)</f>
        <v>1108951</v>
      </c>
      <c r="O3323">
        <f>IF(G3323="Not available","",VLOOKUP(F3323,Sheet2!$B$1:$E$19,4,FALSE)+(G3323-1))</f>
        <v>3778782</v>
      </c>
    </row>
    <row r="3324" spans="1:15" s="1" customFormat="1" ht="15" customHeight="1" x14ac:dyDescent="0.25">
      <c r="A3324" s="18" t="s">
        <v>364</v>
      </c>
      <c r="B3324" s="18" t="s">
        <v>25</v>
      </c>
      <c r="C3324" s="5">
        <v>1852</v>
      </c>
      <c r="D3324" s="1" t="s">
        <v>50</v>
      </c>
      <c r="E3324" s="1" t="s">
        <v>2</v>
      </c>
      <c r="F3324" s="18">
        <v>2164</v>
      </c>
      <c r="G3324" s="18">
        <v>91</v>
      </c>
      <c r="H3324" s="5">
        <v>89</v>
      </c>
      <c r="I3324" s="1">
        <v>136</v>
      </c>
      <c r="J3324" s="3" t="s">
        <v>3271</v>
      </c>
      <c r="L3324" t="str">
        <f t="shared" si="51"/>
        <v>http://www.badatelna.eu/reprodukce/?fondId=1073&amp;zaznamId=1108951&amp;reproId=3778805</v>
      </c>
      <c r="M3324">
        <f>VLOOKUP(F3324,Sheet2!$B$1:$E$19,2,FALSE)</f>
        <v>1073</v>
      </c>
      <c r="N3324">
        <f>VLOOKUP(F3324,Sheet2!$B$1:$E$19,3,FALSE)</f>
        <v>1108951</v>
      </c>
      <c r="O3324">
        <f>IF(G3324="Not available","",VLOOKUP(F3324,Sheet2!$B$1:$E$19,4,FALSE)+(G3324-1))</f>
        <v>3778805</v>
      </c>
    </row>
    <row r="3325" spans="1:15" s="1" customFormat="1" ht="15" customHeight="1" x14ac:dyDescent="0.25">
      <c r="A3325" s="18" t="s">
        <v>364</v>
      </c>
      <c r="B3325" s="18" t="s">
        <v>25</v>
      </c>
      <c r="C3325" s="5">
        <v>1852</v>
      </c>
      <c r="D3325" s="1" t="s">
        <v>896</v>
      </c>
      <c r="E3325" s="1" t="s">
        <v>2</v>
      </c>
      <c r="F3325" s="18">
        <v>2164</v>
      </c>
      <c r="G3325" s="18">
        <v>82</v>
      </c>
      <c r="H3325" s="5">
        <v>80</v>
      </c>
      <c r="I3325" s="1">
        <v>136</v>
      </c>
      <c r="J3325" s="3" t="s">
        <v>3271</v>
      </c>
      <c r="L3325" t="str">
        <f t="shared" si="51"/>
        <v>http://www.badatelna.eu/reprodukce/?fondId=1073&amp;zaznamId=1108951&amp;reproId=3778796</v>
      </c>
      <c r="M3325">
        <f>VLOOKUP(F3325,Sheet2!$B$1:$E$19,2,FALSE)</f>
        <v>1073</v>
      </c>
      <c r="N3325">
        <f>VLOOKUP(F3325,Sheet2!$B$1:$E$19,3,FALSE)</f>
        <v>1108951</v>
      </c>
      <c r="O3325">
        <f>IF(G3325="Not available","",VLOOKUP(F3325,Sheet2!$B$1:$E$19,4,FALSE)+(G3325-1))</f>
        <v>3778796</v>
      </c>
    </row>
    <row r="3326" spans="1:15" s="1" customFormat="1" ht="15" customHeight="1" x14ac:dyDescent="0.25">
      <c r="A3326" s="18" t="s">
        <v>364</v>
      </c>
      <c r="B3326" s="18" t="s">
        <v>25</v>
      </c>
      <c r="C3326" s="5">
        <v>1860</v>
      </c>
      <c r="E3326" s="1" t="s">
        <v>939</v>
      </c>
      <c r="F3326" s="18">
        <v>999</v>
      </c>
      <c r="G3326" s="18">
        <v>22</v>
      </c>
      <c r="H3326" s="5">
        <v>20</v>
      </c>
      <c r="I3326" s="1">
        <v>74</v>
      </c>
      <c r="J3326" s="1">
        <v>108</v>
      </c>
      <c r="L3326" t="str">
        <f t="shared" si="51"/>
        <v>http://www.badatelna.eu/reprodukce/?fondId=241&amp;zaznamId=1133739&amp;reproId=3885751</v>
      </c>
      <c r="M3326">
        <f>VLOOKUP(F3326,Sheet2!$B$1:$E$19,2,FALSE)</f>
        <v>241</v>
      </c>
      <c r="N3326">
        <f>VLOOKUP(F3326,Sheet2!$B$1:$E$19,3,FALSE)</f>
        <v>1133739</v>
      </c>
      <c r="O3326">
        <f>IF(G3326="Not available","",VLOOKUP(F3326,Sheet2!$B$1:$E$19,4,FALSE)+(G3326-1))</f>
        <v>3885751</v>
      </c>
    </row>
    <row r="3327" spans="1:15" s="1" customFormat="1" ht="15" customHeight="1" x14ac:dyDescent="0.25">
      <c r="A3327" s="18" t="s">
        <v>364</v>
      </c>
      <c r="B3327" s="18" t="s">
        <v>2077</v>
      </c>
      <c r="C3327" s="10" t="s">
        <v>2110</v>
      </c>
      <c r="D3327" s="3" t="s">
        <v>2619</v>
      </c>
      <c r="E3327" s="4" t="s">
        <v>2</v>
      </c>
      <c r="F3327" s="18">
        <v>2176</v>
      </c>
      <c r="G3327" s="18" t="s">
        <v>3271</v>
      </c>
      <c r="H3327" s="10" t="s">
        <v>1955</v>
      </c>
      <c r="I3327" s="3">
        <v>35</v>
      </c>
      <c r="J3327" s="3" t="s">
        <v>3271</v>
      </c>
      <c r="K3327" s="3"/>
      <c r="L3327" t="str">
        <f t="shared" si="51"/>
        <v/>
      </c>
      <c r="M3327">
        <f>VLOOKUP(F3327,Sheet2!$B$1:$E$19,2,FALSE)</f>
        <v>1073</v>
      </c>
      <c r="N3327">
        <f>VLOOKUP(F3327,Sheet2!$B$1:$E$19,3,FALSE)</f>
        <v>1108963</v>
      </c>
      <c r="O3327" t="str">
        <f>IF(G3327="Not available","",VLOOKUP(F3327,Sheet2!$B$1:$E$19,4,FALSE)+(G3327-1))</f>
        <v/>
      </c>
    </row>
    <row r="3328" spans="1:15" s="1" customFormat="1" ht="15" customHeight="1" x14ac:dyDescent="0.25">
      <c r="A3328" s="18" t="s">
        <v>364</v>
      </c>
      <c r="B3328" s="18" t="s">
        <v>341</v>
      </c>
      <c r="C3328" s="5">
        <v>1840</v>
      </c>
      <c r="D3328" s="1" t="s">
        <v>495</v>
      </c>
      <c r="E3328" s="1" t="s">
        <v>2</v>
      </c>
      <c r="F3328" s="18">
        <v>2174</v>
      </c>
      <c r="G3328" s="18">
        <v>110</v>
      </c>
      <c r="H3328" s="6" t="s">
        <v>3178</v>
      </c>
      <c r="I3328" s="1">
        <v>197</v>
      </c>
      <c r="J3328" s="1">
        <v>232</v>
      </c>
      <c r="L3328" t="str">
        <f t="shared" si="51"/>
        <v>http://www.badatelna.eu/reprodukce/?fondId=1073&amp;zaznamId=1108960&amp;reproId=3780334</v>
      </c>
      <c r="M3328">
        <f>VLOOKUP(F3328,Sheet2!$B$1:$E$19,2,FALSE)</f>
        <v>1073</v>
      </c>
      <c r="N3328">
        <f>VLOOKUP(F3328,Sheet2!$B$1:$E$19,3,FALSE)</f>
        <v>1108960</v>
      </c>
      <c r="O3328">
        <f>IF(G3328="Not available","",VLOOKUP(F3328,Sheet2!$B$1:$E$19,4,FALSE)+(G3328-1))</f>
        <v>3780334</v>
      </c>
    </row>
    <row r="3329" spans="1:15" s="1" customFormat="1" ht="15" customHeight="1" x14ac:dyDescent="0.25">
      <c r="A3329" s="18" t="s">
        <v>364</v>
      </c>
      <c r="B3329" s="18" t="s">
        <v>432</v>
      </c>
      <c r="C3329" s="5">
        <v>1841</v>
      </c>
      <c r="D3329" s="1" t="s">
        <v>50</v>
      </c>
      <c r="E3329" s="1" t="s">
        <v>2</v>
      </c>
      <c r="F3329" s="18">
        <v>2174</v>
      </c>
      <c r="G3329" s="18">
        <v>117</v>
      </c>
      <c r="H3329" s="14" t="s">
        <v>3185</v>
      </c>
      <c r="I3329" s="1">
        <v>197</v>
      </c>
      <c r="J3329" s="1">
        <v>232</v>
      </c>
      <c r="L3329" t="str">
        <f t="shared" si="51"/>
        <v>http://www.badatelna.eu/reprodukce/?fondId=1073&amp;zaznamId=1108960&amp;reproId=3780341</v>
      </c>
      <c r="M3329">
        <f>VLOOKUP(F3329,Sheet2!$B$1:$E$19,2,FALSE)</f>
        <v>1073</v>
      </c>
      <c r="N3329">
        <f>VLOOKUP(F3329,Sheet2!$B$1:$E$19,3,FALSE)</f>
        <v>1108960</v>
      </c>
      <c r="O3329">
        <f>IF(G3329="Not available","",VLOOKUP(F3329,Sheet2!$B$1:$E$19,4,FALSE)+(G3329-1))</f>
        <v>3780341</v>
      </c>
    </row>
    <row r="3330" spans="1:15" s="1" customFormat="1" ht="15" customHeight="1" x14ac:dyDescent="0.25">
      <c r="A3330" s="18" t="s">
        <v>364</v>
      </c>
      <c r="B3330" s="18" t="s">
        <v>432</v>
      </c>
      <c r="C3330" s="5">
        <v>1858</v>
      </c>
      <c r="E3330" s="1" t="s">
        <v>939</v>
      </c>
      <c r="F3330" s="18">
        <v>999</v>
      </c>
      <c r="G3330" s="18">
        <v>6</v>
      </c>
      <c r="H3330" s="5">
        <v>4</v>
      </c>
      <c r="I3330" s="1">
        <v>74</v>
      </c>
      <c r="J3330" s="1">
        <v>108</v>
      </c>
      <c r="L3330" t="str">
        <f t="shared" si="51"/>
        <v>http://www.badatelna.eu/reprodukce/?fondId=241&amp;zaznamId=1133739&amp;reproId=3885735</v>
      </c>
      <c r="M3330">
        <f>VLOOKUP(F3330,Sheet2!$B$1:$E$19,2,FALSE)</f>
        <v>241</v>
      </c>
      <c r="N3330">
        <f>VLOOKUP(F3330,Sheet2!$B$1:$E$19,3,FALSE)</f>
        <v>1133739</v>
      </c>
      <c r="O3330">
        <f>IF(G3330="Not available","",VLOOKUP(F3330,Sheet2!$B$1:$E$19,4,FALSE)+(G3330-1))</f>
        <v>3885735</v>
      </c>
    </row>
    <row r="3331" spans="1:15" s="1" customFormat="1" ht="15" customHeight="1" x14ac:dyDescent="0.25">
      <c r="A3331" s="18" t="s">
        <v>364</v>
      </c>
      <c r="B3331" s="18" t="s">
        <v>432</v>
      </c>
      <c r="C3331" s="14" t="s">
        <v>2244</v>
      </c>
      <c r="D3331" s="4" t="s">
        <v>963</v>
      </c>
      <c r="E3331" s="1" t="s">
        <v>2</v>
      </c>
      <c r="F3331" s="18">
        <v>2165</v>
      </c>
      <c r="G3331" s="18">
        <v>297</v>
      </c>
      <c r="H3331" s="5">
        <v>1</v>
      </c>
      <c r="I3331" s="1">
        <v>300</v>
      </c>
      <c r="J3331" s="1">
        <v>273</v>
      </c>
      <c r="L3331" t="str">
        <f t="shared" ref="L3331:L3394" si="52">IF(G3331="Not available","","http://www.badatelna.eu/reprodukce/?fondId="&amp;M3331&amp;"&amp;zaznamId="&amp;N3331&amp;"&amp;reproId="&amp;O3331)</f>
        <v>http://www.badatelna.eu/reprodukce/?fondId=1073&amp;zaznamId=1108952&amp;reproId=3779158</v>
      </c>
      <c r="M3331">
        <f>VLOOKUP(F3331,Sheet2!$B$1:$E$19,2,FALSE)</f>
        <v>1073</v>
      </c>
      <c r="N3331">
        <f>VLOOKUP(F3331,Sheet2!$B$1:$E$19,3,FALSE)</f>
        <v>1108952</v>
      </c>
      <c r="O3331">
        <f>IF(G3331="Not available","",VLOOKUP(F3331,Sheet2!$B$1:$E$19,4,FALSE)+(G3331-1))</f>
        <v>3779158</v>
      </c>
    </row>
    <row r="3332" spans="1:15" s="1" customFormat="1" ht="15" customHeight="1" x14ac:dyDescent="0.25">
      <c r="A3332" s="18" t="s">
        <v>364</v>
      </c>
      <c r="B3332" s="18" t="s">
        <v>432</v>
      </c>
      <c r="C3332" s="10" t="s">
        <v>2244</v>
      </c>
      <c r="D3332" s="3" t="s">
        <v>2608</v>
      </c>
      <c r="E3332" s="4" t="s">
        <v>2</v>
      </c>
      <c r="F3332" s="18">
        <v>2176</v>
      </c>
      <c r="G3332" s="18" t="s">
        <v>3271</v>
      </c>
      <c r="H3332" s="10" t="s">
        <v>2083</v>
      </c>
      <c r="I3332" s="3">
        <v>35</v>
      </c>
      <c r="J3332" s="3" t="s">
        <v>3271</v>
      </c>
      <c r="K3332" s="3"/>
      <c r="L3332" t="str">
        <f t="shared" si="52"/>
        <v/>
      </c>
      <c r="M3332">
        <f>VLOOKUP(F3332,Sheet2!$B$1:$E$19,2,FALSE)</f>
        <v>1073</v>
      </c>
      <c r="N3332">
        <f>VLOOKUP(F3332,Sheet2!$B$1:$E$19,3,FALSE)</f>
        <v>1108963</v>
      </c>
      <c r="O3332" t="str">
        <f>IF(G3332="Not available","",VLOOKUP(F3332,Sheet2!$B$1:$E$19,4,FALSE)+(G3332-1))</f>
        <v/>
      </c>
    </row>
    <row r="3333" spans="1:15" s="1" customFormat="1" ht="15" customHeight="1" x14ac:dyDescent="0.25">
      <c r="A3333" s="18" t="s">
        <v>364</v>
      </c>
      <c r="B3333" s="18" t="s">
        <v>396</v>
      </c>
      <c r="C3333" s="5">
        <v>1818</v>
      </c>
      <c r="E3333" s="1" t="s">
        <v>2</v>
      </c>
      <c r="F3333" s="18">
        <v>2173</v>
      </c>
      <c r="G3333" s="18">
        <v>68</v>
      </c>
      <c r="H3333" s="5">
        <v>128</v>
      </c>
      <c r="I3333" s="1">
        <v>111</v>
      </c>
      <c r="J3333" s="1">
        <v>241</v>
      </c>
      <c r="L3333" t="str">
        <f t="shared" si="52"/>
        <v>http://www.badatelna.eu/reprodukce/?fondId=1073&amp;zaznamId=1108959&amp;reproId=3780061</v>
      </c>
      <c r="M3333">
        <f>VLOOKUP(F3333,Sheet2!$B$1:$E$19,2,FALSE)</f>
        <v>1073</v>
      </c>
      <c r="N3333">
        <f>VLOOKUP(F3333,Sheet2!$B$1:$E$19,3,FALSE)</f>
        <v>1108959</v>
      </c>
      <c r="O3333">
        <f>IF(G3333="Not available","",VLOOKUP(F3333,Sheet2!$B$1:$E$19,4,FALSE)+(G3333-1))</f>
        <v>3780061</v>
      </c>
    </row>
    <row r="3334" spans="1:15" s="1" customFormat="1" ht="15" customHeight="1" x14ac:dyDescent="0.25">
      <c r="A3334" s="18" t="s">
        <v>364</v>
      </c>
      <c r="B3334" s="18" t="s">
        <v>100</v>
      </c>
      <c r="C3334" s="5">
        <v>1839</v>
      </c>
      <c r="D3334" s="1" t="s">
        <v>26</v>
      </c>
      <c r="E3334" s="1" t="s">
        <v>2</v>
      </c>
      <c r="F3334" s="18">
        <v>2174</v>
      </c>
      <c r="G3334" s="18">
        <v>108</v>
      </c>
      <c r="H3334" s="6" t="s">
        <v>3175</v>
      </c>
      <c r="I3334" s="1">
        <v>197</v>
      </c>
      <c r="J3334" s="1">
        <v>232</v>
      </c>
      <c r="L3334" t="str">
        <f t="shared" si="52"/>
        <v>http://www.badatelna.eu/reprodukce/?fondId=1073&amp;zaznamId=1108960&amp;reproId=3780332</v>
      </c>
      <c r="M3334">
        <f>VLOOKUP(F3334,Sheet2!$B$1:$E$19,2,FALSE)</f>
        <v>1073</v>
      </c>
      <c r="N3334">
        <f>VLOOKUP(F3334,Sheet2!$B$1:$E$19,3,FALSE)</f>
        <v>1108960</v>
      </c>
      <c r="O3334">
        <f>IF(G3334="Not available","",VLOOKUP(F3334,Sheet2!$B$1:$E$19,4,FALSE)+(G3334-1))</f>
        <v>3780332</v>
      </c>
    </row>
    <row r="3335" spans="1:15" s="1" customFormat="1" ht="15" customHeight="1" x14ac:dyDescent="0.25">
      <c r="A3335" s="18" t="s">
        <v>364</v>
      </c>
      <c r="B3335" s="18" t="s">
        <v>476</v>
      </c>
      <c r="C3335" s="5">
        <v>1834</v>
      </c>
      <c r="D3335" s="1" t="s">
        <v>50</v>
      </c>
      <c r="E3335" s="1" t="s">
        <v>2</v>
      </c>
      <c r="F3335" s="18">
        <v>2174</v>
      </c>
      <c r="G3335" s="18">
        <v>79</v>
      </c>
      <c r="H3335" s="6" t="s">
        <v>3145</v>
      </c>
      <c r="I3335" s="1">
        <v>196</v>
      </c>
      <c r="J3335" s="1">
        <v>231</v>
      </c>
      <c r="L3335" t="str">
        <f t="shared" si="52"/>
        <v>http://www.badatelna.eu/reprodukce/?fondId=1073&amp;zaznamId=1108960&amp;reproId=3780303</v>
      </c>
      <c r="M3335">
        <f>VLOOKUP(F3335,Sheet2!$B$1:$E$19,2,FALSE)</f>
        <v>1073</v>
      </c>
      <c r="N3335">
        <f>VLOOKUP(F3335,Sheet2!$B$1:$E$19,3,FALSE)</f>
        <v>1108960</v>
      </c>
      <c r="O3335">
        <f>IF(G3335="Not available","",VLOOKUP(F3335,Sheet2!$B$1:$E$19,4,FALSE)+(G3335-1))</f>
        <v>3780303</v>
      </c>
    </row>
    <row r="3336" spans="1:15" s="1" customFormat="1" ht="15" customHeight="1" x14ac:dyDescent="0.25">
      <c r="A3336" s="18" t="s">
        <v>364</v>
      </c>
      <c r="B3336" s="18" t="s">
        <v>476</v>
      </c>
      <c r="C3336" s="5">
        <v>1836</v>
      </c>
      <c r="D3336" s="1" t="s">
        <v>495</v>
      </c>
      <c r="E3336" s="1" t="s">
        <v>2</v>
      </c>
      <c r="F3336" s="18">
        <v>2174</v>
      </c>
      <c r="G3336" s="18">
        <v>90</v>
      </c>
      <c r="H3336" s="6" t="s">
        <v>3156</v>
      </c>
      <c r="I3336" s="1">
        <v>196</v>
      </c>
      <c r="J3336" s="1">
        <v>231</v>
      </c>
      <c r="L3336" t="str">
        <f t="shared" si="52"/>
        <v>http://www.badatelna.eu/reprodukce/?fondId=1073&amp;zaznamId=1108960&amp;reproId=3780314</v>
      </c>
      <c r="M3336">
        <f>VLOOKUP(F3336,Sheet2!$B$1:$E$19,2,FALSE)</f>
        <v>1073</v>
      </c>
      <c r="N3336">
        <f>VLOOKUP(F3336,Sheet2!$B$1:$E$19,3,FALSE)</f>
        <v>1108960</v>
      </c>
      <c r="O3336">
        <f>IF(G3336="Not available","",VLOOKUP(F3336,Sheet2!$B$1:$E$19,4,FALSE)+(G3336-1))</f>
        <v>3780314</v>
      </c>
    </row>
    <row r="3337" spans="1:15" s="1" customFormat="1" ht="15" customHeight="1" x14ac:dyDescent="0.25">
      <c r="A3337" s="18" t="s">
        <v>364</v>
      </c>
      <c r="B3337" s="18" t="s">
        <v>1121</v>
      </c>
      <c r="C3337" s="10" t="s">
        <v>2158</v>
      </c>
      <c r="D3337" s="3" t="s">
        <v>2608</v>
      </c>
      <c r="E3337" s="4" t="s">
        <v>2</v>
      </c>
      <c r="F3337" s="18">
        <v>2176</v>
      </c>
      <c r="G3337" s="18" t="s">
        <v>3271</v>
      </c>
      <c r="H3337" s="10" t="s">
        <v>2083</v>
      </c>
      <c r="I3337" s="3">
        <v>35</v>
      </c>
      <c r="J3337" s="3" t="s">
        <v>3271</v>
      </c>
      <c r="K3337" s="3"/>
      <c r="L3337" t="str">
        <f t="shared" si="52"/>
        <v/>
      </c>
      <c r="M3337">
        <f>VLOOKUP(F3337,Sheet2!$B$1:$E$19,2,FALSE)</f>
        <v>1073</v>
      </c>
      <c r="N3337">
        <f>VLOOKUP(F3337,Sheet2!$B$1:$E$19,3,FALSE)</f>
        <v>1108963</v>
      </c>
      <c r="O3337" t="str">
        <f>IF(G3337="Not available","",VLOOKUP(F3337,Sheet2!$B$1:$E$19,4,FALSE)+(G3337-1))</f>
        <v/>
      </c>
    </row>
    <row r="3338" spans="1:15" s="1" customFormat="1" ht="15" customHeight="1" x14ac:dyDescent="0.25">
      <c r="A3338" s="18" t="s">
        <v>364</v>
      </c>
      <c r="B3338" s="18" t="s">
        <v>1121</v>
      </c>
      <c r="C3338" s="6" t="s">
        <v>2158</v>
      </c>
      <c r="D3338" s="4" t="s">
        <v>964</v>
      </c>
      <c r="E3338" s="1" t="s">
        <v>2</v>
      </c>
      <c r="F3338" s="18">
        <v>2165</v>
      </c>
      <c r="G3338" s="18">
        <v>313</v>
      </c>
      <c r="H3338" s="5">
        <v>1</v>
      </c>
      <c r="I3338" s="1">
        <v>314</v>
      </c>
      <c r="J3338" s="1">
        <v>287</v>
      </c>
      <c r="L3338" t="str">
        <f t="shared" si="52"/>
        <v>http://www.badatelna.eu/reprodukce/?fondId=1073&amp;zaznamId=1108952&amp;reproId=3779174</v>
      </c>
      <c r="M3338">
        <f>VLOOKUP(F3338,Sheet2!$B$1:$E$19,2,FALSE)</f>
        <v>1073</v>
      </c>
      <c r="N3338">
        <f>VLOOKUP(F3338,Sheet2!$B$1:$E$19,3,FALSE)</f>
        <v>1108952</v>
      </c>
      <c r="O3338">
        <f>IF(G3338="Not available","",VLOOKUP(F3338,Sheet2!$B$1:$E$19,4,FALSE)+(G3338-1))</f>
        <v>3779174</v>
      </c>
    </row>
    <row r="3339" spans="1:15" s="1" customFormat="1" ht="15" customHeight="1" x14ac:dyDescent="0.25">
      <c r="A3339" s="18" t="s">
        <v>364</v>
      </c>
      <c r="B3339" s="18" t="s">
        <v>96</v>
      </c>
      <c r="C3339" s="5">
        <v>1862</v>
      </c>
      <c r="E3339" s="1" t="s">
        <v>939</v>
      </c>
      <c r="F3339" s="18">
        <v>999</v>
      </c>
      <c r="G3339" s="18">
        <v>33</v>
      </c>
      <c r="H3339" s="5">
        <v>31</v>
      </c>
      <c r="I3339" s="1">
        <v>74</v>
      </c>
      <c r="J3339" s="1">
        <v>108</v>
      </c>
      <c r="L3339" t="str">
        <f t="shared" si="52"/>
        <v>http://www.badatelna.eu/reprodukce/?fondId=241&amp;zaznamId=1133739&amp;reproId=3885762</v>
      </c>
      <c r="M3339">
        <f>VLOOKUP(F3339,Sheet2!$B$1:$E$19,2,FALSE)</f>
        <v>241</v>
      </c>
      <c r="N3339">
        <f>VLOOKUP(F3339,Sheet2!$B$1:$E$19,3,FALSE)</f>
        <v>1133739</v>
      </c>
      <c r="O3339">
        <f>IF(G3339="Not available","",VLOOKUP(F3339,Sheet2!$B$1:$E$19,4,FALSE)+(G3339-1))</f>
        <v>3885762</v>
      </c>
    </row>
    <row r="3340" spans="1:15" s="1" customFormat="1" ht="15" customHeight="1" x14ac:dyDescent="0.25">
      <c r="A3340" s="18" t="s">
        <v>364</v>
      </c>
      <c r="B3340" s="18" t="s">
        <v>398</v>
      </c>
      <c r="C3340" s="5">
        <v>1852</v>
      </c>
      <c r="D3340" s="1" t="s">
        <v>6</v>
      </c>
      <c r="E3340" s="1" t="s">
        <v>2</v>
      </c>
      <c r="F3340" s="18">
        <v>2164</v>
      </c>
      <c r="G3340" s="18">
        <v>89</v>
      </c>
      <c r="H3340" s="5">
        <v>87</v>
      </c>
      <c r="I3340" s="1">
        <v>136</v>
      </c>
      <c r="J3340" s="3" t="s">
        <v>3271</v>
      </c>
      <c r="L3340" t="str">
        <f t="shared" si="52"/>
        <v>http://www.badatelna.eu/reprodukce/?fondId=1073&amp;zaznamId=1108951&amp;reproId=3778803</v>
      </c>
      <c r="M3340">
        <f>VLOOKUP(F3340,Sheet2!$B$1:$E$19,2,FALSE)</f>
        <v>1073</v>
      </c>
      <c r="N3340">
        <f>VLOOKUP(F3340,Sheet2!$B$1:$E$19,3,FALSE)</f>
        <v>1108951</v>
      </c>
      <c r="O3340">
        <f>IF(G3340="Not available","",VLOOKUP(F3340,Sheet2!$B$1:$E$19,4,FALSE)+(G3340-1))</f>
        <v>3778803</v>
      </c>
    </row>
    <row r="3341" spans="1:15" s="1" customFormat="1" ht="15" customHeight="1" x14ac:dyDescent="0.25">
      <c r="A3341" s="18" t="s">
        <v>364</v>
      </c>
      <c r="B3341" s="18" t="s">
        <v>1113</v>
      </c>
      <c r="C3341" s="10" t="s">
        <v>2079</v>
      </c>
      <c r="D3341" s="3" t="s">
        <v>2581</v>
      </c>
      <c r="E3341" s="4" t="s">
        <v>2</v>
      </c>
      <c r="F3341" s="18">
        <v>2176</v>
      </c>
      <c r="G3341" s="18" t="s">
        <v>3271</v>
      </c>
      <c r="H3341" s="10" t="s">
        <v>2230</v>
      </c>
      <c r="I3341" s="3">
        <v>35</v>
      </c>
      <c r="J3341" s="3" t="s">
        <v>3271</v>
      </c>
      <c r="K3341" s="3"/>
      <c r="L3341" t="str">
        <f t="shared" si="52"/>
        <v/>
      </c>
      <c r="M3341">
        <f>VLOOKUP(F3341,Sheet2!$B$1:$E$19,2,FALSE)</f>
        <v>1073</v>
      </c>
      <c r="N3341">
        <f>VLOOKUP(F3341,Sheet2!$B$1:$E$19,3,FALSE)</f>
        <v>1108963</v>
      </c>
      <c r="O3341" t="str">
        <f>IF(G3341="Not available","",VLOOKUP(F3341,Sheet2!$B$1:$E$19,4,FALSE)+(G3341-1))</f>
        <v/>
      </c>
    </row>
    <row r="3342" spans="1:15" s="1" customFormat="1" ht="15" customHeight="1" x14ac:dyDescent="0.25">
      <c r="A3342" s="18" t="s">
        <v>364</v>
      </c>
      <c r="B3342" s="18" t="s">
        <v>1113</v>
      </c>
      <c r="C3342" s="5" t="s">
        <v>1807</v>
      </c>
      <c r="D3342" s="1" t="s">
        <v>12</v>
      </c>
      <c r="E3342" s="1" t="s">
        <v>2</v>
      </c>
      <c r="F3342" s="18">
        <v>2165</v>
      </c>
      <c r="G3342" s="18">
        <v>243</v>
      </c>
      <c r="H3342" s="5">
        <v>3</v>
      </c>
      <c r="I3342" s="1">
        <v>245</v>
      </c>
      <c r="J3342" s="1">
        <v>227</v>
      </c>
      <c r="L3342" t="str">
        <f t="shared" si="52"/>
        <v>http://www.badatelna.eu/reprodukce/?fondId=1073&amp;zaznamId=1108952&amp;reproId=3779104</v>
      </c>
      <c r="M3342">
        <f>VLOOKUP(F3342,Sheet2!$B$1:$E$19,2,FALSE)</f>
        <v>1073</v>
      </c>
      <c r="N3342">
        <f>VLOOKUP(F3342,Sheet2!$B$1:$E$19,3,FALSE)</f>
        <v>1108952</v>
      </c>
      <c r="O3342">
        <f>IF(G3342="Not available","",VLOOKUP(F3342,Sheet2!$B$1:$E$19,4,FALSE)+(G3342-1))</f>
        <v>3779104</v>
      </c>
    </row>
    <row r="3343" spans="1:15" s="1" customFormat="1" ht="15" customHeight="1" x14ac:dyDescent="0.25">
      <c r="A3343" s="18" t="s">
        <v>364</v>
      </c>
      <c r="B3343" s="18" t="s">
        <v>1007</v>
      </c>
      <c r="C3343" s="10" t="s">
        <v>1949</v>
      </c>
      <c r="D3343" s="3" t="s">
        <v>2581</v>
      </c>
      <c r="E3343" s="4" t="s">
        <v>2</v>
      </c>
      <c r="F3343" s="18">
        <v>2176</v>
      </c>
      <c r="G3343" s="18" t="s">
        <v>3271</v>
      </c>
      <c r="H3343" s="10" t="s">
        <v>2146</v>
      </c>
      <c r="I3343" s="3">
        <v>34</v>
      </c>
      <c r="J3343" s="3" t="s">
        <v>3271</v>
      </c>
      <c r="K3343" s="3"/>
      <c r="L3343" t="str">
        <f t="shared" si="52"/>
        <v/>
      </c>
      <c r="M3343">
        <f>VLOOKUP(F3343,Sheet2!$B$1:$E$19,2,FALSE)</f>
        <v>1073</v>
      </c>
      <c r="N3343">
        <f>VLOOKUP(F3343,Sheet2!$B$1:$E$19,3,FALSE)</f>
        <v>1108963</v>
      </c>
      <c r="O3343" t="str">
        <f>IF(G3343="Not available","",VLOOKUP(F3343,Sheet2!$B$1:$E$19,4,FALSE)+(G3343-1))</f>
        <v/>
      </c>
    </row>
    <row r="3344" spans="1:15" s="1" customFormat="1" ht="15" customHeight="1" x14ac:dyDescent="0.25">
      <c r="A3344" s="18" t="s">
        <v>364</v>
      </c>
      <c r="B3344" s="18" t="s">
        <v>593</v>
      </c>
      <c r="C3344" s="14" t="s">
        <v>2244</v>
      </c>
      <c r="D3344" s="4" t="s">
        <v>233</v>
      </c>
      <c r="E3344" s="1" t="s">
        <v>2</v>
      </c>
      <c r="F3344" s="18">
        <v>2165</v>
      </c>
      <c r="G3344" s="18">
        <v>299</v>
      </c>
      <c r="H3344" s="5">
        <v>3</v>
      </c>
      <c r="I3344" s="1">
        <v>300</v>
      </c>
      <c r="J3344" s="1">
        <v>273</v>
      </c>
      <c r="L3344" t="str">
        <f t="shared" si="52"/>
        <v>http://www.badatelna.eu/reprodukce/?fondId=1073&amp;zaznamId=1108952&amp;reproId=3779160</v>
      </c>
      <c r="M3344">
        <f>VLOOKUP(F3344,Sheet2!$B$1:$E$19,2,FALSE)</f>
        <v>1073</v>
      </c>
      <c r="N3344">
        <f>VLOOKUP(F3344,Sheet2!$B$1:$E$19,3,FALSE)</f>
        <v>1108952</v>
      </c>
      <c r="O3344">
        <f>IF(G3344="Not available","",VLOOKUP(F3344,Sheet2!$B$1:$E$19,4,FALSE)+(G3344-1))</f>
        <v>3779160</v>
      </c>
    </row>
    <row r="3345" spans="1:15" s="1" customFormat="1" ht="15" customHeight="1" x14ac:dyDescent="0.25">
      <c r="A3345" s="18" t="s">
        <v>364</v>
      </c>
      <c r="B3345" s="18" t="s">
        <v>593</v>
      </c>
      <c r="C3345" s="10" t="s">
        <v>2244</v>
      </c>
      <c r="D3345" s="3" t="s">
        <v>2616</v>
      </c>
      <c r="E3345" s="4" t="s">
        <v>2</v>
      </c>
      <c r="F3345" s="18">
        <v>2176</v>
      </c>
      <c r="G3345" s="18" t="s">
        <v>3271</v>
      </c>
      <c r="H3345" s="10" t="s">
        <v>1959</v>
      </c>
      <c r="I3345" s="3">
        <v>35</v>
      </c>
      <c r="J3345" s="3" t="s">
        <v>3271</v>
      </c>
      <c r="K3345" s="3"/>
      <c r="L3345" t="str">
        <f t="shared" si="52"/>
        <v/>
      </c>
      <c r="M3345">
        <f>VLOOKUP(F3345,Sheet2!$B$1:$E$19,2,FALSE)</f>
        <v>1073</v>
      </c>
      <c r="N3345">
        <f>VLOOKUP(F3345,Sheet2!$B$1:$E$19,3,FALSE)</f>
        <v>1108963</v>
      </c>
      <c r="O3345" t="str">
        <f>IF(G3345="Not available","",VLOOKUP(F3345,Sheet2!$B$1:$E$19,4,FALSE)+(G3345-1))</f>
        <v/>
      </c>
    </row>
    <row r="3346" spans="1:15" s="1" customFormat="1" ht="15" customHeight="1" x14ac:dyDescent="0.25">
      <c r="A3346" s="18" t="s">
        <v>364</v>
      </c>
      <c r="B3346" s="18" t="s">
        <v>680</v>
      </c>
      <c r="C3346" s="5">
        <v>1844</v>
      </c>
      <c r="D3346" s="1" t="s">
        <v>26</v>
      </c>
      <c r="E3346" s="1" t="s">
        <v>2</v>
      </c>
      <c r="F3346" s="18">
        <v>2174</v>
      </c>
      <c r="G3346" s="18">
        <v>145</v>
      </c>
      <c r="H3346" s="6" t="s">
        <v>3212</v>
      </c>
      <c r="I3346" s="1">
        <v>197</v>
      </c>
      <c r="J3346" s="1">
        <v>233</v>
      </c>
      <c r="L3346" t="str">
        <f t="shared" si="52"/>
        <v>http://www.badatelna.eu/reprodukce/?fondId=1073&amp;zaznamId=1108960&amp;reproId=3780369</v>
      </c>
      <c r="M3346">
        <f>VLOOKUP(F3346,Sheet2!$B$1:$E$19,2,FALSE)</f>
        <v>1073</v>
      </c>
      <c r="N3346">
        <f>VLOOKUP(F3346,Sheet2!$B$1:$E$19,3,FALSE)</f>
        <v>1108960</v>
      </c>
      <c r="O3346">
        <f>IF(G3346="Not available","",VLOOKUP(F3346,Sheet2!$B$1:$E$19,4,FALSE)+(G3346-1))</f>
        <v>3780369</v>
      </c>
    </row>
    <row r="3347" spans="1:15" s="1" customFormat="1" ht="15" customHeight="1" x14ac:dyDescent="0.25">
      <c r="A3347" s="18" t="s">
        <v>364</v>
      </c>
      <c r="B3347" s="18" t="s">
        <v>44</v>
      </c>
      <c r="C3347" s="5">
        <v>1789</v>
      </c>
      <c r="D3347" s="1" t="s">
        <v>21</v>
      </c>
      <c r="E3347" s="1" t="s">
        <v>2</v>
      </c>
      <c r="F3347" s="18">
        <v>2173</v>
      </c>
      <c r="G3347" s="18">
        <v>22</v>
      </c>
      <c r="H3347" s="5">
        <v>38</v>
      </c>
      <c r="I3347" s="1">
        <v>110</v>
      </c>
      <c r="J3347" s="1">
        <v>239</v>
      </c>
      <c r="L3347" t="str">
        <f t="shared" si="52"/>
        <v>http://www.badatelna.eu/reprodukce/?fondId=1073&amp;zaznamId=1108959&amp;reproId=3780015</v>
      </c>
      <c r="M3347">
        <f>VLOOKUP(F3347,Sheet2!$B$1:$E$19,2,FALSE)</f>
        <v>1073</v>
      </c>
      <c r="N3347">
        <f>VLOOKUP(F3347,Sheet2!$B$1:$E$19,3,FALSE)</f>
        <v>1108959</v>
      </c>
      <c r="O3347">
        <f>IF(G3347="Not available","",VLOOKUP(F3347,Sheet2!$B$1:$E$19,4,FALSE)+(G3347-1))</f>
        <v>3780015</v>
      </c>
    </row>
    <row r="3348" spans="1:15" s="1" customFormat="1" ht="15" customHeight="1" x14ac:dyDescent="0.25">
      <c r="A3348" s="18" t="s">
        <v>364</v>
      </c>
      <c r="B3348" s="18" t="s">
        <v>542</v>
      </c>
      <c r="C3348" s="5">
        <v>1834</v>
      </c>
      <c r="D3348" s="1" t="s">
        <v>495</v>
      </c>
      <c r="E3348" s="1" t="s">
        <v>2</v>
      </c>
      <c r="F3348" s="18">
        <v>2174</v>
      </c>
      <c r="G3348" s="18">
        <v>80</v>
      </c>
      <c r="H3348" s="6" t="s">
        <v>3146</v>
      </c>
      <c r="I3348" s="1">
        <v>196</v>
      </c>
      <c r="J3348" s="1">
        <v>231</v>
      </c>
      <c r="L3348" t="str">
        <f t="shared" si="52"/>
        <v>http://www.badatelna.eu/reprodukce/?fondId=1073&amp;zaznamId=1108960&amp;reproId=3780304</v>
      </c>
      <c r="M3348">
        <f>VLOOKUP(F3348,Sheet2!$B$1:$E$19,2,FALSE)</f>
        <v>1073</v>
      </c>
      <c r="N3348">
        <f>VLOOKUP(F3348,Sheet2!$B$1:$E$19,3,FALSE)</f>
        <v>1108960</v>
      </c>
      <c r="O3348">
        <f>IF(G3348="Not available","",VLOOKUP(F3348,Sheet2!$B$1:$E$19,4,FALSE)+(G3348-1))</f>
        <v>3780304</v>
      </c>
    </row>
    <row r="3349" spans="1:15" s="1" customFormat="1" ht="15" customHeight="1" x14ac:dyDescent="0.25">
      <c r="A3349" s="18" t="s">
        <v>364</v>
      </c>
      <c r="B3349" s="18" t="s">
        <v>542</v>
      </c>
      <c r="C3349" s="5">
        <v>1840</v>
      </c>
      <c r="D3349" s="1" t="s">
        <v>50</v>
      </c>
      <c r="E3349" s="1" t="s">
        <v>2</v>
      </c>
      <c r="F3349" s="18">
        <v>2174</v>
      </c>
      <c r="G3349" s="18">
        <v>109</v>
      </c>
      <c r="H3349" s="6" t="s">
        <v>3176</v>
      </c>
      <c r="I3349" s="1">
        <v>197</v>
      </c>
      <c r="J3349" s="1">
        <v>232</v>
      </c>
      <c r="L3349" t="str">
        <f t="shared" si="52"/>
        <v>http://www.badatelna.eu/reprodukce/?fondId=1073&amp;zaznamId=1108960&amp;reproId=3780333</v>
      </c>
      <c r="M3349">
        <f>VLOOKUP(F3349,Sheet2!$B$1:$E$19,2,FALSE)</f>
        <v>1073</v>
      </c>
      <c r="N3349">
        <f>VLOOKUP(F3349,Sheet2!$B$1:$E$19,3,FALSE)</f>
        <v>1108960</v>
      </c>
      <c r="O3349">
        <f>IF(G3349="Not available","",VLOOKUP(F3349,Sheet2!$B$1:$E$19,4,FALSE)+(G3349-1))</f>
        <v>3780333</v>
      </c>
    </row>
    <row r="3350" spans="1:15" s="1" customFormat="1" ht="15" customHeight="1" x14ac:dyDescent="0.25">
      <c r="A3350" s="18" t="s">
        <v>364</v>
      </c>
      <c r="B3350" s="18" t="s">
        <v>740</v>
      </c>
      <c r="C3350" s="5">
        <v>1846</v>
      </c>
      <c r="D3350" s="1" t="s">
        <v>50</v>
      </c>
      <c r="E3350" s="1" t="s">
        <v>2</v>
      </c>
      <c r="F3350" s="18">
        <v>2174</v>
      </c>
      <c r="G3350" s="18">
        <v>168</v>
      </c>
      <c r="H3350" s="6" t="s">
        <v>3230</v>
      </c>
      <c r="I3350" s="1">
        <v>197</v>
      </c>
      <c r="J3350" s="1">
        <v>233</v>
      </c>
      <c r="L3350" t="str">
        <f t="shared" si="52"/>
        <v>http://www.badatelna.eu/reprodukce/?fondId=1073&amp;zaznamId=1108960&amp;reproId=3780392</v>
      </c>
      <c r="M3350">
        <f>VLOOKUP(F3350,Sheet2!$B$1:$E$19,2,FALSE)</f>
        <v>1073</v>
      </c>
      <c r="N3350">
        <f>VLOOKUP(F3350,Sheet2!$B$1:$E$19,3,FALSE)</f>
        <v>1108960</v>
      </c>
      <c r="O3350">
        <f>IF(G3350="Not available","",VLOOKUP(F3350,Sheet2!$B$1:$E$19,4,FALSE)+(G3350-1))</f>
        <v>3780392</v>
      </c>
    </row>
    <row r="3351" spans="1:15" s="1" customFormat="1" ht="15" customHeight="1" x14ac:dyDescent="0.25">
      <c r="A3351" s="18" t="s">
        <v>364</v>
      </c>
      <c r="B3351" s="18" t="s">
        <v>108</v>
      </c>
      <c r="C3351" s="5">
        <v>1841</v>
      </c>
      <c r="D3351" s="1" t="s">
        <v>26</v>
      </c>
      <c r="E3351" s="1" t="s">
        <v>2</v>
      </c>
      <c r="F3351" s="18">
        <v>2174</v>
      </c>
      <c r="G3351" s="18">
        <v>119</v>
      </c>
      <c r="H3351" s="6" t="s">
        <v>3188</v>
      </c>
      <c r="I3351" s="1">
        <v>197</v>
      </c>
      <c r="J3351" s="1">
        <v>232</v>
      </c>
      <c r="L3351" t="str">
        <f t="shared" si="52"/>
        <v>http://www.badatelna.eu/reprodukce/?fondId=1073&amp;zaznamId=1108960&amp;reproId=3780343</v>
      </c>
      <c r="M3351">
        <f>VLOOKUP(F3351,Sheet2!$B$1:$E$19,2,FALSE)</f>
        <v>1073</v>
      </c>
      <c r="N3351">
        <f>VLOOKUP(F3351,Sheet2!$B$1:$E$19,3,FALSE)</f>
        <v>1108960</v>
      </c>
      <c r="O3351">
        <f>IF(G3351="Not available","",VLOOKUP(F3351,Sheet2!$B$1:$E$19,4,FALSE)+(G3351-1))</f>
        <v>3780343</v>
      </c>
    </row>
    <row r="3352" spans="1:15" s="1" customFormat="1" ht="15" customHeight="1" x14ac:dyDescent="0.25">
      <c r="A3352" s="18" t="s">
        <v>364</v>
      </c>
      <c r="B3352" s="18" t="s">
        <v>2022</v>
      </c>
      <c r="C3352" s="10" t="s">
        <v>2036</v>
      </c>
      <c r="D3352" s="3" t="s">
        <v>2581</v>
      </c>
      <c r="E3352" s="4" t="s">
        <v>2</v>
      </c>
      <c r="F3352" s="18">
        <v>2176</v>
      </c>
      <c r="G3352" s="18" t="s">
        <v>3271</v>
      </c>
      <c r="H3352" s="10" t="s">
        <v>2073</v>
      </c>
      <c r="I3352" s="3">
        <v>34</v>
      </c>
      <c r="J3352" s="3" t="s">
        <v>3271</v>
      </c>
      <c r="K3352" s="3"/>
      <c r="L3352" t="str">
        <f t="shared" si="52"/>
        <v/>
      </c>
      <c r="M3352">
        <f>VLOOKUP(F3352,Sheet2!$B$1:$E$19,2,FALSE)</f>
        <v>1073</v>
      </c>
      <c r="N3352">
        <f>VLOOKUP(F3352,Sheet2!$B$1:$E$19,3,FALSE)</f>
        <v>1108963</v>
      </c>
      <c r="O3352" t="str">
        <f>IF(G3352="Not available","",VLOOKUP(F3352,Sheet2!$B$1:$E$19,4,FALSE)+(G3352-1))</f>
        <v/>
      </c>
    </row>
    <row r="3353" spans="1:15" s="1" customFormat="1" ht="15" customHeight="1" x14ac:dyDescent="0.25">
      <c r="A3353" s="18" t="s">
        <v>364</v>
      </c>
      <c r="B3353" s="18" t="s">
        <v>76</v>
      </c>
      <c r="C3353" s="5">
        <v>1883</v>
      </c>
      <c r="D3353" s="1" t="s">
        <v>12</v>
      </c>
      <c r="E3353" s="1" t="s">
        <v>2</v>
      </c>
      <c r="F3353" s="18">
        <v>2165</v>
      </c>
      <c r="G3353" s="18">
        <v>187</v>
      </c>
      <c r="H3353" s="5">
        <v>3</v>
      </c>
      <c r="I3353" s="1">
        <v>191</v>
      </c>
      <c r="J3353" s="1">
        <v>168</v>
      </c>
      <c r="L3353" t="str">
        <f t="shared" si="52"/>
        <v>http://www.badatelna.eu/reprodukce/?fondId=1073&amp;zaznamId=1108952&amp;reproId=3779048</v>
      </c>
      <c r="M3353">
        <f>VLOOKUP(F3353,Sheet2!$B$1:$E$19,2,FALSE)</f>
        <v>1073</v>
      </c>
      <c r="N3353">
        <f>VLOOKUP(F3353,Sheet2!$B$1:$E$19,3,FALSE)</f>
        <v>1108952</v>
      </c>
      <c r="O3353">
        <f>IF(G3353="Not available","",VLOOKUP(F3353,Sheet2!$B$1:$E$19,4,FALSE)+(G3353-1))</f>
        <v>3779048</v>
      </c>
    </row>
    <row r="3354" spans="1:15" s="1" customFormat="1" ht="15" customHeight="1" x14ac:dyDescent="0.25">
      <c r="A3354" s="18" t="s">
        <v>364</v>
      </c>
      <c r="B3354" s="18" t="s">
        <v>892</v>
      </c>
      <c r="C3354" s="5">
        <v>1848</v>
      </c>
      <c r="D3354" s="1" t="s">
        <v>50</v>
      </c>
      <c r="E3354" s="1" t="s">
        <v>2</v>
      </c>
      <c r="F3354" s="18">
        <v>2164</v>
      </c>
      <c r="G3354" s="18">
        <v>18</v>
      </c>
      <c r="H3354" s="5">
        <v>16</v>
      </c>
      <c r="I3354" s="1">
        <v>136</v>
      </c>
      <c r="J3354" s="3" t="s">
        <v>3271</v>
      </c>
      <c r="L3354" t="str">
        <f t="shared" si="52"/>
        <v>http://www.badatelna.eu/reprodukce/?fondId=1073&amp;zaznamId=1108951&amp;reproId=3778732</v>
      </c>
      <c r="M3354">
        <f>VLOOKUP(F3354,Sheet2!$B$1:$E$19,2,FALSE)</f>
        <v>1073</v>
      </c>
      <c r="N3354">
        <f>VLOOKUP(F3354,Sheet2!$B$1:$E$19,3,FALSE)</f>
        <v>1108951</v>
      </c>
      <c r="O3354">
        <f>IF(G3354="Not available","",VLOOKUP(F3354,Sheet2!$B$1:$E$19,4,FALSE)+(G3354-1))</f>
        <v>3778732</v>
      </c>
    </row>
    <row r="3355" spans="1:15" s="1" customFormat="1" ht="15" customHeight="1" x14ac:dyDescent="0.25">
      <c r="A3355" s="18" t="s">
        <v>364</v>
      </c>
      <c r="B3355" s="18" t="s">
        <v>2348</v>
      </c>
      <c r="C3355" s="10" t="s">
        <v>2110</v>
      </c>
      <c r="D3355" s="3" t="s">
        <v>2608</v>
      </c>
      <c r="E3355" s="4" t="s">
        <v>2</v>
      </c>
      <c r="F3355" s="18">
        <v>2176</v>
      </c>
      <c r="G3355" s="18" t="s">
        <v>3271</v>
      </c>
      <c r="H3355" s="10" t="s">
        <v>2351</v>
      </c>
      <c r="I3355" s="3">
        <v>35</v>
      </c>
      <c r="J3355" s="3" t="s">
        <v>3271</v>
      </c>
      <c r="K3355" s="3"/>
      <c r="L3355" t="str">
        <f t="shared" si="52"/>
        <v/>
      </c>
      <c r="M3355">
        <f>VLOOKUP(F3355,Sheet2!$B$1:$E$19,2,FALSE)</f>
        <v>1073</v>
      </c>
      <c r="N3355">
        <f>VLOOKUP(F3355,Sheet2!$B$1:$E$19,3,FALSE)</f>
        <v>1108963</v>
      </c>
      <c r="O3355" t="str">
        <f>IF(G3355="Not available","",VLOOKUP(F3355,Sheet2!$B$1:$E$19,4,FALSE)+(G3355-1))</f>
        <v/>
      </c>
    </row>
    <row r="3356" spans="1:15" s="1" customFormat="1" ht="15" customHeight="1" x14ac:dyDescent="0.25">
      <c r="A3356" s="18" t="s">
        <v>364</v>
      </c>
      <c r="B3356" s="18" t="s">
        <v>1061</v>
      </c>
      <c r="C3356" s="5" t="s">
        <v>1759</v>
      </c>
      <c r="D3356" s="1" t="s">
        <v>12</v>
      </c>
      <c r="E3356" s="1" t="s">
        <v>2</v>
      </c>
      <c r="F3356" s="18">
        <v>2165</v>
      </c>
      <c r="G3356" s="18">
        <v>230</v>
      </c>
      <c r="H3356" s="5">
        <v>3</v>
      </c>
      <c r="I3356" s="1">
        <v>232</v>
      </c>
      <c r="J3356" s="1">
        <v>208</v>
      </c>
      <c r="L3356" t="str">
        <f t="shared" si="52"/>
        <v>http://www.badatelna.eu/reprodukce/?fondId=1073&amp;zaznamId=1108952&amp;reproId=3779091</v>
      </c>
      <c r="M3356">
        <f>VLOOKUP(F3356,Sheet2!$B$1:$E$19,2,FALSE)</f>
        <v>1073</v>
      </c>
      <c r="N3356">
        <f>VLOOKUP(F3356,Sheet2!$B$1:$E$19,3,FALSE)</f>
        <v>1108952</v>
      </c>
      <c r="O3356">
        <f>IF(G3356="Not available","",VLOOKUP(F3356,Sheet2!$B$1:$E$19,4,FALSE)+(G3356-1))</f>
        <v>3779091</v>
      </c>
    </row>
    <row r="3357" spans="1:15" s="1" customFormat="1" ht="15" customHeight="1" x14ac:dyDescent="0.25">
      <c r="A3357" s="18" t="s">
        <v>364</v>
      </c>
      <c r="B3357" s="18" t="s">
        <v>1275</v>
      </c>
      <c r="C3357" s="10" t="s">
        <v>2072</v>
      </c>
      <c r="D3357" s="3" t="s">
        <v>2581</v>
      </c>
      <c r="E3357" s="4" t="s">
        <v>2</v>
      </c>
      <c r="F3357" s="18">
        <v>2176</v>
      </c>
      <c r="G3357" s="18" t="s">
        <v>3271</v>
      </c>
      <c r="H3357" s="10" t="s">
        <v>2230</v>
      </c>
      <c r="I3357" s="3">
        <v>34</v>
      </c>
      <c r="J3357" s="3" t="s">
        <v>3271</v>
      </c>
      <c r="K3357" s="3"/>
      <c r="L3357" t="str">
        <f t="shared" si="52"/>
        <v/>
      </c>
      <c r="M3357">
        <f>VLOOKUP(F3357,Sheet2!$B$1:$E$19,2,FALSE)</f>
        <v>1073</v>
      </c>
      <c r="N3357">
        <f>VLOOKUP(F3357,Sheet2!$B$1:$E$19,3,FALSE)</f>
        <v>1108963</v>
      </c>
      <c r="O3357" t="str">
        <f>IF(G3357="Not available","",VLOOKUP(F3357,Sheet2!$B$1:$E$19,4,FALSE)+(G3357-1))</f>
        <v/>
      </c>
    </row>
    <row r="3358" spans="1:15" s="1" customFormat="1" ht="15" customHeight="1" x14ac:dyDescent="0.25">
      <c r="A3358" s="18" t="s">
        <v>364</v>
      </c>
      <c r="B3358" s="18" t="s">
        <v>773</v>
      </c>
      <c r="C3358" s="5">
        <v>1855</v>
      </c>
      <c r="D3358" s="1" t="s">
        <v>504</v>
      </c>
      <c r="E3358" s="1" t="s">
        <v>2</v>
      </c>
      <c r="F3358" s="18">
        <v>2164</v>
      </c>
      <c r="G3358" s="18">
        <v>103</v>
      </c>
      <c r="H3358" s="5">
        <v>102</v>
      </c>
      <c r="I3358" s="1">
        <v>136</v>
      </c>
      <c r="J3358" s="3" t="s">
        <v>3271</v>
      </c>
      <c r="L3358" t="str">
        <f t="shared" si="52"/>
        <v>http://www.badatelna.eu/reprodukce/?fondId=1073&amp;zaznamId=1108951&amp;reproId=3778817</v>
      </c>
      <c r="M3358">
        <f>VLOOKUP(F3358,Sheet2!$B$1:$E$19,2,FALSE)</f>
        <v>1073</v>
      </c>
      <c r="N3358">
        <f>VLOOKUP(F3358,Sheet2!$B$1:$E$19,3,FALSE)</f>
        <v>1108951</v>
      </c>
      <c r="O3358">
        <f>IF(G3358="Not available","",VLOOKUP(F3358,Sheet2!$B$1:$E$19,4,FALSE)+(G3358-1))</f>
        <v>3778817</v>
      </c>
    </row>
    <row r="3359" spans="1:15" s="1" customFormat="1" ht="15" customHeight="1" x14ac:dyDescent="0.25">
      <c r="A3359" s="18" t="s">
        <v>386</v>
      </c>
      <c r="B3359" s="18" t="s">
        <v>387</v>
      </c>
      <c r="C3359" s="5">
        <v>1805</v>
      </c>
      <c r="E3359" s="1" t="s">
        <v>2</v>
      </c>
      <c r="F3359" s="18">
        <v>2173</v>
      </c>
      <c r="G3359" s="18">
        <v>50</v>
      </c>
      <c r="H3359" s="5">
        <v>94</v>
      </c>
      <c r="I3359" s="1">
        <v>111</v>
      </c>
      <c r="J3359" s="1">
        <v>240</v>
      </c>
      <c r="L3359" t="str">
        <f t="shared" si="52"/>
        <v>http://www.badatelna.eu/reprodukce/?fondId=1073&amp;zaznamId=1108959&amp;reproId=3780043</v>
      </c>
      <c r="M3359">
        <f>VLOOKUP(F3359,Sheet2!$B$1:$E$19,2,FALSE)</f>
        <v>1073</v>
      </c>
      <c r="N3359">
        <f>VLOOKUP(F3359,Sheet2!$B$1:$E$19,3,FALSE)</f>
        <v>1108959</v>
      </c>
      <c r="O3359">
        <f>IF(G3359="Not available","",VLOOKUP(F3359,Sheet2!$B$1:$E$19,4,FALSE)+(G3359-1))</f>
        <v>3780043</v>
      </c>
    </row>
    <row r="3360" spans="1:15" s="1" customFormat="1" ht="15" customHeight="1" x14ac:dyDescent="0.25">
      <c r="A3360" s="18" t="s">
        <v>393</v>
      </c>
      <c r="B3360" s="18" t="s">
        <v>16</v>
      </c>
      <c r="C3360" s="5">
        <v>1814</v>
      </c>
      <c r="E3360" s="1" t="s">
        <v>2</v>
      </c>
      <c r="F3360" s="18">
        <v>2173</v>
      </c>
      <c r="G3360" s="18">
        <v>62</v>
      </c>
      <c r="H3360" s="5">
        <v>119</v>
      </c>
      <c r="I3360" s="1">
        <v>111</v>
      </c>
      <c r="J3360" s="1">
        <v>240</v>
      </c>
      <c r="L3360" t="str">
        <f t="shared" si="52"/>
        <v>http://www.badatelna.eu/reprodukce/?fondId=1073&amp;zaznamId=1108959&amp;reproId=3780055</v>
      </c>
      <c r="M3360">
        <f>VLOOKUP(F3360,Sheet2!$B$1:$E$19,2,FALSE)</f>
        <v>1073</v>
      </c>
      <c r="N3360">
        <f>VLOOKUP(F3360,Sheet2!$B$1:$E$19,3,FALSE)</f>
        <v>1108959</v>
      </c>
      <c r="O3360">
        <f>IF(G3360="Not available","",VLOOKUP(F3360,Sheet2!$B$1:$E$19,4,FALSE)+(G3360-1))</f>
        <v>3780055</v>
      </c>
    </row>
    <row r="3361" spans="1:15" s="1" customFormat="1" ht="15" customHeight="1" x14ac:dyDescent="0.25">
      <c r="A3361" s="18" t="s">
        <v>1082</v>
      </c>
      <c r="B3361" s="18" t="s">
        <v>1083</v>
      </c>
      <c r="C3361" s="5" t="s">
        <v>1578</v>
      </c>
      <c r="D3361" s="1" t="s">
        <v>197</v>
      </c>
      <c r="E3361" s="1" t="s">
        <v>2</v>
      </c>
      <c r="F3361" s="18">
        <v>2165</v>
      </c>
      <c r="G3361" s="18">
        <v>73</v>
      </c>
      <c r="H3361" s="5">
        <v>70</v>
      </c>
      <c r="I3361" s="1">
        <v>91</v>
      </c>
      <c r="J3361" s="1" t="s">
        <v>3271</v>
      </c>
      <c r="L3361" t="str">
        <f t="shared" si="52"/>
        <v>http://www.badatelna.eu/reprodukce/?fondId=1073&amp;zaznamId=1108952&amp;reproId=3778934</v>
      </c>
      <c r="M3361">
        <f>VLOOKUP(F3361,Sheet2!$B$1:$E$19,2,FALSE)</f>
        <v>1073</v>
      </c>
      <c r="N3361">
        <f>VLOOKUP(F3361,Sheet2!$B$1:$E$19,3,FALSE)</f>
        <v>1108952</v>
      </c>
      <c r="O3361">
        <f>IF(G3361="Not available","",VLOOKUP(F3361,Sheet2!$B$1:$E$19,4,FALSE)+(G3361-1))</f>
        <v>3778934</v>
      </c>
    </row>
    <row r="3362" spans="1:15" s="1" customFormat="1" ht="15" customHeight="1" x14ac:dyDescent="0.25">
      <c r="A3362" s="18" t="s">
        <v>1249</v>
      </c>
      <c r="B3362" s="18" t="s">
        <v>1152</v>
      </c>
      <c r="C3362" s="10" t="s">
        <v>1957</v>
      </c>
      <c r="D3362" s="3" t="s">
        <v>2612</v>
      </c>
      <c r="E3362" s="4" t="s">
        <v>2</v>
      </c>
      <c r="F3362" s="18">
        <v>2176</v>
      </c>
      <c r="G3362" s="18" t="s">
        <v>3271</v>
      </c>
      <c r="H3362" s="10" t="s">
        <v>2016</v>
      </c>
      <c r="I3362" s="3">
        <v>35</v>
      </c>
      <c r="J3362" s="3" t="s">
        <v>3271</v>
      </c>
      <c r="K3362" s="3"/>
      <c r="L3362" t="str">
        <f t="shared" si="52"/>
        <v/>
      </c>
      <c r="M3362">
        <f>VLOOKUP(F3362,Sheet2!$B$1:$E$19,2,FALSE)</f>
        <v>1073</v>
      </c>
      <c r="N3362">
        <f>VLOOKUP(F3362,Sheet2!$B$1:$E$19,3,FALSE)</f>
        <v>1108963</v>
      </c>
      <c r="O3362" t="str">
        <f>IF(G3362="Not available","",VLOOKUP(F3362,Sheet2!$B$1:$E$19,4,FALSE)+(G3362-1))</f>
        <v/>
      </c>
    </row>
    <row r="3363" spans="1:15" s="1" customFormat="1" ht="15" customHeight="1" x14ac:dyDescent="0.25">
      <c r="A3363" s="18" t="s">
        <v>1249</v>
      </c>
      <c r="B3363" s="18" t="s">
        <v>1152</v>
      </c>
      <c r="C3363" s="5" t="s">
        <v>1926</v>
      </c>
      <c r="D3363" s="1" t="s">
        <v>24</v>
      </c>
      <c r="E3363" s="1" t="s">
        <v>2</v>
      </c>
      <c r="F3363" s="18">
        <v>2165</v>
      </c>
      <c r="G3363" s="18">
        <v>282</v>
      </c>
      <c r="H3363" s="5">
        <v>2</v>
      </c>
      <c r="I3363" s="1">
        <v>284</v>
      </c>
      <c r="J3363" s="1">
        <v>258</v>
      </c>
      <c r="L3363" t="str">
        <f t="shared" si="52"/>
        <v>http://www.badatelna.eu/reprodukce/?fondId=1073&amp;zaznamId=1108952&amp;reproId=3779143</v>
      </c>
      <c r="M3363">
        <f>VLOOKUP(F3363,Sheet2!$B$1:$E$19,2,FALSE)</f>
        <v>1073</v>
      </c>
      <c r="N3363">
        <f>VLOOKUP(F3363,Sheet2!$B$1:$E$19,3,FALSE)</f>
        <v>1108952</v>
      </c>
      <c r="O3363">
        <f>IF(G3363="Not available","",VLOOKUP(F3363,Sheet2!$B$1:$E$19,4,FALSE)+(G3363-1))</f>
        <v>3779143</v>
      </c>
    </row>
    <row r="3364" spans="1:15" s="1" customFormat="1" ht="15" customHeight="1" x14ac:dyDescent="0.25">
      <c r="A3364" s="18" t="s">
        <v>1249</v>
      </c>
      <c r="B3364" s="18" t="s">
        <v>1212</v>
      </c>
      <c r="C3364" s="14" t="s">
        <v>2244</v>
      </c>
      <c r="D3364" s="4" t="s">
        <v>24</v>
      </c>
      <c r="E3364" s="1" t="s">
        <v>2</v>
      </c>
      <c r="F3364" s="18">
        <v>2165</v>
      </c>
      <c r="G3364" s="18">
        <v>299</v>
      </c>
      <c r="H3364" s="5">
        <v>3</v>
      </c>
      <c r="I3364" s="1">
        <v>300</v>
      </c>
      <c r="J3364" s="1">
        <v>273</v>
      </c>
      <c r="L3364" t="str">
        <f t="shared" si="52"/>
        <v>http://www.badatelna.eu/reprodukce/?fondId=1073&amp;zaznamId=1108952&amp;reproId=3779160</v>
      </c>
      <c r="M3364">
        <f>VLOOKUP(F3364,Sheet2!$B$1:$E$19,2,FALSE)</f>
        <v>1073</v>
      </c>
      <c r="N3364">
        <f>VLOOKUP(F3364,Sheet2!$B$1:$E$19,3,FALSE)</f>
        <v>1108952</v>
      </c>
      <c r="O3364">
        <f>IF(G3364="Not available","",VLOOKUP(F3364,Sheet2!$B$1:$E$19,4,FALSE)+(G3364-1))</f>
        <v>3779160</v>
      </c>
    </row>
    <row r="3365" spans="1:15" s="1" customFormat="1" ht="15" customHeight="1" x14ac:dyDescent="0.25">
      <c r="A3365" s="18" t="s">
        <v>1249</v>
      </c>
      <c r="B3365" s="18" t="s">
        <v>1212</v>
      </c>
      <c r="C3365" s="10" t="s">
        <v>2244</v>
      </c>
      <c r="D3365" s="3" t="s">
        <v>2336</v>
      </c>
      <c r="E3365" s="4" t="s">
        <v>2</v>
      </c>
      <c r="F3365" s="18">
        <v>2176</v>
      </c>
      <c r="G3365" s="18" t="s">
        <v>3271</v>
      </c>
      <c r="H3365" s="10" t="s">
        <v>2080</v>
      </c>
      <c r="I3365" s="3">
        <v>35</v>
      </c>
      <c r="J3365" s="3" t="s">
        <v>3271</v>
      </c>
      <c r="K3365" s="3"/>
      <c r="L3365" t="str">
        <f t="shared" si="52"/>
        <v/>
      </c>
      <c r="M3365">
        <f>VLOOKUP(F3365,Sheet2!$B$1:$E$19,2,FALSE)</f>
        <v>1073</v>
      </c>
      <c r="N3365">
        <f>VLOOKUP(F3365,Sheet2!$B$1:$E$19,3,FALSE)</f>
        <v>1108963</v>
      </c>
      <c r="O3365" t="str">
        <f>IF(G3365="Not available","",VLOOKUP(F3365,Sheet2!$B$1:$E$19,4,FALSE)+(G3365-1))</f>
        <v/>
      </c>
    </row>
    <row r="3366" spans="1:15" s="1" customFormat="1" ht="15" customHeight="1" x14ac:dyDescent="0.25">
      <c r="A3366" s="18" t="s">
        <v>731</v>
      </c>
      <c r="B3366" s="18" t="s">
        <v>233</v>
      </c>
      <c r="C3366" s="5">
        <v>1838</v>
      </c>
      <c r="D3366" s="1" t="s">
        <v>64</v>
      </c>
      <c r="E3366" s="1" t="s">
        <v>2</v>
      </c>
      <c r="F3366" s="18">
        <v>2174</v>
      </c>
      <c r="G3366" s="18">
        <v>102</v>
      </c>
      <c r="H3366" s="6" t="s">
        <v>3165</v>
      </c>
      <c r="I3366" s="1">
        <v>197</v>
      </c>
      <c r="J3366" s="1">
        <v>232</v>
      </c>
      <c r="L3366" t="str">
        <f t="shared" si="52"/>
        <v>http://www.badatelna.eu/reprodukce/?fondId=1073&amp;zaznamId=1108960&amp;reproId=3780326</v>
      </c>
      <c r="M3366">
        <f>VLOOKUP(F3366,Sheet2!$B$1:$E$19,2,FALSE)</f>
        <v>1073</v>
      </c>
      <c r="N3366">
        <f>VLOOKUP(F3366,Sheet2!$B$1:$E$19,3,FALSE)</f>
        <v>1108960</v>
      </c>
      <c r="O3366">
        <f>IF(G3366="Not available","",VLOOKUP(F3366,Sheet2!$B$1:$E$19,4,FALSE)+(G3366-1))</f>
        <v>3780326</v>
      </c>
    </row>
    <row r="3367" spans="1:15" s="1" customFormat="1" ht="15" customHeight="1" x14ac:dyDescent="0.25">
      <c r="A3367" s="18" t="s">
        <v>731</v>
      </c>
      <c r="B3367" s="18" t="s">
        <v>150</v>
      </c>
      <c r="C3367" s="5">
        <v>1840</v>
      </c>
      <c r="D3367" s="1" t="s">
        <v>64</v>
      </c>
      <c r="E3367" s="1" t="s">
        <v>2</v>
      </c>
      <c r="F3367" s="18">
        <v>2174</v>
      </c>
      <c r="G3367" s="18">
        <v>109</v>
      </c>
      <c r="H3367" s="6" t="s">
        <v>3176</v>
      </c>
      <c r="I3367" s="1">
        <v>197</v>
      </c>
      <c r="J3367" s="1">
        <v>232</v>
      </c>
      <c r="L3367" t="str">
        <f t="shared" si="52"/>
        <v>http://www.badatelna.eu/reprodukce/?fondId=1073&amp;zaznamId=1108960&amp;reproId=3780333</v>
      </c>
      <c r="M3367">
        <f>VLOOKUP(F3367,Sheet2!$B$1:$E$19,2,FALSE)</f>
        <v>1073</v>
      </c>
      <c r="N3367">
        <f>VLOOKUP(F3367,Sheet2!$B$1:$E$19,3,FALSE)</f>
        <v>1108960</v>
      </c>
      <c r="O3367">
        <f>IF(G3367="Not available","",VLOOKUP(F3367,Sheet2!$B$1:$E$19,4,FALSE)+(G3367-1))</f>
        <v>3780333</v>
      </c>
    </row>
    <row r="3368" spans="1:15" s="1" customFormat="1" ht="15" customHeight="1" x14ac:dyDescent="0.25">
      <c r="A3368" s="19" t="s">
        <v>2986</v>
      </c>
      <c r="B3368" s="18" t="s">
        <v>18</v>
      </c>
      <c r="C3368" s="5">
        <v>1829</v>
      </c>
      <c r="E3368" s="1" t="s">
        <v>2</v>
      </c>
      <c r="F3368" s="18">
        <v>2173</v>
      </c>
      <c r="G3368" s="18">
        <v>82</v>
      </c>
      <c r="H3368" s="5">
        <v>157</v>
      </c>
      <c r="I3368" s="1">
        <v>111</v>
      </c>
      <c r="J3368" s="1">
        <v>241</v>
      </c>
      <c r="L3368" t="str">
        <f t="shared" si="52"/>
        <v>http://www.badatelna.eu/reprodukce/?fondId=1073&amp;zaznamId=1108959&amp;reproId=3780075</v>
      </c>
      <c r="M3368">
        <f>VLOOKUP(F3368,Sheet2!$B$1:$E$19,2,FALSE)</f>
        <v>1073</v>
      </c>
      <c r="N3368">
        <f>VLOOKUP(F3368,Sheet2!$B$1:$E$19,3,FALSE)</f>
        <v>1108959</v>
      </c>
      <c r="O3368">
        <f>IF(G3368="Not available","",VLOOKUP(F3368,Sheet2!$B$1:$E$19,4,FALSE)+(G3368-1))</f>
        <v>3780075</v>
      </c>
    </row>
    <row r="3369" spans="1:15" s="1" customFormat="1" ht="15" customHeight="1" x14ac:dyDescent="0.25">
      <c r="A3369" s="18" t="s">
        <v>719</v>
      </c>
      <c r="B3369" s="18" t="s">
        <v>196</v>
      </c>
      <c r="C3369" s="5">
        <v>1831</v>
      </c>
      <c r="D3369" s="1" t="s">
        <v>228</v>
      </c>
      <c r="E3369" s="1" t="s">
        <v>2</v>
      </c>
      <c r="F3369" s="18">
        <v>2174</v>
      </c>
      <c r="G3369" s="18">
        <v>63</v>
      </c>
      <c r="H3369" s="6" t="s">
        <v>3107</v>
      </c>
      <c r="I3369" s="1">
        <v>196</v>
      </c>
      <c r="J3369" s="1">
        <v>231</v>
      </c>
      <c r="L3369" t="str">
        <f t="shared" si="52"/>
        <v>http://www.badatelna.eu/reprodukce/?fondId=1073&amp;zaznamId=1108960&amp;reproId=3780287</v>
      </c>
      <c r="M3369">
        <f>VLOOKUP(F3369,Sheet2!$B$1:$E$19,2,FALSE)</f>
        <v>1073</v>
      </c>
      <c r="N3369">
        <f>VLOOKUP(F3369,Sheet2!$B$1:$E$19,3,FALSE)</f>
        <v>1108960</v>
      </c>
      <c r="O3369">
        <f>IF(G3369="Not available","",VLOOKUP(F3369,Sheet2!$B$1:$E$19,4,FALSE)+(G3369-1))</f>
        <v>3780287</v>
      </c>
    </row>
    <row r="3370" spans="1:15" s="1" customFormat="1" ht="15" customHeight="1" x14ac:dyDescent="0.25">
      <c r="A3370" s="18" t="s">
        <v>719</v>
      </c>
      <c r="B3370" s="19" t="s">
        <v>868</v>
      </c>
      <c r="C3370" s="5">
        <v>1861</v>
      </c>
      <c r="E3370" s="1" t="s">
        <v>939</v>
      </c>
      <c r="F3370" s="18">
        <v>999</v>
      </c>
      <c r="G3370" s="18">
        <v>26</v>
      </c>
      <c r="H3370" s="5">
        <v>24</v>
      </c>
      <c r="I3370" s="1">
        <v>74</v>
      </c>
      <c r="J3370" s="1">
        <v>108</v>
      </c>
      <c r="L3370" t="str">
        <f t="shared" si="52"/>
        <v>http://www.badatelna.eu/reprodukce/?fondId=241&amp;zaznamId=1133739&amp;reproId=3885755</v>
      </c>
      <c r="M3370">
        <f>VLOOKUP(F3370,Sheet2!$B$1:$E$19,2,FALSE)</f>
        <v>241</v>
      </c>
      <c r="N3370">
        <f>VLOOKUP(F3370,Sheet2!$B$1:$E$19,3,FALSE)</f>
        <v>1133739</v>
      </c>
      <c r="O3370">
        <f>IF(G3370="Not available","",VLOOKUP(F3370,Sheet2!$B$1:$E$19,4,FALSE)+(G3370-1))</f>
        <v>3885755</v>
      </c>
    </row>
    <row r="3371" spans="1:15" s="1" customFormat="1" ht="15" customHeight="1" x14ac:dyDescent="0.25">
      <c r="A3371" s="18" t="s">
        <v>719</v>
      </c>
      <c r="B3371" s="18" t="s">
        <v>428</v>
      </c>
      <c r="C3371" s="5">
        <v>1831</v>
      </c>
      <c r="D3371" s="1" t="s">
        <v>21</v>
      </c>
      <c r="E3371" s="1" t="s">
        <v>2</v>
      </c>
      <c r="F3371" s="18">
        <v>2174</v>
      </c>
      <c r="G3371" s="18">
        <v>64</v>
      </c>
      <c r="H3371" s="6" t="s">
        <v>3108</v>
      </c>
      <c r="I3371" s="1">
        <v>196</v>
      </c>
      <c r="J3371" s="1">
        <v>231</v>
      </c>
      <c r="L3371" t="str">
        <f t="shared" si="52"/>
        <v>http://www.badatelna.eu/reprodukce/?fondId=1073&amp;zaznamId=1108960&amp;reproId=3780288</v>
      </c>
      <c r="M3371">
        <f>VLOOKUP(F3371,Sheet2!$B$1:$E$19,2,FALSE)</f>
        <v>1073</v>
      </c>
      <c r="N3371">
        <f>VLOOKUP(F3371,Sheet2!$B$1:$E$19,3,FALSE)</f>
        <v>1108960</v>
      </c>
      <c r="O3371">
        <f>IF(G3371="Not available","",VLOOKUP(F3371,Sheet2!$B$1:$E$19,4,FALSE)+(G3371-1))</f>
        <v>3780288</v>
      </c>
    </row>
    <row r="3372" spans="1:15" s="1" customFormat="1" ht="15" customHeight="1" x14ac:dyDescent="0.25">
      <c r="A3372" s="18" t="s">
        <v>719</v>
      </c>
      <c r="B3372" s="18" t="s">
        <v>40</v>
      </c>
      <c r="C3372" s="5">
        <v>1836</v>
      </c>
      <c r="D3372" s="1" t="s">
        <v>21</v>
      </c>
      <c r="E3372" s="1" t="s">
        <v>2</v>
      </c>
      <c r="F3372" s="18">
        <v>2174</v>
      </c>
      <c r="G3372" s="18">
        <v>86</v>
      </c>
      <c r="H3372" s="6" t="s">
        <v>3153</v>
      </c>
      <c r="I3372" s="1">
        <v>196</v>
      </c>
      <c r="J3372" s="1">
        <v>231</v>
      </c>
      <c r="L3372" t="str">
        <f t="shared" si="52"/>
        <v>http://www.badatelna.eu/reprodukce/?fondId=1073&amp;zaznamId=1108960&amp;reproId=3780310</v>
      </c>
      <c r="M3372">
        <f>VLOOKUP(F3372,Sheet2!$B$1:$E$19,2,FALSE)</f>
        <v>1073</v>
      </c>
      <c r="N3372">
        <f>VLOOKUP(F3372,Sheet2!$B$1:$E$19,3,FALSE)</f>
        <v>1108960</v>
      </c>
      <c r="O3372">
        <f>IF(G3372="Not available","",VLOOKUP(F3372,Sheet2!$B$1:$E$19,4,FALSE)+(G3372-1))</f>
        <v>3780310</v>
      </c>
    </row>
    <row r="3373" spans="1:15" s="1" customFormat="1" ht="15" customHeight="1" x14ac:dyDescent="0.25">
      <c r="A3373" s="18" t="s">
        <v>719</v>
      </c>
      <c r="B3373" s="19" t="s">
        <v>463</v>
      </c>
      <c r="C3373" s="5">
        <v>1862</v>
      </c>
      <c r="E3373" s="1" t="s">
        <v>939</v>
      </c>
      <c r="F3373" s="18">
        <v>999</v>
      </c>
      <c r="G3373" s="18">
        <v>37</v>
      </c>
      <c r="H3373" s="5">
        <v>35</v>
      </c>
      <c r="I3373" s="1">
        <v>74</v>
      </c>
      <c r="J3373" s="1">
        <v>108</v>
      </c>
      <c r="L3373" t="str">
        <f t="shared" si="52"/>
        <v>http://www.badatelna.eu/reprodukce/?fondId=241&amp;zaznamId=1133739&amp;reproId=3885766</v>
      </c>
      <c r="M3373">
        <f>VLOOKUP(F3373,Sheet2!$B$1:$E$19,2,FALSE)</f>
        <v>241</v>
      </c>
      <c r="N3373">
        <f>VLOOKUP(F3373,Sheet2!$B$1:$E$19,3,FALSE)</f>
        <v>1133739</v>
      </c>
      <c r="O3373">
        <f>IF(G3373="Not available","",VLOOKUP(F3373,Sheet2!$B$1:$E$19,4,FALSE)+(G3373-1))</f>
        <v>3885766</v>
      </c>
    </row>
    <row r="3374" spans="1:15" s="1" customFormat="1" ht="15" customHeight="1" x14ac:dyDescent="0.25">
      <c r="A3374" s="18" t="s">
        <v>719</v>
      </c>
      <c r="B3374" s="18" t="s">
        <v>24</v>
      </c>
      <c r="C3374" s="5">
        <v>1834</v>
      </c>
      <c r="D3374" s="1" t="s">
        <v>21</v>
      </c>
      <c r="E3374" s="1" t="s">
        <v>2</v>
      </c>
      <c r="F3374" s="18">
        <v>2174</v>
      </c>
      <c r="G3374" s="18">
        <v>76</v>
      </c>
      <c r="H3374" s="6" t="s">
        <v>3142</v>
      </c>
      <c r="I3374" s="1">
        <v>196</v>
      </c>
      <c r="J3374" s="1">
        <v>231</v>
      </c>
      <c r="L3374" t="str">
        <f t="shared" si="52"/>
        <v>http://www.badatelna.eu/reprodukce/?fondId=1073&amp;zaznamId=1108960&amp;reproId=3780300</v>
      </c>
      <c r="M3374">
        <f>VLOOKUP(F3374,Sheet2!$B$1:$E$19,2,FALSE)</f>
        <v>1073</v>
      </c>
      <c r="N3374">
        <f>VLOOKUP(F3374,Sheet2!$B$1:$E$19,3,FALSE)</f>
        <v>1108960</v>
      </c>
      <c r="O3374">
        <f>IF(G3374="Not available","",VLOOKUP(F3374,Sheet2!$B$1:$E$19,4,FALSE)+(G3374-1))</f>
        <v>3780300</v>
      </c>
    </row>
    <row r="3375" spans="1:15" s="1" customFormat="1" ht="15" customHeight="1" x14ac:dyDescent="0.25">
      <c r="A3375" s="18" t="s">
        <v>719</v>
      </c>
      <c r="B3375" s="18" t="s">
        <v>475</v>
      </c>
      <c r="C3375" s="5">
        <v>1837</v>
      </c>
      <c r="D3375" s="1" t="s">
        <v>21</v>
      </c>
      <c r="E3375" s="1" t="s">
        <v>2</v>
      </c>
      <c r="F3375" s="18">
        <v>2174</v>
      </c>
      <c r="G3375" s="18">
        <v>92</v>
      </c>
      <c r="H3375" s="6" t="s">
        <v>3160</v>
      </c>
      <c r="I3375" s="1">
        <v>197</v>
      </c>
      <c r="J3375" s="1">
        <v>232</v>
      </c>
      <c r="L3375" t="str">
        <f t="shared" si="52"/>
        <v>http://www.badatelna.eu/reprodukce/?fondId=1073&amp;zaznamId=1108960&amp;reproId=3780316</v>
      </c>
      <c r="M3375">
        <f>VLOOKUP(F3375,Sheet2!$B$1:$E$19,2,FALSE)</f>
        <v>1073</v>
      </c>
      <c r="N3375">
        <f>VLOOKUP(F3375,Sheet2!$B$1:$E$19,3,FALSE)</f>
        <v>1108960</v>
      </c>
      <c r="O3375">
        <f>IF(G3375="Not available","",VLOOKUP(F3375,Sheet2!$B$1:$E$19,4,FALSE)+(G3375-1))</f>
        <v>3780316</v>
      </c>
    </row>
    <row r="3376" spans="1:15" s="1" customFormat="1" ht="15" customHeight="1" x14ac:dyDescent="0.25">
      <c r="A3376" s="18" t="s">
        <v>732</v>
      </c>
      <c r="B3376" s="18" t="s">
        <v>427</v>
      </c>
      <c r="C3376" s="5">
        <v>1839</v>
      </c>
      <c r="D3376" s="1" t="s">
        <v>21</v>
      </c>
      <c r="E3376" s="1" t="s">
        <v>2</v>
      </c>
      <c r="F3376" s="18">
        <v>2174</v>
      </c>
      <c r="G3376" s="18">
        <v>105</v>
      </c>
      <c r="H3376" s="6" t="s">
        <v>3171</v>
      </c>
      <c r="I3376" s="1">
        <v>197</v>
      </c>
      <c r="J3376" s="1">
        <v>232</v>
      </c>
      <c r="L3376" t="str">
        <f t="shared" si="52"/>
        <v>http://www.badatelna.eu/reprodukce/?fondId=1073&amp;zaznamId=1108960&amp;reproId=3780329</v>
      </c>
      <c r="M3376">
        <f>VLOOKUP(F3376,Sheet2!$B$1:$E$19,2,FALSE)</f>
        <v>1073</v>
      </c>
      <c r="N3376">
        <f>VLOOKUP(F3376,Sheet2!$B$1:$E$19,3,FALSE)</f>
        <v>1108960</v>
      </c>
      <c r="O3376">
        <f>IF(G3376="Not available","",VLOOKUP(F3376,Sheet2!$B$1:$E$19,4,FALSE)+(G3376-1))</f>
        <v>3780329</v>
      </c>
    </row>
    <row r="3377" spans="1:15" s="1" customFormat="1" ht="15" customHeight="1" x14ac:dyDescent="0.25">
      <c r="A3377" s="18" t="s">
        <v>1122</v>
      </c>
      <c r="B3377" s="18" t="s">
        <v>816</v>
      </c>
      <c r="C3377" s="5" t="s">
        <v>1734</v>
      </c>
      <c r="D3377" s="1" t="s">
        <v>92</v>
      </c>
      <c r="E3377" s="1" t="s">
        <v>2</v>
      </c>
      <c r="F3377" s="18">
        <v>2165</v>
      </c>
      <c r="G3377" s="18">
        <v>166</v>
      </c>
      <c r="H3377" s="5">
        <v>2</v>
      </c>
      <c r="I3377" s="1">
        <v>171</v>
      </c>
      <c r="J3377" s="1">
        <v>149</v>
      </c>
      <c r="L3377" t="str">
        <f t="shared" si="52"/>
        <v>http://www.badatelna.eu/reprodukce/?fondId=1073&amp;zaznamId=1108952&amp;reproId=3779027</v>
      </c>
      <c r="M3377">
        <f>VLOOKUP(F3377,Sheet2!$B$1:$E$19,2,FALSE)</f>
        <v>1073</v>
      </c>
      <c r="N3377">
        <f>VLOOKUP(F3377,Sheet2!$B$1:$E$19,3,FALSE)</f>
        <v>1108952</v>
      </c>
      <c r="O3377">
        <f>IF(G3377="Not available","",VLOOKUP(F3377,Sheet2!$B$1:$E$19,4,FALSE)+(G3377-1))</f>
        <v>3779027</v>
      </c>
    </row>
    <row r="3378" spans="1:15" s="1" customFormat="1" ht="15" customHeight="1" x14ac:dyDescent="0.25">
      <c r="A3378" s="18" t="s">
        <v>1122</v>
      </c>
      <c r="B3378" s="18" t="s">
        <v>432</v>
      </c>
      <c r="C3378" s="10" t="s">
        <v>2005</v>
      </c>
      <c r="D3378" s="3" t="s">
        <v>2567</v>
      </c>
      <c r="E3378" s="4" t="s">
        <v>2</v>
      </c>
      <c r="F3378" s="18">
        <v>2176</v>
      </c>
      <c r="G3378" s="18" t="s">
        <v>3271</v>
      </c>
      <c r="H3378" s="10" t="s">
        <v>2011</v>
      </c>
      <c r="I3378" s="3">
        <v>33</v>
      </c>
      <c r="J3378" s="3" t="s">
        <v>3271</v>
      </c>
      <c r="K3378" s="3"/>
      <c r="L3378" t="str">
        <f t="shared" si="52"/>
        <v/>
      </c>
      <c r="M3378">
        <f>VLOOKUP(F3378,Sheet2!$B$1:$E$19,2,FALSE)</f>
        <v>1073</v>
      </c>
      <c r="N3378">
        <f>VLOOKUP(F3378,Sheet2!$B$1:$E$19,3,FALSE)</f>
        <v>1108963</v>
      </c>
      <c r="O3378" t="str">
        <f>IF(G3378="Not available","",VLOOKUP(F3378,Sheet2!$B$1:$E$19,4,FALSE)+(G3378-1))</f>
        <v/>
      </c>
    </row>
    <row r="3379" spans="1:15" s="1" customFormat="1" ht="15" customHeight="1" x14ac:dyDescent="0.25">
      <c r="A3379" s="18" t="s">
        <v>367</v>
      </c>
      <c r="B3379" s="18" t="s">
        <v>738</v>
      </c>
      <c r="C3379" s="5">
        <v>1863</v>
      </c>
      <c r="E3379" s="1" t="s">
        <v>939</v>
      </c>
      <c r="F3379" s="18">
        <v>999</v>
      </c>
      <c r="G3379" s="18">
        <v>41</v>
      </c>
      <c r="H3379" s="5">
        <v>39</v>
      </c>
      <c r="I3379" s="1">
        <v>74</v>
      </c>
      <c r="J3379" s="1">
        <v>108</v>
      </c>
      <c r="L3379" t="str">
        <f t="shared" si="52"/>
        <v>http://www.badatelna.eu/reprodukce/?fondId=241&amp;zaznamId=1133739&amp;reproId=3885770</v>
      </c>
      <c r="M3379">
        <f>VLOOKUP(F3379,Sheet2!$B$1:$E$19,2,FALSE)</f>
        <v>241</v>
      </c>
      <c r="N3379">
        <f>VLOOKUP(F3379,Sheet2!$B$1:$E$19,3,FALSE)</f>
        <v>1133739</v>
      </c>
      <c r="O3379">
        <f>IF(G3379="Not available","",VLOOKUP(F3379,Sheet2!$B$1:$E$19,4,FALSE)+(G3379-1))</f>
        <v>3885770</v>
      </c>
    </row>
    <row r="3380" spans="1:15" s="1" customFormat="1" ht="15" customHeight="1" x14ac:dyDescent="0.25">
      <c r="A3380" s="18" t="s">
        <v>367</v>
      </c>
      <c r="B3380" s="18" t="s">
        <v>632</v>
      </c>
      <c r="C3380" s="5">
        <v>1850</v>
      </c>
      <c r="D3380" s="1" t="s">
        <v>894</v>
      </c>
      <c r="E3380" s="1" t="s">
        <v>2</v>
      </c>
      <c r="F3380" s="18">
        <v>2164</v>
      </c>
      <c r="G3380" s="18">
        <v>65</v>
      </c>
      <c r="H3380" s="5">
        <v>63</v>
      </c>
      <c r="I3380" s="1">
        <v>136</v>
      </c>
      <c r="J3380" s="3" t="s">
        <v>3271</v>
      </c>
      <c r="L3380" t="str">
        <f t="shared" si="52"/>
        <v>http://www.badatelna.eu/reprodukce/?fondId=1073&amp;zaznamId=1108951&amp;reproId=3778779</v>
      </c>
      <c r="M3380">
        <f>VLOOKUP(F3380,Sheet2!$B$1:$E$19,2,FALSE)</f>
        <v>1073</v>
      </c>
      <c r="N3380">
        <f>VLOOKUP(F3380,Sheet2!$B$1:$E$19,3,FALSE)</f>
        <v>1108951</v>
      </c>
      <c r="O3380">
        <f>IF(G3380="Not available","",VLOOKUP(F3380,Sheet2!$B$1:$E$19,4,FALSE)+(G3380-1))</f>
        <v>3778779</v>
      </c>
    </row>
    <row r="3381" spans="1:15" s="1" customFormat="1" ht="15" customHeight="1" x14ac:dyDescent="0.25">
      <c r="A3381" s="18" t="s">
        <v>367</v>
      </c>
      <c r="B3381" s="18" t="s">
        <v>53</v>
      </c>
      <c r="C3381" s="5">
        <v>1796</v>
      </c>
      <c r="D3381" s="1" t="s">
        <v>34</v>
      </c>
      <c r="E3381" s="1" t="s">
        <v>2</v>
      </c>
      <c r="F3381" s="18">
        <v>2173</v>
      </c>
      <c r="G3381" s="18">
        <v>35</v>
      </c>
      <c r="H3381" s="5">
        <v>64</v>
      </c>
      <c r="I3381" s="1">
        <v>110</v>
      </c>
      <c r="J3381" s="1">
        <v>239</v>
      </c>
      <c r="L3381" t="str">
        <f t="shared" si="52"/>
        <v>http://www.badatelna.eu/reprodukce/?fondId=1073&amp;zaznamId=1108959&amp;reproId=3780028</v>
      </c>
      <c r="M3381">
        <f>VLOOKUP(F3381,Sheet2!$B$1:$E$19,2,FALSE)</f>
        <v>1073</v>
      </c>
      <c r="N3381">
        <f>VLOOKUP(F3381,Sheet2!$B$1:$E$19,3,FALSE)</f>
        <v>1108959</v>
      </c>
      <c r="O3381">
        <f>IF(G3381="Not available","",VLOOKUP(F3381,Sheet2!$B$1:$E$19,4,FALSE)+(G3381-1))</f>
        <v>3780028</v>
      </c>
    </row>
    <row r="3382" spans="1:15" s="1" customFormat="1" ht="15" customHeight="1" x14ac:dyDescent="0.25">
      <c r="A3382" s="18" t="s">
        <v>367</v>
      </c>
      <c r="B3382" s="18" t="s">
        <v>964</v>
      </c>
      <c r="C3382" s="5">
        <v>1860</v>
      </c>
      <c r="E3382" s="1" t="s">
        <v>939</v>
      </c>
      <c r="F3382" s="18">
        <v>999</v>
      </c>
      <c r="G3382" s="18">
        <v>21</v>
      </c>
      <c r="H3382" s="5">
        <v>19</v>
      </c>
      <c r="I3382" s="1">
        <v>74</v>
      </c>
      <c r="J3382" s="1">
        <v>108</v>
      </c>
      <c r="L3382" t="str">
        <f t="shared" si="52"/>
        <v>http://www.badatelna.eu/reprodukce/?fondId=241&amp;zaznamId=1133739&amp;reproId=3885750</v>
      </c>
      <c r="M3382">
        <f>VLOOKUP(F3382,Sheet2!$B$1:$E$19,2,FALSE)</f>
        <v>241</v>
      </c>
      <c r="N3382">
        <f>VLOOKUP(F3382,Sheet2!$B$1:$E$19,3,FALSE)</f>
        <v>1133739</v>
      </c>
      <c r="O3382">
        <f>IF(G3382="Not available","",VLOOKUP(F3382,Sheet2!$B$1:$E$19,4,FALSE)+(G3382-1))</f>
        <v>3885750</v>
      </c>
    </row>
    <row r="3383" spans="1:15" s="1" customFormat="1" ht="15" customHeight="1" x14ac:dyDescent="0.25">
      <c r="A3383" s="18" t="s">
        <v>367</v>
      </c>
      <c r="B3383" s="18" t="s">
        <v>92</v>
      </c>
      <c r="C3383" s="5">
        <v>1793</v>
      </c>
      <c r="D3383" s="1" t="s">
        <v>44</v>
      </c>
      <c r="E3383" s="1" t="s">
        <v>2</v>
      </c>
      <c r="F3383" s="18">
        <v>2173</v>
      </c>
      <c r="G3383" s="18">
        <v>30</v>
      </c>
      <c r="H3383" s="5">
        <v>55</v>
      </c>
      <c r="I3383" s="1">
        <v>110</v>
      </c>
      <c r="J3383" s="1">
        <v>239</v>
      </c>
      <c r="L3383" t="str">
        <f t="shared" si="52"/>
        <v>http://www.badatelna.eu/reprodukce/?fondId=1073&amp;zaznamId=1108959&amp;reproId=3780023</v>
      </c>
      <c r="M3383">
        <f>VLOOKUP(F3383,Sheet2!$B$1:$E$19,2,FALSE)</f>
        <v>1073</v>
      </c>
      <c r="N3383">
        <f>VLOOKUP(F3383,Sheet2!$B$1:$E$19,3,FALSE)</f>
        <v>1108959</v>
      </c>
      <c r="O3383">
        <f>IF(G3383="Not available","",VLOOKUP(F3383,Sheet2!$B$1:$E$19,4,FALSE)+(G3383-1))</f>
        <v>3780023</v>
      </c>
    </row>
    <row r="3384" spans="1:15" s="1" customFormat="1" ht="15" customHeight="1" x14ac:dyDescent="0.25">
      <c r="A3384" s="18" t="s">
        <v>367</v>
      </c>
      <c r="B3384" s="18" t="s">
        <v>92</v>
      </c>
      <c r="C3384" s="10" t="s">
        <v>1949</v>
      </c>
      <c r="D3384" s="3" t="s">
        <v>2599</v>
      </c>
      <c r="E3384" s="4" t="s">
        <v>2</v>
      </c>
      <c r="F3384" s="18">
        <v>2176</v>
      </c>
      <c r="G3384" s="18" t="s">
        <v>3271</v>
      </c>
      <c r="H3384" s="10" t="s">
        <v>2075</v>
      </c>
      <c r="I3384" s="3">
        <v>34</v>
      </c>
      <c r="J3384" s="3" t="s">
        <v>3271</v>
      </c>
      <c r="K3384" s="3"/>
      <c r="L3384" t="str">
        <f t="shared" si="52"/>
        <v/>
      </c>
      <c r="M3384">
        <f>VLOOKUP(F3384,Sheet2!$B$1:$E$19,2,FALSE)</f>
        <v>1073</v>
      </c>
      <c r="N3384">
        <f>VLOOKUP(F3384,Sheet2!$B$1:$E$19,3,FALSE)</f>
        <v>1108963</v>
      </c>
      <c r="O3384" t="str">
        <f>IF(G3384="Not available","",VLOOKUP(F3384,Sheet2!$B$1:$E$19,4,FALSE)+(G3384-1))</f>
        <v/>
      </c>
    </row>
    <row r="3385" spans="1:15" s="1" customFormat="1" ht="15" customHeight="1" x14ac:dyDescent="0.25">
      <c r="A3385" s="18" t="s">
        <v>367</v>
      </c>
      <c r="B3385" s="18" t="s">
        <v>92</v>
      </c>
      <c r="C3385" s="5" t="s">
        <v>1554</v>
      </c>
      <c r="D3385" s="1" t="s">
        <v>998</v>
      </c>
      <c r="E3385" s="1" t="s">
        <v>2</v>
      </c>
      <c r="F3385" s="18">
        <v>2165</v>
      </c>
      <c r="G3385" s="18">
        <v>52</v>
      </c>
      <c r="H3385" s="5">
        <v>49</v>
      </c>
      <c r="I3385" s="1">
        <v>91</v>
      </c>
      <c r="J3385" s="1" t="s">
        <v>3271</v>
      </c>
      <c r="L3385" t="str">
        <f t="shared" si="52"/>
        <v>http://www.badatelna.eu/reprodukce/?fondId=1073&amp;zaznamId=1108952&amp;reproId=3778913</v>
      </c>
      <c r="M3385">
        <f>VLOOKUP(F3385,Sheet2!$B$1:$E$19,2,FALSE)</f>
        <v>1073</v>
      </c>
      <c r="N3385">
        <f>VLOOKUP(F3385,Sheet2!$B$1:$E$19,3,FALSE)</f>
        <v>1108952</v>
      </c>
      <c r="O3385">
        <f>IF(G3385="Not available","",VLOOKUP(F3385,Sheet2!$B$1:$E$19,4,FALSE)+(G3385-1))</f>
        <v>3778913</v>
      </c>
    </row>
    <row r="3386" spans="1:15" s="1" customFormat="1" ht="15" customHeight="1" x14ac:dyDescent="0.25">
      <c r="A3386" s="18" t="s">
        <v>367</v>
      </c>
      <c r="B3386" s="18" t="s">
        <v>92</v>
      </c>
      <c r="C3386" s="5" t="s">
        <v>1564</v>
      </c>
      <c r="D3386" s="1" t="s">
        <v>998</v>
      </c>
      <c r="E3386" s="1" t="s">
        <v>2</v>
      </c>
      <c r="F3386" s="18">
        <v>2165</v>
      </c>
      <c r="G3386" s="18">
        <v>63</v>
      </c>
      <c r="H3386" s="5">
        <v>60</v>
      </c>
      <c r="I3386" s="1">
        <v>91</v>
      </c>
      <c r="J3386" s="1" t="s">
        <v>3271</v>
      </c>
      <c r="L3386" t="str">
        <f t="shared" si="52"/>
        <v>http://www.badatelna.eu/reprodukce/?fondId=1073&amp;zaznamId=1108952&amp;reproId=3778924</v>
      </c>
      <c r="M3386">
        <f>VLOOKUP(F3386,Sheet2!$B$1:$E$19,2,FALSE)</f>
        <v>1073</v>
      </c>
      <c r="N3386">
        <f>VLOOKUP(F3386,Sheet2!$B$1:$E$19,3,FALSE)</f>
        <v>1108952</v>
      </c>
      <c r="O3386">
        <f>IF(G3386="Not available","",VLOOKUP(F3386,Sheet2!$B$1:$E$19,4,FALSE)+(G3386-1))</f>
        <v>3778924</v>
      </c>
    </row>
    <row r="3387" spans="1:15" s="1" customFormat="1" ht="15" customHeight="1" x14ac:dyDescent="0.25">
      <c r="A3387" s="18" t="s">
        <v>367</v>
      </c>
      <c r="B3387" s="19" t="s">
        <v>637</v>
      </c>
      <c r="C3387" s="5">
        <v>1858</v>
      </c>
      <c r="D3387" s="4" t="s">
        <v>3306</v>
      </c>
      <c r="E3387" s="1" t="s">
        <v>939</v>
      </c>
      <c r="F3387" s="18">
        <v>999</v>
      </c>
      <c r="G3387" s="18">
        <v>8</v>
      </c>
      <c r="H3387" s="5">
        <v>6</v>
      </c>
      <c r="I3387" s="1">
        <v>74</v>
      </c>
      <c r="J3387" s="1">
        <v>108</v>
      </c>
      <c r="L3387" t="str">
        <f t="shared" si="52"/>
        <v>http://www.badatelna.eu/reprodukce/?fondId=241&amp;zaznamId=1133739&amp;reproId=3885737</v>
      </c>
      <c r="M3387">
        <f>VLOOKUP(F3387,Sheet2!$B$1:$E$19,2,FALSE)</f>
        <v>241</v>
      </c>
      <c r="N3387">
        <f>VLOOKUP(F3387,Sheet2!$B$1:$E$19,3,FALSE)</f>
        <v>1133739</v>
      </c>
      <c r="O3387">
        <f>IF(G3387="Not available","",VLOOKUP(F3387,Sheet2!$B$1:$E$19,4,FALSE)+(G3387-1))</f>
        <v>3885737</v>
      </c>
    </row>
    <row r="3388" spans="1:15" s="1" customFormat="1" ht="15" customHeight="1" x14ac:dyDescent="0.25">
      <c r="A3388" s="18" t="s">
        <v>367</v>
      </c>
      <c r="B3388" s="18" t="s">
        <v>819</v>
      </c>
      <c r="C3388" s="5">
        <v>1861</v>
      </c>
      <c r="E3388" s="1" t="s">
        <v>939</v>
      </c>
      <c r="F3388" s="18">
        <v>999</v>
      </c>
      <c r="G3388" s="18">
        <v>29</v>
      </c>
      <c r="H3388" s="5">
        <v>27</v>
      </c>
      <c r="I3388" s="1">
        <v>74</v>
      </c>
      <c r="J3388" s="1">
        <v>108</v>
      </c>
      <c r="L3388" t="str">
        <f t="shared" si="52"/>
        <v>http://www.badatelna.eu/reprodukce/?fondId=241&amp;zaznamId=1133739&amp;reproId=3885758</v>
      </c>
      <c r="M3388">
        <f>VLOOKUP(F3388,Sheet2!$B$1:$E$19,2,FALSE)</f>
        <v>241</v>
      </c>
      <c r="N3388">
        <f>VLOOKUP(F3388,Sheet2!$B$1:$E$19,3,FALSE)</f>
        <v>1133739</v>
      </c>
      <c r="O3388">
        <f>IF(G3388="Not available","",VLOOKUP(F3388,Sheet2!$B$1:$E$19,4,FALSE)+(G3388-1))</f>
        <v>3885758</v>
      </c>
    </row>
    <row r="3389" spans="1:15" s="1" customFormat="1" ht="15" customHeight="1" x14ac:dyDescent="0.25">
      <c r="A3389" s="18" t="s">
        <v>367</v>
      </c>
      <c r="B3389" s="18" t="s">
        <v>819</v>
      </c>
      <c r="C3389" s="5" t="s">
        <v>1547</v>
      </c>
      <c r="D3389" s="1" t="s">
        <v>370</v>
      </c>
      <c r="E3389" s="1" t="s">
        <v>2</v>
      </c>
      <c r="F3389" s="18">
        <v>2165</v>
      </c>
      <c r="G3389" s="18">
        <v>46</v>
      </c>
      <c r="H3389" s="5">
        <v>43</v>
      </c>
      <c r="I3389" s="1">
        <v>90</v>
      </c>
      <c r="J3389" s="1" t="s">
        <v>3271</v>
      </c>
      <c r="L3389" t="str">
        <f t="shared" si="52"/>
        <v>http://www.badatelna.eu/reprodukce/?fondId=1073&amp;zaznamId=1108952&amp;reproId=3778907</v>
      </c>
      <c r="M3389">
        <f>VLOOKUP(F3389,Sheet2!$B$1:$E$19,2,FALSE)</f>
        <v>1073</v>
      </c>
      <c r="N3389">
        <f>VLOOKUP(F3389,Sheet2!$B$1:$E$19,3,FALSE)</f>
        <v>1108952</v>
      </c>
      <c r="O3389">
        <f>IF(G3389="Not available","",VLOOKUP(F3389,Sheet2!$B$1:$E$19,4,FALSE)+(G3389-1))</f>
        <v>3778907</v>
      </c>
    </row>
    <row r="3390" spans="1:15" s="1" customFormat="1" ht="15" customHeight="1" x14ac:dyDescent="0.25">
      <c r="A3390" s="18" t="s">
        <v>367</v>
      </c>
      <c r="B3390" s="18" t="s">
        <v>1968</v>
      </c>
      <c r="C3390" s="10" t="s">
        <v>2081</v>
      </c>
      <c r="D3390" s="3" t="s">
        <v>2602</v>
      </c>
      <c r="E3390" s="4" t="s">
        <v>2</v>
      </c>
      <c r="F3390" s="18">
        <v>2176</v>
      </c>
      <c r="G3390" s="18" t="s">
        <v>3271</v>
      </c>
      <c r="H3390" s="10" t="s">
        <v>2053</v>
      </c>
      <c r="I3390" s="3">
        <v>35</v>
      </c>
      <c r="J3390" s="3" t="s">
        <v>3271</v>
      </c>
      <c r="K3390" s="3"/>
      <c r="L3390" t="str">
        <f t="shared" si="52"/>
        <v/>
      </c>
      <c r="M3390">
        <f>VLOOKUP(F3390,Sheet2!$B$1:$E$19,2,FALSE)</f>
        <v>1073</v>
      </c>
      <c r="N3390">
        <f>VLOOKUP(F3390,Sheet2!$B$1:$E$19,3,FALSE)</f>
        <v>1108963</v>
      </c>
      <c r="O3390" t="str">
        <f>IF(G3390="Not available","",VLOOKUP(F3390,Sheet2!$B$1:$E$19,4,FALSE)+(G3390-1))</f>
        <v/>
      </c>
    </row>
    <row r="3391" spans="1:15" s="1" customFormat="1" ht="15" customHeight="1" x14ac:dyDescent="0.25">
      <c r="A3391" s="18" t="s">
        <v>367</v>
      </c>
      <c r="B3391" s="18" t="s">
        <v>382</v>
      </c>
      <c r="C3391" s="5">
        <v>1800</v>
      </c>
      <c r="E3391" s="1" t="s">
        <v>2</v>
      </c>
      <c r="F3391" s="18">
        <v>2173</v>
      </c>
      <c r="G3391" s="18">
        <v>43</v>
      </c>
      <c r="H3391" s="5">
        <v>81</v>
      </c>
      <c r="I3391" s="1">
        <v>110</v>
      </c>
      <c r="J3391" s="1">
        <v>239</v>
      </c>
      <c r="L3391" t="str">
        <f t="shared" si="52"/>
        <v>http://www.badatelna.eu/reprodukce/?fondId=1073&amp;zaznamId=1108959&amp;reproId=3780036</v>
      </c>
      <c r="M3391">
        <f>VLOOKUP(F3391,Sheet2!$B$1:$E$19,2,FALSE)</f>
        <v>1073</v>
      </c>
      <c r="N3391">
        <f>VLOOKUP(F3391,Sheet2!$B$1:$E$19,3,FALSE)</f>
        <v>1108959</v>
      </c>
      <c r="O3391">
        <f>IF(G3391="Not available","",VLOOKUP(F3391,Sheet2!$B$1:$E$19,4,FALSE)+(G3391-1))</f>
        <v>3780036</v>
      </c>
    </row>
    <row r="3392" spans="1:15" s="1" customFormat="1" ht="15" customHeight="1" x14ac:dyDescent="0.25">
      <c r="A3392" s="18" t="s">
        <v>367</v>
      </c>
      <c r="B3392" s="19" t="s">
        <v>2988</v>
      </c>
      <c r="C3392" s="5">
        <v>1827</v>
      </c>
      <c r="E3392" s="1" t="s">
        <v>2</v>
      </c>
      <c r="F3392" s="18">
        <v>2173</v>
      </c>
      <c r="G3392" s="18">
        <v>80</v>
      </c>
      <c r="H3392" s="5">
        <v>152</v>
      </c>
      <c r="I3392" s="1">
        <v>111</v>
      </c>
      <c r="J3392" s="1">
        <v>241</v>
      </c>
      <c r="L3392" t="str">
        <f t="shared" si="52"/>
        <v>http://www.badatelna.eu/reprodukce/?fondId=1073&amp;zaznamId=1108959&amp;reproId=3780073</v>
      </c>
      <c r="M3392">
        <f>VLOOKUP(F3392,Sheet2!$B$1:$E$19,2,FALSE)</f>
        <v>1073</v>
      </c>
      <c r="N3392">
        <f>VLOOKUP(F3392,Sheet2!$B$1:$E$19,3,FALSE)</f>
        <v>1108959</v>
      </c>
      <c r="O3392">
        <f>IF(G3392="Not available","",VLOOKUP(F3392,Sheet2!$B$1:$E$19,4,FALSE)+(G3392-1))</f>
        <v>3780073</v>
      </c>
    </row>
    <row r="3393" spans="1:15" s="1" customFormat="1" ht="15" customHeight="1" x14ac:dyDescent="0.25">
      <c r="A3393" s="18" t="s">
        <v>367</v>
      </c>
      <c r="B3393" s="18" t="s">
        <v>897</v>
      </c>
      <c r="C3393" s="5">
        <v>1855</v>
      </c>
      <c r="D3393" s="1" t="s">
        <v>730</v>
      </c>
      <c r="E3393" s="1" t="s">
        <v>2</v>
      </c>
      <c r="F3393" s="18">
        <v>2164</v>
      </c>
      <c r="G3393" s="18">
        <v>101</v>
      </c>
      <c r="H3393" s="5">
        <v>99</v>
      </c>
      <c r="I3393" s="1">
        <v>136</v>
      </c>
      <c r="J3393" s="3" t="s">
        <v>3271</v>
      </c>
      <c r="L3393" t="str">
        <f t="shared" si="52"/>
        <v>http://www.badatelna.eu/reprodukce/?fondId=1073&amp;zaznamId=1108951&amp;reproId=3778815</v>
      </c>
      <c r="M3393">
        <f>VLOOKUP(F3393,Sheet2!$B$1:$E$19,2,FALSE)</f>
        <v>1073</v>
      </c>
      <c r="N3393">
        <f>VLOOKUP(F3393,Sheet2!$B$1:$E$19,3,FALSE)</f>
        <v>1108951</v>
      </c>
      <c r="O3393">
        <f>IF(G3393="Not available","",VLOOKUP(F3393,Sheet2!$B$1:$E$19,4,FALSE)+(G3393-1))</f>
        <v>3778815</v>
      </c>
    </row>
    <row r="3394" spans="1:15" s="1" customFormat="1" ht="15" customHeight="1" x14ac:dyDescent="0.25">
      <c r="A3394" s="18" t="s">
        <v>367</v>
      </c>
      <c r="B3394" s="18" t="s">
        <v>482</v>
      </c>
      <c r="C3394" s="5" t="s">
        <v>1535</v>
      </c>
      <c r="D3394" s="1" t="s">
        <v>1065</v>
      </c>
      <c r="E3394" s="1" t="s">
        <v>2</v>
      </c>
      <c r="F3394" s="18">
        <v>2165</v>
      </c>
      <c r="G3394" s="18">
        <v>28</v>
      </c>
      <c r="H3394" s="5">
        <v>25</v>
      </c>
      <c r="I3394" s="1">
        <v>90</v>
      </c>
      <c r="J3394" s="1" t="s">
        <v>3271</v>
      </c>
      <c r="L3394" t="str">
        <f t="shared" si="52"/>
        <v>http://www.badatelna.eu/reprodukce/?fondId=1073&amp;zaznamId=1108952&amp;reproId=3778889</v>
      </c>
      <c r="M3394">
        <f>VLOOKUP(F3394,Sheet2!$B$1:$E$19,2,FALSE)</f>
        <v>1073</v>
      </c>
      <c r="N3394">
        <f>VLOOKUP(F3394,Sheet2!$B$1:$E$19,3,FALSE)</f>
        <v>1108952</v>
      </c>
      <c r="O3394">
        <f>IF(G3394="Not available","",VLOOKUP(F3394,Sheet2!$B$1:$E$19,4,FALSE)+(G3394-1))</f>
        <v>3778889</v>
      </c>
    </row>
    <row r="3395" spans="1:15" s="1" customFormat="1" ht="15" customHeight="1" x14ac:dyDescent="0.25">
      <c r="A3395" s="18" t="s">
        <v>367</v>
      </c>
      <c r="B3395" s="18" t="s">
        <v>2609</v>
      </c>
      <c r="C3395" s="10" t="s">
        <v>2093</v>
      </c>
      <c r="D3395" s="3" t="s">
        <v>2610</v>
      </c>
      <c r="E3395" s="4" t="s">
        <v>2</v>
      </c>
      <c r="F3395" s="18">
        <v>2176</v>
      </c>
      <c r="G3395" s="18" t="s">
        <v>3271</v>
      </c>
      <c r="H3395" s="10" t="s">
        <v>1974</v>
      </c>
      <c r="I3395" s="3">
        <v>35</v>
      </c>
      <c r="J3395" s="3" t="s">
        <v>3271</v>
      </c>
      <c r="K3395" s="3"/>
      <c r="L3395" t="str">
        <f t="shared" ref="L3395:L3458" si="53">IF(G3395="Not available","","http://www.badatelna.eu/reprodukce/?fondId="&amp;M3395&amp;"&amp;zaznamId="&amp;N3395&amp;"&amp;reproId="&amp;O3395)</f>
        <v/>
      </c>
      <c r="M3395">
        <f>VLOOKUP(F3395,Sheet2!$B$1:$E$19,2,FALSE)</f>
        <v>1073</v>
      </c>
      <c r="N3395">
        <f>VLOOKUP(F3395,Sheet2!$B$1:$E$19,3,FALSE)</f>
        <v>1108963</v>
      </c>
      <c r="O3395" t="str">
        <f>IF(G3395="Not available","",VLOOKUP(F3395,Sheet2!$B$1:$E$19,4,FALSE)+(G3395-1))</f>
        <v/>
      </c>
    </row>
    <row r="3396" spans="1:15" s="1" customFormat="1" ht="15" customHeight="1" x14ac:dyDescent="0.25">
      <c r="A3396" s="18" t="s">
        <v>367</v>
      </c>
      <c r="B3396" s="18" t="s">
        <v>1112</v>
      </c>
      <c r="C3396" s="5" t="s">
        <v>1917</v>
      </c>
      <c r="D3396" s="1" t="s">
        <v>432</v>
      </c>
      <c r="E3396" s="1" t="s">
        <v>2</v>
      </c>
      <c r="F3396" s="18">
        <v>2165</v>
      </c>
      <c r="G3396" s="18">
        <v>276</v>
      </c>
      <c r="H3396" s="5">
        <v>2</v>
      </c>
      <c r="I3396" s="1">
        <v>278</v>
      </c>
      <c r="J3396" s="1">
        <v>252</v>
      </c>
      <c r="L3396" t="str">
        <f t="shared" si="53"/>
        <v>http://www.badatelna.eu/reprodukce/?fondId=1073&amp;zaznamId=1108952&amp;reproId=3779137</v>
      </c>
      <c r="M3396">
        <f>VLOOKUP(F3396,Sheet2!$B$1:$E$19,2,FALSE)</f>
        <v>1073</v>
      </c>
      <c r="N3396">
        <f>VLOOKUP(F3396,Sheet2!$B$1:$E$19,3,FALSE)</f>
        <v>1108952</v>
      </c>
      <c r="O3396">
        <f>IF(G3396="Not available","",VLOOKUP(F3396,Sheet2!$B$1:$E$19,4,FALSE)+(G3396-1))</f>
        <v>3779137</v>
      </c>
    </row>
    <row r="3397" spans="1:15" s="1" customFormat="1" ht="15" customHeight="1" x14ac:dyDescent="0.25">
      <c r="A3397" s="18" t="s">
        <v>367</v>
      </c>
      <c r="B3397" s="18" t="s">
        <v>191</v>
      </c>
      <c r="C3397" s="5">
        <v>1837</v>
      </c>
      <c r="D3397" s="1" t="s">
        <v>725</v>
      </c>
      <c r="E3397" s="1" t="s">
        <v>2</v>
      </c>
      <c r="F3397" s="18">
        <v>2174</v>
      </c>
      <c r="G3397" s="18">
        <v>90</v>
      </c>
      <c r="H3397" s="6" t="s">
        <v>3156</v>
      </c>
      <c r="I3397" s="1">
        <v>197</v>
      </c>
      <c r="J3397" s="1">
        <v>232</v>
      </c>
      <c r="L3397" t="str">
        <f t="shared" si="53"/>
        <v>http://www.badatelna.eu/reprodukce/?fondId=1073&amp;zaznamId=1108960&amp;reproId=3780314</v>
      </c>
      <c r="M3397">
        <f>VLOOKUP(F3397,Sheet2!$B$1:$E$19,2,FALSE)</f>
        <v>1073</v>
      </c>
      <c r="N3397">
        <f>VLOOKUP(F3397,Sheet2!$B$1:$E$19,3,FALSE)</f>
        <v>1108960</v>
      </c>
      <c r="O3397">
        <f>IF(G3397="Not available","",VLOOKUP(F3397,Sheet2!$B$1:$E$19,4,FALSE)+(G3397-1))</f>
        <v>3780314</v>
      </c>
    </row>
    <row r="3398" spans="1:15" s="1" customFormat="1" ht="15" customHeight="1" x14ac:dyDescent="0.25">
      <c r="A3398" s="18" t="s">
        <v>367</v>
      </c>
      <c r="B3398" s="18" t="s">
        <v>9</v>
      </c>
      <c r="C3398" s="5">
        <v>1814</v>
      </c>
      <c r="E3398" s="1" t="s">
        <v>2</v>
      </c>
      <c r="F3398" s="18">
        <v>2173</v>
      </c>
      <c r="G3398" s="18">
        <v>62</v>
      </c>
      <c r="H3398" s="5">
        <v>119</v>
      </c>
      <c r="I3398" s="1">
        <v>111</v>
      </c>
      <c r="J3398" s="1">
        <v>240</v>
      </c>
      <c r="L3398" t="str">
        <f t="shared" si="53"/>
        <v>http://www.badatelna.eu/reprodukce/?fondId=1073&amp;zaznamId=1108959&amp;reproId=3780055</v>
      </c>
      <c r="M3398">
        <f>VLOOKUP(F3398,Sheet2!$B$1:$E$19,2,FALSE)</f>
        <v>1073</v>
      </c>
      <c r="N3398">
        <f>VLOOKUP(F3398,Sheet2!$B$1:$E$19,3,FALSE)</f>
        <v>1108959</v>
      </c>
      <c r="O3398">
        <f>IF(G3398="Not available","",VLOOKUP(F3398,Sheet2!$B$1:$E$19,4,FALSE)+(G3398-1))</f>
        <v>3780055</v>
      </c>
    </row>
    <row r="3399" spans="1:15" s="1" customFormat="1" ht="15" customHeight="1" x14ac:dyDescent="0.25">
      <c r="A3399" s="18" t="s">
        <v>367</v>
      </c>
      <c r="B3399" s="18" t="s">
        <v>9</v>
      </c>
      <c r="C3399" s="5">
        <v>1842</v>
      </c>
      <c r="D3399" s="1" t="s">
        <v>21</v>
      </c>
      <c r="E3399" s="1" t="s">
        <v>2</v>
      </c>
      <c r="F3399" s="18">
        <v>2174</v>
      </c>
      <c r="G3399" s="18">
        <v>130</v>
      </c>
      <c r="H3399" s="6" t="s">
        <v>3191</v>
      </c>
      <c r="I3399" s="1">
        <v>197</v>
      </c>
      <c r="J3399" s="1">
        <v>232</v>
      </c>
      <c r="L3399" t="str">
        <f t="shared" si="53"/>
        <v>http://www.badatelna.eu/reprodukce/?fondId=1073&amp;zaznamId=1108960&amp;reproId=3780354</v>
      </c>
      <c r="M3399">
        <f>VLOOKUP(F3399,Sheet2!$B$1:$E$19,2,FALSE)</f>
        <v>1073</v>
      </c>
      <c r="N3399">
        <f>VLOOKUP(F3399,Sheet2!$B$1:$E$19,3,FALSE)</f>
        <v>1108960</v>
      </c>
      <c r="O3399">
        <f>IF(G3399="Not available","",VLOOKUP(F3399,Sheet2!$B$1:$E$19,4,FALSE)+(G3399-1))</f>
        <v>3780354</v>
      </c>
    </row>
    <row r="3400" spans="1:15" s="1" customFormat="1" ht="15" customHeight="1" x14ac:dyDescent="0.25">
      <c r="A3400" s="18" t="s">
        <v>367</v>
      </c>
      <c r="B3400" s="18" t="s">
        <v>9</v>
      </c>
      <c r="C3400" s="5">
        <v>1865</v>
      </c>
      <c r="E3400" s="1" t="s">
        <v>939</v>
      </c>
      <c r="F3400" s="18">
        <v>999</v>
      </c>
      <c r="G3400" s="18">
        <v>56</v>
      </c>
      <c r="H3400" s="5">
        <v>54</v>
      </c>
      <c r="I3400" s="1">
        <v>74</v>
      </c>
      <c r="J3400" s="1">
        <v>108</v>
      </c>
      <c r="L3400" t="str">
        <f t="shared" si="53"/>
        <v>http://www.badatelna.eu/reprodukce/?fondId=241&amp;zaznamId=1133739&amp;reproId=3885785</v>
      </c>
      <c r="M3400">
        <f>VLOOKUP(F3400,Sheet2!$B$1:$E$19,2,FALSE)</f>
        <v>241</v>
      </c>
      <c r="N3400">
        <f>VLOOKUP(F3400,Sheet2!$B$1:$E$19,3,FALSE)</f>
        <v>1133739</v>
      </c>
      <c r="O3400">
        <f>IF(G3400="Not available","",VLOOKUP(F3400,Sheet2!$B$1:$E$19,4,FALSE)+(G3400-1))</f>
        <v>3885785</v>
      </c>
    </row>
    <row r="3401" spans="1:15" s="1" customFormat="1" ht="15" customHeight="1" x14ac:dyDescent="0.25">
      <c r="A3401" s="18" t="s">
        <v>367</v>
      </c>
      <c r="B3401" s="18" t="s">
        <v>769</v>
      </c>
      <c r="C3401" s="10" t="s">
        <v>2026</v>
      </c>
      <c r="D3401" s="3" t="s">
        <v>2580</v>
      </c>
      <c r="E3401" s="4" t="s">
        <v>2</v>
      </c>
      <c r="F3401" s="18">
        <v>2176</v>
      </c>
      <c r="G3401" s="18" t="s">
        <v>3271</v>
      </c>
      <c r="H3401" s="10" t="s">
        <v>2080</v>
      </c>
      <c r="I3401" s="3">
        <v>34</v>
      </c>
      <c r="J3401" s="3" t="s">
        <v>3271</v>
      </c>
      <c r="K3401" s="3"/>
      <c r="L3401" t="str">
        <f t="shared" si="53"/>
        <v/>
      </c>
      <c r="M3401">
        <f>VLOOKUP(F3401,Sheet2!$B$1:$E$19,2,FALSE)</f>
        <v>1073</v>
      </c>
      <c r="N3401">
        <f>VLOOKUP(F3401,Sheet2!$B$1:$E$19,3,FALSE)</f>
        <v>1108963</v>
      </c>
      <c r="O3401" t="str">
        <f>IF(G3401="Not available","",VLOOKUP(F3401,Sheet2!$B$1:$E$19,4,FALSE)+(G3401-1))</f>
        <v/>
      </c>
    </row>
    <row r="3402" spans="1:15" s="1" customFormat="1" ht="15" customHeight="1" x14ac:dyDescent="0.25">
      <c r="A3402" s="18" t="s">
        <v>367</v>
      </c>
      <c r="B3402" s="18" t="s">
        <v>769</v>
      </c>
      <c r="C3402" s="5" t="s">
        <v>1735</v>
      </c>
      <c r="D3402" s="1" t="s">
        <v>377</v>
      </c>
      <c r="E3402" s="1" t="s">
        <v>2</v>
      </c>
      <c r="F3402" s="18">
        <v>2165</v>
      </c>
      <c r="G3402" s="18">
        <v>6</v>
      </c>
      <c r="H3402" s="5">
        <v>3</v>
      </c>
      <c r="I3402" s="1">
        <v>171</v>
      </c>
      <c r="J3402" s="1">
        <v>149</v>
      </c>
      <c r="L3402" t="str">
        <f t="shared" si="53"/>
        <v>http://www.badatelna.eu/reprodukce/?fondId=1073&amp;zaznamId=1108952&amp;reproId=3778867</v>
      </c>
      <c r="M3402">
        <f>VLOOKUP(F3402,Sheet2!$B$1:$E$19,2,FALSE)</f>
        <v>1073</v>
      </c>
      <c r="N3402">
        <f>VLOOKUP(F3402,Sheet2!$B$1:$E$19,3,FALSE)</f>
        <v>1108952</v>
      </c>
      <c r="O3402">
        <f>IF(G3402="Not available","",VLOOKUP(F3402,Sheet2!$B$1:$E$19,4,FALSE)+(G3402-1))</f>
        <v>3778867</v>
      </c>
    </row>
    <row r="3403" spans="1:15" s="1" customFormat="1" ht="15" customHeight="1" x14ac:dyDescent="0.25">
      <c r="A3403" s="18" t="s">
        <v>367</v>
      </c>
      <c r="B3403" s="18" t="s">
        <v>490</v>
      </c>
      <c r="C3403" s="5">
        <v>1854</v>
      </c>
      <c r="D3403" s="1" t="s">
        <v>730</v>
      </c>
      <c r="E3403" s="1" t="s">
        <v>2</v>
      </c>
      <c r="F3403" s="18">
        <v>2164</v>
      </c>
      <c r="G3403" s="18">
        <v>94</v>
      </c>
      <c r="H3403" s="5">
        <v>92</v>
      </c>
      <c r="I3403" s="1">
        <v>136</v>
      </c>
      <c r="J3403" s="3" t="s">
        <v>3271</v>
      </c>
      <c r="L3403" t="str">
        <f t="shared" si="53"/>
        <v>http://www.badatelna.eu/reprodukce/?fondId=1073&amp;zaznamId=1108951&amp;reproId=3778808</v>
      </c>
      <c r="M3403">
        <f>VLOOKUP(F3403,Sheet2!$B$1:$E$19,2,FALSE)</f>
        <v>1073</v>
      </c>
      <c r="N3403">
        <f>VLOOKUP(F3403,Sheet2!$B$1:$E$19,3,FALSE)</f>
        <v>1108951</v>
      </c>
      <c r="O3403">
        <f>IF(G3403="Not available","",VLOOKUP(F3403,Sheet2!$B$1:$E$19,4,FALSE)+(G3403-1))</f>
        <v>3778808</v>
      </c>
    </row>
    <row r="3404" spans="1:15" s="1" customFormat="1" ht="15" customHeight="1" x14ac:dyDescent="0.25">
      <c r="A3404" s="18" t="s">
        <v>367</v>
      </c>
      <c r="B3404" s="18" t="s">
        <v>1051</v>
      </c>
      <c r="C3404" s="5" t="s">
        <v>1825</v>
      </c>
      <c r="D3404" s="1" t="s">
        <v>377</v>
      </c>
      <c r="E3404" s="1" t="s">
        <v>2</v>
      </c>
      <c r="F3404" s="18">
        <v>2165</v>
      </c>
      <c r="G3404" s="18">
        <v>248</v>
      </c>
      <c r="H3404" s="5">
        <v>2</v>
      </c>
      <c r="I3404" s="1">
        <v>250</v>
      </c>
      <c r="J3404" s="1">
        <v>226</v>
      </c>
      <c r="L3404" t="str">
        <f t="shared" si="53"/>
        <v>http://www.badatelna.eu/reprodukce/?fondId=1073&amp;zaznamId=1108952&amp;reproId=3779109</v>
      </c>
      <c r="M3404">
        <f>VLOOKUP(F3404,Sheet2!$B$1:$E$19,2,FALSE)</f>
        <v>1073</v>
      </c>
      <c r="N3404">
        <f>VLOOKUP(F3404,Sheet2!$B$1:$E$19,3,FALSE)</f>
        <v>1108952</v>
      </c>
      <c r="O3404">
        <f>IF(G3404="Not available","",VLOOKUP(F3404,Sheet2!$B$1:$E$19,4,FALSE)+(G3404-1))</f>
        <v>3779109</v>
      </c>
    </row>
    <row r="3405" spans="1:15" s="1" customFormat="1" ht="15" customHeight="1" x14ac:dyDescent="0.25">
      <c r="A3405" s="18" t="s">
        <v>367</v>
      </c>
      <c r="B3405" s="18" t="s">
        <v>59</v>
      </c>
      <c r="C3405" s="5">
        <v>1794</v>
      </c>
      <c r="D3405" s="1" t="s">
        <v>52</v>
      </c>
      <c r="E3405" s="1" t="s">
        <v>2</v>
      </c>
      <c r="F3405" s="18">
        <v>2173</v>
      </c>
      <c r="G3405" s="18">
        <v>31</v>
      </c>
      <c r="H3405" s="5">
        <v>57</v>
      </c>
      <c r="I3405" s="1">
        <v>110</v>
      </c>
      <c r="J3405" s="1">
        <v>239</v>
      </c>
      <c r="L3405" t="str">
        <f t="shared" si="53"/>
        <v>http://www.badatelna.eu/reprodukce/?fondId=1073&amp;zaznamId=1108959&amp;reproId=3780024</v>
      </c>
      <c r="M3405">
        <f>VLOOKUP(F3405,Sheet2!$B$1:$E$19,2,FALSE)</f>
        <v>1073</v>
      </c>
      <c r="N3405">
        <f>VLOOKUP(F3405,Sheet2!$B$1:$E$19,3,FALSE)</f>
        <v>1108959</v>
      </c>
      <c r="O3405">
        <f>IF(G3405="Not available","",VLOOKUP(F3405,Sheet2!$B$1:$E$19,4,FALSE)+(G3405-1))</f>
        <v>3780024</v>
      </c>
    </row>
    <row r="3406" spans="1:15" s="1" customFormat="1" ht="15" customHeight="1" x14ac:dyDescent="0.25">
      <c r="A3406" s="18" t="s">
        <v>367</v>
      </c>
      <c r="B3406" s="18" t="s">
        <v>59</v>
      </c>
      <c r="C3406" s="5">
        <v>1798</v>
      </c>
      <c r="D3406" s="1" t="s">
        <v>34</v>
      </c>
      <c r="E3406" s="1" t="s">
        <v>2</v>
      </c>
      <c r="F3406" s="18">
        <v>2173</v>
      </c>
      <c r="G3406" s="18">
        <v>38</v>
      </c>
      <c r="H3406" s="5">
        <v>71</v>
      </c>
      <c r="I3406" s="1">
        <v>110</v>
      </c>
      <c r="J3406" s="1">
        <v>239</v>
      </c>
      <c r="L3406" t="str">
        <f t="shared" si="53"/>
        <v>http://www.badatelna.eu/reprodukce/?fondId=1073&amp;zaznamId=1108959&amp;reproId=3780031</v>
      </c>
      <c r="M3406">
        <f>VLOOKUP(F3406,Sheet2!$B$1:$E$19,2,FALSE)</f>
        <v>1073</v>
      </c>
      <c r="N3406">
        <f>VLOOKUP(F3406,Sheet2!$B$1:$E$19,3,FALSE)</f>
        <v>1108959</v>
      </c>
      <c r="O3406">
        <f>IF(G3406="Not available","",VLOOKUP(F3406,Sheet2!$B$1:$E$19,4,FALSE)+(G3406-1))</f>
        <v>3780031</v>
      </c>
    </row>
    <row r="3407" spans="1:15" s="1" customFormat="1" ht="15" customHeight="1" x14ac:dyDescent="0.25">
      <c r="A3407" s="18" t="s">
        <v>367</v>
      </c>
      <c r="B3407" s="18" t="s">
        <v>59</v>
      </c>
      <c r="C3407" s="5">
        <v>1829</v>
      </c>
      <c r="E3407" s="1" t="s">
        <v>2</v>
      </c>
      <c r="F3407" s="18">
        <v>2173</v>
      </c>
      <c r="G3407" s="18">
        <v>82</v>
      </c>
      <c r="H3407" s="5">
        <v>157</v>
      </c>
      <c r="I3407" s="1">
        <v>111</v>
      </c>
      <c r="J3407" s="1">
        <v>241</v>
      </c>
      <c r="L3407" t="str">
        <f t="shared" si="53"/>
        <v>http://www.badatelna.eu/reprodukce/?fondId=1073&amp;zaznamId=1108959&amp;reproId=3780075</v>
      </c>
      <c r="M3407">
        <f>VLOOKUP(F3407,Sheet2!$B$1:$E$19,2,FALSE)</f>
        <v>1073</v>
      </c>
      <c r="N3407">
        <f>VLOOKUP(F3407,Sheet2!$B$1:$E$19,3,FALSE)</f>
        <v>1108959</v>
      </c>
      <c r="O3407">
        <f>IF(G3407="Not available","",VLOOKUP(F3407,Sheet2!$B$1:$E$19,4,FALSE)+(G3407-1))</f>
        <v>3780075</v>
      </c>
    </row>
    <row r="3408" spans="1:15" s="1" customFormat="1" ht="15" customHeight="1" x14ac:dyDescent="0.25">
      <c r="A3408" s="18" t="s">
        <v>367</v>
      </c>
      <c r="B3408" s="18" t="s">
        <v>2376</v>
      </c>
      <c r="C3408" s="10" t="s">
        <v>2092</v>
      </c>
      <c r="D3408" s="3" t="s">
        <v>2602</v>
      </c>
      <c r="E3408" s="4" t="s">
        <v>2</v>
      </c>
      <c r="F3408" s="18">
        <v>2176</v>
      </c>
      <c r="G3408" s="18" t="s">
        <v>3271</v>
      </c>
      <c r="H3408" s="10" t="s">
        <v>1959</v>
      </c>
      <c r="I3408" s="3">
        <v>35</v>
      </c>
      <c r="J3408" s="3" t="s">
        <v>3271</v>
      </c>
      <c r="K3408" s="3"/>
      <c r="L3408" t="str">
        <f t="shared" si="53"/>
        <v/>
      </c>
      <c r="M3408">
        <f>VLOOKUP(F3408,Sheet2!$B$1:$E$19,2,FALSE)</f>
        <v>1073</v>
      </c>
      <c r="N3408">
        <f>VLOOKUP(F3408,Sheet2!$B$1:$E$19,3,FALSE)</f>
        <v>1108963</v>
      </c>
      <c r="O3408" t="str">
        <f>IF(G3408="Not available","",VLOOKUP(F3408,Sheet2!$B$1:$E$19,4,FALSE)+(G3408-1))</f>
        <v/>
      </c>
    </row>
    <row r="3409" spans="1:15" s="1" customFormat="1" ht="15" customHeight="1" x14ac:dyDescent="0.25">
      <c r="A3409" s="18" t="s">
        <v>367</v>
      </c>
      <c r="B3409" s="18" t="s">
        <v>889</v>
      </c>
      <c r="C3409" s="5" t="s">
        <v>1900</v>
      </c>
      <c r="D3409" s="1" t="s">
        <v>377</v>
      </c>
      <c r="E3409" s="1" t="s">
        <v>2</v>
      </c>
      <c r="F3409" s="18">
        <v>2165</v>
      </c>
      <c r="G3409" s="18">
        <v>271</v>
      </c>
      <c r="H3409" s="5">
        <v>3</v>
      </c>
      <c r="I3409" s="1">
        <v>272</v>
      </c>
      <c r="J3409" s="1">
        <v>246</v>
      </c>
      <c r="L3409" t="str">
        <f t="shared" si="53"/>
        <v>http://www.badatelna.eu/reprodukce/?fondId=1073&amp;zaznamId=1108952&amp;reproId=3779132</v>
      </c>
      <c r="M3409">
        <f>VLOOKUP(F3409,Sheet2!$B$1:$E$19,2,FALSE)</f>
        <v>1073</v>
      </c>
      <c r="N3409">
        <f>VLOOKUP(F3409,Sheet2!$B$1:$E$19,3,FALSE)</f>
        <v>1108952</v>
      </c>
      <c r="O3409">
        <f>IF(G3409="Not available","",VLOOKUP(F3409,Sheet2!$B$1:$E$19,4,FALSE)+(G3409-1))</f>
        <v>3779132</v>
      </c>
    </row>
    <row r="3410" spans="1:15" s="1" customFormat="1" ht="15" customHeight="1" x14ac:dyDescent="0.25">
      <c r="A3410" s="18" t="s">
        <v>367</v>
      </c>
      <c r="B3410" s="18" t="s">
        <v>1259</v>
      </c>
      <c r="C3410" s="10" t="s">
        <v>2097</v>
      </c>
      <c r="D3410" s="3" t="s">
        <v>2602</v>
      </c>
      <c r="E3410" s="4" t="s">
        <v>2</v>
      </c>
      <c r="F3410" s="18">
        <v>2176</v>
      </c>
      <c r="G3410" s="18" t="s">
        <v>3271</v>
      </c>
      <c r="H3410" s="10" t="s">
        <v>2094</v>
      </c>
      <c r="I3410" s="3">
        <v>35</v>
      </c>
      <c r="J3410" s="3" t="s">
        <v>3271</v>
      </c>
      <c r="K3410" s="3"/>
      <c r="L3410" t="str">
        <f t="shared" si="53"/>
        <v/>
      </c>
      <c r="M3410">
        <f>VLOOKUP(F3410,Sheet2!$B$1:$E$19,2,FALSE)</f>
        <v>1073</v>
      </c>
      <c r="N3410">
        <f>VLOOKUP(F3410,Sheet2!$B$1:$E$19,3,FALSE)</f>
        <v>1108963</v>
      </c>
      <c r="O3410" t="str">
        <f>IF(G3410="Not available","",VLOOKUP(F3410,Sheet2!$B$1:$E$19,4,FALSE)+(G3410-1))</f>
        <v/>
      </c>
    </row>
    <row r="3411" spans="1:15" s="1" customFormat="1" ht="15" customHeight="1" x14ac:dyDescent="0.25">
      <c r="A3411" s="18" t="s">
        <v>367</v>
      </c>
      <c r="B3411" s="18" t="s">
        <v>1259</v>
      </c>
      <c r="C3411" s="14" t="s">
        <v>2097</v>
      </c>
      <c r="D3411" s="4" t="s">
        <v>377</v>
      </c>
      <c r="E3411" s="1" t="s">
        <v>2</v>
      </c>
      <c r="F3411" s="18">
        <v>2165</v>
      </c>
      <c r="G3411" s="18">
        <v>293</v>
      </c>
      <c r="H3411" s="5">
        <v>2</v>
      </c>
      <c r="I3411" s="1">
        <v>295</v>
      </c>
      <c r="J3411" s="1">
        <v>268</v>
      </c>
      <c r="L3411" t="str">
        <f t="shared" si="53"/>
        <v>http://www.badatelna.eu/reprodukce/?fondId=1073&amp;zaznamId=1108952&amp;reproId=3779154</v>
      </c>
      <c r="M3411">
        <f>VLOOKUP(F3411,Sheet2!$B$1:$E$19,2,FALSE)</f>
        <v>1073</v>
      </c>
      <c r="N3411">
        <f>VLOOKUP(F3411,Sheet2!$B$1:$E$19,3,FALSE)</f>
        <v>1108952</v>
      </c>
      <c r="O3411">
        <f>IF(G3411="Not available","",VLOOKUP(F3411,Sheet2!$B$1:$E$19,4,FALSE)+(G3411-1))</f>
        <v>3779154</v>
      </c>
    </row>
    <row r="3412" spans="1:15" s="1" customFormat="1" ht="15" customHeight="1" x14ac:dyDescent="0.25">
      <c r="A3412" s="18" t="s">
        <v>367</v>
      </c>
      <c r="B3412" s="18" t="s">
        <v>1136</v>
      </c>
      <c r="C3412" s="10" t="s">
        <v>1969</v>
      </c>
      <c r="D3412" s="3" t="s">
        <v>2548</v>
      </c>
      <c r="E3412" s="4" t="s">
        <v>2</v>
      </c>
      <c r="F3412" s="18">
        <v>2176</v>
      </c>
      <c r="G3412" s="18" t="s">
        <v>3271</v>
      </c>
      <c r="H3412" s="10" t="s">
        <v>2549</v>
      </c>
      <c r="I3412" s="3">
        <v>33</v>
      </c>
      <c r="J3412" s="3" t="s">
        <v>3271</v>
      </c>
      <c r="L3412" t="str">
        <f t="shared" si="53"/>
        <v/>
      </c>
      <c r="M3412">
        <f>VLOOKUP(F3412,Sheet2!$B$1:$E$19,2,FALSE)</f>
        <v>1073</v>
      </c>
      <c r="N3412">
        <f>VLOOKUP(F3412,Sheet2!$B$1:$E$19,3,FALSE)</f>
        <v>1108963</v>
      </c>
      <c r="O3412" t="str">
        <f>IF(G3412="Not available","",VLOOKUP(F3412,Sheet2!$B$1:$E$19,4,FALSE)+(G3412-1))</f>
        <v/>
      </c>
    </row>
    <row r="3413" spans="1:15" s="1" customFormat="1" ht="15" customHeight="1" x14ac:dyDescent="0.25">
      <c r="A3413" s="18" t="s">
        <v>367</v>
      </c>
      <c r="B3413" s="18" t="s">
        <v>2134</v>
      </c>
      <c r="C3413" s="10" t="s">
        <v>2005</v>
      </c>
      <c r="D3413" s="3" t="s">
        <v>2837</v>
      </c>
      <c r="E3413" s="4" t="s">
        <v>2</v>
      </c>
      <c r="F3413" s="18">
        <v>2176</v>
      </c>
      <c r="G3413" s="18" t="s">
        <v>3271</v>
      </c>
      <c r="H3413" s="10" t="s">
        <v>2175</v>
      </c>
      <c r="I3413" s="3">
        <v>33</v>
      </c>
      <c r="J3413" s="3" t="s">
        <v>3271</v>
      </c>
      <c r="K3413" s="3"/>
      <c r="L3413" t="str">
        <f t="shared" si="53"/>
        <v/>
      </c>
      <c r="M3413">
        <f>VLOOKUP(F3413,Sheet2!$B$1:$E$19,2,FALSE)</f>
        <v>1073</v>
      </c>
      <c r="N3413">
        <f>VLOOKUP(F3413,Sheet2!$B$1:$E$19,3,FALSE)</f>
        <v>1108963</v>
      </c>
      <c r="O3413" t="str">
        <f>IF(G3413="Not available","",VLOOKUP(F3413,Sheet2!$B$1:$E$19,4,FALSE)+(G3413-1))</f>
        <v/>
      </c>
    </row>
    <row r="3414" spans="1:15" s="1" customFormat="1" ht="15" customHeight="1" x14ac:dyDescent="0.25">
      <c r="A3414" s="18" t="s">
        <v>367</v>
      </c>
      <c r="B3414" s="18" t="s">
        <v>436</v>
      </c>
      <c r="C3414" s="5" t="s">
        <v>1544</v>
      </c>
      <c r="D3414" s="1" t="s">
        <v>998</v>
      </c>
      <c r="E3414" s="1" t="s">
        <v>2</v>
      </c>
      <c r="F3414" s="18">
        <v>2165</v>
      </c>
      <c r="G3414" s="18">
        <v>41</v>
      </c>
      <c r="H3414" s="5">
        <v>38</v>
      </c>
      <c r="I3414" s="1">
        <v>90</v>
      </c>
      <c r="J3414" s="1" t="s">
        <v>3271</v>
      </c>
      <c r="L3414" t="str">
        <f t="shared" si="53"/>
        <v>http://www.badatelna.eu/reprodukce/?fondId=1073&amp;zaznamId=1108952&amp;reproId=3778902</v>
      </c>
      <c r="M3414">
        <f>VLOOKUP(F3414,Sheet2!$B$1:$E$19,2,FALSE)</f>
        <v>1073</v>
      </c>
      <c r="N3414">
        <f>VLOOKUP(F3414,Sheet2!$B$1:$E$19,3,FALSE)</f>
        <v>1108952</v>
      </c>
      <c r="O3414">
        <f>IF(G3414="Not available","",VLOOKUP(F3414,Sheet2!$B$1:$E$19,4,FALSE)+(G3414-1))</f>
        <v>3778902</v>
      </c>
    </row>
    <row r="3415" spans="1:15" s="1" customFormat="1" ht="15" customHeight="1" x14ac:dyDescent="0.25">
      <c r="A3415" s="18" t="s">
        <v>367</v>
      </c>
      <c r="B3415" s="18" t="s">
        <v>1052</v>
      </c>
      <c r="C3415" s="10" t="s">
        <v>2074</v>
      </c>
      <c r="D3415" s="3" t="s">
        <v>2602</v>
      </c>
      <c r="E3415" s="4" t="s">
        <v>2</v>
      </c>
      <c r="F3415" s="18">
        <v>2176</v>
      </c>
      <c r="G3415" s="18" t="s">
        <v>3271</v>
      </c>
      <c r="H3415" s="10" t="s">
        <v>2323</v>
      </c>
      <c r="I3415" s="3">
        <v>34</v>
      </c>
      <c r="J3415" s="3" t="s">
        <v>3271</v>
      </c>
      <c r="K3415" s="3"/>
      <c r="L3415" t="str">
        <f t="shared" si="53"/>
        <v/>
      </c>
      <c r="M3415">
        <f>VLOOKUP(F3415,Sheet2!$B$1:$E$19,2,FALSE)</f>
        <v>1073</v>
      </c>
      <c r="N3415">
        <f>VLOOKUP(F3415,Sheet2!$B$1:$E$19,3,FALSE)</f>
        <v>1108963</v>
      </c>
      <c r="O3415" t="str">
        <f>IF(G3415="Not available","",VLOOKUP(F3415,Sheet2!$B$1:$E$19,4,FALSE)+(G3415-1))</f>
        <v/>
      </c>
    </row>
    <row r="3416" spans="1:15" s="1" customFormat="1" ht="15" customHeight="1" x14ac:dyDescent="0.25">
      <c r="A3416" s="18" t="s">
        <v>367</v>
      </c>
      <c r="B3416" s="18" t="s">
        <v>1052</v>
      </c>
      <c r="C3416" s="5" t="s">
        <v>1785</v>
      </c>
      <c r="D3416" s="1" t="s">
        <v>377</v>
      </c>
      <c r="E3416" s="1" t="s">
        <v>2</v>
      </c>
      <c r="F3416" s="18">
        <v>2165</v>
      </c>
      <c r="G3416" s="18">
        <v>235</v>
      </c>
      <c r="H3416" s="5">
        <v>2</v>
      </c>
      <c r="I3416" s="1">
        <v>238</v>
      </c>
      <c r="J3416" s="1">
        <v>214</v>
      </c>
      <c r="L3416" t="str">
        <f t="shared" si="53"/>
        <v>http://www.badatelna.eu/reprodukce/?fondId=1073&amp;zaznamId=1108952&amp;reproId=3779096</v>
      </c>
      <c r="M3416">
        <f>VLOOKUP(F3416,Sheet2!$B$1:$E$19,2,FALSE)</f>
        <v>1073</v>
      </c>
      <c r="N3416">
        <f>VLOOKUP(F3416,Sheet2!$B$1:$E$19,3,FALSE)</f>
        <v>1108952</v>
      </c>
      <c r="O3416">
        <f>IF(G3416="Not available","",VLOOKUP(F3416,Sheet2!$B$1:$E$19,4,FALSE)+(G3416-1))</f>
        <v>3779096</v>
      </c>
    </row>
    <row r="3417" spans="1:15" s="1" customFormat="1" ht="15" customHeight="1" x14ac:dyDescent="0.25">
      <c r="A3417" s="18" t="s">
        <v>367</v>
      </c>
      <c r="B3417" s="18" t="s">
        <v>1102</v>
      </c>
      <c r="C3417" s="10" t="s">
        <v>2068</v>
      </c>
      <c r="D3417" s="3" t="s">
        <v>2602</v>
      </c>
      <c r="E3417" s="4" t="s">
        <v>2</v>
      </c>
      <c r="F3417" s="18">
        <v>2176</v>
      </c>
      <c r="G3417" s="18" t="s">
        <v>3271</v>
      </c>
      <c r="H3417" s="10" t="s">
        <v>1981</v>
      </c>
      <c r="I3417" s="3">
        <v>34</v>
      </c>
      <c r="J3417" s="3" t="s">
        <v>3271</v>
      </c>
      <c r="K3417" s="3"/>
      <c r="L3417" t="str">
        <f t="shared" si="53"/>
        <v/>
      </c>
      <c r="M3417">
        <f>VLOOKUP(F3417,Sheet2!$B$1:$E$19,2,FALSE)</f>
        <v>1073</v>
      </c>
      <c r="N3417">
        <f>VLOOKUP(F3417,Sheet2!$B$1:$E$19,3,FALSE)</f>
        <v>1108963</v>
      </c>
      <c r="O3417" t="str">
        <f>IF(G3417="Not available","",VLOOKUP(F3417,Sheet2!$B$1:$E$19,4,FALSE)+(G3417-1))</f>
        <v/>
      </c>
    </row>
    <row r="3418" spans="1:15" s="1" customFormat="1" ht="15" customHeight="1" x14ac:dyDescent="0.25">
      <c r="A3418" s="18" t="s">
        <v>367</v>
      </c>
      <c r="B3418" s="18" t="s">
        <v>1102</v>
      </c>
      <c r="C3418" s="5">
        <v>1889</v>
      </c>
      <c r="D3418" s="1" t="s">
        <v>377</v>
      </c>
      <c r="E3418" s="1" t="s">
        <v>2</v>
      </c>
      <c r="F3418" s="18">
        <v>2165</v>
      </c>
      <c r="G3418" s="18">
        <v>223</v>
      </c>
      <c r="H3418" s="5">
        <v>3</v>
      </c>
      <c r="I3418" s="1">
        <v>225</v>
      </c>
      <c r="J3418" s="1">
        <v>201</v>
      </c>
      <c r="L3418" t="str">
        <f t="shared" si="53"/>
        <v>http://www.badatelna.eu/reprodukce/?fondId=1073&amp;zaznamId=1108952&amp;reproId=3779084</v>
      </c>
      <c r="M3418">
        <f>VLOOKUP(F3418,Sheet2!$B$1:$E$19,2,FALSE)</f>
        <v>1073</v>
      </c>
      <c r="N3418">
        <f>VLOOKUP(F3418,Sheet2!$B$1:$E$19,3,FALSE)</f>
        <v>1108952</v>
      </c>
      <c r="O3418">
        <f>IF(G3418="Not available","",VLOOKUP(F3418,Sheet2!$B$1:$E$19,4,FALSE)+(G3418-1))</f>
        <v>3779084</v>
      </c>
    </row>
    <row r="3419" spans="1:15" s="1" customFormat="1" ht="15" customHeight="1" x14ac:dyDescent="0.25">
      <c r="A3419" s="18" t="s">
        <v>367</v>
      </c>
      <c r="B3419" s="18" t="s">
        <v>370</v>
      </c>
      <c r="C3419" s="5">
        <v>1848</v>
      </c>
      <c r="D3419" s="1" t="s">
        <v>730</v>
      </c>
      <c r="E3419" s="1" t="s">
        <v>2</v>
      </c>
      <c r="F3419" s="18">
        <v>2164</v>
      </c>
      <c r="G3419" s="18">
        <v>31</v>
      </c>
      <c r="H3419" s="5">
        <v>29</v>
      </c>
      <c r="I3419" s="1">
        <v>136</v>
      </c>
      <c r="J3419" s="3" t="s">
        <v>3271</v>
      </c>
      <c r="L3419" t="str">
        <f t="shared" si="53"/>
        <v>http://www.badatelna.eu/reprodukce/?fondId=1073&amp;zaznamId=1108951&amp;reproId=3778745</v>
      </c>
      <c r="M3419">
        <f>VLOOKUP(F3419,Sheet2!$B$1:$E$19,2,FALSE)</f>
        <v>1073</v>
      </c>
      <c r="N3419">
        <f>VLOOKUP(F3419,Sheet2!$B$1:$E$19,3,FALSE)</f>
        <v>1108951</v>
      </c>
      <c r="O3419">
        <f>IF(G3419="Not available","",VLOOKUP(F3419,Sheet2!$B$1:$E$19,4,FALSE)+(G3419-1))</f>
        <v>3778745</v>
      </c>
    </row>
    <row r="3420" spans="1:15" s="1" customFormat="1" ht="15" customHeight="1" x14ac:dyDescent="0.25">
      <c r="A3420" s="18" t="s">
        <v>367</v>
      </c>
      <c r="B3420" s="19" t="s">
        <v>370</v>
      </c>
      <c r="C3420" s="5">
        <v>1858</v>
      </c>
      <c r="E3420" s="1" t="s">
        <v>939</v>
      </c>
      <c r="F3420" s="18">
        <v>999</v>
      </c>
      <c r="G3420" s="18">
        <v>10</v>
      </c>
      <c r="H3420" s="5">
        <v>8</v>
      </c>
      <c r="I3420" s="1">
        <v>74</v>
      </c>
      <c r="J3420" s="1">
        <v>108</v>
      </c>
      <c r="L3420" t="str">
        <f t="shared" si="53"/>
        <v>http://www.badatelna.eu/reprodukce/?fondId=241&amp;zaznamId=1133739&amp;reproId=3885739</v>
      </c>
      <c r="M3420">
        <f>VLOOKUP(F3420,Sheet2!$B$1:$E$19,2,FALSE)</f>
        <v>241</v>
      </c>
      <c r="N3420">
        <f>VLOOKUP(F3420,Sheet2!$B$1:$E$19,3,FALSE)</f>
        <v>1133739</v>
      </c>
      <c r="O3420">
        <f>IF(G3420="Not available","",VLOOKUP(F3420,Sheet2!$B$1:$E$19,4,FALSE)+(G3420-1))</f>
        <v>3885739</v>
      </c>
    </row>
    <row r="3421" spans="1:15" s="1" customFormat="1" ht="15" customHeight="1" x14ac:dyDescent="0.25">
      <c r="A3421" s="18" t="s">
        <v>367</v>
      </c>
      <c r="B3421" s="18" t="s">
        <v>1152</v>
      </c>
      <c r="C3421" s="10" t="s">
        <v>2072</v>
      </c>
      <c r="D3421" s="3" t="s">
        <v>2605</v>
      </c>
      <c r="E3421" s="4" t="s">
        <v>2</v>
      </c>
      <c r="F3421" s="18">
        <v>2176</v>
      </c>
      <c r="G3421" s="18" t="s">
        <v>3271</v>
      </c>
      <c r="H3421" s="10" t="s">
        <v>2061</v>
      </c>
      <c r="I3421" s="3">
        <v>34</v>
      </c>
      <c r="J3421" s="3" t="s">
        <v>3271</v>
      </c>
      <c r="K3421" s="3"/>
      <c r="L3421" t="str">
        <f t="shared" si="53"/>
        <v/>
      </c>
      <c r="M3421">
        <f>VLOOKUP(F3421,Sheet2!$B$1:$E$19,2,FALSE)</f>
        <v>1073</v>
      </c>
      <c r="N3421">
        <f>VLOOKUP(F3421,Sheet2!$B$1:$E$19,3,FALSE)</f>
        <v>1108963</v>
      </c>
      <c r="O3421" t="str">
        <f>IF(G3421="Not available","",VLOOKUP(F3421,Sheet2!$B$1:$E$19,4,FALSE)+(G3421-1))</f>
        <v/>
      </c>
    </row>
    <row r="3422" spans="1:15" s="1" customFormat="1" ht="15" customHeight="1" x14ac:dyDescent="0.25">
      <c r="A3422" s="18" t="s">
        <v>367</v>
      </c>
      <c r="B3422" s="18" t="s">
        <v>1152</v>
      </c>
      <c r="C3422" s="5" t="s">
        <v>1758</v>
      </c>
      <c r="D3422" s="1" t="s">
        <v>432</v>
      </c>
      <c r="E3422" s="1" t="s">
        <v>2</v>
      </c>
      <c r="F3422" s="18">
        <v>2165</v>
      </c>
      <c r="G3422" s="18">
        <v>229</v>
      </c>
      <c r="H3422" s="5">
        <v>2</v>
      </c>
      <c r="I3422" s="1">
        <v>232</v>
      </c>
      <c r="J3422" s="1">
        <v>208</v>
      </c>
      <c r="L3422" t="str">
        <f t="shared" si="53"/>
        <v>http://www.badatelna.eu/reprodukce/?fondId=1073&amp;zaznamId=1108952&amp;reproId=3779090</v>
      </c>
      <c r="M3422">
        <f>VLOOKUP(F3422,Sheet2!$B$1:$E$19,2,FALSE)</f>
        <v>1073</v>
      </c>
      <c r="N3422">
        <f>VLOOKUP(F3422,Sheet2!$B$1:$E$19,3,FALSE)</f>
        <v>1108952</v>
      </c>
      <c r="O3422">
        <f>IF(G3422="Not available","",VLOOKUP(F3422,Sheet2!$B$1:$E$19,4,FALSE)+(G3422-1))</f>
        <v>3779090</v>
      </c>
    </row>
    <row r="3423" spans="1:15" s="1" customFormat="1" ht="15" customHeight="1" x14ac:dyDescent="0.25">
      <c r="A3423" s="18" t="s">
        <v>367</v>
      </c>
      <c r="B3423" s="18" t="s">
        <v>34</v>
      </c>
      <c r="C3423" s="5">
        <v>1823</v>
      </c>
      <c r="E3423" s="1" t="s">
        <v>2</v>
      </c>
      <c r="F3423" s="18">
        <v>2173</v>
      </c>
      <c r="G3423" s="18">
        <v>74</v>
      </c>
      <c r="H3423" s="5">
        <v>141</v>
      </c>
      <c r="I3423" s="1">
        <v>111</v>
      </c>
      <c r="J3423" s="1">
        <v>241</v>
      </c>
      <c r="L3423" t="str">
        <f t="shared" si="53"/>
        <v>http://www.badatelna.eu/reprodukce/?fondId=1073&amp;zaznamId=1108959&amp;reproId=3780067</v>
      </c>
      <c r="M3423">
        <f>VLOOKUP(F3423,Sheet2!$B$1:$E$19,2,FALSE)</f>
        <v>1073</v>
      </c>
      <c r="N3423">
        <f>VLOOKUP(F3423,Sheet2!$B$1:$E$19,3,FALSE)</f>
        <v>1108959</v>
      </c>
      <c r="O3423">
        <f>IF(G3423="Not available","",VLOOKUP(F3423,Sheet2!$B$1:$E$19,4,FALSE)+(G3423-1))</f>
        <v>3780067</v>
      </c>
    </row>
    <row r="3424" spans="1:15" s="1" customFormat="1" ht="15" customHeight="1" x14ac:dyDescent="0.25">
      <c r="A3424" s="18" t="s">
        <v>367</v>
      </c>
      <c r="B3424" s="18" t="s">
        <v>34</v>
      </c>
      <c r="C3424" s="5">
        <v>1827</v>
      </c>
      <c r="E3424" s="1" t="s">
        <v>2</v>
      </c>
      <c r="F3424" s="18">
        <v>2173</v>
      </c>
      <c r="G3424" s="18">
        <v>81</v>
      </c>
      <c r="H3424" s="5">
        <v>154</v>
      </c>
      <c r="I3424" s="1">
        <v>111</v>
      </c>
      <c r="J3424" s="1">
        <v>241</v>
      </c>
      <c r="L3424" t="str">
        <f t="shared" si="53"/>
        <v>http://www.badatelna.eu/reprodukce/?fondId=1073&amp;zaznamId=1108959&amp;reproId=3780074</v>
      </c>
      <c r="M3424">
        <f>VLOOKUP(F3424,Sheet2!$B$1:$E$19,2,FALSE)</f>
        <v>1073</v>
      </c>
      <c r="N3424">
        <f>VLOOKUP(F3424,Sheet2!$B$1:$E$19,3,FALSE)</f>
        <v>1108959</v>
      </c>
      <c r="O3424">
        <f>IF(G3424="Not available","",VLOOKUP(F3424,Sheet2!$B$1:$E$19,4,FALSE)+(G3424-1))</f>
        <v>3780074</v>
      </c>
    </row>
    <row r="3425" spans="1:15" s="1" customFormat="1" ht="15" customHeight="1" x14ac:dyDescent="0.25">
      <c r="A3425" s="18" t="s">
        <v>367</v>
      </c>
      <c r="B3425" s="18" t="s">
        <v>34</v>
      </c>
      <c r="C3425" s="5">
        <v>1829</v>
      </c>
      <c r="E3425" s="1" t="s">
        <v>2</v>
      </c>
      <c r="F3425" s="18">
        <v>2173</v>
      </c>
      <c r="G3425" s="18">
        <v>83</v>
      </c>
      <c r="H3425" s="5">
        <v>158</v>
      </c>
      <c r="I3425" s="1">
        <v>111</v>
      </c>
      <c r="J3425" s="1">
        <v>241</v>
      </c>
      <c r="L3425" t="str">
        <f t="shared" si="53"/>
        <v>http://www.badatelna.eu/reprodukce/?fondId=1073&amp;zaznamId=1108959&amp;reproId=3780076</v>
      </c>
      <c r="M3425">
        <f>VLOOKUP(F3425,Sheet2!$B$1:$E$19,2,FALSE)</f>
        <v>1073</v>
      </c>
      <c r="N3425">
        <f>VLOOKUP(F3425,Sheet2!$B$1:$E$19,3,FALSE)</f>
        <v>1108959</v>
      </c>
      <c r="O3425">
        <f>IF(G3425="Not available","",VLOOKUP(F3425,Sheet2!$B$1:$E$19,4,FALSE)+(G3425-1))</f>
        <v>3780076</v>
      </c>
    </row>
    <row r="3426" spans="1:15" s="1" customFormat="1" ht="15" customHeight="1" x14ac:dyDescent="0.25">
      <c r="A3426" s="18" t="s">
        <v>367</v>
      </c>
      <c r="B3426" s="18" t="s">
        <v>65</v>
      </c>
      <c r="C3426" s="5">
        <v>1824</v>
      </c>
      <c r="E3426" s="1" t="s">
        <v>2</v>
      </c>
      <c r="F3426" s="18">
        <v>2173</v>
      </c>
      <c r="G3426" s="18">
        <v>76</v>
      </c>
      <c r="H3426" s="5">
        <v>144</v>
      </c>
      <c r="I3426" s="1">
        <v>111</v>
      </c>
      <c r="J3426" s="1">
        <v>241</v>
      </c>
      <c r="L3426" t="str">
        <f t="shared" si="53"/>
        <v>http://www.badatelna.eu/reprodukce/?fondId=1073&amp;zaznamId=1108959&amp;reproId=3780069</v>
      </c>
      <c r="M3426">
        <f>VLOOKUP(F3426,Sheet2!$B$1:$E$19,2,FALSE)</f>
        <v>1073</v>
      </c>
      <c r="N3426">
        <f>VLOOKUP(F3426,Sheet2!$B$1:$E$19,3,FALSE)</f>
        <v>1108959</v>
      </c>
      <c r="O3426">
        <f>IF(G3426="Not available","",VLOOKUP(F3426,Sheet2!$B$1:$E$19,4,FALSE)+(G3426-1))</f>
        <v>3780069</v>
      </c>
    </row>
    <row r="3427" spans="1:15" s="1" customFormat="1" ht="15" customHeight="1" x14ac:dyDescent="0.25">
      <c r="A3427" s="18" t="s">
        <v>367</v>
      </c>
      <c r="B3427" s="18" t="s">
        <v>12</v>
      </c>
      <c r="C3427" s="5">
        <v>1800</v>
      </c>
      <c r="E3427" s="1" t="s">
        <v>2</v>
      </c>
      <c r="F3427" s="18">
        <v>2173</v>
      </c>
      <c r="G3427" s="18">
        <v>43</v>
      </c>
      <c r="H3427" s="5">
        <v>80</v>
      </c>
      <c r="I3427" s="1">
        <v>110</v>
      </c>
      <c r="J3427" s="1">
        <v>239</v>
      </c>
      <c r="L3427" t="str">
        <f t="shared" si="53"/>
        <v>http://www.badatelna.eu/reprodukce/?fondId=1073&amp;zaznamId=1108959&amp;reproId=3780036</v>
      </c>
      <c r="M3427">
        <f>VLOOKUP(F3427,Sheet2!$B$1:$E$19,2,FALSE)</f>
        <v>1073</v>
      </c>
      <c r="N3427">
        <f>VLOOKUP(F3427,Sheet2!$B$1:$E$19,3,FALSE)</f>
        <v>1108959</v>
      </c>
      <c r="O3427">
        <f>IF(G3427="Not available","",VLOOKUP(F3427,Sheet2!$B$1:$E$19,4,FALSE)+(G3427-1))</f>
        <v>3780036</v>
      </c>
    </row>
    <row r="3428" spans="1:15" s="1" customFormat="1" ht="15" customHeight="1" x14ac:dyDescent="0.25">
      <c r="A3428" s="18" t="s">
        <v>367</v>
      </c>
      <c r="B3428" s="18" t="s">
        <v>12</v>
      </c>
      <c r="C3428" s="5">
        <v>1813</v>
      </c>
      <c r="E3428" s="1" t="s">
        <v>2</v>
      </c>
      <c r="F3428" s="18">
        <v>2173</v>
      </c>
      <c r="G3428" s="18">
        <v>61</v>
      </c>
      <c r="H3428" s="14" t="s">
        <v>2977</v>
      </c>
      <c r="I3428" s="1">
        <v>111</v>
      </c>
      <c r="J3428" s="1">
        <v>240</v>
      </c>
      <c r="L3428" t="str">
        <f t="shared" si="53"/>
        <v>http://www.badatelna.eu/reprodukce/?fondId=1073&amp;zaznamId=1108959&amp;reproId=3780054</v>
      </c>
      <c r="M3428">
        <f>VLOOKUP(F3428,Sheet2!$B$1:$E$19,2,FALSE)</f>
        <v>1073</v>
      </c>
      <c r="N3428">
        <f>VLOOKUP(F3428,Sheet2!$B$1:$E$19,3,FALSE)</f>
        <v>1108959</v>
      </c>
      <c r="O3428">
        <f>IF(G3428="Not available","",VLOOKUP(F3428,Sheet2!$B$1:$E$19,4,FALSE)+(G3428-1))</f>
        <v>3780054</v>
      </c>
    </row>
    <row r="3429" spans="1:15" s="1" customFormat="1" ht="15" customHeight="1" x14ac:dyDescent="0.25">
      <c r="A3429" s="18" t="s">
        <v>367</v>
      </c>
      <c r="B3429" s="18" t="s">
        <v>40</v>
      </c>
      <c r="C3429" s="5">
        <v>1803</v>
      </c>
      <c r="E3429" s="1" t="s">
        <v>2</v>
      </c>
      <c r="F3429" s="18">
        <v>2173</v>
      </c>
      <c r="G3429" s="18">
        <v>46</v>
      </c>
      <c r="H3429" s="5">
        <v>87</v>
      </c>
      <c r="I3429" s="1">
        <v>111</v>
      </c>
      <c r="J3429" s="1">
        <v>240</v>
      </c>
      <c r="L3429" t="str">
        <f t="shared" si="53"/>
        <v>http://www.badatelna.eu/reprodukce/?fondId=1073&amp;zaznamId=1108959&amp;reproId=3780039</v>
      </c>
      <c r="M3429">
        <f>VLOOKUP(F3429,Sheet2!$B$1:$E$19,2,FALSE)</f>
        <v>1073</v>
      </c>
      <c r="N3429">
        <f>VLOOKUP(F3429,Sheet2!$B$1:$E$19,3,FALSE)</f>
        <v>1108959</v>
      </c>
      <c r="O3429">
        <f>IF(G3429="Not available","",VLOOKUP(F3429,Sheet2!$B$1:$E$19,4,FALSE)+(G3429-1))</f>
        <v>3780039</v>
      </c>
    </row>
    <row r="3430" spans="1:15" s="1" customFormat="1" ht="15" customHeight="1" x14ac:dyDescent="0.25">
      <c r="A3430" s="18" t="s">
        <v>367</v>
      </c>
      <c r="B3430" s="18" t="s">
        <v>40</v>
      </c>
      <c r="C3430" s="5">
        <v>1824</v>
      </c>
      <c r="D3430" s="4" t="s">
        <v>59</v>
      </c>
      <c r="E3430" s="1" t="s">
        <v>2</v>
      </c>
      <c r="F3430" s="18">
        <v>2173</v>
      </c>
      <c r="G3430" s="18">
        <v>76</v>
      </c>
      <c r="H3430" s="5">
        <v>144</v>
      </c>
      <c r="I3430" s="1">
        <v>111</v>
      </c>
      <c r="J3430" s="1">
        <v>241</v>
      </c>
      <c r="L3430" t="str">
        <f t="shared" si="53"/>
        <v>http://www.badatelna.eu/reprodukce/?fondId=1073&amp;zaznamId=1108959&amp;reproId=3780069</v>
      </c>
      <c r="M3430">
        <f>VLOOKUP(F3430,Sheet2!$B$1:$E$19,2,FALSE)</f>
        <v>1073</v>
      </c>
      <c r="N3430">
        <f>VLOOKUP(F3430,Sheet2!$B$1:$E$19,3,FALSE)</f>
        <v>1108959</v>
      </c>
      <c r="O3430">
        <f>IF(G3430="Not available","",VLOOKUP(F3430,Sheet2!$B$1:$E$19,4,FALSE)+(G3430-1))</f>
        <v>3780069</v>
      </c>
    </row>
    <row r="3431" spans="1:15" s="1" customFormat="1" ht="15" customHeight="1" x14ac:dyDescent="0.25">
      <c r="A3431" s="18" t="s">
        <v>367</v>
      </c>
      <c r="B3431" s="18" t="s">
        <v>40</v>
      </c>
      <c r="C3431" s="5">
        <v>1824</v>
      </c>
      <c r="D3431" s="4" t="s">
        <v>12</v>
      </c>
      <c r="E3431" s="1" t="s">
        <v>2</v>
      </c>
      <c r="F3431" s="18">
        <v>2173</v>
      </c>
      <c r="G3431" s="18">
        <v>77</v>
      </c>
      <c r="H3431" s="5">
        <v>147</v>
      </c>
      <c r="I3431" s="1">
        <v>111</v>
      </c>
      <c r="J3431" s="1">
        <v>241</v>
      </c>
      <c r="L3431" t="str">
        <f t="shared" si="53"/>
        <v>http://www.badatelna.eu/reprodukce/?fondId=1073&amp;zaznamId=1108959&amp;reproId=3780070</v>
      </c>
      <c r="M3431">
        <f>VLOOKUP(F3431,Sheet2!$B$1:$E$19,2,FALSE)</f>
        <v>1073</v>
      </c>
      <c r="N3431">
        <f>VLOOKUP(F3431,Sheet2!$B$1:$E$19,3,FALSE)</f>
        <v>1108959</v>
      </c>
      <c r="O3431">
        <f>IF(G3431="Not available","",VLOOKUP(F3431,Sheet2!$B$1:$E$19,4,FALSE)+(G3431-1))</f>
        <v>3780070</v>
      </c>
    </row>
    <row r="3432" spans="1:15" s="1" customFormat="1" ht="15" customHeight="1" x14ac:dyDescent="0.25">
      <c r="A3432" s="18" t="s">
        <v>367</v>
      </c>
      <c r="B3432" s="18" t="s">
        <v>40</v>
      </c>
      <c r="C3432" s="5">
        <v>1839</v>
      </c>
      <c r="D3432" s="1" t="s">
        <v>6</v>
      </c>
      <c r="E3432" s="1" t="s">
        <v>2</v>
      </c>
      <c r="F3432" s="18">
        <v>2174</v>
      </c>
      <c r="G3432" s="18">
        <v>106</v>
      </c>
      <c r="H3432" s="6" t="s">
        <v>3173</v>
      </c>
      <c r="I3432" s="1">
        <v>197</v>
      </c>
      <c r="J3432" s="1">
        <v>232</v>
      </c>
      <c r="L3432" t="str">
        <f t="shared" si="53"/>
        <v>http://www.badatelna.eu/reprodukce/?fondId=1073&amp;zaznamId=1108960&amp;reproId=3780330</v>
      </c>
      <c r="M3432">
        <f>VLOOKUP(F3432,Sheet2!$B$1:$E$19,2,FALSE)</f>
        <v>1073</v>
      </c>
      <c r="N3432">
        <f>VLOOKUP(F3432,Sheet2!$B$1:$E$19,3,FALSE)</f>
        <v>1108960</v>
      </c>
      <c r="O3432">
        <f>IF(G3432="Not available","",VLOOKUP(F3432,Sheet2!$B$1:$E$19,4,FALSE)+(G3432-1))</f>
        <v>3780330</v>
      </c>
    </row>
    <row r="3433" spans="1:15" s="1" customFormat="1" ht="15" customHeight="1" x14ac:dyDescent="0.25">
      <c r="A3433" s="18" t="s">
        <v>367</v>
      </c>
      <c r="B3433" s="18" t="s">
        <v>359</v>
      </c>
      <c r="C3433" s="5" t="s">
        <v>1568</v>
      </c>
      <c r="D3433" s="1" t="s">
        <v>1065</v>
      </c>
      <c r="E3433" s="1" t="s">
        <v>2</v>
      </c>
      <c r="F3433" s="18">
        <v>2165</v>
      </c>
      <c r="G3433" s="18">
        <v>67</v>
      </c>
      <c r="H3433" s="5">
        <v>64</v>
      </c>
      <c r="I3433" s="1">
        <v>91</v>
      </c>
      <c r="J3433" s="1" t="s">
        <v>3271</v>
      </c>
      <c r="L3433" t="str">
        <f t="shared" si="53"/>
        <v>http://www.badatelna.eu/reprodukce/?fondId=1073&amp;zaznamId=1108952&amp;reproId=3778928</v>
      </c>
      <c r="M3433">
        <f>VLOOKUP(F3433,Sheet2!$B$1:$E$19,2,FALSE)</f>
        <v>1073</v>
      </c>
      <c r="N3433">
        <f>VLOOKUP(F3433,Sheet2!$B$1:$E$19,3,FALSE)</f>
        <v>1108952</v>
      </c>
      <c r="O3433">
        <f>IF(G3433="Not available","",VLOOKUP(F3433,Sheet2!$B$1:$E$19,4,FALSE)+(G3433-1))</f>
        <v>3778928</v>
      </c>
    </row>
    <row r="3434" spans="1:15" s="1" customFormat="1" ht="15" customHeight="1" x14ac:dyDescent="0.25">
      <c r="A3434" s="18" t="s">
        <v>367</v>
      </c>
      <c r="B3434" s="18" t="s">
        <v>120</v>
      </c>
      <c r="C3434" s="5">
        <v>1823</v>
      </c>
      <c r="E3434" s="1" t="s">
        <v>2</v>
      </c>
      <c r="F3434" s="18">
        <v>2173</v>
      </c>
      <c r="G3434" s="18">
        <v>74</v>
      </c>
      <c r="H3434" s="5">
        <v>140</v>
      </c>
      <c r="I3434" s="1">
        <v>111</v>
      </c>
      <c r="J3434" s="1">
        <v>241</v>
      </c>
      <c r="L3434" t="str">
        <f t="shared" si="53"/>
        <v>http://www.badatelna.eu/reprodukce/?fondId=1073&amp;zaznamId=1108959&amp;reproId=3780067</v>
      </c>
      <c r="M3434">
        <f>VLOOKUP(F3434,Sheet2!$B$1:$E$19,2,FALSE)</f>
        <v>1073</v>
      </c>
      <c r="N3434">
        <f>VLOOKUP(F3434,Sheet2!$B$1:$E$19,3,FALSE)</f>
        <v>1108959</v>
      </c>
      <c r="O3434">
        <f>IF(G3434="Not available","",VLOOKUP(F3434,Sheet2!$B$1:$E$19,4,FALSE)+(G3434-1))</f>
        <v>3780067</v>
      </c>
    </row>
    <row r="3435" spans="1:15" s="1" customFormat="1" ht="15" customHeight="1" x14ac:dyDescent="0.25">
      <c r="A3435" s="18" t="s">
        <v>367</v>
      </c>
      <c r="B3435" s="18" t="s">
        <v>26</v>
      </c>
      <c r="C3435" s="5">
        <v>1811</v>
      </c>
      <c r="E3435" s="1" t="s">
        <v>2</v>
      </c>
      <c r="F3435" s="18">
        <v>2173</v>
      </c>
      <c r="G3435" s="18">
        <v>57</v>
      </c>
      <c r="H3435" s="14" t="s">
        <v>2983</v>
      </c>
      <c r="I3435" s="1">
        <v>111</v>
      </c>
      <c r="J3435" s="1">
        <v>240</v>
      </c>
      <c r="L3435" t="str">
        <f t="shared" si="53"/>
        <v>http://www.badatelna.eu/reprodukce/?fondId=1073&amp;zaznamId=1108959&amp;reproId=3780050</v>
      </c>
      <c r="M3435">
        <f>VLOOKUP(F3435,Sheet2!$B$1:$E$19,2,FALSE)</f>
        <v>1073</v>
      </c>
      <c r="N3435">
        <f>VLOOKUP(F3435,Sheet2!$B$1:$E$19,3,FALSE)</f>
        <v>1108959</v>
      </c>
      <c r="O3435">
        <f>IF(G3435="Not available","",VLOOKUP(F3435,Sheet2!$B$1:$E$19,4,FALSE)+(G3435-1))</f>
        <v>3780050</v>
      </c>
    </row>
    <row r="3436" spans="1:15" s="1" customFormat="1" ht="15" customHeight="1" x14ac:dyDescent="0.25">
      <c r="A3436" s="18" t="s">
        <v>367</v>
      </c>
      <c r="B3436" s="18" t="s">
        <v>26</v>
      </c>
      <c r="C3436" s="5">
        <v>1835</v>
      </c>
      <c r="D3436" s="1" t="s">
        <v>12</v>
      </c>
      <c r="E3436" s="1" t="s">
        <v>2</v>
      </c>
      <c r="F3436" s="18">
        <v>2174</v>
      </c>
      <c r="G3436" s="18">
        <v>81</v>
      </c>
      <c r="H3436" s="6" t="s">
        <v>3148</v>
      </c>
      <c r="I3436" s="1">
        <v>196</v>
      </c>
      <c r="J3436" s="1">
        <v>231</v>
      </c>
      <c r="L3436" t="str">
        <f t="shared" si="53"/>
        <v>http://www.badatelna.eu/reprodukce/?fondId=1073&amp;zaznamId=1108960&amp;reproId=3780305</v>
      </c>
      <c r="M3436">
        <f>VLOOKUP(F3436,Sheet2!$B$1:$E$19,2,FALSE)</f>
        <v>1073</v>
      </c>
      <c r="N3436">
        <f>VLOOKUP(F3436,Sheet2!$B$1:$E$19,3,FALSE)</f>
        <v>1108960</v>
      </c>
      <c r="O3436">
        <f>IF(G3436="Not available","",VLOOKUP(F3436,Sheet2!$B$1:$E$19,4,FALSE)+(G3436-1))</f>
        <v>3780305</v>
      </c>
    </row>
    <row r="3437" spans="1:15" s="1" customFormat="1" ht="15" customHeight="1" x14ac:dyDescent="0.25">
      <c r="A3437" s="18" t="s">
        <v>367</v>
      </c>
      <c r="B3437" s="18" t="s">
        <v>26</v>
      </c>
      <c r="C3437" s="5">
        <v>1838</v>
      </c>
      <c r="D3437" s="1" t="s">
        <v>730</v>
      </c>
      <c r="E3437" s="1" t="s">
        <v>2</v>
      </c>
      <c r="F3437" s="18">
        <v>2174</v>
      </c>
      <c r="G3437" s="18">
        <v>98</v>
      </c>
      <c r="H3437" s="16" t="s">
        <v>3166</v>
      </c>
      <c r="I3437" s="1">
        <v>197</v>
      </c>
      <c r="J3437" s="1">
        <v>232</v>
      </c>
      <c r="L3437" t="str">
        <f t="shared" si="53"/>
        <v>http://www.badatelna.eu/reprodukce/?fondId=1073&amp;zaznamId=1108960&amp;reproId=3780322</v>
      </c>
      <c r="M3437">
        <f>VLOOKUP(F3437,Sheet2!$B$1:$E$19,2,FALSE)</f>
        <v>1073</v>
      </c>
      <c r="N3437">
        <f>VLOOKUP(F3437,Sheet2!$B$1:$E$19,3,FALSE)</f>
        <v>1108960</v>
      </c>
      <c r="O3437">
        <f>IF(G3437="Not available","",VLOOKUP(F3437,Sheet2!$B$1:$E$19,4,FALSE)+(G3437-1))</f>
        <v>3780322</v>
      </c>
    </row>
    <row r="3438" spans="1:15" s="1" customFormat="1" ht="15" customHeight="1" x14ac:dyDescent="0.25">
      <c r="A3438" s="18" t="s">
        <v>367</v>
      </c>
      <c r="B3438" s="18" t="s">
        <v>700</v>
      </c>
      <c r="C3438" s="5">
        <v>1835</v>
      </c>
      <c r="D3438" s="1" t="s">
        <v>725</v>
      </c>
      <c r="E3438" s="1" t="s">
        <v>2</v>
      </c>
      <c r="F3438" s="18">
        <v>2174</v>
      </c>
      <c r="G3438" s="18">
        <v>81</v>
      </c>
      <c r="H3438" s="6" t="s">
        <v>3148</v>
      </c>
      <c r="I3438" s="1">
        <v>196</v>
      </c>
      <c r="J3438" s="1">
        <v>231</v>
      </c>
      <c r="L3438" t="str">
        <f t="shared" si="53"/>
        <v>http://www.badatelna.eu/reprodukce/?fondId=1073&amp;zaznamId=1108960&amp;reproId=3780305</v>
      </c>
      <c r="M3438">
        <f>VLOOKUP(F3438,Sheet2!$B$1:$E$19,2,FALSE)</f>
        <v>1073</v>
      </c>
      <c r="N3438">
        <f>VLOOKUP(F3438,Sheet2!$B$1:$E$19,3,FALSE)</f>
        <v>1108960</v>
      </c>
      <c r="O3438">
        <f>IF(G3438="Not available","",VLOOKUP(F3438,Sheet2!$B$1:$E$19,4,FALSE)+(G3438-1))</f>
        <v>3780305</v>
      </c>
    </row>
    <row r="3439" spans="1:15" s="1" customFormat="1" ht="15" customHeight="1" x14ac:dyDescent="0.25">
      <c r="A3439" s="18" t="s">
        <v>367</v>
      </c>
      <c r="B3439" s="18" t="s">
        <v>240</v>
      </c>
      <c r="C3439" s="5">
        <v>1789</v>
      </c>
      <c r="D3439" s="1" t="s">
        <v>371</v>
      </c>
      <c r="E3439" s="1" t="s">
        <v>2</v>
      </c>
      <c r="F3439" s="18">
        <v>2173</v>
      </c>
      <c r="G3439" s="18">
        <v>22</v>
      </c>
      <c r="H3439" s="5">
        <v>38</v>
      </c>
      <c r="I3439" s="1">
        <v>110</v>
      </c>
      <c r="J3439" s="1">
        <v>239</v>
      </c>
      <c r="L3439" t="str">
        <f t="shared" si="53"/>
        <v>http://www.badatelna.eu/reprodukce/?fondId=1073&amp;zaznamId=1108959&amp;reproId=3780015</v>
      </c>
      <c r="M3439">
        <f>VLOOKUP(F3439,Sheet2!$B$1:$E$19,2,FALSE)</f>
        <v>1073</v>
      </c>
      <c r="N3439">
        <f>VLOOKUP(F3439,Sheet2!$B$1:$E$19,3,FALSE)</f>
        <v>1108959</v>
      </c>
      <c r="O3439">
        <f>IF(G3439="Not available","",VLOOKUP(F3439,Sheet2!$B$1:$E$19,4,FALSE)+(G3439-1))</f>
        <v>3780015</v>
      </c>
    </row>
    <row r="3440" spans="1:15" s="1" customFormat="1" ht="15" customHeight="1" x14ac:dyDescent="0.25">
      <c r="A3440" s="18" t="s">
        <v>367</v>
      </c>
      <c r="B3440" s="18" t="s">
        <v>137</v>
      </c>
      <c r="C3440" s="5">
        <v>1808</v>
      </c>
      <c r="E3440" s="1" t="s">
        <v>2</v>
      </c>
      <c r="F3440" s="18">
        <v>2173</v>
      </c>
      <c r="G3440" s="18">
        <v>53</v>
      </c>
      <c r="H3440" s="5">
        <v>101</v>
      </c>
      <c r="I3440" s="1">
        <v>111</v>
      </c>
      <c r="J3440" s="1">
        <v>240</v>
      </c>
      <c r="L3440" t="str">
        <f t="shared" si="53"/>
        <v>http://www.badatelna.eu/reprodukce/?fondId=1073&amp;zaznamId=1108959&amp;reproId=3780046</v>
      </c>
      <c r="M3440">
        <f>VLOOKUP(F3440,Sheet2!$B$1:$E$19,2,FALSE)</f>
        <v>1073</v>
      </c>
      <c r="N3440">
        <f>VLOOKUP(F3440,Sheet2!$B$1:$E$19,3,FALSE)</f>
        <v>1108959</v>
      </c>
      <c r="O3440">
        <f>IF(G3440="Not available","",VLOOKUP(F3440,Sheet2!$B$1:$E$19,4,FALSE)+(G3440-1))</f>
        <v>3780046</v>
      </c>
    </row>
    <row r="3441" spans="1:15" s="1" customFormat="1" ht="15" customHeight="1" x14ac:dyDescent="0.25">
      <c r="A3441" s="18" t="s">
        <v>367</v>
      </c>
      <c r="B3441" s="18" t="s">
        <v>602</v>
      </c>
      <c r="C3441" s="5">
        <v>1851</v>
      </c>
      <c r="D3441" s="1" t="s">
        <v>730</v>
      </c>
      <c r="E3441" s="1" t="s">
        <v>2</v>
      </c>
      <c r="F3441" s="18">
        <v>2164</v>
      </c>
      <c r="G3441" s="18">
        <v>73</v>
      </c>
      <c r="H3441" s="5">
        <v>71</v>
      </c>
      <c r="I3441" s="1">
        <v>136</v>
      </c>
      <c r="J3441" s="3" t="s">
        <v>3271</v>
      </c>
      <c r="L3441" t="str">
        <f t="shared" si="53"/>
        <v>http://www.badatelna.eu/reprodukce/?fondId=1073&amp;zaznamId=1108951&amp;reproId=3778787</v>
      </c>
      <c r="M3441">
        <f>VLOOKUP(F3441,Sheet2!$B$1:$E$19,2,FALSE)</f>
        <v>1073</v>
      </c>
      <c r="N3441">
        <f>VLOOKUP(F3441,Sheet2!$B$1:$E$19,3,FALSE)</f>
        <v>1108951</v>
      </c>
      <c r="O3441">
        <f>IF(G3441="Not available","",VLOOKUP(F3441,Sheet2!$B$1:$E$19,4,FALSE)+(G3441-1))</f>
        <v>3778787</v>
      </c>
    </row>
    <row r="3442" spans="1:15" s="1" customFormat="1" ht="15" customHeight="1" x14ac:dyDescent="0.25">
      <c r="A3442" s="18" t="s">
        <v>367</v>
      </c>
      <c r="B3442" s="19" t="s">
        <v>602</v>
      </c>
      <c r="C3442" s="5">
        <v>1861</v>
      </c>
      <c r="E3442" s="1" t="s">
        <v>939</v>
      </c>
      <c r="F3442" s="18">
        <v>999</v>
      </c>
      <c r="G3442" s="18">
        <v>31</v>
      </c>
      <c r="H3442" s="5">
        <v>29</v>
      </c>
      <c r="I3442" s="1">
        <v>74</v>
      </c>
      <c r="J3442" s="1">
        <v>108</v>
      </c>
      <c r="L3442" t="str">
        <f t="shared" si="53"/>
        <v>http://www.badatelna.eu/reprodukce/?fondId=241&amp;zaznamId=1133739&amp;reproId=3885760</v>
      </c>
      <c r="M3442">
        <f>VLOOKUP(F3442,Sheet2!$B$1:$E$19,2,FALSE)</f>
        <v>241</v>
      </c>
      <c r="N3442">
        <f>VLOOKUP(F3442,Sheet2!$B$1:$E$19,3,FALSE)</f>
        <v>1133739</v>
      </c>
      <c r="O3442">
        <f>IF(G3442="Not available","",VLOOKUP(F3442,Sheet2!$B$1:$E$19,4,FALSE)+(G3442-1))</f>
        <v>3885760</v>
      </c>
    </row>
    <row r="3443" spans="1:15" s="1" customFormat="1" ht="15" customHeight="1" x14ac:dyDescent="0.25">
      <c r="A3443" s="18" t="s">
        <v>367</v>
      </c>
      <c r="B3443" s="18" t="s">
        <v>602</v>
      </c>
      <c r="C3443" s="5" t="s">
        <v>1552</v>
      </c>
      <c r="D3443" s="1" t="s">
        <v>372</v>
      </c>
      <c r="E3443" s="1" t="s">
        <v>2</v>
      </c>
      <c r="F3443" s="18">
        <v>2165</v>
      </c>
      <c r="G3443" s="18">
        <v>51</v>
      </c>
      <c r="H3443" s="5">
        <v>48</v>
      </c>
      <c r="I3443" s="1">
        <v>91</v>
      </c>
      <c r="J3443" s="1" t="s">
        <v>3271</v>
      </c>
      <c r="L3443" t="str">
        <f t="shared" si="53"/>
        <v>http://www.badatelna.eu/reprodukce/?fondId=1073&amp;zaznamId=1108952&amp;reproId=3778912</v>
      </c>
      <c r="M3443">
        <f>VLOOKUP(F3443,Sheet2!$B$1:$E$19,2,FALSE)</f>
        <v>1073</v>
      </c>
      <c r="N3443">
        <f>VLOOKUP(F3443,Sheet2!$B$1:$E$19,3,FALSE)</f>
        <v>1108952</v>
      </c>
      <c r="O3443">
        <f>IF(G3443="Not available","",VLOOKUP(F3443,Sheet2!$B$1:$E$19,4,FALSE)+(G3443-1))</f>
        <v>3778912</v>
      </c>
    </row>
    <row r="3444" spans="1:15" s="1" customFormat="1" ht="15" customHeight="1" x14ac:dyDescent="0.25">
      <c r="A3444" s="18" t="s">
        <v>367</v>
      </c>
      <c r="B3444" s="18" t="s">
        <v>212</v>
      </c>
      <c r="C3444" s="5">
        <v>1800</v>
      </c>
      <c r="E3444" s="1" t="s">
        <v>2</v>
      </c>
      <c r="F3444" s="18">
        <v>2173</v>
      </c>
      <c r="G3444" s="18">
        <v>44</v>
      </c>
      <c r="H3444" s="5">
        <v>83</v>
      </c>
      <c r="I3444" s="1">
        <v>110</v>
      </c>
      <c r="J3444" s="1">
        <v>239</v>
      </c>
      <c r="L3444" t="str">
        <f t="shared" si="53"/>
        <v>http://www.badatelna.eu/reprodukce/?fondId=1073&amp;zaznamId=1108959&amp;reproId=3780037</v>
      </c>
      <c r="M3444">
        <f>VLOOKUP(F3444,Sheet2!$B$1:$E$19,2,FALSE)</f>
        <v>1073</v>
      </c>
      <c r="N3444">
        <f>VLOOKUP(F3444,Sheet2!$B$1:$E$19,3,FALSE)</f>
        <v>1108959</v>
      </c>
      <c r="O3444">
        <f>IF(G3444="Not available","",VLOOKUP(F3444,Sheet2!$B$1:$E$19,4,FALSE)+(G3444-1))</f>
        <v>3780037</v>
      </c>
    </row>
    <row r="3445" spans="1:15" s="1" customFormat="1" ht="15" customHeight="1" x14ac:dyDescent="0.25">
      <c r="A3445" s="18" t="s">
        <v>367</v>
      </c>
      <c r="B3445" s="18" t="s">
        <v>2027</v>
      </c>
      <c r="C3445" s="10" t="s">
        <v>2095</v>
      </c>
      <c r="D3445" s="3" t="s">
        <v>2602</v>
      </c>
      <c r="E3445" s="4" t="s">
        <v>2</v>
      </c>
      <c r="F3445" s="18">
        <v>2176</v>
      </c>
      <c r="G3445" s="18" t="s">
        <v>3271</v>
      </c>
      <c r="H3445" s="10" t="s">
        <v>1955</v>
      </c>
      <c r="I3445" s="3">
        <v>35</v>
      </c>
      <c r="J3445" s="3" t="s">
        <v>3271</v>
      </c>
      <c r="K3445" s="3"/>
      <c r="L3445" t="str">
        <f t="shared" si="53"/>
        <v/>
      </c>
      <c r="M3445">
        <f>VLOOKUP(F3445,Sheet2!$B$1:$E$19,2,FALSE)</f>
        <v>1073</v>
      </c>
      <c r="N3445">
        <f>VLOOKUP(F3445,Sheet2!$B$1:$E$19,3,FALSE)</f>
        <v>1108963</v>
      </c>
      <c r="O3445" t="str">
        <f>IF(G3445="Not available","",VLOOKUP(F3445,Sheet2!$B$1:$E$19,4,FALSE)+(G3445-1))</f>
        <v/>
      </c>
    </row>
    <row r="3446" spans="1:15" s="1" customFormat="1" ht="15" customHeight="1" x14ac:dyDescent="0.25">
      <c r="A3446" s="18" t="s">
        <v>367</v>
      </c>
      <c r="B3446" s="18" t="s">
        <v>847</v>
      </c>
      <c r="C3446" s="14" t="s">
        <v>2095</v>
      </c>
      <c r="D3446" s="1" t="s">
        <v>377</v>
      </c>
      <c r="E3446" s="1" t="s">
        <v>2</v>
      </c>
      <c r="F3446" s="18">
        <v>2165</v>
      </c>
      <c r="G3446" s="18">
        <v>288</v>
      </c>
      <c r="H3446" s="5">
        <v>1</v>
      </c>
      <c r="I3446" s="1">
        <v>287</v>
      </c>
      <c r="J3446" s="1">
        <v>261</v>
      </c>
      <c r="L3446" t="str">
        <f t="shared" si="53"/>
        <v>http://www.badatelna.eu/reprodukce/?fondId=1073&amp;zaznamId=1108952&amp;reproId=3779149</v>
      </c>
      <c r="M3446">
        <f>VLOOKUP(F3446,Sheet2!$B$1:$E$19,2,FALSE)</f>
        <v>1073</v>
      </c>
      <c r="N3446">
        <f>VLOOKUP(F3446,Sheet2!$B$1:$E$19,3,FALSE)</f>
        <v>1108952</v>
      </c>
      <c r="O3446">
        <f>IF(G3446="Not available","",VLOOKUP(F3446,Sheet2!$B$1:$E$19,4,FALSE)+(G3446-1))</f>
        <v>3779149</v>
      </c>
    </row>
    <row r="3447" spans="1:15" s="1" customFormat="1" ht="15" customHeight="1" x14ac:dyDescent="0.25">
      <c r="A3447" s="18" t="s">
        <v>367</v>
      </c>
      <c r="B3447" s="19" t="s">
        <v>847</v>
      </c>
      <c r="C3447" s="5">
        <v>1863</v>
      </c>
      <c r="E3447" s="1" t="s">
        <v>939</v>
      </c>
      <c r="F3447" s="18">
        <v>999</v>
      </c>
      <c r="G3447" s="18">
        <v>44</v>
      </c>
      <c r="H3447" s="5">
        <v>42</v>
      </c>
      <c r="I3447" s="1">
        <v>74</v>
      </c>
      <c r="J3447" s="1">
        <v>108</v>
      </c>
      <c r="L3447" t="str">
        <f t="shared" si="53"/>
        <v>http://www.badatelna.eu/reprodukce/?fondId=241&amp;zaznamId=1133739&amp;reproId=3885773</v>
      </c>
      <c r="M3447">
        <f>VLOOKUP(F3447,Sheet2!$B$1:$E$19,2,FALSE)</f>
        <v>241</v>
      </c>
      <c r="N3447">
        <f>VLOOKUP(F3447,Sheet2!$B$1:$E$19,3,FALSE)</f>
        <v>1133739</v>
      </c>
      <c r="O3447">
        <f>IF(G3447="Not available","",VLOOKUP(F3447,Sheet2!$B$1:$E$19,4,FALSE)+(G3447-1))</f>
        <v>3885773</v>
      </c>
    </row>
    <row r="3448" spans="1:15" s="1" customFormat="1" ht="15" customHeight="1" x14ac:dyDescent="0.25">
      <c r="A3448" s="18" t="s">
        <v>367</v>
      </c>
      <c r="B3448" s="19" t="s">
        <v>3119</v>
      </c>
      <c r="C3448" s="5">
        <v>1841</v>
      </c>
      <c r="D3448" s="1" t="s">
        <v>21</v>
      </c>
      <c r="E3448" s="1" t="s">
        <v>2</v>
      </c>
      <c r="F3448" s="18">
        <v>2174</v>
      </c>
      <c r="G3448" s="18">
        <v>116</v>
      </c>
      <c r="H3448" s="6" t="s">
        <v>3186</v>
      </c>
      <c r="I3448" s="1">
        <v>197</v>
      </c>
      <c r="J3448" s="1">
        <v>232</v>
      </c>
      <c r="L3448" t="str">
        <f t="shared" si="53"/>
        <v>http://www.badatelna.eu/reprodukce/?fondId=1073&amp;zaznamId=1108960&amp;reproId=3780340</v>
      </c>
      <c r="M3448">
        <f>VLOOKUP(F3448,Sheet2!$B$1:$E$19,2,FALSE)</f>
        <v>1073</v>
      </c>
      <c r="N3448">
        <f>VLOOKUP(F3448,Sheet2!$B$1:$E$19,3,FALSE)</f>
        <v>1108960</v>
      </c>
      <c r="O3448">
        <f>IF(G3448="Not available","",VLOOKUP(F3448,Sheet2!$B$1:$E$19,4,FALSE)+(G3448-1))</f>
        <v>3780340</v>
      </c>
    </row>
    <row r="3449" spans="1:15" s="1" customFormat="1" ht="15" customHeight="1" x14ac:dyDescent="0.25">
      <c r="A3449" s="18" t="s">
        <v>367</v>
      </c>
      <c r="B3449" s="18" t="s">
        <v>56</v>
      </c>
      <c r="C3449" s="5">
        <v>1819</v>
      </c>
      <c r="E3449" s="1" t="s">
        <v>2</v>
      </c>
      <c r="F3449" s="18">
        <v>2173</v>
      </c>
      <c r="G3449" s="18">
        <v>69</v>
      </c>
      <c r="H3449" s="5">
        <v>130</v>
      </c>
      <c r="I3449" s="1">
        <v>111</v>
      </c>
      <c r="J3449" s="1">
        <v>240</v>
      </c>
      <c r="L3449" t="str">
        <f t="shared" si="53"/>
        <v>http://www.badatelna.eu/reprodukce/?fondId=1073&amp;zaznamId=1108959&amp;reproId=3780062</v>
      </c>
      <c r="M3449">
        <f>VLOOKUP(F3449,Sheet2!$B$1:$E$19,2,FALSE)</f>
        <v>1073</v>
      </c>
      <c r="N3449">
        <f>VLOOKUP(F3449,Sheet2!$B$1:$E$19,3,FALSE)</f>
        <v>1108959</v>
      </c>
      <c r="O3449">
        <f>IF(G3449="Not available","",VLOOKUP(F3449,Sheet2!$B$1:$E$19,4,FALSE)+(G3449-1))</f>
        <v>3780062</v>
      </c>
    </row>
    <row r="3450" spans="1:15" s="1" customFormat="1" ht="15" customHeight="1" x14ac:dyDescent="0.25">
      <c r="A3450" s="18" t="s">
        <v>367</v>
      </c>
      <c r="B3450" s="18" t="s">
        <v>479</v>
      </c>
      <c r="C3450" s="5">
        <v>1857</v>
      </c>
      <c r="D3450" s="1" t="s">
        <v>730</v>
      </c>
      <c r="E3450" s="1" t="s">
        <v>2</v>
      </c>
      <c r="F3450" s="18">
        <v>2164</v>
      </c>
      <c r="G3450" s="18">
        <v>115</v>
      </c>
      <c r="H3450" s="5">
        <v>113</v>
      </c>
      <c r="I3450" s="1">
        <v>136</v>
      </c>
      <c r="J3450" s="3" t="s">
        <v>3271</v>
      </c>
      <c r="L3450" t="str">
        <f t="shared" si="53"/>
        <v>http://www.badatelna.eu/reprodukce/?fondId=1073&amp;zaznamId=1108951&amp;reproId=3778829</v>
      </c>
      <c r="M3450">
        <f>VLOOKUP(F3450,Sheet2!$B$1:$E$19,2,FALSE)</f>
        <v>1073</v>
      </c>
      <c r="N3450">
        <f>VLOOKUP(F3450,Sheet2!$B$1:$E$19,3,FALSE)</f>
        <v>1108951</v>
      </c>
      <c r="O3450">
        <f>IF(G3450="Not available","",VLOOKUP(F3450,Sheet2!$B$1:$E$19,4,FALSE)+(G3450-1))</f>
        <v>3778829</v>
      </c>
    </row>
    <row r="3451" spans="1:15" s="1" customFormat="1" ht="15" customHeight="1" x14ac:dyDescent="0.25">
      <c r="A3451" s="18" t="s">
        <v>367</v>
      </c>
      <c r="B3451" s="18" t="s">
        <v>233</v>
      </c>
      <c r="C3451" s="5">
        <v>1860</v>
      </c>
      <c r="E3451" s="1" t="s">
        <v>939</v>
      </c>
      <c r="F3451" s="18">
        <v>999</v>
      </c>
      <c r="G3451" s="18">
        <v>24</v>
      </c>
      <c r="H3451" s="5">
        <v>22</v>
      </c>
      <c r="I3451" s="1">
        <v>74</v>
      </c>
      <c r="J3451" s="1">
        <v>108</v>
      </c>
      <c r="L3451" t="str">
        <f t="shared" si="53"/>
        <v>http://www.badatelna.eu/reprodukce/?fondId=241&amp;zaznamId=1133739&amp;reproId=3885753</v>
      </c>
      <c r="M3451">
        <f>VLOOKUP(F3451,Sheet2!$B$1:$E$19,2,FALSE)</f>
        <v>241</v>
      </c>
      <c r="N3451">
        <f>VLOOKUP(F3451,Sheet2!$B$1:$E$19,3,FALSE)</f>
        <v>1133739</v>
      </c>
      <c r="O3451">
        <f>IF(G3451="Not available","",VLOOKUP(F3451,Sheet2!$B$1:$E$19,4,FALSE)+(G3451-1))</f>
        <v>3885753</v>
      </c>
    </row>
    <row r="3452" spans="1:15" s="1" customFormat="1" ht="15" customHeight="1" x14ac:dyDescent="0.25">
      <c r="A3452" s="18" t="s">
        <v>367</v>
      </c>
      <c r="B3452" s="18" t="s">
        <v>233</v>
      </c>
      <c r="C3452" s="5">
        <v>1886</v>
      </c>
      <c r="D3452" s="1" t="s">
        <v>172</v>
      </c>
      <c r="E3452" s="1" t="s">
        <v>2</v>
      </c>
      <c r="F3452" s="18">
        <v>2165</v>
      </c>
      <c r="G3452" s="18">
        <v>209</v>
      </c>
      <c r="H3452" s="5">
        <v>3</v>
      </c>
      <c r="I3452" s="1">
        <v>211</v>
      </c>
      <c r="J3452" s="1">
        <v>187</v>
      </c>
      <c r="L3452" t="str">
        <f t="shared" si="53"/>
        <v>http://www.badatelna.eu/reprodukce/?fondId=1073&amp;zaznamId=1108952&amp;reproId=3779070</v>
      </c>
      <c r="M3452">
        <f>VLOOKUP(F3452,Sheet2!$B$1:$E$19,2,FALSE)</f>
        <v>1073</v>
      </c>
      <c r="N3452">
        <f>VLOOKUP(F3452,Sheet2!$B$1:$E$19,3,FALSE)</f>
        <v>1108952</v>
      </c>
      <c r="O3452">
        <f>IF(G3452="Not available","",VLOOKUP(F3452,Sheet2!$B$1:$E$19,4,FALSE)+(G3452-1))</f>
        <v>3779070</v>
      </c>
    </row>
    <row r="3453" spans="1:15" s="1" customFormat="1" ht="15" customHeight="1" x14ac:dyDescent="0.25">
      <c r="A3453" s="18" t="s">
        <v>367</v>
      </c>
      <c r="B3453" s="18" t="s">
        <v>1062</v>
      </c>
      <c r="C3453" s="5" t="s">
        <v>1528</v>
      </c>
      <c r="D3453" s="1" t="s">
        <v>1063</v>
      </c>
      <c r="E3453" s="1" t="s">
        <v>2</v>
      </c>
      <c r="F3453" s="18">
        <v>2165</v>
      </c>
      <c r="G3453" s="18">
        <v>22</v>
      </c>
      <c r="H3453" s="5">
        <v>19</v>
      </c>
      <c r="I3453" s="1">
        <v>90</v>
      </c>
      <c r="J3453" s="1" t="s">
        <v>3271</v>
      </c>
      <c r="L3453" t="str">
        <f t="shared" si="53"/>
        <v>http://www.badatelna.eu/reprodukce/?fondId=1073&amp;zaznamId=1108952&amp;reproId=3778883</v>
      </c>
      <c r="M3453">
        <f>VLOOKUP(F3453,Sheet2!$B$1:$E$19,2,FALSE)</f>
        <v>1073</v>
      </c>
      <c r="N3453">
        <f>VLOOKUP(F3453,Sheet2!$B$1:$E$19,3,FALSE)</f>
        <v>1108952</v>
      </c>
      <c r="O3453">
        <f>IF(G3453="Not available","",VLOOKUP(F3453,Sheet2!$B$1:$E$19,4,FALSE)+(G3453-1))</f>
        <v>3778883</v>
      </c>
    </row>
    <row r="3454" spans="1:15" s="1" customFormat="1" ht="15" customHeight="1" x14ac:dyDescent="0.25">
      <c r="A3454" s="18" t="s">
        <v>367</v>
      </c>
      <c r="B3454" s="18" t="s">
        <v>1062</v>
      </c>
      <c r="C3454" s="5" t="s">
        <v>1542</v>
      </c>
      <c r="D3454" s="1" t="s">
        <v>1065</v>
      </c>
      <c r="E3454" s="1" t="s">
        <v>2</v>
      </c>
      <c r="F3454" s="18">
        <v>2165</v>
      </c>
      <c r="G3454" s="18">
        <v>39</v>
      </c>
      <c r="H3454" s="5">
        <v>36</v>
      </c>
      <c r="I3454" s="1">
        <v>90</v>
      </c>
      <c r="J3454" s="1" t="s">
        <v>3271</v>
      </c>
      <c r="L3454" t="str">
        <f t="shared" si="53"/>
        <v>http://www.badatelna.eu/reprodukce/?fondId=1073&amp;zaznamId=1108952&amp;reproId=3778900</v>
      </c>
      <c r="M3454">
        <f>VLOOKUP(F3454,Sheet2!$B$1:$E$19,2,FALSE)</f>
        <v>1073</v>
      </c>
      <c r="N3454">
        <f>VLOOKUP(F3454,Sheet2!$B$1:$E$19,3,FALSE)</f>
        <v>1108952</v>
      </c>
      <c r="O3454">
        <f>IF(G3454="Not available","",VLOOKUP(F3454,Sheet2!$B$1:$E$19,4,FALSE)+(G3454-1))</f>
        <v>3778900</v>
      </c>
    </row>
    <row r="3455" spans="1:15" s="1" customFormat="1" ht="15" customHeight="1" x14ac:dyDescent="0.25">
      <c r="A3455" s="18" t="s">
        <v>367</v>
      </c>
      <c r="B3455" s="19" t="s">
        <v>310</v>
      </c>
      <c r="C3455" s="5">
        <v>1827</v>
      </c>
      <c r="E3455" s="1" t="s">
        <v>2</v>
      </c>
      <c r="F3455" s="18">
        <v>2173</v>
      </c>
      <c r="G3455" s="18">
        <v>80</v>
      </c>
      <c r="H3455" s="5">
        <v>153</v>
      </c>
      <c r="I3455" s="1">
        <v>111</v>
      </c>
      <c r="J3455" s="1">
        <v>241</v>
      </c>
      <c r="L3455" t="str">
        <f t="shared" si="53"/>
        <v>http://www.badatelna.eu/reprodukce/?fondId=1073&amp;zaznamId=1108959&amp;reproId=3780073</v>
      </c>
      <c r="M3455">
        <f>VLOOKUP(F3455,Sheet2!$B$1:$E$19,2,FALSE)</f>
        <v>1073</v>
      </c>
      <c r="N3455">
        <f>VLOOKUP(F3455,Sheet2!$B$1:$E$19,3,FALSE)</f>
        <v>1108959</v>
      </c>
      <c r="O3455">
        <f>IF(G3455="Not available","",VLOOKUP(F3455,Sheet2!$B$1:$E$19,4,FALSE)+(G3455-1))</f>
        <v>3780073</v>
      </c>
    </row>
    <row r="3456" spans="1:15" s="1" customFormat="1" ht="15" customHeight="1" x14ac:dyDescent="0.25">
      <c r="A3456" s="18" t="s">
        <v>367</v>
      </c>
      <c r="B3456" s="18" t="s">
        <v>25</v>
      </c>
      <c r="C3456" s="10" t="s">
        <v>2005</v>
      </c>
      <c r="D3456" s="3" t="s">
        <v>2563</v>
      </c>
      <c r="E3456" s="4" t="s">
        <v>2</v>
      </c>
      <c r="F3456" s="18">
        <v>2176</v>
      </c>
      <c r="G3456" s="18" t="s">
        <v>3271</v>
      </c>
      <c r="H3456" s="10" t="s">
        <v>2564</v>
      </c>
      <c r="I3456" s="3">
        <v>33</v>
      </c>
      <c r="J3456" s="3" t="s">
        <v>3271</v>
      </c>
      <c r="K3456" s="3"/>
      <c r="L3456" t="str">
        <f t="shared" si="53"/>
        <v/>
      </c>
      <c r="M3456">
        <f>VLOOKUP(F3456,Sheet2!$B$1:$E$19,2,FALSE)</f>
        <v>1073</v>
      </c>
      <c r="N3456">
        <f>VLOOKUP(F3456,Sheet2!$B$1:$E$19,3,FALSE)</f>
        <v>1108963</v>
      </c>
      <c r="O3456" t="str">
        <f>IF(G3456="Not available","",VLOOKUP(F3456,Sheet2!$B$1:$E$19,4,FALSE)+(G3456-1))</f>
        <v/>
      </c>
    </row>
    <row r="3457" spans="1:15" s="1" customFormat="1" ht="15" customHeight="1" x14ac:dyDescent="0.25">
      <c r="A3457" s="18" t="s">
        <v>367</v>
      </c>
      <c r="B3457" s="18" t="s">
        <v>25</v>
      </c>
      <c r="C3457" s="5" t="s">
        <v>1534</v>
      </c>
      <c r="D3457" s="1" t="s">
        <v>998</v>
      </c>
      <c r="E3457" s="1" t="s">
        <v>2</v>
      </c>
      <c r="F3457" s="18">
        <v>2165</v>
      </c>
      <c r="G3457" s="18">
        <v>28</v>
      </c>
      <c r="H3457" s="5">
        <v>25</v>
      </c>
      <c r="I3457" s="1">
        <v>90</v>
      </c>
      <c r="J3457" s="1" t="s">
        <v>3271</v>
      </c>
      <c r="L3457" t="str">
        <f t="shared" si="53"/>
        <v>http://www.badatelna.eu/reprodukce/?fondId=1073&amp;zaznamId=1108952&amp;reproId=3778889</v>
      </c>
      <c r="M3457">
        <f>VLOOKUP(F3457,Sheet2!$B$1:$E$19,2,FALSE)</f>
        <v>1073</v>
      </c>
      <c r="N3457">
        <f>VLOOKUP(F3457,Sheet2!$B$1:$E$19,3,FALSE)</f>
        <v>1108952</v>
      </c>
      <c r="O3457">
        <f>IF(G3457="Not available","",VLOOKUP(F3457,Sheet2!$B$1:$E$19,4,FALSE)+(G3457-1))</f>
        <v>3778889</v>
      </c>
    </row>
    <row r="3458" spans="1:15" s="1" customFormat="1" ht="15" customHeight="1" x14ac:dyDescent="0.25">
      <c r="A3458" s="18" t="s">
        <v>367</v>
      </c>
      <c r="B3458" s="18" t="s">
        <v>21</v>
      </c>
      <c r="C3458" s="5">
        <v>1821</v>
      </c>
      <c r="E3458" s="1" t="s">
        <v>2</v>
      </c>
      <c r="F3458" s="18">
        <v>2173</v>
      </c>
      <c r="G3458" s="18">
        <v>71</v>
      </c>
      <c r="H3458" s="5">
        <v>135</v>
      </c>
      <c r="I3458" s="1">
        <v>111</v>
      </c>
      <c r="J3458" s="1">
        <v>241</v>
      </c>
      <c r="L3458" t="str">
        <f t="shared" si="53"/>
        <v>http://www.badatelna.eu/reprodukce/?fondId=1073&amp;zaznamId=1108959&amp;reproId=3780064</v>
      </c>
      <c r="M3458">
        <f>VLOOKUP(F3458,Sheet2!$B$1:$E$19,2,FALSE)</f>
        <v>1073</v>
      </c>
      <c r="N3458">
        <f>VLOOKUP(F3458,Sheet2!$B$1:$E$19,3,FALSE)</f>
        <v>1108959</v>
      </c>
      <c r="O3458">
        <f>IF(G3458="Not available","",VLOOKUP(F3458,Sheet2!$B$1:$E$19,4,FALSE)+(G3458-1))</f>
        <v>3780064</v>
      </c>
    </row>
    <row r="3459" spans="1:15" s="1" customFormat="1" ht="15" customHeight="1" x14ac:dyDescent="0.25">
      <c r="A3459" s="18" t="s">
        <v>367</v>
      </c>
      <c r="B3459" s="18" t="s">
        <v>21</v>
      </c>
      <c r="C3459" s="5">
        <v>1845</v>
      </c>
      <c r="D3459" s="1" t="s">
        <v>372</v>
      </c>
      <c r="E3459" s="1" t="s">
        <v>2</v>
      </c>
      <c r="F3459" s="18">
        <v>2174</v>
      </c>
      <c r="G3459" s="18">
        <v>156</v>
      </c>
      <c r="H3459" s="6" t="s">
        <v>3227</v>
      </c>
      <c r="I3459" s="1">
        <v>197</v>
      </c>
      <c r="J3459" s="1">
        <v>233</v>
      </c>
      <c r="L3459" t="str">
        <f t="shared" ref="L3459:L3522" si="54">IF(G3459="Not available","","http://www.badatelna.eu/reprodukce/?fondId="&amp;M3459&amp;"&amp;zaznamId="&amp;N3459&amp;"&amp;reproId="&amp;O3459)</f>
        <v>http://www.badatelna.eu/reprodukce/?fondId=1073&amp;zaznamId=1108960&amp;reproId=3780380</v>
      </c>
      <c r="M3459">
        <f>VLOOKUP(F3459,Sheet2!$B$1:$E$19,2,FALSE)</f>
        <v>1073</v>
      </c>
      <c r="N3459">
        <f>VLOOKUP(F3459,Sheet2!$B$1:$E$19,3,FALSE)</f>
        <v>1108960</v>
      </c>
      <c r="O3459">
        <f>IF(G3459="Not available","",VLOOKUP(F3459,Sheet2!$B$1:$E$19,4,FALSE)+(G3459-1))</f>
        <v>3780380</v>
      </c>
    </row>
    <row r="3460" spans="1:15" s="1" customFormat="1" ht="15" customHeight="1" x14ac:dyDescent="0.25">
      <c r="A3460" s="18" t="s">
        <v>367</v>
      </c>
      <c r="B3460" s="18" t="s">
        <v>937</v>
      </c>
      <c r="C3460" s="5" t="s">
        <v>1529</v>
      </c>
      <c r="D3460" s="1" t="s">
        <v>1064</v>
      </c>
      <c r="E3460" s="1" t="s">
        <v>2</v>
      </c>
      <c r="F3460" s="18">
        <v>2165</v>
      </c>
      <c r="G3460" s="18">
        <v>22</v>
      </c>
      <c r="H3460" s="5">
        <v>19</v>
      </c>
      <c r="I3460" s="1">
        <v>90</v>
      </c>
      <c r="J3460" s="1" t="s">
        <v>3271</v>
      </c>
      <c r="L3460" t="str">
        <f t="shared" si="54"/>
        <v>http://www.badatelna.eu/reprodukce/?fondId=1073&amp;zaznamId=1108952&amp;reproId=3778883</v>
      </c>
      <c r="M3460">
        <f>VLOOKUP(F3460,Sheet2!$B$1:$E$19,2,FALSE)</f>
        <v>1073</v>
      </c>
      <c r="N3460">
        <f>VLOOKUP(F3460,Sheet2!$B$1:$E$19,3,FALSE)</f>
        <v>1108952</v>
      </c>
      <c r="O3460">
        <f>IF(G3460="Not available","",VLOOKUP(F3460,Sheet2!$B$1:$E$19,4,FALSE)+(G3460-1))</f>
        <v>3778883</v>
      </c>
    </row>
    <row r="3461" spans="1:15" s="1" customFormat="1" ht="15" customHeight="1" x14ac:dyDescent="0.25">
      <c r="A3461" s="18" t="s">
        <v>367</v>
      </c>
      <c r="B3461" s="18" t="s">
        <v>432</v>
      </c>
      <c r="C3461" s="5">
        <v>1852</v>
      </c>
      <c r="D3461" s="1" t="s">
        <v>730</v>
      </c>
      <c r="E3461" s="1" t="s">
        <v>2</v>
      </c>
      <c r="F3461" s="18">
        <v>2164</v>
      </c>
      <c r="G3461" s="18">
        <v>84</v>
      </c>
      <c r="H3461" s="5">
        <v>82</v>
      </c>
      <c r="I3461" s="1">
        <v>136</v>
      </c>
      <c r="J3461" s="3" t="s">
        <v>3271</v>
      </c>
      <c r="L3461" t="str">
        <f t="shared" si="54"/>
        <v>http://www.badatelna.eu/reprodukce/?fondId=1073&amp;zaznamId=1108951&amp;reproId=3778798</v>
      </c>
      <c r="M3461">
        <f>VLOOKUP(F3461,Sheet2!$B$1:$E$19,2,FALSE)</f>
        <v>1073</v>
      </c>
      <c r="N3461">
        <f>VLOOKUP(F3461,Sheet2!$B$1:$E$19,3,FALSE)</f>
        <v>1108951</v>
      </c>
      <c r="O3461">
        <f>IF(G3461="Not available","",VLOOKUP(F3461,Sheet2!$B$1:$E$19,4,FALSE)+(G3461-1))</f>
        <v>3778798</v>
      </c>
    </row>
    <row r="3462" spans="1:15" s="1" customFormat="1" ht="15" customHeight="1" x14ac:dyDescent="0.25">
      <c r="A3462" s="18" t="s">
        <v>367</v>
      </c>
      <c r="B3462" s="18" t="s">
        <v>432</v>
      </c>
      <c r="C3462" s="5" t="s">
        <v>1553</v>
      </c>
      <c r="D3462" s="1" t="s">
        <v>1065</v>
      </c>
      <c r="E3462" s="1" t="s">
        <v>2</v>
      </c>
      <c r="F3462" s="18">
        <v>2165</v>
      </c>
      <c r="G3462" s="18">
        <v>53</v>
      </c>
      <c r="H3462" s="5">
        <v>50</v>
      </c>
      <c r="I3462" s="1">
        <v>91</v>
      </c>
      <c r="J3462" s="1" t="s">
        <v>3271</v>
      </c>
      <c r="L3462" t="str">
        <f t="shared" si="54"/>
        <v>http://www.badatelna.eu/reprodukce/?fondId=1073&amp;zaznamId=1108952&amp;reproId=3778914</v>
      </c>
      <c r="M3462">
        <f>VLOOKUP(F3462,Sheet2!$B$1:$E$19,2,FALSE)</f>
        <v>1073</v>
      </c>
      <c r="N3462">
        <f>VLOOKUP(F3462,Sheet2!$B$1:$E$19,3,FALSE)</f>
        <v>1108952</v>
      </c>
      <c r="O3462">
        <f>IF(G3462="Not available","",VLOOKUP(F3462,Sheet2!$B$1:$E$19,4,FALSE)+(G3462-1))</f>
        <v>3778914</v>
      </c>
    </row>
    <row r="3463" spans="1:15" s="1" customFormat="1" ht="15" customHeight="1" x14ac:dyDescent="0.25">
      <c r="A3463" s="18" t="s">
        <v>367</v>
      </c>
      <c r="B3463" s="18" t="s">
        <v>182</v>
      </c>
      <c r="C3463" s="5">
        <v>1804</v>
      </c>
      <c r="E3463" s="1" t="s">
        <v>2</v>
      </c>
      <c r="F3463" s="18">
        <v>2173</v>
      </c>
      <c r="G3463" s="18">
        <v>48</v>
      </c>
      <c r="H3463" s="5">
        <v>90</v>
      </c>
      <c r="I3463" s="1">
        <v>111</v>
      </c>
      <c r="J3463" s="1">
        <v>240</v>
      </c>
      <c r="L3463" t="str">
        <f t="shared" si="54"/>
        <v>http://www.badatelna.eu/reprodukce/?fondId=1073&amp;zaznamId=1108959&amp;reproId=3780041</v>
      </c>
      <c r="M3463">
        <f>VLOOKUP(F3463,Sheet2!$B$1:$E$19,2,FALSE)</f>
        <v>1073</v>
      </c>
      <c r="N3463">
        <f>VLOOKUP(F3463,Sheet2!$B$1:$E$19,3,FALSE)</f>
        <v>1108959</v>
      </c>
      <c r="O3463">
        <f>IF(G3463="Not available","",VLOOKUP(F3463,Sheet2!$B$1:$E$19,4,FALSE)+(G3463-1))</f>
        <v>3780041</v>
      </c>
    </row>
    <row r="3464" spans="1:15" s="1" customFormat="1" ht="15" customHeight="1" x14ac:dyDescent="0.25">
      <c r="A3464" s="18" t="s">
        <v>367</v>
      </c>
      <c r="B3464" s="18" t="s">
        <v>394</v>
      </c>
      <c r="C3464" s="5">
        <v>1815</v>
      </c>
      <c r="E3464" s="1" t="s">
        <v>2</v>
      </c>
      <c r="F3464" s="18">
        <v>2173</v>
      </c>
      <c r="G3464" s="18">
        <v>64</v>
      </c>
      <c r="H3464" s="5">
        <v>123</v>
      </c>
      <c r="I3464" s="1">
        <v>111</v>
      </c>
      <c r="J3464" s="1">
        <v>240</v>
      </c>
      <c r="L3464" t="str">
        <f t="shared" si="54"/>
        <v>http://www.badatelna.eu/reprodukce/?fondId=1073&amp;zaznamId=1108959&amp;reproId=3780057</v>
      </c>
      <c r="M3464">
        <f>VLOOKUP(F3464,Sheet2!$B$1:$E$19,2,FALSE)</f>
        <v>1073</v>
      </c>
      <c r="N3464">
        <f>VLOOKUP(F3464,Sheet2!$B$1:$E$19,3,FALSE)</f>
        <v>1108959</v>
      </c>
      <c r="O3464">
        <f>IF(G3464="Not available","",VLOOKUP(F3464,Sheet2!$B$1:$E$19,4,FALSE)+(G3464-1))</f>
        <v>3780057</v>
      </c>
    </row>
    <row r="3465" spans="1:15" s="1" customFormat="1" ht="15" customHeight="1" x14ac:dyDescent="0.25">
      <c r="A3465" s="18" t="s">
        <v>367</v>
      </c>
      <c r="B3465" s="18" t="s">
        <v>422</v>
      </c>
      <c r="C3465" s="5">
        <v>1837</v>
      </c>
      <c r="D3465" s="1" t="s">
        <v>428</v>
      </c>
      <c r="E3465" s="1" t="s">
        <v>2</v>
      </c>
      <c r="F3465" s="18">
        <v>2174</v>
      </c>
      <c r="G3465" s="18">
        <v>93</v>
      </c>
      <c r="H3465" s="6" t="s">
        <v>3161</v>
      </c>
      <c r="I3465" s="1">
        <v>197</v>
      </c>
      <c r="J3465" s="1">
        <v>232</v>
      </c>
      <c r="K3465" s="4" t="s">
        <v>363</v>
      </c>
      <c r="L3465" t="str">
        <f t="shared" si="54"/>
        <v>http://www.badatelna.eu/reprodukce/?fondId=1073&amp;zaznamId=1108960&amp;reproId=3780317</v>
      </c>
      <c r="M3465">
        <f>VLOOKUP(F3465,Sheet2!$B$1:$E$19,2,FALSE)</f>
        <v>1073</v>
      </c>
      <c r="N3465">
        <f>VLOOKUP(F3465,Sheet2!$B$1:$E$19,3,FALSE)</f>
        <v>1108960</v>
      </c>
      <c r="O3465">
        <f>IF(G3465="Not available","",VLOOKUP(F3465,Sheet2!$B$1:$E$19,4,FALSE)+(G3465-1))</f>
        <v>3780317</v>
      </c>
    </row>
    <row r="3466" spans="1:15" s="1" customFormat="1" ht="15" customHeight="1" x14ac:dyDescent="0.25">
      <c r="A3466" s="18" t="s">
        <v>367</v>
      </c>
      <c r="B3466" s="18" t="s">
        <v>13</v>
      </c>
      <c r="C3466" s="5">
        <v>1796</v>
      </c>
      <c r="D3466" s="1" t="s">
        <v>34</v>
      </c>
      <c r="E3466" s="1" t="s">
        <v>2</v>
      </c>
      <c r="F3466" s="18">
        <v>2173</v>
      </c>
      <c r="G3466" s="18">
        <v>34</v>
      </c>
      <c r="H3466" s="5">
        <v>63</v>
      </c>
      <c r="I3466" s="1">
        <v>110</v>
      </c>
      <c r="J3466" s="1">
        <v>239</v>
      </c>
      <c r="L3466" t="str">
        <f t="shared" si="54"/>
        <v>http://www.badatelna.eu/reprodukce/?fondId=1073&amp;zaznamId=1108959&amp;reproId=3780027</v>
      </c>
      <c r="M3466">
        <f>VLOOKUP(F3466,Sheet2!$B$1:$E$19,2,FALSE)</f>
        <v>1073</v>
      </c>
      <c r="N3466">
        <f>VLOOKUP(F3466,Sheet2!$B$1:$E$19,3,FALSE)</f>
        <v>1108959</v>
      </c>
      <c r="O3466">
        <f>IF(G3466="Not available","",VLOOKUP(F3466,Sheet2!$B$1:$E$19,4,FALSE)+(G3466-1))</f>
        <v>3780027</v>
      </c>
    </row>
    <row r="3467" spans="1:15" s="1" customFormat="1" ht="15" customHeight="1" x14ac:dyDescent="0.25">
      <c r="A3467" s="18" t="s">
        <v>367</v>
      </c>
      <c r="B3467" s="18" t="s">
        <v>13</v>
      </c>
      <c r="C3467" s="5">
        <v>1827</v>
      </c>
      <c r="E3467" s="1" t="s">
        <v>2</v>
      </c>
      <c r="F3467" s="18">
        <v>2173</v>
      </c>
      <c r="G3467" s="18">
        <v>80</v>
      </c>
      <c r="H3467" s="5">
        <v>152</v>
      </c>
      <c r="I3467" s="1">
        <v>111</v>
      </c>
      <c r="J3467" s="1">
        <v>241</v>
      </c>
      <c r="L3467" t="str">
        <f t="shared" si="54"/>
        <v>http://www.badatelna.eu/reprodukce/?fondId=1073&amp;zaznamId=1108959&amp;reproId=3780073</v>
      </c>
      <c r="M3467">
        <f>VLOOKUP(F3467,Sheet2!$B$1:$E$19,2,FALSE)</f>
        <v>1073</v>
      </c>
      <c r="N3467">
        <f>VLOOKUP(F3467,Sheet2!$B$1:$E$19,3,FALSE)</f>
        <v>1108959</v>
      </c>
      <c r="O3467">
        <f>IF(G3467="Not available","",VLOOKUP(F3467,Sheet2!$B$1:$E$19,4,FALSE)+(G3467-1))</f>
        <v>3780073</v>
      </c>
    </row>
    <row r="3468" spans="1:15" s="1" customFormat="1" ht="15" customHeight="1" x14ac:dyDescent="0.25">
      <c r="A3468" s="18" t="s">
        <v>367</v>
      </c>
      <c r="B3468" s="18" t="s">
        <v>388</v>
      </c>
      <c r="C3468" s="5">
        <v>1805</v>
      </c>
      <c r="E3468" s="1" t="s">
        <v>2</v>
      </c>
      <c r="F3468" s="18">
        <v>2173</v>
      </c>
      <c r="G3468" s="18">
        <v>50</v>
      </c>
      <c r="H3468" s="5">
        <v>95</v>
      </c>
      <c r="I3468" s="1">
        <v>111</v>
      </c>
      <c r="J3468" s="1">
        <v>240</v>
      </c>
      <c r="L3468" t="str">
        <f t="shared" si="54"/>
        <v>http://www.badatelna.eu/reprodukce/?fondId=1073&amp;zaznamId=1108959&amp;reproId=3780043</v>
      </c>
      <c r="M3468">
        <f>VLOOKUP(F3468,Sheet2!$B$1:$E$19,2,FALSE)</f>
        <v>1073</v>
      </c>
      <c r="N3468">
        <f>VLOOKUP(F3468,Sheet2!$B$1:$E$19,3,FALSE)</f>
        <v>1108959</v>
      </c>
      <c r="O3468">
        <f>IF(G3468="Not available","",VLOOKUP(F3468,Sheet2!$B$1:$E$19,4,FALSE)+(G3468-1))</f>
        <v>3780043</v>
      </c>
    </row>
    <row r="3469" spans="1:15" s="1" customFormat="1" ht="15" customHeight="1" x14ac:dyDescent="0.25">
      <c r="A3469" s="18" t="s">
        <v>367</v>
      </c>
      <c r="B3469" s="18" t="s">
        <v>1033</v>
      </c>
      <c r="C3469" s="10" t="s">
        <v>2098</v>
      </c>
      <c r="D3469" s="3" t="s">
        <v>2602</v>
      </c>
      <c r="E3469" s="4" t="s">
        <v>2</v>
      </c>
      <c r="F3469" s="18">
        <v>2176</v>
      </c>
      <c r="G3469" s="18" t="s">
        <v>3271</v>
      </c>
      <c r="H3469" s="10" t="s">
        <v>2069</v>
      </c>
      <c r="I3469" s="3">
        <v>35</v>
      </c>
      <c r="J3469" s="3" t="s">
        <v>3271</v>
      </c>
      <c r="K3469" s="3"/>
      <c r="L3469" t="str">
        <f t="shared" si="54"/>
        <v/>
      </c>
      <c r="M3469">
        <f>VLOOKUP(F3469,Sheet2!$B$1:$E$19,2,FALSE)</f>
        <v>1073</v>
      </c>
      <c r="N3469">
        <f>VLOOKUP(F3469,Sheet2!$B$1:$E$19,3,FALSE)</f>
        <v>1108963</v>
      </c>
      <c r="O3469" t="str">
        <f>IF(G3469="Not available","",VLOOKUP(F3469,Sheet2!$B$1:$E$19,4,FALSE)+(G3469-1))</f>
        <v/>
      </c>
    </row>
    <row r="3470" spans="1:15" s="1" customFormat="1" ht="15" customHeight="1" x14ac:dyDescent="0.25">
      <c r="A3470" s="18" t="s">
        <v>367</v>
      </c>
      <c r="B3470" s="18" t="s">
        <v>1033</v>
      </c>
      <c r="C3470" s="14" t="s">
        <v>2098</v>
      </c>
      <c r="D3470" s="4" t="s">
        <v>377</v>
      </c>
      <c r="E3470" s="1" t="s">
        <v>2</v>
      </c>
      <c r="F3470" s="18">
        <v>2165</v>
      </c>
      <c r="G3470" s="18">
        <v>302</v>
      </c>
      <c r="H3470" s="5">
        <v>1</v>
      </c>
      <c r="I3470" s="1">
        <v>305</v>
      </c>
      <c r="J3470" s="1">
        <v>278</v>
      </c>
      <c r="L3470" t="str">
        <f t="shared" si="54"/>
        <v>http://www.badatelna.eu/reprodukce/?fondId=1073&amp;zaznamId=1108952&amp;reproId=3779163</v>
      </c>
      <c r="M3470">
        <f>VLOOKUP(F3470,Sheet2!$B$1:$E$19,2,FALSE)</f>
        <v>1073</v>
      </c>
      <c r="N3470">
        <f>VLOOKUP(F3470,Sheet2!$B$1:$E$19,3,FALSE)</f>
        <v>1108952</v>
      </c>
      <c r="O3470">
        <f>IF(G3470="Not available","",VLOOKUP(F3470,Sheet2!$B$1:$E$19,4,FALSE)+(G3470-1))</f>
        <v>3779163</v>
      </c>
    </row>
    <row r="3471" spans="1:15" s="1" customFormat="1" ht="15" customHeight="1" x14ac:dyDescent="0.25">
      <c r="A3471" s="18" t="s">
        <v>367</v>
      </c>
      <c r="B3471" s="18" t="s">
        <v>1078</v>
      </c>
      <c r="C3471" s="10" t="s">
        <v>2087</v>
      </c>
      <c r="D3471" s="3" t="s">
        <v>2602</v>
      </c>
      <c r="E3471" s="4" t="s">
        <v>2</v>
      </c>
      <c r="F3471" s="18">
        <v>2176</v>
      </c>
      <c r="G3471" s="18" t="s">
        <v>3271</v>
      </c>
      <c r="H3471" s="10" t="s">
        <v>2083</v>
      </c>
      <c r="I3471" s="3">
        <v>35</v>
      </c>
      <c r="J3471" s="3" t="s">
        <v>3271</v>
      </c>
      <c r="K3471" s="3"/>
      <c r="L3471" t="str">
        <f t="shared" si="54"/>
        <v/>
      </c>
      <c r="M3471">
        <f>VLOOKUP(F3471,Sheet2!$B$1:$E$19,2,FALSE)</f>
        <v>1073</v>
      </c>
      <c r="N3471">
        <f>VLOOKUP(F3471,Sheet2!$B$1:$E$19,3,FALSE)</f>
        <v>1108963</v>
      </c>
      <c r="O3471" t="str">
        <f>IF(G3471="Not available","",VLOOKUP(F3471,Sheet2!$B$1:$E$19,4,FALSE)+(G3471-1))</f>
        <v/>
      </c>
    </row>
    <row r="3472" spans="1:15" s="1" customFormat="1" ht="15" customHeight="1" x14ac:dyDescent="0.25">
      <c r="A3472" s="18" t="s">
        <v>367</v>
      </c>
      <c r="B3472" s="18" t="s">
        <v>1078</v>
      </c>
      <c r="C3472" s="5" t="s">
        <v>1573</v>
      </c>
      <c r="D3472" s="1" t="s">
        <v>1077</v>
      </c>
      <c r="E3472" s="1" t="s">
        <v>2</v>
      </c>
      <c r="F3472" s="18">
        <v>2165</v>
      </c>
      <c r="G3472" s="18">
        <v>74</v>
      </c>
      <c r="H3472" s="5">
        <v>71</v>
      </c>
      <c r="I3472" s="1">
        <v>91</v>
      </c>
      <c r="J3472" s="1" t="s">
        <v>3271</v>
      </c>
      <c r="L3472" t="str">
        <f t="shared" si="54"/>
        <v>http://www.badatelna.eu/reprodukce/?fondId=1073&amp;zaznamId=1108952&amp;reproId=3778935</v>
      </c>
      <c r="M3472">
        <f>VLOOKUP(F3472,Sheet2!$B$1:$E$19,2,FALSE)</f>
        <v>1073</v>
      </c>
      <c r="N3472">
        <f>VLOOKUP(F3472,Sheet2!$B$1:$E$19,3,FALSE)</f>
        <v>1108952</v>
      </c>
      <c r="O3472">
        <f>IF(G3472="Not available","",VLOOKUP(F3472,Sheet2!$B$1:$E$19,4,FALSE)+(G3472-1))</f>
        <v>3778935</v>
      </c>
    </row>
    <row r="3473" spans="1:15" s="1" customFormat="1" ht="15" customHeight="1" x14ac:dyDescent="0.25">
      <c r="A3473" s="18" t="s">
        <v>367</v>
      </c>
      <c r="B3473" s="18" t="s">
        <v>1078</v>
      </c>
      <c r="C3473" s="5" t="s">
        <v>1872</v>
      </c>
      <c r="D3473" s="1" t="s">
        <v>377</v>
      </c>
      <c r="E3473" s="1" t="s">
        <v>2</v>
      </c>
      <c r="F3473" s="18">
        <v>2165</v>
      </c>
      <c r="G3473" s="18">
        <v>260</v>
      </c>
      <c r="H3473" s="5">
        <v>1</v>
      </c>
      <c r="I3473" s="1">
        <v>266</v>
      </c>
      <c r="J3473" s="1">
        <v>240</v>
      </c>
      <c r="L3473" t="str">
        <f t="shared" si="54"/>
        <v>http://www.badatelna.eu/reprodukce/?fondId=1073&amp;zaznamId=1108952&amp;reproId=3779121</v>
      </c>
      <c r="M3473">
        <f>VLOOKUP(F3473,Sheet2!$B$1:$E$19,2,FALSE)</f>
        <v>1073</v>
      </c>
      <c r="N3473">
        <f>VLOOKUP(F3473,Sheet2!$B$1:$E$19,3,FALSE)</f>
        <v>1108952</v>
      </c>
      <c r="O3473">
        <f>IF(G3473="Not available","",VLOOKUP(F3473,Sheet2!$B$1:$E$19,4,FALSE)+(G3473-1))</f>
        <v>3779121</v>
      </c>
    </row>
    <row r="3474" spans="1:15" s="1" customFormat="1" ht="15" customHeight="1" x14ac:dyDescent="0.25">
      <c r="A3474" s="18" t="s">
        <v>367</v>
      </c>
      <c r="B3474" s="18" t="s">
        <v>143</v>
      </c>
      <c r="C3474" s="5">
        <v>1796</v>
      </c>
      <c r="D3474" s="1" t="s">
        <v>52</v>
      </c>
      <c r="E3474" s="1" t="s">
        <v>2</v>
      </c>
      <c r="F3474" s="18">
        <v>2173</v>
      </c>
      <c r="G3474" s="18">
        <v>35</v>
      </c>
      <c r="H3474" s="5">
        <v>64</v>
      </c>
      <c r="I3474" s="1">
        <v>110</v>
      </c>
      <c r="J3474" s="1">
        <v>239</v>
      </c>
      <c r="L3474" t="str">
        <f t="shared" si="54"/>
        <v>http://www.badatelna.eu/reprodukce/?fondId=1073&amp;zaznamId=1108959&amp;reproId=3780028</v>
      </c>
      <c r="M3474">
        <f>VLOOKUP(F3474,Sheet2!$B$1:$E$19,2,FALSE)</f>
        <v>1073</v>
      </c>
      <c r="N3474">
        <f>VLOOKUP(F3474,Sheet2!$B$1:$E$19,3,FALSE)</f>
        <v>1108959</v>
      </c>
      <c r="O3474">
        <f>IF(G3474="Not available","",VLOOKUP(F3474,Sheet2!$B$1:$E$19,4,FALSE)+(G3474-1))</f>
        <v>3780028</v>
      </c>
    </row>
    <row r="3475" spans="1:15" s="1" customFormat="1" ht="15" customHeight="1" x14ac:dyDescent="0.25">
      <c r="A3475" s="18" t="s">
        <v>367</v>
      </c>
      <c r="B3475" s="18" t="s">
        <v>103</v>
      </c>
      <c r="C3475" s="5">
        <v>1803</v>
      </c>
      <c r="E3475" s="1" t="s">
        <v>2</v>
      </c>
      <c r="F3475" s="18">
        <v>2173</v>
      </c>
      <c r="G3475" s="18">
        <v>46</v>
      </c>
      <c r="H3475" s="5">
        <v>87</v>
      </c>
      <c r="I3475" s="1">
        <v>111</v>
      </c>
      <c r="J3475" s="1">
        <v>240</v>
      </c>
      <c r="L3475" t="str">
        <f t="shared" si="54"/>
        <v>http://www.badatelna.eu/reprodukce/?fondId=1073&amp;zaznamId=1108959&amp;reproId=3780039</v>
      </c>
      <c r="M3475">
        <f>VLOOKUP(F3475,Sheet2!$B$1:$E$19,2,FALSE)</f>
        <v>1073</v>
      </c>
      <c r="N3475">
        <f>VLOOKUP(F3475,Sheet2!$B$1:$E$19,3,FALSE)</f>
        <v>1108959</v>
      </c>
      <c r="O3475">
        <f>IF(G3475="Not available","",VLOOKUP(F3475,Sheet2!$B$1:$E$19,4,FALSE)+(G3475-1))</f>
        <v>3780039</v>
      </c>
    </row>
    <row r="3476" spans="1:15" s="1" customFormat="1" ht="15" customHeight="1" x14ac:dyDescent="0.25">
      <c r="A3476" s="18" t="s">
        <v>367</v>
      </c>
      <c r="B3476" s="18" t="s">
        <v>11</v>
      </c>
      <c r="C3476" s="5">
        <v>1798</v>
      </c>
      <c r="E3476" s="1" t="s">
        <v>2</v>
      </c>
      <c r="F3476" s="18">
        <v>2173</v>
      </c>
      <c r="G3476" s="18">
        <v>41</v>
      </c>
      <c r="H3476" s="5">
        <v>77</v>
      </c>
      <c r="I3476" s="1">
        <v>110</v>
      </c>
      <c r="J3476" s="1">
        <v>239</v>
      </c>
      <c r="L3476" t="str">
        <f t="shared" si="54"/>
        <v>http://www.badatelna.eu/reprodukce/?fondId=1073&amp;zaznamId=1108959&amp;reproId=3780034</v>
      </c>
      <c r="M3476">
        <f>VLOOKUP(F3476,Sheet2!$B$1:$E$19,2,FALSE)</f>
        <v>1073</v>
      </c>
      <c r="N3476">
        <f>VLOOKUP(F3476,Sheet2!$B$1:$E$19,3,FALSE)</f>
        <v>1108959</v>
      </c>
      <c r="O3476">
        <f>IF(G3476="Not available","",VLOOKUP(F3476,Sheet2!$B$1:$E$19,4,FALSE)+(G3476-1))</f>
        <v>3780034</v>
      </c>
    </row>
    <row r="3477" spans="1:15" s="1" customFormat="1" ht="15.75" x14ac:dyDescent="0.25">
      <c r="A3477" s="18" t="s">
        <v>367</v>
      </c>
      <c r="B3477" s="18" t="s">
        <v>1007</v>
      </c>
      <c r="C3477" s="10" t="s">
        <v>2109</v>
      </c>
      <c r="D3477" s="3" t="s">
        <v>2838</v>
      </c>
      <c r="E3477" s="4" t="s">
        <v>2</v>
      </c>
      <c r="F3477" s="18">
        <v>2176</v>
      </c>
      <c r="G3477" s="18" t="s">
        <v>3271</v>
      </c>
      <c r="H3477" s="10" t="s">
        <v>2618</v>
      </c>
      <c r="I3477" s="3">
        <v>35</v>
      </c>
      <c r="J3477" s="3" t="s">
        <v>3271</v>
      </c>
      <c r="K3477" s="3"/>
      <c r="L3477" t="str">
        <f t="shared" si="54"/>
        <v/>
      </c>
      <c r="M3477">
        <f>VLOOKUP(F3477,Sheet2!$B$1:$E$19,2,FALSE)</f>
        <v>1073</v>
      </c>
      <c r="N3477">
        <f>VLOOKUP(F3477,Sheet2!$B$1:$E$19,3,FALSE)</f>
        <v>1108963</v>
      </c>
      <c r="O3477" t="str">
        <f>IF(G3477="Not available","",VLOOKUP(F3477,Sheet2!$B$1:$E$19,4,FALSE)+(G3477-1))</f>
        <v/>
      </c>
    </row>
    <row r="3478" spans="1:15" s="1" customFormat="1" ht="27.75" x14ac:dyDescent="0.4">
      <c r="A3478" s="18" t="s">
        <v>367</v>
      </c>
      <c r="B3478" s="18" t="s">
        <v>900</v>
      </c>
      <c r="C3478" s="5" t="s">
        <v>1572</v>
      </c>
      <c r="D3478" s="1" t="s">
        <v>1077</v>
      </c>
      <c r="E3478" s="1" t="s">
        <v>2</v>
      </c>
      <c r="F3478" s="18">
        <v>2165</v>
      </c>
      <c r="G3478" s="30">
        <v>74</v>
      </c>
      <c r="H3478" s="5">
        <v>71</v>
      </c>
      <c r="I3478" s="1">
        <v>91</v>
      </c>
      <c r="J3478" s="1" t="s">
        <v>3271</v>
      </c>
      <c r="L3478" t="str">
        <f t="shared" si="54"/>
        <v>http://www.badatelna.eu/reprodukce/?fondId=1073&amp;zaznamId=1108952&amp;reproId=3778935</v>
      </c>
      <c r="M3478">
        <f>VLOOKUP(F3478,Sheet2!$B$1:$E$19,2,FALSE)</f>
        <v>1073</v>
      </c>
      <c r="N3478">
        <f>VLOOKUP(F3478,Sheet2!$B$1:$E$19,3,FALSE)</f>
        <v>1108952</v>
      </c>
      <c r="O3478">
        <f>IF(G3478="Not available","",VLOOKUP(F3478,Sheet2!$B$1:$E$19,4,FALSE)+(G3478-1))</f>
        <v>3778935</v>
      </c>
    </row>
    <row r="3479" spans="1:15" s="1" customFormat="1" ht="15" customHeight="1" x14ac:dyDescent="0.25">
      <c r="A3479" s="18" t="s">
        <v>367</v>
      </c>
      <c r="B3479" s="18" t="s">
        <v>17</v>
      </c>
      <c r="C3479" s="5">
        <v>1788</v>
      </c>
      <c r="D3479" s="1" t="s">
        <v>34</v>
      </c>
      <c r="E3479" s="1" t="s">
        <v>2</v>
      </c>
      <c r="F3479" s="18">
        <v>2173</v>
      </c>
      <c r="G3479" s="18">
        <v>18</v>
      </c>
      <c r="H3479" s="5">
        <v>31</v>
      </c>
      <c r="I3479" s="1">
        <v>110</v>
      </c>
      <c r="J3479" s="1">
        <v>239</v>
      </c>
      <c r="L3479" t="str">
        <f t="shared" si="54"/>
        <v>http://www.badatelna.eu/reprodukce/?fondId=1073&amp;zaznamId=1108959&amp;reproId=3780011</v>
      </c>
      <c r="M3479">
        <f>VLOOKUP(F3479,Sheet2!$B$1:$E$19,2,FALSE)</f>
        <v>1073</v>
      </c>
      <c r="N3479">
        <f>VLOOKUP(F3479,Sheet2!$B$1:$E$19,3,FALSE)</f>
        <v>1108959</v>
      </c>
      <c r="O3479">
        <f>IF(G3479="Not available","",VLOOKUP(F3479,Sheet2!$B$1:$E$19,4,FALSE)+(G3479-1))</f>
        <v>3780011</v>
      </c>
    </row>
    <row r="3480" spans="1:15" s="1" customFormat="1" ht="15" customHeight="1" x14ac:dyDescent="0.25">
      <c r="A3480" s="18" t="s">
        <v>367</v>
      </c>
      <c r="B3480" s="18" t="s">
        <v>17</v>
      </c>
      <c r="C3480" s="5">
        <v>1811</v>
      </c>
      <c r="E3480" s="1" t="s">
        <v>2</v>
      </c>
      <c r="F3480" s="18">
        <v>2173</v>
      </c>
      <c r="G3480" s="18">
        <v>58</v>
      </c>
      <c r="H3480" s="14" t="s">
        <v>2984</v>
      </c>
      <c r="I3480" s="1">
        <v>111</v>
      </c>
      <c r="J3480" s="1">
        <v>240</v>
      </c>
      <c r="L3480" t="str">
        <f t="shared" si="54"/>
        <v>http://www.badatelna.eu/reprodukce/?fondId=1073&amp;zaznamId=1108959&amp;reproId=3780051</v>
      </c>
      <c r="M3480">
        <f>VLOOKUP(F3480,Sheet2!$B$1:$E$19,2,FALSE)</f>
        <v>1073</v>
      </c>
      <c r="N3480">
        <f>VLOOKUP(F3480,Sheet2!$B$1:$E$19,3,FALSE)</f>
        <v>1108959</v>
      </c>
      <c r="O3480">
        <f>IF(G3480="Not available","",VLOOKUP(F3480,Sheet2!$B$1:$E$19,4,FALSE)+(G3480-1))</f>
        <v>3780051</v>
      </c>
    </row>
    <row r="3481" spans="1:15" s="1" customFormat="1" ht="15" customHeight="1" x14ac:dyDescent="0.25">
      <c r="A3481" s="18" t="s">
        <v>367</v>
      </c>
      <c r="B3481" s="18" t="s">
        <v>17</v>
      </c>
      <c r="C3481" s="5">
        <v>1814</v>
      </c>
      <c r="E3481" s="1" t="s">
        <v>2</v>
      </c>
      <c r="F3481" s="18">
        <v>2173</v>
      </c>
      <c r="G3481" s="18">
        <v>63</v>
      </c>
      <c r="H3481" s="5">
        <v>120</v>
      </c>
      <c r="I3481" s="1">
        <v>111</v>
      </c>
      <c r="J3481" s="1">
        <v>240</v>
      </c>
      <c r="L3481" t="str">
        <f t="shared" si="54"/>
        <v>http://www.badatelna.eu/reprodukce/?fondId=1073&amp;zaznamId=1108959&amp;reproId=3780056</v>
      </c>
      <c r="M3481">
        <f>VLOOKUP(F3481,Sheet2!$B$1:$E$19,2,FALSE)</f>
        <v>1073</v>
      </c>
      <c r="N3481">
        <f>VLOOKUP(F3481,Sheet2!$B$1:$E$19,3,FALSE)</f>
        <v>1108959</v>
      </c>
      <c r="O3481">
        <f>IF(G3481="Not available","",VLOOKUP(F3481,Sheet2!$B$1:$E$19,4,FALSE)+(G3481-1))</f>
        <v>3780056</v>
      </c>
    </row>
    <row r="3482" spans="1:15" s="1" customFormat="1" ht="15" customHeight="1" x14ac:dyDescent="0.25">
      <c r="A3482" s="18" t="s">
        <v>367</v>
      </c>
      <c r="B3482" s="18" t="s">
        <v>17</v>
      </c>
      <c r="C3482" s="5">
        <v>1824</v>
      </c>
      <c r="E3482" s="1" t="s">
        <v>2</v>
      </c>
      <c r="F3482" s="18">
        <v>2173</v>
      </c>
      <c r="G3482" s="18">
        <v>77</v>
      </c>
      <c r="H3482" s="5">
        <v>147</v>
      </c>
      <c r="I3482" s="1">
        <v>111</v>
      </c>
      <c r="J3482" s="1">
        <v>241</v>
      </c>
      <c r="L3482" t="str">
        <f t="shared" si="54"/>
        <v>http://www.badatelna.eu/reprodukce/?fondId=1073&amp;zaznamId=1108959&amp;reproId=3780070</v>
      </c>
      <c r="M3482">
        <f>VLOOKUP(F3482,Sheet2!$B$1:$E$19,2,FALSE)</f>
        <v>1073</v>
      </c>
      <c r="N3482">
        <f>VLOOKUP(F3482,Sheet2!$B$1:$E$19,3,FALSE)</f>
        <v>1108959</v>
      </c>
      <c r="O3482">
        <f>IF(G3482="Not available","",VLOOKUP(F3482,Sheet2!$B$1:$E$19,4,FALSE)+(G3482-1))</f>
        <v>3780070</v>
      </c>
    </row>
    <row r="3483" spans="1:15" s="1" customFormat="1" ht="15" customHeight="1" x14ac:dyDescent="0.25">
      <c r="A3483" s="18" t="s">
        <v>367</v>
      </c>
      <c r="B3483" s="18" t="s">
        <v>44</v>
      </c>
      <c r="C3483" s="5">
        <v>1822</v>
      </c>
      <c r="E3483" s="1" t="s">
        <v>2</v>
      </c>
      <c r="F3483" s="18">
        <v>2173</v>
      </c>
      <c r="G3483" s="18">
        <v>73</v>
      </c>
      <c r="H3483" s="5">
        <v>139</v>
      </c>
      <c r="I3483" s="1">
        <v>111</v>
      </c>
      <c r="J3483" s="1">
        <v>241</v>
      </c>
      <c r="L3483" t="str">
        <f t="shared" si="54"/>
        <v>http://www.badatelna.eu/reprodukce/?fondId=1073&amp;zaznamId=1108959&amp;reproId=3780066</v>
      </c>
      <c r="M3483">
        <f>VLOOKUP(F3483,Sheet2!$B$1:$E$19,2,FALSE)</f>
        <v>1073</v>
      </c>
      <c r="N3483">
        <f>VLOOKUP(F3483,Sheet2!$B$1:$E$19,3,FALSE)</f>
        <v>1108959</v>
      </c>
      <c r="O3483">
        <f>IF(G3483="Not available","",VLOOKUP(F3483,Sheet2!$B$1:$E$19,4,FALSE)+(G3483-1))</f>
        <v>3780066</v>
      </c>
    </row>
    <row r="3484" spans="1:15" s="1" customFormat="1" ht="15" customHeight="1" x14ac:dyDescent="0.25">
      <c r="A3484" s="18" t="s">
        <v>367</v>
      </c>
      <c r="B3484" s="18" t="s">
        <v>23</v>
      </c>
      <c r="C3484" s="5">
        <v>1805</v>
      </c>
      <c r="E3484" s="1" t="s">
        <v>2</v>
      </c>
      <c r="F3484" s="18">
        <v>2173</v>
      </c>
      <c r="G3484" s="18">
        <v>50</v>
      </c>
      <c r="H3484" s="5">
        <v>95</v>
      </c>
      <c r="I3484" s="1">
        <v>111</v>
      </c>
      <c r="J3484" s="1">
        <v>240</v>
      </c>
      <c r="L3484" t="str">
        <f t="shared" si="54"/>
        <v>http://www.badatelna.eu/reprodukce/?fondId=1073&amp;zaznamId=1108959&amp;reproId=3780043</v>
      </c>
      <c r="M3484">
        <f>VLOOKUP(F3484,Sheet2!$B$1:$E$19,2,FALSE)</f>
        <v>1073</v>
      </c>
      <c r="N3484">
        <f>VLOOKUP(F3484,Sheet2!$B$1:$E$19,3,FALSE)</f>
        <v>1108959</v>
      </c>
      <c r="O3484">
        <f>IF(G3484="Not available","",VLOOKUP(F3484,Sheet2!$B$1:$E$19,4,FALSE)+(G3484-1))</f>
        <v>3780043</v>
      </c>
    </row>
    <row r="3485" spans="1:15" s="1" customFormat="1" ht="15" customHeight="1" x14ac:dyDescent="0.25">
      <c r="A3485" s="18" t="s">
        <v>367</v>
      </c>
      <c r="B3485" s="18" t="s">
        <v>23</v>
      </c>
      <c r="C3485" s="5">
        <v>1831</v>
      </c>
      <c r="D3485" s="1" t="s">
        <v>428</v>
      </c>
      <c r="E3485" s="1" t="s">
        <v>2</v>
      </c>
      <c r="F3485" s="18">
        <v>2174</v>
      </c>
      <c r="G3485" s="18">
        <v>64</v>
      </c>
      <c r="H3485" s="6" t="s">
        <v>3108</v>
      </c>
      <c r="I3485" s="1">
        <v>196</v>
      </c>
      <c r="J3485" s="1">
        <v>231</v>
      </c>
      <c r="L3485" t="str">
        <f t="shared" si="54"/>
        <v>http://www.badatelna.eu/reprodukce/?fondId=1073&amp;zaznamId=1108960&amp;reproId=3780288</v>
      </c>
      <c r="M3485">
        <f>VLOOKUP(F3485,Sheet2!$B$1:$E$19,2,FALSE)</f>
        <v>1073</v>
      </c>
      <c r="N3485">
        <f>VLOOKUP(F3485,Sheet2!$B$1:$E$19,3,FALSE)</f>
        <v>1108960</v>
      </c>
      <c r="O3485">
        <f>IF(G3485="Not available","",VLOOKUP(F3485,Sheet2!$B$1:$E$19,4,FALSE)+(G3485-1))</f>
        <v>3780288</v>
      </c>
    </row>
    <row r="3486" spans="1:15" s="1" customFormat="1" ht="15" customHeight="1" x14ac:dyDescent="0.25">
      <c r="A3486" s="18" t="s">
        <v>367</v>
      </c>
      <c r="B3486" s="18" t="s">
        <v>81</v>
      </c>
      <c r="C3486" s="5">
        <v>1837</v>
      </c>
      <c r="D3486" s="1" t="s">
        <v>428</v>
      </c>
      <c r="E3486" s="1" t="s">
        <v>2</v>
      </c>
      <c r="F3486" s="18">
        <v>2174</v>
      </c>
      <c r="G3486" s="18">
        <v>93</v>
      </c>
      <c r="H3486" s="6" t="s">
        <v>3161</v>
      </c>
      <c r="I3486" s="1">
        <v>197</v>
      </c>
      <c r="J3486" s="1">
        <v>232</v>
      </c>
      <c r="K3486" s="4" t="s">
        <v>363</v>
      </c>
      <c r="L3486" t="str">
        <f t="shared" si="54"/>
        <v>http://www.badatelna.eu/reprodukce/?fondId=1073&amp;zaznamId=1108960&amp;reproId=3780317</v>
      </c>
      <c r="M3486">
        <f>VLOOKUP(F3486,Sheet2!$B$1:$E$19,2,FALSE)</f>
        <v>1073</v>
      </c>
      <c r="N3486">
        <f>VLOOKUP(F3486,Sheet2!$B$1:$E$19,3,FALSE)</f>
        <v>1108960</v>
      </c>
      <c r="O3486">
        <f>IF(G3486="Not available","",VLOOKUP(F3486,Sheet2!$B$1:$E$19,4,FALSE)+(G3486-1))</f>
        <v>3780317</v>
      </c>
    </row>
    <row r="3487" spans="1:15" s="1" customFormat="1" ht="15" customHeight="1" x14ac:dyDescent="0.25">
      <c r="A3487" s="18" t="s">
        <v>367</v>
      </c>
      <c r="B3487" s="18" t="s">
        <v>304</v>
      </c>
      <c r="C3487" s="5">
        <v>1862</v>
      </c>
      <c r="E3487" s="1" t="s">
        <v>939</v>
      </c>
      <c r="F3487" s="18">
        <v>999</v>
      </c>
      <c r="G3487" s="18">
        <v>37</v>
      </c>
      <c r="H3487" s="5">
        <v>34</v>
      </c>
      <c r="I3487" s="1">
        <v>74</v>
      </c>
      <c r="J3487" s="1">
        <v>108</v>
      </c>
      <c r="L3487" t="str">
        <f t="shared" si="54"/>
        <v>http://www.badatelna.eu/reprodukce/?fondId=241&amp;zaznamId=1133739&amp;reproId=3885766</v>
      </c>
      <c r="M3487">
        <f>VLOOKUP(F3487,Sheet2!$B$1:$E$19,2,FALSE)</f>
        <v>241</v>
      </c>
      <c r="N3487">
        <f>VLOOKUP(F3487,Sheet2!$B$1:$E$19,3,FALSE)</f>
        <v>1133739</v>
      </c>
      <c r="O3487">
        <f>IF(G3487="Not available","",VLOOKUP(F3487,Sheet2!$B$1:$E$19,4,FALSE)+(G3487-1))</f>
        <v>3885766</v>
      </c>
    </row>
    <row r="3488" spans="1:15" s="1" customFormat="1" ht="15" customHeight="1" x14ac:dyDescent="0.25">
      <c r="A3488" s="18" t="s">
        <v>367</v>
      </c>
      <c r="B3488" s="18" t="s">
        <v>76</v>
      </c>
      <c r="C3488" s="5">
        <v>1804</v>
      </c>
      <c r="E3488" s="1" t="s">
        <v>2</v>
      </c>
      <c r="F3488" s="18">
        <v>2173</v>
      </c>
      <c r="G3488" s="18">
        <v>48</v>
      </c>
      <c r="H3488" s="5">
        <v>90</v>
      </c>
      <c r="I3488" s="1">
        <v>111</v>
      </c>
      <c r="J3488" s="1">
        <v>240</v>
      </c>
      <c r="L3488" t="str">
        <f t="shared" si="54"/>
        <v>http://www.badatelna.eu/reprodukce/?fondId=1073&amp;zaznamId=1108959&amp;reproId=3780041</v>
      </c>
      <c r="M3488">
        <f>VLOOKUP(F3488,Sheet2!$B$1:$E$19,2,FALSE)</f>
        <v>1073</v>
      </c>
      <c r="N3488">
        <f>VLOOKUP(F3488,Sheet2!$B$1:$E$19,3,FALSE)</f>
        <v>1108959</v>
      </c>
      <c r="O3488">
        <f>IF(G3488="Not available","",VLOOKUP(F3488,Sheet2!$B$1:$E$19,4,FALSE)+(G3488-1))</f>
        <v>3780041</v>
      </c>
    </row>
    <row r="3489" spans="1:15" s="1" customFormat="1" ht="15" customHeight="1" x14ac:dyDescent="0.25">
      <c r="A3489" s="18" t="s">
        <v>367</v>
      </c>
      <c r="B3489" s="18" t="s">
        <v>76</v>
      </c>
      <c r="C3489" s="5">
        <v>1811</v>
      </c>
      <c r="E3489" s="1" t="s">
        <v>2</v>
      </c>
      <c r="F3489" s="18">
        <v>2173</v>
      </c>
      <c r="G3489" s="18">
        <v>58</v>
      </c>
      <c r="H3489" s="14" t="s">
        <v>2984</v>
      </c>
      <c r="I3489" s="1">
        <v>111</v>
      </c>
      <c r="J3489" s="1">
        <v>240</v>
      </c>
      <c r="L3489" t="str">
        <f t="shared" si="54"/>
        <v>http://www.badatelna.eu/reprodukce/?fondId=1073&amp;zaznamId=1108959&amp;reproId=3780051</v>
      </c>
      <c r="M3489">
        <f>VLOOKUP(F3489,Sheet2!$B$1:$E$19,2,FALSE)</f>
        <v>1073</v>
      </c>
      <c r="N3489">
        <f>VLOOKUP(F3489,Sheet2!$B$1:$E$19,3,FALSE)</f>
        <v>1108959</v>
      </c>
      <c r="O3489">
        <f>IF(G3489="Not available","",VLOOKUP(F3489,Sheet2!$B$1:$E$19,4,FALSE)+(G3489-1))</f>
        <v>3780051</v>
      </c>
    </row>
    <row r="3490" spans="1:15" s="1" customFormat="1" ht="15" customHeight="1" x14ac:dyDescent="0.25">
      <c r="A3490" s="18" t="s">
        <v>367</v>
      </c>
      <c r="B3490" s="18" t="s">
        <v>93</v>
      </c>
      <c r="C3490" s="5">
        <v>1790</v>
      </c>
      <c r="D3490" s="1" t="s">
        <v>372</v>
      </c>
      <c r="E3490" s="1" t="s">
        <v>2</v>
      </c>
      <c r="F3490" s="18">
        <v>2173</v>
      </c>
      <c r="G3490" s="18">
        <v>24</v>
      </c>
      <c r="H3490" s="5">
        <v>42</v>
      </c>
      <c r="I3490" s="1">
        <v>110</v>
      </c>
      <c r="J3490" s="1">
        <v>239</v>
      </c>
      <c r="L3490" t="str">
        <f t="shared" si="54"/>
        <v>http://www.badatelna.eu/reprodukce/?fondId=1073&amp;zaznamId=1108959&amp;reproId=3780017</v>
      </c>
      <c r="M3490">
        <f>VLOOKUP(F3490,Sheet2!$B$1:$E$19,2,FALSE)</f>
        <v>1073</v>
      </c>
      <c r="N3490">
        <f>VLOOKUP(F3490,Sheet2!$B$1:$E$19,3,FALSE)</f>
        <v>1108959</v>
      </c>
      <c r="O3490">
        <f>IF(G3490="Not available","",VLOOKUP(F3490,Sheet2!$B$1:$E$19,4,FALSE)+(G3490-1))</f>
        <v>3780017</v>
      </c>
    </row>
    <row r="3491" spans="1:15" s="1" customFormat="1" ht="15" customHeight="1" x14ac:dyDescent="0.25">
      <c r="A3491" s="18" t="s">
        <v>367</v>
      </c>
      <c r="B3491" s="18" t="s">
        <v>664</v>
      </c>
      <c r="C3491" s="5">
        <v>1833</v>
      </c>
      <c r="D3491" s="1" t="s">
        <v>428</v>
      </c>
      <c r="E3491" s="1" t="s">
        <v>2</v>
      </c>
      <c r="F3491" s="18">
        <v>2174</v>
      </c>
      <c r="G3491" s="18">
        <v>71</v>
      </c>
      <c r="H3491" s="6" t="s">
        <v>3139</v>
      </c>
      <c r="I3491" s="1">
        <v>196</v>
      </c>
      <c r="J3491" s="1">
        <v>231</v>
      </c>
      <c r="L3491" t="str">
        <f t="shared" si="54"/>
        <v>http://www.badatelna.eu/reprodukce/?fondId=1073&amp;zaznamId=1108960&amp;reproId=3780295</v>
      </c>
      <c r="M3491">
        <f>VLOOKUP(F3491,Sheet2!$B$1:$E$19,2,FALSE)</f>
        <v>1073</v>
      </c>
      <c r="N3491">
        <f>VLOOKUP(F3491,Sheet2!$B$1:$E$19,3,FALSE)</f>
        <v>1108960</v>
      </c>
      <c r="O3491">
        <f>IF(G3491="Not available","",VLOOKUP(F3491,Sheet2!$B$1:$E$19,4,FALSE)+(G3491-1))</f>
        <v>3780295</v>
      </c>
    </row>
    <row r="3492" spans="1:15" s="1" customFormat="1" ht="15" customHeight="1" x14ac:dyDescent="0.25">
      <c r="A3492" s="18" t="s">
        <v>395</v>
      </c>
      <c r="B3492" s="18" t="s">
        <v>21</v>
      </c>
      <c r="C3492" s="5">
        <v>1817</v>
      </c>
      <c r="D3492" s="1" t="s">
        <v>87</v>
      </c>
      <c r="E3492" s="1" t="s">
        <v>2</v>
      </c>
      <c r="F3492" s="18">
        <v>2173</v>
      </c>
      <c r="G3492" s="18">
        <v>66</v>
      </c>
      <c r="H3492" s="5">
        <v>127</v>
      </c>
      <c r="I3492" s="1">
        <v>111</v>
      </c>
      <c r="J3492" s="1">
        <v>241</v>
      </c>
      <c r="L3492" t="str">
        <f t="shared" si="54"/>
        <v>http://www.badatelna.eu/reprodukce/?fondId=1073&amp;zaznamId=1108959&amp;reproId=3780059</v>
      </c>
      <c r="M3492">
        <f>VLOOKUP(F3492,Sheet2!$B$1:$E$19,2,FALSE)</f>
        <v>1073</v>
      </c>
      <c r="N3492">
        <f>VLOOKUP(F3492,Sheet2!$B$1:$E$19,3,FALSE)</f>
        <v>1108959</v>
      </c>
      <c r="O3492">
        <f>IF(G3492="Not available","",VLOOKUP(F3492,Sheet2!$B$1:$E$19,4,FALSE)+(G3492-1))</f>
        <v>3780059</v>
      </c>
    </row>
    <row r="3493" spans="1:15" s="1" customFormat="1" ht="15" customHeight="1" x14ac:dyDescent="0.25">
      <c r="A3493" s="18" t="s">
        <v>369</v>
      </c>
      <c r="B3493" s="18" t="s">
        <v>74</v>
      </c>
      <c r="C3493" s="5">
        <v>1839</v>
      </c>
      <c r="D3493" s="1" t="s">
        <v>23</v>
      </c>
      <c r="E3493" s="1" t="s">
        <v>2</v>
      </c>
      <c r="F3493" s="18">
        <v>2174</v>
      </c>
      <c r="G3493" s="18">
        <v>105</v>
      </c>
      <c r="H3493" s="6" t="s">
        <v>3171</v>
      </c>
      <c r="I3493" s="1">
        <v>197</v>
      </c>
      <c r="J3493" s="1">
        <v>232</v>
      </c>
      <c r="L3493" t="str">
        <f t="shared" si="54"/>
        <v>http://www.badatelna.eu/reprodukce/?fondId=1073&amp;zaznamId=1108960&amp;reproId=3780329</v>
      </c>
      <c r="M3493">
        <f>VLOOKUP(F3493,Sheet2!$B$1:$E$19,2,FALSE)</f>
        <v>1073</v>
      </c>
      <c r="N3493">
        <f>VLOOKUP(F3493,Sheet2!$B$1:$E$19,3,FALSE)</f>
        <v>1108960</v>
      </c>
      <c r="O3493">
        <f>IF(G3493="Not available","",VLOOKUP(F3493,Sheet2!$B$1:$E$19,4,FALSE)+(G3493-1))</f>
        <v>3780329</v>
      </c>
    </row>
    <row r="3494" spans="1:15" s="1" customFormat="1" ht="15" customHeight="1" x14ac:dyDescent="0.25">
      <c r="A3494" s="18" t="s">
        <v>369</v>
      </c>
      <c r="B3494" s="18" t="s">
        <v>6</v>
      </c>
      <c r="C3494" s="5">
        <v>1795</v>
      </c>
      <c r="D3494" s="1" t="s">
        <v>74</v>
      </c>
      <c r="E3494" s="1" t="s">
        <v>2</v>
      </c>
      <c r="F3494" s="18">
        <v>2173</v>
      </c>
      <c r="G3494" s="18">
        <v>33</v>
      </c>
      <c r="H3494" s="5">
        <v>61</v>
      </c>
      <c r="I3494" s="1">
        <v>110</v>
      </c>
      <c r="J3494" s="1">
        <v>239</v>
      </c>
      <c r="L3494" t="str">
        <f t="shared" si="54"/>
        <v>http://www.badatelna.eu/reprodukce/?fondId=1073&amp;zaznamId=1108959&amp;reproId=3780026</v>
      </c>
      <c r="M3494">
        <f>VLOOKUP(F3494,Sheet2!$B$1:$E$19,2,FALSE)</f>
        <v>1073</v>
      </c>
      <c r="N3494">
        <f>VLOOKUP(F3494,Sheet2!$B$1:$E$19,3,FALSE)</f>
        <v>1108959</v>
      </c>
      <c r="O3494">
        <f>IF(G3494="Not available","",VLOOKUP(F3494,Sheet2!$B$1:$E$19,4,FALSE)+(G3494-1))</f>
        <v>3780026</v>
      </c>
    </row>
    <row r="3495" spans="1:15" s="1" customFormat="1" ht="15" customHeight="1" x14ac:dyDescent="0.25">
      <c r="A3495" s="18" t="s">
        <v>369</v>
      </c>
      <c r="B3495" s="18" t="s">
        <v>9</v>
      </c>
      <c r="C3495" s="5">
        <v>1841</v>
      </c>
      <c r="D3495" s="1" t="s">
        <v>23</v>
      </c>
      <c r="E3495" s="1" t="s">
        <v>2</v>
      </c>
      <c r="F3495" s="18">
        <v>2174</v>
      </c>
      <c r="G3495" s="18">
        <v>117</v>
      </c>
      <c r="H3495" s="14" t="s">
        <v>3185</v>
      </c>
      <c r="I3495" s="1">
        <v>197</v>
      </c>
      <c r="J3495" s="1">
        <v>232</v>
      </c>
      <c r="L3495" t="str">
        <f t="shared" si="54"/>
        <v>http://www.badatelna.eu/reprodukce/?fondId=1073&amp;zaznamId=1108960&amp;reproId=3780341</v>
      </c>
      <c r="M3495">
        <f>VLOOKUP(F3495,Sheet2!$B$1:$E$19,2,FALSE)</f>
        <v>1073</v>
      </c>
      <c r="N3495">
        <f>VLOOKUP(F3495,Sheet2!$B$1:$E$19,3,FALSE)</f>
        <v>1108960</v>
      </c>
      <c r="O3495">
        <f>IF(G3495="Not available","",VLOOKUP(F3495,Sheet2!$B$1:$E$19,4,FALSE)+(G3495-1))</f>
        <v>3780341</v>
      </c>
    </row>
    <row r="3496" spans="1:15" s="1" customFormat="1" ht="15" customHeight="1" x14ac:dyDescent="0.25">
      <c r="A3496" s="18" t="s">
        <v>369</v>
      </c>
      <c r="B3496" s="18" t="s">
        <v>87</v>
      </c>
      <c r="C3496" s="5">
        <v>1793</v>
      </c>
      <c r="D3496" s="1" t="s">
        <v>74</v>
      </c>
      <c r="E3496" s="1" t="s">
        <v>2</v>
      </c>
      <c r="F3496" s="18">
        <v>2173</v>
      </c>
      <c r="G3496" s="18">
        <v>29</v>
      </c>
      <c r="H3496" s="5">
        <v>53</v>
      </c>
      <c r="I3496" s="1">
        <v>110</v>
      </c>
      <c r="J3496" s="1">
        <v>239</v>
      </c>
      <c r="L3496" t="str">
        <f t="shared" si="54"/>
        <v>http://www.badatelna.eu/reprodukce/?fondId=1073&amp;zaznamId=1108959&amp;reproId=3780022</v>
      </c>
      <c r="M3496">
        <f>VLOOKUP(F3496,Sheet2!$B$1:$E$19,2,FALSE)</f>
        <v>1073</v>
      </c>
      <c r="N3496">
        <f>VLOOKUP(F3496,Sheet2!$B$1:$E$19,3,FALSE)</f>
        <v>1108959</v>
      </c>
      <c r="O3496">
        <f>IF(G3496="Not available","",VLOOKUP(F3496,Sheet2!$B$1:$E$19,4,FALSE)+(G3496-1))</f>
        <v>3780022</v>
      </c>
    </row>
    <row r="3497" spans="1:15" s="1" customFormat="1" ht="15" customHeight="1" x14ac:dyDescent="0.25">
      <c r="A3497" s="18" t="s">
        <v>369</v>
      </c>
      <c r="B3497" s="18" t="s">
        <v>469</v>
      </c>
      <c r="C3497" s="5">
        <v>1835</v>
      </c>
      <c r="D3497" s="1" t="s">
        <v>23</v>
      </c>
      <c r="E3497" s="1" t="s">
        <v>2</v>
      </c>
      <c r="F3497" s="18">
        <v>2174</v>
      </c>
      <c r="G3497" s="18">
        <v>83</v>
      </c>
      <c r="H3497" s="6" t="s">
        <v>3147</v>
      </c>
      <c r="I3497" s="1">
        <v>196</v>
      </c>
      <c r="J3497" s="1">
        <v>231</v>
      </c>
      <c r="L3497" t="str">
        <f t="shared" si="54"/>
        <v>http://www.badatelna.eu/reprodukce/?fondId=1073&amp;zaznamId=1108960&amp;reproId=3780307</v>
      </c>
      <c r="M3497">
        <f>VLOOKUP(F3497,Sheet2!$B$1:$E$19,2,FALSE)</f>
        <v>1073</v>
      </c>
      <c r="N3497">
        <f>VLOOKUP(F3497,Sheet2!$B$1:$E$19,3,FALSE)</f>
        <v>1108960</v>
      </c>
      <c r="O3497">
        <f>IF(G3497="Not available","",VLOOKUP(F3497,Sheet2!$B$1:$E$19,4,FALSE)+(G3497-1))</f>
        <v>3780307</v>
      </c>
    </row>
    <row r="3498" spans="1:15" s="1" customFormat="1" ht="15" customHeight="1" x14ac:dyDescent="0.25">
      <c r="A3498" s="18" t="s">
        <v>369</v>
      </c>
      <c r="B3498" s="18" t="s">
        <v>484</v>
      </c>
      <c r="C3498" s="5">
        <v>1844</v>
      </c>
      <c r="D3498" s="1" t="s">
        <v>23</v>
      </c>
      <c r="E3498" s="1" t="s">
        <v>2</v>
      </c>
      <c r="F3498" s="18">
        <v>2174</v>
      </c>
      <c r="G3498" s="18">
        <v>148</v>
      </c>
      <c r="H3498" s="6" t="s">
        <v>3214</v>
      </c>
      <c r="I3498" s="1">
        <v>197</v>
      </c>
      <c r="J3498" s="1">
        <v>233</v>
      </c>
      <c r="L3498" t="str">
        <f t="shared" si="54"/>
        <v>http://www.badatelna.eu/reprodukce/?fondId=1073&amp;zaznamId=1108960&amp;reproId=3780372</v>
      </c>
      <c r="M3498">
        <f>VLOOKUP(F3498,Sheet2!$B$1:$E$19,2,FALSE)</f>
        <v>1073</v>
      </c>
      <c r="N3498">
        <f>VLOOKUP(F3498,Sheet2!$B$1:$E$19,3,FALSE)</f>
        <v>1108960</v>
      </c>
      <c r="O3498">
        <f>IF(G3498="Not available","",VLOOKUP(F3498,Sheet2!$B$1:$E$19,4,FALSE)+(G3498-1))</f>
        <v>3780372</v>
      </c>
    </row>
    <row r="3499" spans="1:15" s="1" customFormat="1" ht="15" customHeight="1" x14ac:dyDescent="0.25">
      <c r="A3499" s="18" t="s">
        <v>369</v>
      </c>
      <c r="B3499" s="18" t="s">
        <v>721</v>
      </c>
      <c r="C3499" s="5">
        <v>1832</v>
      </c>
      <c r="D3499" s="1" t="s">
        <v>23</v>
      </c>
      <c r="E3499" s="1" t="s">
        <v>2</v>
      </c>
      <c r="F3499" s="18">
        <v>2174</v>
      </c>
      <c r="G3499" s="18">
        <v>68</v>
      </c>
      <c r="H3499" s="6" t="s">
        <v>3112</v>
      </c>
      <c r="I3499" s="1">
        <v>196</v>
      </c>
      <c r="J3499" s="1">
        <v>231</v>
      </c>
      <c r="L3499" t="str">
        <f t="shared" si="54"/>
        <v>http://www.badatelna.eu/reprodukce/?fondId=1073&amp;zaznamId=1108960&amp;reproId=3780292</v>
      </c>
      <c r="M3499">
        <f>VLOOKUP(F3499,Sheet2!$B$1:$E$19,2,FALSE)</f>
        <v>1073</v>
      </c>
      <c r="N3499">
        <f>VLOOKUP(F3499,Sheet2!$B$1:$E$19,3,FALSE)</f>
        <v>1108960</v>
      </c>
      <c r="O3499">
        <f>IF(G3499="Not available","",VLOOKUP(F3499,Sheet2!$B$1:$E$19,4,FALSE)+(G3499-1))</f>
        <v>3780292</v>
      </c>
    </row>
    <row r="3500" spans="1:15" s="1" customFormat="1" ht="15" customHeight="1" x14ac:dyDescent="0.25">
      <c r="A3500" s="18" t="s">
        <v>369</v>
      </c>
      <c r="B3500" s="18" t="s">
        <v>370</v>
      </c>
      <c r="C3500" s="5">
        <v>1847</v>
      </c>
      <c r="D3500" s="1" t="s">
        <v>23</v>
      </c>
      <c r="E3500" s="1" t="s">
        <v>2</v>
      </c>
      <c r="F3500" s="18">
        <v>2174</v>
      </c>
      <c r="G3500" s="18">
        <v>171</v>
      </c>
      <c r="H3500" s="6" t="s">
        <v>3238</v>
      </c>
      <c r="I3500" s="1">
        <v>197</v>
      </c>
      <c r="J3500" s="1">
        <v>233</v>
      </c>
      <c r="L3500" t="str">
        <f t="shared" si="54"/>
        <v>http://www.badatelna.eu/reprodukce/?fondId=1073&amp;zaznamId=1108960&amp;reproId=3780395</v>
      </c>
      <c r="M3500">
        <f>VLOOKUP(F3500,Sheet2!$B$1:$E$19,2,FALSE)</f>
        <v>1073</v>
      </c>
      <c r="N3500">
        <f>VLOOKUP(F3500,Sheet2!$B$1:$E$19,3,FALSE)</f>
        <v>1108960</v>
      </c>
      <c r="O3500">
        <f>IF(G3500="Not available","",VLOOKUP(F3500,Sheet2!$B$1:$E$19,4,FALSE)+(G3500-1))</f>
        <v>3780395</v>
      </c>
    </row>
    <row r="3501" spans="1:15" s="1" customFormat="1" ht="15" customHeight="1" x14ac:dyDescent="0.25">
      <c r="A3501" s="18" t="s">
        <v>369</v>
      </c>
      <c r="B3501" s="18" t="s">
        <v>133</v>
      </c>
      <c r="C3501" s="5">
        <v>1798</v>
      </c>
      <c r="D3501" s="1" t="s">
        <v>74</v>
      </c>
      <c r="E3501" s="1" t="s">
        <v>2</v>
      </c>
      <c r="F3501" s="18">
        <v>2173</v>
      </c>
      <c r="G3501" s="18">
        <v>37</v>
      </c>
      <c r="H3501" s="5">
        <v>68</v>
      </c>
      <c r="I3501" s="1">
        <v>110</v>
      </c>
      <c r="J3501" s="1">
        <v>239</v>
      </c>
      <c r="L3501" t="str">
        <f t="shared" si="54"/>
        <v>http://www.badatelna.eu/reprodukce/?fondId=1073&amp;zaznamId=1108959&amp;reproId=3780030</v>
      </c>
      <c r="M3501">
        <f>VLOOKUP(F3501,Sheet2!$B$1:$E$19,2,FALSE)</f>
        <v>1073</v>
      </c>
      <c r="N3501">
        <f>VLOOKUP(F3501,Sheet2!$B$1:$E$19,3,FALSE)</f>
        <v>1108959</v>
      </c>
      <c r="O3501">
        <f>IF(G3501="Not available","",VLOOKUP(F3501,Sheet2!$B$1:$E$19,4,FALSE)+(G3501-1))</f>
        <v>3780030</v>
      </c>
    </row>
    <row r="3502" spans="1:15" s="1" customFormat="1" ht="15" customHeight="1" x14ac:dyDescent="0.25">
      <c r="A3502" s="18" t="s">
        <v>369</v>
      </c>
      <c r="B3502" s="18" t="s">
        <v>172</v>
      </c>
      <c r="C3502" s="5">
        <v>1833</v>
      </c>
      <c r="D3502" s="1" t="s">
        <v>23</v>
      </c>
      <c r="E3502" s="1" t="s">
        <v>2</v>
      </c>
      <c r="F3502" s="18">
        <v>2174</v>
      </c>
      <c r="G3502" s="18">
        <v>74</v>
      </c>
      <c r="H3502" s="6" t="s">
        <v>3136</v>
      </c>
      <c r="I3502" s="1">
        <v>196</v>
      </c>
      <c r="J3502" s="1">
        <v>231</v>
      </c>
      <c r="L3502" t="str">
        <f t="shared" si="54"/>
        <v>http://www.badatelna.eu/reprodukce/?fondId=1073&amp;zaznamId=1108960&amp;reproId=3780298</v>
      </c>
      <c r="M3502">
        <f>VLOOKUP(F3502,Sheet2!$B$1:$E$19,2,FALSE)</f>
        <v>1073</v>
      </c>
      <c r="N3502">
        <f>VLOOKUP(F3502,Sheet2!$B$1:$E$19,3,FALSE)</f>
        <v>1108960</v>
      </c>
      <c r="O3502">
        <f>IF(G3502="Not available","",VLOOKUP(F3502,Sheet2!$B$1:$E$19,4,FALSE)+(G3502-1))</f>
        <v>3780298</v>
      </c>
    </row>
    <row r="3503" spans="1:15" s="1" customFormat="1" ht="15" customHeight="1" x14ac:dyDescent="0.25">
      <c r="A3503" s="18" t="s">
        <v>369</v>
      </c>
      <c r="B3503" s="18" t="s">
        <v>397</v>
      </c>
      <c r="C3503" s="5">
        <v>1818</v>
      </c>
      <c r="D3503" s="1" t="s">
        <v>87</v>
      </c>
      <c r="E3503" s="1" t="s">
        <v>2</v>
      </c>
      <c r="F3503" s="18">
        <v>2173</v>
      </c>
      <c r="G3503" s="18">
        <v>68</v>
      </c>
      <c r="H3503" s="5">
        <v>129</v>
      </c>
      <c r="I3503" s="1">
        <v>111</v>
      </c>
      <c r="J3503" s="1">
        <v>241</v>
      </c>
      <c r="L3503" t="str">
        <f t="shared" si="54"/>
        <v>http://www.badatelna.eu/reprodukce/?fondId=1073&amp;zaznamId=1108959&amp;reproId=3780061</v>
      </c>
      <c r="M3503">
        <f>VLOOKUP(F3503,Sheet2!$B$1:$E$19,2,FALSE)</f>
        <v>1073</v>
      </c>
      <c r="N3503">
        <f>VLOOKUP(F3503,Sheet2!$B$1:$E$19,3,FALSE)</f>
        <v>1108959</v>
      </c>
      <c r="O3503">
        <f>IF(G3503="Not available","",VLOOKUP(F3503,Sheet2!$B$1:$E$19,4,FALSE)+(G3503-1))</f>
        <v>3780061</v>
      </c>
    </row>
    <row r="3504" spans="1:15" s="1" customFormat="1" ht="15" customHeight="1" x14ac:dyDescent="0.25">
      <c r="A3504" s="18" t="s">
        <v>369</v>
      </c>
      <c r="B3504" s="18" t="s">
        <v>265</v>
      </c>
      <c r="C3504" s="5">
        <v>1829</v>
      </c>
      <c r="E3504" s="1" t="s">
        <v>2</v>
      </c>
      <c r="F3504" s="18">
        <v>2173</v>
      </c>
      <c r="G3504" s="18">
        <v>87</v>
      </c>
      <c r="H3504" s="5">
        <v>162</v>
      </c>
      <c r="I3504" s="1">
        <v>111</v>
      </c>
      <c r="J3504" s="1">
        <v>241</v>
      </c>
      <c r="L3504" t="str">
        <f t="shared" si="54"/>
        <v>http://www.badatelna.eu/reprodukce/?fondId=1073&amp;zaznamId=1108959&amp;reproId=3780080</v>
      </c>
      <c r="M3504">
        <f>VLOOKUP(F3504,Sheet2!$B$1:$E$19,2,FALSE)</f>
        <v>1073</v>
      </c>
      <c r="N3504">
        <f>VLOOKUP(F3504,Sheet2!$B$1:$E$19,3,FALSE)</f>
        <v>1108959</v>
      </c>
      <c r="O3504">
        <f>IF(G3504="Not available","",VLOOKUP(F3504,Sheet2!$B$1:$E$19,4,FALSE)+(G3504-1))</f>
        <v>3780080</v>
      </c>
    </row>
    <row r="3505" spans="1:15" s="1" customFormat="1" ht="15" customHeight="1" x14ac:dyDescent="0.25">
      <c r="A3505" s="18" t="s">
        <v>369</v>
      </c>
      <c r="B3505" s="18" t="s">
        <v>385</v>
      </c>
      <c r="C3505" s="5">
        <v>1804</v>
      </c>
      <c r="E3505" s="1" t="s">
        <v>2</v>
      </c>
      <c r="F3505" s="18">
        <v>2173</v>
      </c>
      <c r="G3505" s="18">
        <v>49</v>
      </c>
      <c r="H3505" s="5">
        <v>92</v>
      </c>
      <c r="I3505" s="1">
        <v>111</v>
      </c>
      <c r="J3505" s="1">
        <v>240</v>
      </c>
      <c r="L3505" t="str">
        <f t="shared" si="54"/>
        <v>http://www.badatelna.eu/reprodukce/?fondId=1073&amp;zaznamId=1108959&amp;reproId=3780042</v>
      </c>
      <c r="M3505">
        <f>VLOOKUP(F3505,Sheet2!$B$1:$E$19,2,FALSE)</f>
        <v>1073</v>
      </c>
      <c r="N3505">
        <f>VLOOKUP(F3505,Sheet2!$B$1:$E$19,3,FALSE)</f>
        <v>1108959</v>
      </c>
      <c r="O3505">
        <f>IF(G3505="Not available","",VLOOKUP(F3505,Sheet2!$B$1:$E$19,4,FALSE)+(G3505-1))</f>
        <v>3780042</v>
      </c>
    </row>
    <row r="3506" spans="1:15" s="1" customFormat="1" ht="15" customHeight="1" x14ac:dyDescent="0.25">
      <c r="A3506" s="18" t="s">
        <v>369</v>
      </c>
      <c r="B3506" s="18" t="s">
        <v>536</v>
      </c>
      <c r="C3506" s="5">
        <v>1837</v>
      </c>
      <c r="D3506" s="1" t="s">
        <v>23</v>
      </c>
      <c r="E3506" s="1" t="s">
        <v>2</v>
      </c>
      <c r="F3506" s="18">
        <v>2174</v>
      </c>
      <c r="G3506" s="18">
        <v>91</v>
      </c>
      <c r="H3506" s="6" t="s">
        <v>3157</v>
      </c>
      <c r="I3506" s="1">
        <v>197</v>
      </c>
      <c r="J3506" s="1">
        <v>232</v>
      </c>
      <c r="L3506" t="str">
        <f t="shared" si="54"/>
        <v>http://www.badatelna.eu/reprodukce/?fondId=1073&amp;zaznamId=1108960&amp;reproId=3780315</v>
      </c>
      <c r="M3506">
        <f>VLOOKUP(F3506,Sheet2!$B$1:$E$19,2,FALSE)</f>
        <v>1073</v>
      </c>
      <c r="N3506">
        <f>VLOOKUP(F3506,Sheet2!$B$1:$E$19,3,FALSE)</f>
        <v>1108960</v>
      </c>
      <c r="O3506">
        <f>IF(G3506="Not available","",VLOOKUP(F3506,Sheet2!$B$1:$E$19,4,FALSE)+(G3506-1))</f>
        <v>3780315</v>
      </c>
    </row>
    <row r="3507" spans="1:15" s="1" customFormat="1" ht="15" customHeight="1" x14ac:dyDescent="0.25">
      <c r="A3507" s="18" t="s">
        <v>369</v>
      </c>
      <c r="B3507" s="18" t="s">
        <v>23</v>
      </c>
      <c r="C3507" s="5">
        <v>1815</v>
      </c>
      <c r="E3507" s="1" t="s">
        <v>2</v>
      </c>
      <c r="F3507" s="18">
        <v>2173</v>
      </c>
      <c r="G3507" s="18">
        <v>64</v>
      </c>
      <c r="H3507" s="5">
        <v>122</v>
      </c>
      <c r="I3507" s="1">
        <v>111</v>
      </c>
      <c r="J3507" s="1">
        <v>240</v>
      </c>
      <c r="L3507" t="str">
        <f t="shared" si="54"/>
        <v>http://www.badatelna.eu/reprodukce/?fondId=1073&amp;zaznamId=1108959&amp;reproId=3780057</v>
      </c>
      <c r="M3507">
        <f>VLOOKUP(F3507,Sheet2!$B$1:$E$19,2,FALSE)</f>
        <v>1073</v>
      </c>
      <c r="N3507">
        <f>VLOOKUP(F3507,Sheet2!$B$1:$E$19,3,FALSE)</f>
        <v>1108959</v>
      </c>
      <c r="O3507">
        <f>IF(G3507="Not available","",VLOOKUP(F3507,Sheet2!$B$1:$E$19,4,FALSE)+(G3507-1))</f>
        <v>3780057</v>
      </c>
    </row>
    <row r="3508" spans="1:15" s="1" customFormat="1" ht="15" customHeight="1" x14ac:dyDescent="0.25">
      <c r="A3508" s="18" t="s">
        <v>369</v>
      </c>
      <c r="B3508" s="18" t="s">
        <v>368</v>
      </c>
      <c r="C3508" s="5">
        <v>1788</v>
      </c>
      <c r="D3508" s="1" t="s">
        <v>74</v>
      </c>
      <c r="E3508" s="1" t="s">
        <v>2</v>
      </c>
      <c r="F3508" s="18">
        <v>2173</v>
      </c>
      <c r="G3508" s="18">
        <v>18</v>
      </c>
      <c r="H3508" s="5">
        <v>31</v>
      </c>
      <c r="I3508" s="1">
        <v>110</v>
      </c>
      <c r="J3508" s="1">
        <v>239</v>
      </c>
      <c r="L3508" t="str">
        <f t="shared" si="54"/>
        <v>http://www.badatelna.eu/reprodukce/?fondId=1073&amp;zaznamId=1108959&amp;reproId=3780011</v>
      </c>
      <c r="M3508">
        <f>VLOOKUP(F3508,Sheet2!$B$1:$E$19,2,FALSE)</f>
        <v>1073</v>
      </c>
      <c r="N3508">
        <f>VLOOKUP(F3508,Sheet2!$B$1:$E$19,3,FALSE)</f>
        <v>1108959</v>
      </c>
      <c r="O3508">
        <f>IF(G3508="Not available","",VLOOKUP(F3508,Sheet2!$B$1:$E$19,4,FALSE)+(G3508-1))</f>
        <v>3780011</v>
      </c>
    </row>
    <row r="3509" spans="1:15" s="1" customFormat="1" ht="15" customHeight="1" x14ac:dyDescent="0.25">
      <c r="A3509" s="18" t="s">
        <v>733</v>
      </c>
      <c r="B3509" s="18" t="s">
        <v>428</v>
      </c>
      <c r="C3509" s="5">
        <v>1844</v>
      </c>
      <c r="D3509" s="1" t="s">
        <v>728</v>
      </c>
      <c r="E3509" s="1" t="s">
        <v>2</v>
      </c>
      <c r="F3509" s="18">
        <v>2174</v>
      </c>
      <c r="G3509" s="18">
        <v>143</v>
      </c>
      <c r="H3509" s="6" t="s">
        <v>3210</v>
      </c>
      <c r="I3509" s="1">
        <v>197</v>
      </c>
      <c r="J3509" s="1">
        <v>233</v>
      </c>
      <c r="L3509" t="str">
        <f t="shared" si="54"/>
        <v>http://www.badatelna.eu/reprodukce/?fondId=1073&amp;zaznamId=1108960&amp;reproId=3780367</v>
      </c>
      <c r="M3509">
        <f>VLOOKUP(F3509,Sheet2!$B$1:$E$19,2,FALSE)</f>
        <v>1073</v>
      </c>
      <c r="N3509">
        <f>VLOOKUP(F3509,Sheet2!$B$1:$E$19,3,FALSE)</f>
        <v>1108960</v>
      </c>
      <c r="O3509">
        <f>IF(G3509="Not available","",VLOOKUP(F3509,Sheet2!$B$1:$E$19,4,FALSE)+(G3509-1))</f>
        <v>3780367</v>
      </c>
    </row>
    <row r="3510" spans="1:15" s="1" customFormat="1" ht="15" customHeight="1" x14ac:dyDescent="0.25">
      <c r="A3510" s="18" t="s">
        <v>733</v>
      </c>
      <c r="B3510" s="18" t="s">
        <v>624</v>
      </c>
      <c r="C3510" s="5">
        <v>1841</v>
      </c>
      <c r="D3510" s="1" t="s">
        <v>64</v>
      </c>
      <c r="E3510" s="1" t="s">
        <v>2</v>
      </c>
      <c r="F3510" s="18">
        <v>2174</v>
      </c>
      <c r="G3510" s="18">
        <v>118</v>
      </c>
      <c r="H3510" s="6" t="s">
        <v>3187</v>
      </c>
      <c r="I3510" s="1">
        <v>197</v>
      </c>
      <c r="J3510" s="1">
        <v>232</v>
      </c>
      <c r="L3510" t="str">
        <f t="shared" si="54"/>
        <v>http://www.badatelna.eu/reprodukce/?fondId=1073&amp;zaznamId=1108960&amp;reproId=3780342</v>
      </c>
      <c r="M3510">
        <f>VLOOKUP(F3510,Sheet2!$B$1:$E$19,2,FALSE)</f>
        <v>1073</v>
      </c>
      <c r="N3510">
        <f>VLOOKUP(F3510,Sheet2!$B$1:$E$19,3,FALSE)</f>
        <v>1108960</v>
      </c>
      <c r="O3510">
        <f>IF(G3510="Not available","",VLOOKUP(F3510,Sheet2!$B$1:$E$19,4,FALSE)+(G3510-1))</f>
        <v>3780342</v>
      </c>
    </row>
    <row r="3511" spans="1:15" s="1" customFormat="1" ht="15" customHeight="1" x14ac:dyDescent="0.25">
      <c r="A3511" s="18" t="s">
        <v>733</v>
      </c>
      <c r="B3511" s="18" t="s">
        <v>434</v>
      </c>
      <c r="C3511" s="5">
        <v>1848</v>
      </c>
      <c r="D3511" s="1" t="s">
        <v>64</v>
      </c>
      <c r="E3511" s="1" t="s">
        <v>2</v>
      </c>
      <c r="F3511" s="18">
        <v>2164</v>
      </c>
      <c r="G3511" s="18">
        <v>36</v>
      </c>
      <c r="H3511" s="5">
        <v>34</v>
      </c>
      <c r="I3511" s="1">
        <v>136</v>
      </c>
      <c r="J3511" s="3" t="s">
        <v>3271</v>
      </c>
      <c r="L3511" t="str">
        <f t="shared" si="54"/>
        <v>http://www.badatelna.eu/reprodukce/?fondId=1073&amp;zaznamId=1108951&amp;reproId=3778750</v>
      </c>
      <c r="M3511">
        <f>VLOOKUP(F3511,Sheet2!$B$1:$E$19,2,FALSE)</f>
        <v>1073</v>
      </c>
      <c r="N3511">
        <f>VLOOKUP(F3511,Sheet2!$B$1:$E$19,3,FALSE)</f>
        <v>1108951</v>
      </c>
      <c r="O3511">
        <f>IF(G3511="Not available","",VLOOKUP(F3511,Sheet2!$B$1:$E$19,4,FALSE)+(G3511-1))</f>
        <v>3778750</v>
      </c>
    </row>
    <row r="3512" spans="1:15" s="1" customFormat="1" ht="15" customHeight="1" x14ac:dyDescent="0.25">
      <c r="A3512" s="18" t="s">
        <v>378</v>
      </c>
      <c r="B3512" s="18" t="s">
        <v>155</v>
      </c>
      <c r="C3512" s="5">
        <v>1838</v>
      </c>
      <c r="D3512" s="1" t="s">
        <v>64</v>
      </c>
      <c r="E3512" s="1" t="s">
        <v>2</v>
      </c>
      <c r="F3512" s="18">
        <v>2174</v>
      </c>
      <c r="G3512" s="18">
        <v>96</v>
      </c>
      <c r="H3512" s="6" t="s">
        <v>3164</v>
      </c>
      <c r="I3512" s="1">
        <v>197</v>
      </c>
      <c r="J3512" s="1">
        <v>232</v>
      </c>
      <c r="L3512" t="str">
        <f t="shared" si="54"/>
        <v>http://www.badatelna.eu/reprodukce/?fondId=1073&amp;zaznamId=1108960&amp;reproId=3780320</v>
      </c>
      <c r="M3512">
        <f>VLOOKUP(F3512,Sheet2!$B$1:$E$19,2,FALSE)</f>
        <v>1073</v>
      </c>
      <c r="N3512">
        <f>VLOOKUP(F3512,Sheet2!$B$1:$E$19,3,FALSE)</f>
        <v>1108960</v>
      </c>
      <c r="O3512">
        <f>IF(G3512="Not available","",VLOOKUP(F3512,Sheet2!$B$1:$E$19,4,FALSE)+(G3512-1))</f>
        <v>3780320</v>
      </c>
    </row>
    <row r="3513" spans="1:15" s="1" customFormat="1" ht="15" customHeight="1" x14ac:dyDescent="0.25">
      <c r="A3513" s="18" t="s">
        <v>378</v>
      </c>
      <c r="B3513" s="18" t="s">
        <v>40</v>
      </c>
      <c r="C3513" s="5">
        <v>1799</v>
      </c>
      <c r="D3513" s="1" t="s">
        <v>12</v>
      </c>
      <c r="E3513" s="1" t="s">
        <v>2</v>
      </c>
      <c r="F3513" s="18">
        <v>2173</v>
      </c>
      <c r="G3513" s="18">
        <v>39</v>
      </c>
      <c r="H3513" s="5">
        <v>72</v>
      </c>
      <c r="I3513" s="1">
        <v>110</v>
      </c>
      <c r="J3513" s="1">
        <v>239</v>
      </c>
      <c r="L3513" t="str">
        <f t="shared" si="54"/>
        <v>http://www.badatelna.eu/reprodukce/?fondId=1073&amp;zaznamId=1108959&amp;reproId=3780032</v>
      </c>
      <c r="M3513">
        <f>VLOOKUP(F3513,Sheet2!$B$1:$E$19,2,FALSE)</f>
        <v>1073</v>
      </c>
      <c r="N3513">
        <f>VLOOKUP(F3513,Sheet2!$B$1:$E$19,3,FALSE)</f>
        <v>1108959</v>
      </c>
      <c r="O3513">
        <f>IF(G3513="Not available","",VLOOKUP(F3513,Sheet2!$B$1:$E$19,4,FALSE)+(G3513-1))</f>
        <v>3780032</v>
      </c>
    </row>
    <row r="3514" spans="1:15" s="1" customFormat="1" ht="15" customHeight="1" x14ac:dyDescent="0.25">
      <c r="A3514" s="18" t="s">
        <v>378</v>
      </c>
      <c r="B3514" s="18" t="s">
        <v>137</v>
      </c>
      <c r="C3514" s="5">
        <v>1801</v>
      </c>
      <c r="E3514" s="1" t="s">
        <v>2</v>
      </c>
      <c r="F3514" s="18">
        <v>2173</v>
      </c>
      <c r="G3514" s="18">
        <v>44</v>
      </c>
      <c r="H3514" s="5">
        <v>82</v>
      </c>
      <c r="I3514" s="1">
        <v>111</v>
      </c>
      <c r="J3514" s="1">
        <v>240</v>
      </c>
      <c r="L3514" t="str">
        <f t="shared" si="54"/>
        <v>http://www.badatelna.eu/reprodukce/?fondId=1073&amp;zaznamId=1108959&amp;reproId=3780037</v>
      </c>
      <c r="M3514">
        <f>VLOOKUP(F3514,Sheet2!$B$1:$E$19,2,FALSE)</f>
        <v>1073</v>
      </c>
      <c r="N3514">
        <f>VLOOKUP(F3514,Sheet2!$B$1:$E$19,3,FALSE)</f>
        <v>1108959</v>
      </c>
      <c r="O3514">
        <f>IF(G3514="Not available","",VLOOKUP(F3514,Sheet2!$B$1:$E$19,4,FALSE)+(G3514-1))</f>
        <v>3780037</v>
      </c>
    </row>
    <row r="3515" spans="1:15" s="1" customFormat="1" ht="15" customHeight="1" x14ac:dyDescent="0.25">
      <c r="A3515" s="18" t="s">
        <v>378</v>
      </c>
      <c r="B3515" s="18" t="s">
        <v>384</v>
      </c>
      <c r="C3515" s="5">
        <v>1803</v>
      </c>
      <c r="E3515" s="1" t="s">
        <v>2</v>
      </c>
      <c r="F3515" s="18">
        <v>2173</v>
      </c>
      <c r="G3515" s="18">
        <v>46</v>
      </c>
      <c r="H3515" s="5">
        <v>86</v>
      </c>
      <c r="I3515" s="1">
        <v>111</v>
      </c>
      <c r="J3515" s="1">
        <v>240</v>
      </c>
      <c r="L3515" t="str">
        <f t="shared" si="54"/>
        <v>http://www.badatelna.eu/reprodukce/?fondId=1073&amp;zaznamId=1108959&amp;reproId=3780039</v>
      </c>
      <c r="M3515">
        <f>VLOOKUP(F3515,Sheet2!$B$1:$E$19,2,FALSE)</f>
        <v>1073</v>
      </c>
      <c r="N3515">
        <f>VLOOKUP(F3515,Sheet2!$B$1:$E$19,3,FALSE)</f>
        <v>1108959</v>
      </c>
      <c r="O3515">
        <f>IF(G3515="Not available","",VLOOKUP(F3515,Sheet2!$B$1:$E$19,4,FALSE)+(G3515-1))</f>
        <v>3780039</v>
      </c>
    </row>
    <row r="3516" spans="1:15" s="1" customFormat="1" ht="15" customHeight="1" x14ac:dyDescent="0.25">
      <c r="A3516" s="18" t="s">
        <v>378</v>
      </c>
      <c r="B3516" s="18" t="s">
        <v>1121</v>
      </c>
      <c r="C3516" s="10" t="s">
        <v>2015</v>
      </c>
      <c r="D3516" s="3" t="s">
        <v>2570</v>
      </c>
      <c r="E3516" s="4" t="s">
        <v>2</v>
      </c>
      <c r="F3516" s="18">
        <v>2176</v>
      </c>
      <c r="G3516" s="18" t="s">
        <v>3271</v>
      </c>
      <c r="H3516" s="10" t="s">
        <v>2297</v>
      </c>
      <c r="I3516" s="3">
        <v>33</v>
      </c>
      <c r="J3516" s="3" t="s">
        <v>3271</v>
      </c>
      <c r="K3516" s="3"/>
      <c r="L3516" t="str">
        <f t="shared" si="54"/>
        <v/>
      </c>
      <c r="M3516">
        <f>VLOOKUP(F3516,Sheet2!$B$1:$E$19,2,FALSE)</f>
        <v>1073</v>
      </c>
      <c r="N3516">
        <f>VLOOKUP(F3516,Sheet2!$B$1:$E$19,3,FALSE)</f>
        <v>1108963</v>
      </c>
      <c r="O3516" t="str">
        <f>IF(G3516="Not available","",VLOOKUP(F3516,Sheet2!$B$1:$E$19,4,FALSE)+(G3516-1))</f>
        <v/>
      </c>
    </row>
    <row r="3517" spans="1:15" s="1" customFormat="1" ht="15" customHeight="1" x14ac:dyDescent="0.25">
      <c r="A3517" s="18" t="s">
        <v>378</v>
      </c>
      <c r="B3517" s="18" t="s">
        <v>17</v>
      </c>
      <c r="C3517" s="5">
        <v>1806</v>
      </c>
      <c r="E3517" s="1" t="s">
        <v>2</v>
      </c>
      <c r="F3517" s="18">
        <v>2173</v>
      </c>
      <c r="G3517" s="18">
        <v>51</v>
      </c>
      <c r="H3517" s="5">
        <v>97</v>
      </c>
      <c r="I3517" s="1">
        <v>111</v>
      </c>
      <c r="J3517" s="1">
        <v>240</v>
      </c>
      <c r="L3517" t="str">
        <f t="shared" si="54"/>
        <v>http://www.badatelna.eu/reprodukce/?fondId=1073&amp;zaznamId=1108959&amp;reproId=3780044</v>
      </c>
      <c r="M3517">
        <f>VLOOKUP(F3517,Sheet2!$B$1:$E$19,2,FALSE)</f>
        <v>1073</v>
      </c>
      <c r="N3517">
        <f>VLOOKUP(F3517,Sheet2!$B$1:$E$19,3,FALSE)</f>
        <v>1108959</v>
      </c>
      <c r="O3517">
        <f>IF(G3517="Not available","",VLOOKUP(F3517,Sheet2!$B$1:$E$19,4,FALSE)+(G3517-1))</f>
        <v>3780044</v>
      </c>
    </row>
    <row r="3518" spans="1:15" s="1" customFormat="1" ht="15" customHeight="1" x14ac:dyDescent="0.25">
      <c r="A3518" s="18" t="s">
        <v>378</v>
      </c>
      <c r="B3518" s="18" t="s">
        <v>71</v>
      </c>
      <c r="C3518" s="5">
        <v>1797</v>
      </c>
      <c r="D3518" s="1" t="s">
        <v>12</v>
      </c>
      <c r="E3518" s="1" t="s">
        <v>2</v>
      </c>
      <c r="F3518" s="18">
        <v>2173</v>
      </c>
      <c r="G3518" s="18">
        <v>35</v>
      </c>
      <c r="H3518" s="5">
        <v>65</v>
      </c>
      <c r="I3518" s="1">
        <v>110</v>
      </c>
      <c r="J3518" s="1">
        <v>239</v>
      </c>
      <c r="L3518" t="str">
        <f t="shared" si="54"/>
        <v>http://www.badatelna.eu/reprodukce/?fondId=1073&amp;zaznamId=1108959&amp;reproId=3780028</v>
      </c>
      <c r="M3518">
        <f>VLOOKUP(F3518,Sheet2!$B$1:$E$19,2,FALSE)</f>
        <v>1073</v>
      </c>
      <c r="N3518">
        <f>VLOOKUP(F3518,Sheet2!$B$1:$E$19,3,FALSE)</f>
        <v>1108959</v>
      </c>
      <c r="O3518">
        <f>IF(G3518="Not available","",VLOOKUP(F3518,Sheet2!$B$1:$E$19,4,FALSE)+(G3518-1))</f>
        <v>3780028</v>
      </c>
    </row>
    <row r="3519" spans="1:15" s="1" customFormat="1" ht="15" customHeight="1" x14ac:dyDescent="0.25">
      <c r="A3519" s="18" t="s">
        <v>378</v>
      </c>
      <c r="B3519" s="18" t="s">
        <v>44</v>
      </c>
      <c r="C3519" s="5">
        <v>1805</v>
      </c>
      <c r="E3519" s="1" t="s">
        <v>2</v>
      </c>
      <c r="F3519" s="18">
        <v>2173</v>
      </c>
      <c r="G3519" s="18">
        <v>49</v>
      </c>
      <c r="H3519" s="5">
        <v>92</v>
      </c>
      <c r="I3519" s="1">
        <v>111</v>
      </c>
      <c r="J3519" s="1">
        <v>240</v>
      </c>
      <c r="L3519" t="str">
        <f t="shared" si="54"/>
        <v>http://www.badatelna.eu/reprodukce/?fondId=1073&amp;zaznamId=1108959&amp;reproId=3780042</v>
      </c>
      <c r="M3519">
        <f>VLOOKUP(F3519,Sheet2!$B$1:$E$19,2,FALSE)</f>
        <v>1073</v>
      </c>
      <c r="N3519">
        <f>VLOOKUP(F3519,Sheet2!$B$1:$E$19,3,FALSE)</f>
        <v>1108959</v>
      </c>
      <c r="O3519">
        <f>IF(G3519="Not available","",VLOOKUP(F3519,Sheet2!$B$1:$E$19,4,FALSE)+(G3519-1))</f>
        <v>3780042</v>
      </c>
    </row>
    <row r="3520" spans="1:15" s="1" customFormat="1" ht="15" customHeight="1" x14ac:dyDescent="0.25">
      <c r="A3520" s="18" t="s">
        <v>378</v>
      </c>
      <c r="B3520" s="18" t="s">
        <v>23</v>
      </c>
      <c r="C3520" s="5">
        <v>1810</v>
      </c>
      <c r="E3520" s="1" t="s">
        <v>2</v>
      </c>
      <c r="F3520" s="18">
        <v>2173</v>
      </c>
      <c r="G3520" s="18">
        <v>57</v>
      </c>
      <c r="H3520" s="14" t="s">
        <v>2982</v>
      </c>
      <c r="I3520" s="1">
        <v>111</v>
      </c>
      <c r="J3520" s="1">
        <v>240</v>
      </c>
      <c r="L3520" t="str">
        <f t="shared" si="54"/>
        <v>http://www.badatelna.eu/reprodukce/?fondId=1073&amp;zaznamId=1108959&amp;reproId=3780050</v>
      </c>
      <c r="M3520">
        <f>VLOOKUP(F3520,Sheet2!$B$1:$E$19,2,FALSE)</f>
        <v>1073</v>
      </c>
      <c r="N3520">
        <f>VLOOKUP(F3520,Sheet2!$B$1:$E$19,3,FALSE)</f>
        <v>1108959</v>
      </c>
      <c r="O3520">
        <f>IF(G3520="Not available","",VLOOKUP(F3520,Sheet2!$B$1:$E$19,4,FALSE)+(G3520-1))</f>
        <v>3780050</v>
      </c>
    </row>
    <row r="3521" spans="1:15" s="1" customFormat="1" ht="15" customHeight="1" x14ac:dyDescent="0.25">
      <c r="A3521" s="19" t="s">
        <v>2872</v>
      </c>
      <c r="B3521" s="19" t="s">
        <v>1275</v>
      </c>
      <c r="C3521" s="5">
        <v>1866</v>
      </c>
      <c r="E3521" s="1" t="s">
        <v>939</v>
      </c>
      <c r="F3521" s="18">
        <v>999</v>
      </c>
      <c r="G3521" s="18">
        <v>61</v>
      </c>
      <c r="H3521" s="5">
        <v>59</v>
      </c>
      <c r="I3521" s="1">
        <v>74</v>
      </c>
      <c r="J3521" s="1">
        <v>108</v>
      </c>
      <c r="L3521" t="str">
        <f t="shared" si="54"/>
        <v>http://www.badatelna.eu/reprodukce/?fondId=241&amp;zaznamId=1133739&amp;reproId=3885790</v>
      </c>
      <c r="M3521">
        <f>VLOOKUP(F3521,Sheet2!$B$1:$E$19,2,FALSE)</f>
        <v>241</v>
      </c>
      <c r="N3521">
        <f>VLOOKUP(F3521,Sheet2!$B$1:$E$19,3,FALSE)</f>
        <v>1133739</v>
      </c>
      <c r="O3521">
        <f>IF(G3521="Not available","",VLOOKUP(F3521,Sheet2!$B$1:$E$19,4,FALSE)+(G3521-1))</f>
        <v>3885790</v>
      </c>
    </row>
    <row r="3522" spans="1:15" s="1" customFormat="1" ht="15" customHeight="1" x14ac:dyDescent="0.25">
      <c r="A3522" s="18" t="s">
        <v>718</v>
      </c>
      <c r="B3522" s="18" t="s">
        <v>16</v>
      </c>
      <c r="C3522" s="5">
        <v>1834</v>
      </c>
      <c r="D3522" s="1" t="s">
        <v>420</v>
      </c>
      <c r="E3522" s="1" t="s">
        <v>2</v>
      </c>
      <c r="F3522" s="18">
        <v>2174</v>
      </c>
      <c r="G3522" s="18">
        <v>79</v>
      </c>
      <c r="H3522" s="6" t="s">
        <v>3145</v>
      </c>
      <c r="I3522" s="1">
        <v>196</v>
      </c>
      <c r="J3522" s="1">
        <v>231</v>
      </c>
      <c r="L3522" t="str">
        <f t="shared" si="54"/>
        <v>http://www.badatelna.eu/reprodukce/?fondId=1073&amp;zaznamId=1108960&amp;reproId=3780303</v>
      </c>
      <c r="M3522">
        <f>VLOOKUP(F3522,Sheet2!$B$1:$E$19,2,FALSE)</f>
        <v>1073</v>
      </c>
      <c r="N3522">
        <f>VLOOKUP(F3522,Sheet2!$B$1:$E$19,3,FALSE)</f>
        <v>1108960</v>
      </c>
      <c r="O3522">
        <f>IF(G3522="Not available","",VLOOKUP(F3522,Sheet2!$B$1:$E$19,4,FALSE)+(G3522-1))</f>
        <v>3780303</v>
      </c>
    </row>
    <row r="3523" spans="1:15" s="1" customFormat="1" ht="15" customHeight="1" x14ac:dyDescent="0.25">
      <c r="A3523" s="18" t="s">
        <v>718</v>
      </c>
      <c r="B3523" s="18" t="s">
        <v>16</v>
      </c>
      <c r="C3523" s="5">
        <v>1840</v>
      </c>
      <c r="D3523" s="1" t="s">
        <v>52</v>
      </c>
      <c r="E3523" s="1" t="s">
        <v>2</v>
      </c>
      <c r="F3523" s="18">
        <v>2174</v>
      </c>
      <c r="G3523" s="18">
        <v>109</v>
      </c>
      <c r="H3523" s="6" t="s">
        <v>3176</v>
      </c>
      <c r="I3523" s="1">
        <v>197</v>
      </c>
      <c r="J3523" s="1">
        <v>232</v>
      </c>
      <c r="L3523" t="str">
        <f t="shared" ref="L3523:L3586" si="55">IF(G3523="Not available","","http://www.badatelna.eu/reprodukce/?fondId="&amp;M3523&amp;"&amp;zaznamId="&amp;N3523&amp;"&amp;reproId="&amp;O3523)</f>
        <v>http://www.badatelna.eu/reprodukce/?fondId=1073&amp;zaznamId=1108960&amp;reproId=3780333</v>
      </c>
      <c r="M3523">
        <f>VLOOKUP(F3523,Sheet2!$B$1:$E$19,2,FALSE)</f>
        <v>1073</v>
      </c>
      <c r="N3523">
        <f>VLOOKUP(F3523,Sheet2!$B$1:$E$19,3,FALSE)</f>
        <v>1108960</v>
      </c>
      <c r="O3523">
        <f>IF(G3523="Not available","",VLOOKUP(F3523,Sheet2!$B$1:$E$19,4,FALSE)+(G3523-1))</f>
        <v>3780333</v>
      </c>
    </row>
    <row r="3524" spans="1:15" s="1" customFormat="1" ht="15" customHeight="1" x14ac:dyDescent="0.25">
      <c r="A3524" s="18" t="s">
        <v>718</v>
      </c>
      <c r="B3524" s="18" t="s">
        <v>26</v>
      </c>
      <c r="C3524" s="5">
        <v>1845</v>
      </c>
      <c r="D3524" s="1" t="s">
        <v>52</v>
      </c>
      <c r="E3524" s="1" t="s">
        <v>2</v>
      </c>
      <c r="F3524" s="18">
        <v>2174</v>
      </c>
      <c r="G3524" s="18">
        <v>159</v>
      </c>
      <c r="H3524" s="6" t="s">
        <v>3225</v>
      </c>
      <c r="I3524" s="1">
        <v>197</v>
      </c>
      <c r="J3524" s="1">
        <v>233</v>
      </c>
      <c r="L3524" t="str">
        <f t="shared" si="55"/>
        <v>http://www.badatelna.eu/reprodukce/?fondId=1073&amp;zaznamId=1108960&amp;reproId=3780383</v>
      </c>
      <c r="M3524">
        <f>VLOOKUP(F3524,Sheet2!$B$1:$E$19,2,FALSE)</f>
        <v>1073</v>
      </c>
      <c r="N3524">
        <f>VLOOKUP(F3524,Sheet2!$B$1:$E$19,3,FALSE)</f>
        <v>1108960</v>
      </c>
      <c r="O3524">
        <f>IF(G3524="Not available","",VLOOKUP(F3524,Sheet2!$B$1:$E$19,4,FALSE)+(G3524-1))</f>
        <v>3780383</v>
      </c>
    </row>
    <row r="3525" spans="1:15" s="1" customFormat="1" ht="15" customHeight="1" x14ac:dyDescent="0.25">
      <c r="A3525" s="18" t="s">
        <v>718</v>
      </c>
      <c r="B3525" s="18" t="s">
        <v>720</v>
      </c>
      <c r="C3525" s="5">
        <v>1831</v>
      </c>
      <c r="D3525" s="1" t="s">
        <v>40</v>
      </c>
      <c r="E3525" s="1" t="s">
        <v>2</v>
      </c>
      <c r="F3525" s="18">
        <v>2174</v>
      </c>
      <c r="G3525" s="18">
        <v>62</v>
      </c>
      <c r="H3525" s="6" t="s">
        <v>3106</v>
      </c>
      <c r="I3525" s="1">
        <v>196</v>
      </c>
      <c r="J3525" s="1">
        <v>231</v>
      </c>
      <c r="L3525" t="str">
        <f t="shared" si="55"/>
        <v>http://www.badatelna.eu/reprodukce/?fondId=1073&amp;zaznamId=1108960&amp;reproId=3780286</v>
      </c>
      <c r="M3525">
        <f>VLOOKUP(F3525,Sheet2!$B$1:$E$19,2,FALSE)</f>
        <v>1073</v>
      </c>
      <c r="N3525">
        <f>VLOOKUP(F3525,Sheet2!$B$1:$E$19,3,FALSE)</f>
        <v>1108960</v>
      </c>
      <c r="O3525">
        <f>IF(G3525="Not available","",VLOOKUP(F3525,Sheet2!$B$1:$E$19,4,FALSE)+(G3525-1))</f>
        <v>3780286</v>
      </c>
    </row>
    <row r="3526" spans="1:15" s="1" customFormat="1" ht="15" customHeight="1" x14ac:dyDescent="0.25">
      <c r="A3526" s="18" t="s">
        <v>718</v>
      </c>
      <c r="B3526" s="18" t="s">
        <v>25</v>
      </c>
      <c r="C3526" s="5">
        <v>1840</v>
      </c>
      <c r="D3526" s="1" t="s">
        <v>420</v>
      </c>
      <c r="E3526" s="1" t="s">
        <v>2</v>
      </c>
      <c r="F3526" s="18">
        <v>2174</v>
      </c>
      <c r="G3526" s="18">
        <v>111</v>
      </c>
      <c r="H3526" s="16" t="s">
        <v>3181</v>
      </c>
      <c r="I3526" s="1">
        <v>197</v>
      </c>
      <c r="J3526" s="1">
        <v>232</v>
      </c>
      <c r="L3526" t="str">
        <f t="shared" si="55"/>
        <v>http://www.badatelna.eu/reprodukce/?fondId=1073&amp;zaznamId=1108960&amp;reproId=3780335</v>
      </c>
      <c r="M3526">
        <f>VLOOKUP(F3526,Sheet2!$B$1:$E$19,2,FALSE)</f>
        <v>1073</v>
      </c>
      <c r="N3526">
        <f>VLOOKUP(F3526,Sheet2!$B$1:$E$19,3,FALSE)</f>
        <v>1108960</v>
      </c>
      <c r="O3526">
        <f>IF(G3526="Not available","",VLOOKUP(F3526,Sheet2!$B$1:$E$19,4,FALSE)+(G3526-1))</f>
        <v>3780335</v>
      </c>
    </row>
    <row r="3527" spans="1:15" s="1" customFormat="1" ht="15" customHeight="1" x14ac:dyDescent="0.25">
      <c r="A3527" s="18" t="s">
        <v>718</v>
      </c>
      <c r="B3527" s="18" t="s">
        <v>726</v>
      </c>
      <c r="C3527" s="5">
        <v>1836</v>
      </c>
      <c r="D3527" s="1" t="s">
        <v>40</v>
      </c>
      <c r="E3527" s="1" t="s">
        <v>2</v>
      </c>
      <c r="F3527" s="18">
        <v>2174</v>
      </c>
      <c r="G3527" s="18">
        <v>87</v>
      </c>
      <c r="H3527" s="6" t="s">
        <v>3151</v>
      </c>
      <c r="I3527" s="1">
        <v>196</v>
      </c>
      <c r="J3527" s="1">
        <v>231</v>
      </c>
      <c r="L3527" t="str">
        <f t="shared" si="55"/>
        <v>http://www.badatelna.eu/reprodukce/?fondId=1073&amp;zaznamId=1108960&amp;reproId=3780311</v>
      </c>
      <c r="M3527">
        <f>VLOOKUP(F3527,Sheet2!$B$1:$E$19,2,FALSE)</f>
        <v>1073</v>
      </c>
      <c r="N3527">
        <f>VLOOKUP(F3527,Sheet2!$B$1:$E$19,3,FALSE)</f>
        <v>1108960</v>
      </c>
      <c r="O3527">
        <f>IF(G3527="Not available","",VLOOKUP(F3527,Sheet2!$B$1:$E$19,4,FALSE)+(G3527-1))</f>
        <v>3780311</v>
      </c>
    </row>
    <row r="3528" spans="1:15" s="1" customFormat="1" ht="15" customHeight="1" x14ac:dyDescent="0.25">
      <c r="A3528" s="18" t="s">
        <v>718</v>
      </c>
      <c r="B3528" s="18" t="s">
        <v>593</v>
      </c>
      <c r="C3528" s="5">
        <v>1838</v>
      </c>
      <c r="D3528" s="1" t="s">
        <v>52</v>
      </c>
      <c r="E3528" s="1" t="s">
        <v>2</v>
      </c>
      <c r="F3528" s="18">
        <v>2174</v>
      </c>
      <c r="G3528" s="18">
        <v>100</v>
      </c>
      <c r="H3528" s="6" t="s">
        <v>3168</v>
      </c>
      <c r="I3528" s="1">
        <v>197</v>
      </c>
      <c r="J3528" s="1">
        <v>232</v>
      </c>
      <c r="L3528" t="str">
        <f t="shared" si="55"/>
        <v>http://www.badatelna.eu/reprodukce/?fondId=1073&amp;zaznamId=1108960&amp;reproId=3780324</v>
      </c>
      <c r="M3528">
        <f>VLOOKUP(F3528,Sheet2!$B$1:$E$19,2,FALSE)</f>
        <v>1073</v>
      </c>
      <c r="N3528">
        <f>VLOOKUP(F3528,Sheet2!$B$1:$E$19,3,FALSE)</f>
        <v>1108960</v>
      </c>
      <c r="O3528">
        <f>IF(G3528="Not available","",VLOOKUP(F3528,Sheet2!$B$1:$E$19,4,FALSE)+(G3528-1))</f>
        <v>3780324</v>
      </c>
    </row>
    <row r="3529" spans="1:15" s="1" customFormat="1" ht="15" customHeight="1" x14ac:dyDescent="0.25">
      <c r="A3529" s="18" t="s">
        <v>718</v>
      </c>
      <c r="B3529" s="18" t="s">
        <v>145</v>
      </c>
      <c r="C3529" s="5">
        <v>1831</v>
      </c>
      <c r="D3529" s="1" t="s">
        <v>40</v>
      </c>
      <c r="E3529" s="1" t="s">
        <v>2</v>
      </c>
      <c r="F3529" s="18">
        <v>2174</v>
      </c>
      <c r="G3529" s="18">
        <v>62</v>
      </c>
      <c r="H3529" s="6" t="s">
        <v>3106</v>
      </c>
      <c r="I3529" s="1">
        <v>196</v>
      </c>
      <c r="J3529" s="1">
        <v>231</v>
      </c>
      <c r="L3529" t="str">
        <f t="shared" si="55"/>
        <v>http://www.badatelna.eu/reprodukce/?fondId=1073&amp;zaznamId=1108960&amp;reproId=3780286</v>
      </c>
      <c r="M3529">
        <f>VLOOKUP(F3529,Sheet2!$B$1:$E$19,2,FALSE)</f>
        <v>1073</v>
      </c>
      <c r="N3529">
        <f>VLOOKUP(F3529,Sheet2!$B$1:$E$19,3,FALSE)</f>
        <v>1108960</v>
      </c>
      <c r="O3529">
        <f>IF(G3529="Not available","",VLOOKUP(F3529,Sheet2!$B$1:$E$19,4,FALSE)+(G3529-1))</f>
        <v>3780286</v>
      </c>
    </row>
    <row r="3530" spans="1:15" s="1" customFormat="1" ht="15" customHeight="1" x14ac:dyDescent="0.25">
      <c r="A3530" s="18" t="s">
        <v>366</v>
      </c>
      <c r="B3530" s="18" t="s">
        <v>50</v>
      </c>
      <c r="C3530" s="5">
        <v>1808</v>
      </c>
      <c r="E3530" s="1" t="s">
        <v>2</v>
      </c>
      <c r="F3530" s="18">
        <v>2173</v>
      </c>
      <c r="G3530" s="18">
        <v>54</v>
      </c>
      <c r="H3530" s="14" t="s">
        <v>2978</v>
      </c>
      <c r="I3530" s="1">
        <v>111</v>
      </c>
      <c r="J3530" s="1">
        <v>240</v>
      </c>
      <c r="L3530" t="str">
        <f t="shared" si="55"/>
        <v>http://www.badatelna.eu/reprodukce/?fondId=1073&amp;zaznamId=1108959&amp;reproId=3780047</v>
      </c>
      <c r="M3530">
        <f>VLOOKUP(F3530,Sheet2!$B$1:$E$19,2,FALSE)</f>
        <v>1073</v>
      </c>
      <c r="N3530">
        <f>VLOOKUP(F3530,Sheet2!$B$1:$E$19,3,FALSE)</f>
        <v>1108959</v>
      </c>
      <c r="O3530">
        <f>IF(G3530="Not available","",VLOOKUP(F3530,Sheet2!$B$1:$E$19,4,FALSE)+(G3530-1))</f>
        <v>3780047</v>
      </c>
    </row>
    <row r="3531" spans="1:15" s="1" customFormat="1" ht="15" customHeight="1" x14ac:dyDescent="0.25">
      <c r="A3531" s="18" t="s">
        <v>366</v>
      </c>
      <c r="B3531" s="18" t="s">
        <v>16</v>
      </c>
      <c r="C3531" s="5">
        <v>1801</v>
      </c>
      <c r="E3531" s="1" t="s">
        <v>2</v>
      </c>
      <c r="F3531" s="18">
        <v>2173</v>
      </c>
      <c r="G3531" s="18">
        <v>44</v>
      </c>
      <c r="H3531" s="5">
        <v>82</v>
      </c>
      <c r="I3531" s="1">
        <v>111</v>
      </c>
      <c r="J3531" s="1">
        <v>240</v>
      </c>
      <c r="L3531" t="str">
        <f t="shared" si="55"/>
        <v>http://www.badatelna.eu/reprodukce/?fondId=1073&amp;zaznamId=1108959&amp;reproId=3780037</v>
      </c>
      <c r="M3531">
        <f>VLOOKUP(F3531,Sheet2!$B$1:$E$19,2,FALSE)</f>
        <v>1073</v>
      </c>
      <c r="N3531">
        <f>VLOOKUP(F3531,Sheet2!$B$1:$E$19,3,FALSE)</f>
        <v>1108959</v>
      </c>
      <c r="O3531">
        <f>IF(G3531="Not available","",VLOOKUP(F3531,Sheet2!$B$1:$E$19,4,FALSE)+(G3531-1))</f>
        <v>3780037</v>
      </c>
    </row>
    <row r="3532" spans="1:15" s="1" customFormat="1" ht="15" customHeight="1" x14ac:dyDescent="0.25">
      <c r="A3532" s="18" t="s">
        <v>366</v>
      </c>
      <c r="B3532" s="18" t="s">
        <v>2029</v>
      </c>
      <c r="C3532" s="10" t="s">
        <v>2015</v>
      </c>
      <c r="D3532" s="3" t="s">
        <v>2569</v>
      </c>
      <c r="E3532" s="4" t="s">
        <v>2</v>
      </c>
      <c r="F3532" s="18">
        <v>2176</v>
      </c>
      <c r="G3532" s="18" t="s">
        <v>3271</v>
      </c>
      <c r="H3532" s="10" t="s">
        <v>2073</v>
      </c>
      <c r="I3532" s="3">
        <v>33</v>
      </c>
      <c r="J3532" s="3" t="s">
        <v>3271</v>
      </c>
      <c r="K3532" s="3"/>
      <c r="L3532" t="str">
        <f t="shared" si="55"/>
        <v/>
      </c>
      <c r="M3532">
        <f>VLOOKUP(F3532,Sheet2!$B$1:$E$19,2,FALSE)</f>
        <v>1073</v>
      </c>
      <c r="N3532">
        <f>VLOOKUP(F3532,Sheet2!$B$1:$E$19,3,FALSE)</f>
        <v>1108963</v>
      </c>
      <c r="O3532" t="str">
        <f>IF(G3532="Not available","",VLOOKUP(F3532,Sheet2!$B$1:$E$19,4,FALSE)+(G3532-1))</f>
        <v/>
      </c>
    </row>
    <row r="3533" spans="1:15" s="1" customFormat="1" ht="15" customHeight="1" x14ac:dyDescent="0.25">
      <c r="A3533" s="18" t="s">
        <v>366</v>
      </c>
      <c r="B3533" s="18" t="s">
        <v>191</v>
      </c>
      <c r="C3533" s="5">
        <v>1863</v>
      </c>
      <c r="E3533" s="1" t="s">
        <v>939</v>
      </c>
      <c r="F3533" s="18">
        <v>999</v>
      </c>
      <c r="G3533" s="18">
        <v>40</v>
      </c>
      <c r="H3533" s="5">
        <v>38</v>
      </c>
      <c r="I3533" s="1">
        <v>74</v>
      </c>
      <c r="J3533" s="1">
        <v>108</v>
      </c>
      <c r="L3533" t="str">
        <f t="shared" si="55"/>
        <v>http://www.badatelna.eu/reprodukce/?fondId=241&amp;zaznamId=1133739&amp;reproId=3885769</v>
      </c>
      <c r="M3533">
        <f>VLOOKUP(F3533,Sheet2!$B$1:$E$19,2,FALSE)</f>
        <v>241</v>
      </c>
      <c r="N3533">
        <f>VLOOKUP(F3533,Sheet2!$B$1:$E$19,3,FALSE)</f>
        <v>1133739</v>
      </c>
      <c r="O3533">
        <f>IF(G3533="Not available","",VLOOKUP(F3533,Sheet2!$B$1:$E$19,4,FALSE)+(G3533-1))</f>
        <v>3885769</v>
      </c>
    </row>
    <row r="3534" spans="1:15" s="1" customFormat="1" ht="15" customHeight="1" x14ac:dyDescent="0.25">
      <c r="A3534" s="18" t="s">
        <v>366</v>
      </c>
      <c r="B3534" s="18" t="s">
        <v>1066</v>
      </c>
      <c r="C3534" s="5" t="s">
        <v>1536</v>
      </c>
      <c r="D3534" s="1" t="s">
        <v>370</v>
      </c>
      <c r="E3534" s="1" t="s">
        <v>2</v>
      </c>
      <c r="F3534" s="18">
        <v>2165</v>
      </c>
      <c r="G3534" s="18">
        <v>29</v>
      </c>
      <c r="H3534" s="5">
        <v>26</v>
      </c>
      <c r="I3534" s="1">
        <v>90</v>
      </c>
      <c r="J3534" s="1" t="s">
        <v>3271</v>
      </c>
      <c r="L3534" t="str">
        <f t="shared" si="55"/>
        <v>http://www.badatelna.eu/reprodukce/?fondId=1073&amp;zaznamId=1108952&amp;reproId=3778890</v>
      </c>
      <c r="M3534">
        <f>VLOOKUP(F3534,Sheet2!$B$1:$E$19,2,FALSE)</f>
        <v>1073</v>
      </c>
      <c r="N3534">
        <f>VLOOKUP(F3534,Sheet2!$B$1:$E$19,3,FALSE)</f>
        <v>1108952</v>
      </c>
      <c r="O3534">
        <f>IF(G3534="Not available","",VLOOKUP(F3534,Sheet2!$B$1:$E$19,4,FALSE)+(G3534-1))</f>
        <v>3778890</v>
      </c>
    </row>
    <row r="3535" spans="1:15" s="1" customFormat="1" ht="15" customHeight="1" x14ac:dyDescent="0.25">
      <c r="A3535" s="18" t="s">
        <v>366</v>
      </c>
      <c r="B3535" s="18" t="s">
        <v>436</v>
      </c>
      <c r="C3535" s="5">
        <v>1847</v>
      </c>
      <c r="D3535" s="1" t="s">
        <v>52</v>
      </c>
      <c r="E3535" s="1" t="s">
        <v>2</v>
      </c>
      <c r="F3535" s="18">
        <v>2164</v>
      </c>
      <c r="G3535" s="18">
        <v>8</v>
      </c>
      <c r="H3535" s="5">
        <v>6</v>
      </c>
      <c r="I3535" s="1">
        <v>136</v>
      </c>
      <c r="J3535" s="3" t="s">
        <v>3271</v>
      </c>
      <c r="L3535" t="str">
        <f t="shared" si="55"/>
        <v>http://www.badatelna.eu/reprodukce/?fondId=1073&amp;zaznamId=1108951&amp;reproId=3778722</v>
      </c>
      <c r="M3535">
        <f>VLOOKUP(F3535,Sheet2!$B$1:$E$19,2,FALSE)</f>
        <v>1073</v>
      </c>
      <c r="N3535">
        <f>VLOOKUP(F3535,Sheet2!$B$1:$E$19,3,FALSE)</f>
        <v>1108951</v>
      </c>
      <c r="O3535">
        <f>IF(G3535="Not available","",VLOOKUP(F3535,Sheet2!$B$1:$E$19,4,FALSE)+(G3535-1))</f>
        <v>3778722</v>
      </c>
    </row>
    <row r="3536" spans="1:15" s="1" customFormat="1" ht="15" customHeight="1" x14ac:dyDescent="0.25">
      <c r="A3536" s="18" t="s">
        <v>366</v>
      </c>
      <c r="B3536" s="18" t="s">
        <v>370</v>
      </c>
      <c r="C3536" s="5">
        <v>1844</v>
      </c>
      <c r="D3536" s="1" t="s">
        <v>736</v>
      </c>
      <c r="E3536" s="1" t="s">
        <v>2</v>
      </c>
      <c r="F3536" s="18">
        <v>2174</v>
      </c>
      <c r="G3536" s="18">
        <v>144</v>
      </c>
      <c r="H3536" s="6" t="s">
        <v>3211</v>
      </c>
      <c r="I3536" s="1">
        <v>197</v>
      </c>
      <c r="J3536" s="1">
        <v>233</v>
      </c>
      <c r="K3536" s="4" t="s">
        <v>363</v>
      </c>
      <c r="L3536" t="str">
        <f t="shared" si="55"/>
        <v>http://www.badatelna.eu/reprodukce/?fondId=1073&amp;zaznamId=1108960&amp;reproId=3780368</v>
      </c>
      <c r="M3536">
        <f>VLOOKUP(F3536,Sheet2!$B$1:$E$19,2,FALSE)</f>
        <v>1073</v>
      </c>
      <c r="N3536">
        <f>VLOOKUP(F3536,Sheet2!$B$1:$E$19,3,FALSE)</f>
        <v>1108960</v>
      </c>
      <c r="O3536">
        <f>IF(G3536="Not available","",VLOOKUP(F3536,Sheet2!$B$1:$E$19,4,FALSE)+(G3536-1))</f>
        <v>3780368</v>
      </c>
    </row>
    <row r="3537" spans="1:15" s="1" customFormat="1" ht="15" customHeight="1" x14ac:dyDescent="0.25">
      <c r="A3537" s="18" t="s">
        <v>366</v>
      </c>
      <c r="B3537" s="18" t="s">
        <v>370</v>
      </c>
      <c r="C3537" s="5">
        <v>1865</v>
      </c>
      <c r="E3537" s="1" t="s">
        <v>939</v>
      </c>
      <c r="F3537" s="18">
        <v>999</v>
      </c>
      <c r="G3537" s="18">
        <v>56</v>
      </c>
      <c r="H3537" s="5">
        <v>54</v>
      </c>
      <c r="I3537" s="1">
        <v>74</v>
      </c>
      <c r="J3537" s="1">
        <v>108</v>
      </c>
      <c r="L3537" t="str">
        <f t="shared" si="55"/>
        <v>http://www.badatelna.eu/reprodukce/?fondId=241&amp;zaznamId=1133739&amp;reproId=3885785</v>
      </c>
      <c r="M3537">
        <f>VLOOKUP(F3537,Sheet2!$B$1:$E$19,2,FALSE)</f>
        <v>241</v>
      </c>
      <c r="N3537">
        <f>VLOOKUP(F3537,Sheet2!$B$1:$E$19,3,FALSE)</f>
        <v>1133739</v>
      </c>
      <c r="O3537">
        <f>IF(G3537="Not available","",VLOOKUP(F3537,Sheet2!$B$1:$E$19,4,FALSE)+(G3537-1))</f>
        <v>3885785</v>
      </c>
    </row>
    <row r="3538" spans="1:15" s="1" customFormat="1" ht="15" customHeight="1" x14ac:dyDescent="0.25">
      <c r="A3538" s="18" t="s">
        <v>366</v>
      </c>
      <c r="B3538" s="18" t="s">
        <v>370</v>
      </c>
      <c r="C3538" s="5" t="s">
        <v>1523</v>
      </c>
      <c r="D3538" s="1" t="s">
        <v>1059</v>
      </c>
      <c r="E3538" s="1" t="s">
        <v>2</v>
      </c>
      <c r="F3538" s="18">
        <v>2165</v>
      </c>
      <c r="G3538" s="18">
        <v>10</v>
      </c>
      <c r="H3538" s="5">
        <v>7</v>
      </c>
      <c r="I3538" s="1">
        <v>90</v>
      </c>
      <c r="J3538" s="1" t="s">
        <v>3271</v>
      </c>
      <c r="L3538" t="str">
        <f t="shared" si="55"/>
        <v>http://www.badatelna.eu/reprodukce/?fondId=1073&amp;zaznamId=1108952&amp;reproId=3778871</v>
      </c>
      <c r="M3538">
        <f>VLOOKUP(F3538,Sheet2!$B$1:$E$19,2,FALSE)</f>
        <v>1073</v>
      </c>
      <c r="N3538">
        <f>VLOOKUP(F3538,Sheet2!$B$1:$E$19,3,FALSE)</f>
        <v>1108952</v>
      </c>
      <c r="O3538">
        <f>IF(G3538="Not available","",VLOOKUP(F3538,Sheet2!$B$1:$E$19,4,FALSE)+(G3538-1))</f>
        <v>3778871</v>
      </c>
    </row>
    <row r="3539" spans="1:15" s="1" customFormat="1" ht="15" customHeight="1" x14ac:dyDescent="0.25">
      <c r="A3539" s="18" t="s">
        <v>366</v>
      </c>
      <c r="B3539" s="18" t="s">
        <v>1152</v>
      </c>
      <c r="C3539" s="10" t="s">
        <v>2036</v>
      </c>
      <c r="D3539" s="3" t="s">
        <v>2589</v>
      </c>
      <c r="E3539" s="4" t="s">
        <v>2</v>
      </c>
      <c r="F3539" s="18">
        <v>2176</v>
      </c>
      <c r="G3539" s="18" t="s">
        <v>3271</v>
      </c>
      <c r="H3539" s="10" t="s">
        <v>1981</v>
      </c>
      <c r="I3539" s="3">
        <v>34</v>
      </c>
      <c r="J3539" s="3" t="s">
        <v>3271</v>
      </c>
      <c r="K3539" s="3"/>
      <c r="L3539" t="str">
        <f t="shared" si="55"/>
        <v/>
      </c>
      <c r="M3539">
        <f>VLOOKUP(F3539,Sheet2!$B$1:$E$19,2,FALSE)</f>
        <v>1073</v>
      </c>
      <c r="N3539">
        <f>VLOOKUP(F3539,Sheet2!$B$1:$E$19,3,FALSE)</f>
        <v>1108963</v>
      </c>
      <c r="O3539" t="str">
        <f>IF(G3539="Not available","",VLOOKUP(F3539,Sheet2!$B$1:$E$19,4,FALSE)+(G3539-1))</f>
        <v/>
      </c>
    </row>
    <row r="3540" spans="1:15" s="1" customFormat="1" ht="15" customHeight="1" x14ac:dyDescent="0.25">
      <c r="A3540" s="18" t="s">
        <v>366</v>
      </c>
      <c r="B3540" s="18" t="s">
        <v>1152</v>
      </c>
      <c r="C3540" s="5">
        <v>1883</v>
      </c>
      <c r="D3540" s="1" t="s">
        <v>377</v>
      </c>
      <c r="E3540" s="1" t="s">
        <v>2</v>
      </c>
      <c r="F3540" s="18">
        <v>2165</v>
      </c>
      <c r="G3540" s="18">
        <v>187</v>
      </c>
      <c r="H3540" s="5">
        <v>3</v>
      </c>
      <c r="I3540" s="1">
        <v>191</v>
      </c>
      <c r="J3540" s="1">
        <v>168</v>
      </c>
      <c r="L3540" t="str">
        <f t="shared" si="55"/>
        <v>http://www.badatelna.eu/reprodukce/?fondId=1073&amp;zaznamId=1108952&amp;reproId=3779048</v>
      </c>
      <c r="M3540">
        <f>VLOOKUP(F3540,Sheet2!$B$1:$E$19,2,FALSE)</f>
        <v>1073</v>
      </c>
      <c r="N3540">
        <f>VLOOKUP(F3540,Sheet2!$B$1:$E$19,3,FALSE)</f>
        <v>1108952</v>
      </c>
      <c r="O3540">
        <f>IF(G3540="Not available","",VLOOKUP(F3540,Sheet2!$B$1:$E$19,4,FALSE)+(G3540-1))</f>
        <v>3779048</v>
      </c>
    </row>
    <row r="3541" spans="1:15" s="1" customFormat="1" ht="15" customHeight="1" x14ac:dyDescent="0.25">
      <c r="A3541" s="18" t="s">
        <v>366</v>
      </c>
      <c r="B3541" s="18" t="s">
        <v>431</v>
      </c>
      <c r="C3541" s="5" t="s">
        <v>1551</v>
      </c>
      <c r="D3541" s="1" t="s">
        <v>16</v>
      </c>
      <c r="E3541" s="1" t="s">
        <v>2</v>
      </c>
      <c r="F3541" s="18">
        <v>2165</v>
      </c>
      <c r="G3541" s="18">
        <v>51</v>
      </c>
      <c r="H3541" s="5">
        <v>48</v>
      </c>
      <c r="I3541" s="1">
        <v>91</v>
      </c>
      <c r="J3541" s="1" t="s">
        <v>3271</v>
      </c>
      <c r="K3541" s="4" t="s">
        <v>363</v>
      </c>
      <c r="L3541" t="str">
        <f t="shared" si="55"/>
        <v>http://www.badatelna.eu/reprodukce/?fondId=1073&amp;zaznamId=1108952&amp;reproId=3778912</v>
      </c>
      <c r="M3541">
        <f>VLOOKUP(F3541,Sheet2!$B$1:$E$19,2,FALSE)</f>
        <v>1073</v>
      </c>
      <c r="N3541">
        <f>VLOOKUP(F3541,Sheet2!$B$1:$E$19,3,FALSE)</f>
        <v>1108952</v>
      </c>
      <c r="O3541">
        <f>IF(G3541="Not available","",VLOOKUP(F3541,Sheet2!$B$1:$E$19,4,FALSE)+(G3541-1))</f>
        <v>3778912</v>
      </c>
    </row>
    <row r="3542" spans="1:15" s="1" customFormat="1" ht="15" customHeight="1" x14ac:dyDescent="0.25">
      <c r="A3542" s="18" t="s">
        <v>366</v>
      </c>
      <c r="B3542" s="18" t="s">
        <v>389</v>
      </c>
      <c r="C3542" s="5">
        <v>1806</v>
      </c>
      <c r="E3542" s="1" t="s">
        <v>2</v>
      </c>
      <c r="F3542" s="18">
        <v>2173</v>
      </c>
      <c r="G3542" s="18">
        <v>51</v>
      </c>
      <c r="H3542" s="5">
        <v>96</v>
      </c>
      <c r="I3542" s="1">
        <v>111</v>
      </c>
      <c r="J3542" s="1">
        <v>240</v>
      </c>
      <c r="L3542" t="str">
        <f t="shared" si="55"/>
        <v>http://www.badatelna.eu/reprodukce/?fondId=1073&amp;zaznamId=1108959&amp;reproId=3780044</v>
      </c>
      <c r="M3542">
        <f>VLOOKUP(F3542,Sheet2!$B$1:$E$19,2,FALSE)</f>
        <v>1073</v>
      </c>
      <c r="N3542">
        <f>VLOOKUP(F3542,Sheet2!$B$1:$E$19,3,FALSE)</f>
        <v>1108959</v>
      </c>
      <c r="O3542">
        <f>IF(G3542="Not available","",VLOOKUP(F3542,Sheet2!$B$1:$E$19,4,FALSE)+(G3542-1))</f>
        <v>3780044</v>
      </c>
    </row>
    <row r="3543" spans="1:15" s="1" customFormat="1" ht="15" customHeight="1" x14ac:dyDescent="0.25">
      <c r="A3543" s="18" t="s">
        <v>366</v>
      </c>
      <c r="B3543" s="18" t="s">
        <v>51</v>
      </c>
      <c r="C3543" s="5" t="s">
        <v>1551</v>
      </c>
      <c r="D3543" s="1" t="s">
        <v>16</v>
      </c>
      <c r="E3543" s="1" t="s">
        <v>2</v>
      </c>
      <c r="F3543" s="18">
        <v>2165</v>
      </c>
      <c r="G3543" s="18">
        <v>51</v>
      </c>
      <c r="H3543" s="5">
        <v>48</v>
      </c>
      <c r="I3543" s="1">
        <v>91</v>
      </c>
      <c r="J3543" s="1" t="s">
        <v>3271</v>
      </c>
      <c r="K3543" s="4" t="s">
        <v>363</v>
      </c>
      <c r="L3543" t="str">
        <f t="shared" si="55"/>
        <v>http://www.badatelna.eu/reprodukce/?fondId=1073&amp;zaznamId=1108952&amp;reproId=3778912</v>
      </c>
      <c r="M3543">
        <f>VLOOKUP(F3543,Sheet2!$B$1:$E$19,2,FALSE)</f>
        <v>1073</v>
      </c>
      <c r="N3543">
        <f>VLOOKUP(F3543,Sheet2!$B$1:$E$19,3,FALSE)</f>
        <v>1108952</v>
      </c>
      <c r="O3543">
        <f>IF(G3543="Not available","",VLOOKUP(F3543,Sheet2!$B$1:$E$19,4,FALSE)+(G3543-1))</f>
        <v>3778912</v>
      </c>
    </row>
    <row r="3544" spans="1:15" s="1" customFormat="1" ht="15" customHeight="1" x14ac:dyDescent="0.25">
      <c r="A3544" s="18" t="s">
        <v>366</v>
      </c>
      <c r="B3544" s="18" t="s">
        <v>197</v>
      </c>
      <c r="C3544" s="5" t="s">
        <v>1525</v>
      </c>
      <c r="D3544" s="1" t="s">
        <v>16</v>
      </c>
      <c r="E3544" s="1" t="s">
        <v>2</v>
      </c>
      <c r="F3544" s="18">
        <v>2165</v>
      </c>
      <c r="G3544" s="18">
        <v>16</v>
      </c>
      <c r="H3544" s="5">
        <v>13</v>
      </c>
      <c r="I3544" s="1">
        <v>90</v>
      </c>
      <c r="J3544" s="1" t="s">
        <v>3271</v>
      </c>
      <c r="L3544" t="str">
        <f t="shared" si="55"/>
        <v>http://www.badatelna.eu/reprodukce/?fondId=1073&amp;zaznamId=1108952&amp;reproId=3778877</v>
      </c>
      <c r="M3544">
        <f>VLOOKUP(F3544,Sheet2!$B$1:$E$19,2,FALSE)</f>
        <v>1073</v>
      </c>
      <c r="N3544">
        <f>VLOOKUP(F3544,Sheet2!$B$1:$E$19,3,FALSE)</f>
        <v>1108952</v>
      </c>
      <c r="O3544">
        <f>IF(G3544="Not available","",VLOOKUP(F3544,Sheet2!$B$1:$E$19,4,FALSE)+(G3544-1))</f>
        <v>3778877</v>
      </c>
    </row>
    <row r="3545" spans="1:15" s="1" customFormat="1" ht="15" customHeight="1" x14ac:dyDescent="0.25">
      <c r="A3545" s="18" t="s">
        <v>366</v>
      </c>
      <c r="B3545" s="18" t="s">
        <v>233</v>
      </c>
      <c r="C3545" s="5" t="s">
        <v>1538</v>
      </c>
      <c r="D3545" s="1" t="s">
        <v>16</v>
      </c>
      <c r="E3545" s="1" t="s">
        <v>2</v>
      </c>
      <c r="F3545" s="18">
        <v>2165</v>
      </c>
      <c r="G3545" s="18">
        <v>34</v>
      </c>
      <c r="H3545" s="5">
        <v>31</v>
      </c>
      <c r="I3545" s="1">
        <v>90</v>
      </c>
      <c r="J3545" s="1" t="s">
        <v>3271</v>
      </c>
      <c r="L3545" t="str">
        <f t="shared" si="55"/>
        <v>http://www.badatelna.eu/reprodukce/?fondId=1073&amp;zaznamId=1108952&amp;reproId=3778895</v>
      </c>
      <c r="M3545">
        <f>VLOOKUP(F3545,Sheet2!$B$1:$E$19,2,FALSE)</f>
        <v>1073</v>
      </c>
      <c r="N3545">
        <f>VLOOKUP(F3545,Sheet2!$B$1:$E$19,3,FALSE)</f>
        <v>1108952</v>
      </c>
      <c r="O3545">
        <f>IF(G3545="Not available","",VLOOKUP(F3545,Sheet2!$B$1:$E$19,4,FALSE)+(G3545-1))</f>
        <v>3778895</v>
      </c>
    </row>
    <row r="3546" spans="1:15" s="1" customFormat="1" ht="15" customHeight="1" x14ac:dyDescent="0.25">
      <c r="A3546" s="18" t="s">
        <v>366</v>
      </c>
      <c r="B3546" s="18" t="s">
        <v>2077</v>
      </c>
      <c r="C3546" s="5">
        <v>1789</v>
      </c>
      <c r="D3546" s="12" t="s">
        <v>23</v>
      </c>
      <c r="E3546" s="1" t="s">
        <v>2</v>
      </c>
      <c r="F3546" s="18">
        <v>2173</v>
      </c>
      <c r="G3546" s="18">
        <v>21</v>
      </c>
      <c r="H3546" s="5">
        <v>36</v>
      </c>
      <c r="I3546" s="1">
        <v>110</v>
      </c>
      <c r="J3546" s="1">
        <v>239</v>
      </c>
      <c r="L3546" t="str">
        <f t="shared" si="55"/>
        <v>http://www.badatelna.eu/reprodukce/?fondId=1073&amp;zaznamId=1108959&amp;reproId=3780014</v>
      </c>
      <c r="M3546">
        <f>VLOOKUP(F3546,Sheet2!$B$1:$E$19,2,FALSE)</f>
        <v>1073</v>
      </c>
      <c r="N3546">
        <f>VLOOKUP(F3546,Sheet2!$B$1:$E$19,3,FALSE)</f>
        <v>1108959</v>
      </c>
      <c r="O3546">
        <f>IF(G3546="Not available","",VLOOKUP(F3546,Sheet2!$B$1:$E$19,4,FALSE)+(G3546-1))</f>
        <v>3780014</v>
      </c>
    </row>
    <row r="3547" spans="1:15" s="1" customFormat="1" ht="15" customHeight="1" x14ac:dyDescent="0.25">
      <c r="A3547" s="18" t="s">
        <v>366</v>
      </c>
      <c r="B3547" s="18" t="s">
        <v>432</v>
      </c>
      <c r="C3547" s="5" t="s">
        <v>1539</v>
      </c>
      <c r="D3547" s="1" t="s">
        <v>8</v>
      </c>
      <c r="E3547" s="1" t="s">
        <v>2</v>
      </c>
      <c r="F3547" s="18">
        <v>2165</v>
      </c>
      <c r="G3547" s="18">
        <v>34</v>
      </c>
      <c r="H3547" s="5">
        <v>31</v>
      </c>
      <c r="I3547" s="1">
        <v>90</v>
      </c>
      <c r="J3547" s="1" t="s">
        <v>3271</v>
      </c>
      <c r="L3547" t="str">
        <f t="shared" si="55"/>
        <v>http://www.badatelna.eu/reprodukce/?fondId=1073&amp;zaznamId=1108952&amp;reproId=3778895</v>
      </c>
      <c r="M3547">
        <f>VLOOKUP(F3547,Sheet2!$B$1:$E$19,2,FALSE)</f>
        <v>1073</v>
      </c>
      <c r="N3547">
        <f>VLOOKUP(F3547,Sheet2!$B$1:$E$19,3,FALSE)</f>
        <v>1108952</v>
      </c>
      <c r="O3547">
        <f>IF(G3547="Not available","",VLOOKUP(F3547,Sheet2!$B$1:$E$19,4,FALSE)+(G3547-1))</f>
        <v>3778895</v>
      </c>
    </row>
    <row r="3548" spans="1:15" s="1" customFormat="1" ht="15" customHeight="1" x14ac:dyDescent="0.25">
      <c r="A3548" s="18" t="s">
        <v>366</v>
      </c>
      <c r="B3548" s="18" t="s">
        <v>182</v>
      </c>
      <c r="C3548" s="5">
        <v>1809</v>
      </c>
      <c r="E3548" s="1" t="s">
        <v>2</v>
      </c>
      <c r="F3548" s="18">
        <v>2173</v>
      </c>
      <c r="G3548" s="18">
        <v>55</v>
      </c>
      <c r="H3548" s="14" t="s">
        <v>2803</v>
      </c>
      <c r="I3548" s="1">
        <v>111</v>
      </c>
      <c r="J3548" s="1">
        <v>240</v>
      </c>
      <c r="L3548" t="str">
        <f t="shared" si="55"/>
        <v>http://www.badatelna.eu/reprodukce/?fondId=1073&amp;zaznamId=1108959&amp;reproId=3780048</v>
      </c>
      <c r="M3548">
        <f>VLOOKUP(F3548,Sheet2!$B$1:$E$19,2,FALSE)</f>
        <v>1073</v>
      </c>
      <c r="N3548">
        <f>VLOOKUP(F3548,Sheet2!$B$1:$E$19,3,FALSE)</f>
        <v>1108959</v>
      </c>
      <c r="O3548">
        <f>IF(G3548="Not available","",VLOOKUP(F3548,Sheet2!$B$1:$E$19,4,FALSE)+(G3548-1))</f>
        <v>3780048</v>
      </c>
    </row>
    <row r="3549" spans="1:15" s="1" customFormat="1" ht="15" customHeight="1" x14ac:dyDescent="0.25">
      <c r="A3549" s="18" t="s">
        <v>366</v>
      </c>
      <c r="B3549" s="18" t="s">
        <v>434</v>
      </c>
      <c r="C3549" s="5">
        <v>1842</v>
      </c>
      <c r="D3549" s="1" t="s">
        <v>52</v>
      </c>
      <c r="E3549" s="1" t="s">
        <v>2</v>
      </c>
      <c r="F3549" s="18">
        <v>2174</v>
      </c>
      <c r="G3549" s="18">
        <v>124</v>
      </c>
      <c r="H3549" s="6" t="s">
        <v>3198</v>
      </c>
      <c r="I3549" s="1">
        <v>197</v>
      </c>
      <c r="J3549" s="1">
        <v>232</v>
      </c>
      <c r="L3549" t="str">
        <f t="shared" si="55"/>
        <v>http://www.badatelna.eu/reprodukce/?fondId=1073&amp;zaznamId=1108960&amp;reproId=3780348</v>
      </c>
      <c r="M3549">
        <f>VLOOKUP(F3549,Sheet2!$B$1:$E$19,2,FALSE)</f>
        <v>1073</v>
      </c>
      <c r="N3549">
        <f>VLOOKUP(F3549,Sheet2!$B$1:$E$19,3,FALSE)</f>
        <v>1108960</v>
      </c>
      <c r="O3549">
        <f>IF(G3549="Not available","",VLOOKUP(F3549,Sheet2!$B$1:$E$19,4,FALSE)+(G3549-1))</f>
        <v>3780348</v>
      </c>
    </row>
    <row r="3550" spans="1:15" s="1" customFormat="1" ht="15" customHeight="1" x14ac:dyDescent="0.25">
      <c r="A3550" s="18" t="s">
        <v>366</v>
      </c>
      <c r="B3550" s="18" t="s">
        <v>100</v>
      </c>
      <c r="C3550" s="5" t="s">
        <v>1574</v>
      </c>
      <c r="D3550" s="1" t="s">
        <v>1079</v>
      </c>
      <c r="E3550" s="1" t="s">
        <v>2</v>
      </c>
      <c r="F3550" s="18">
        <v>2165</v>
      </c>
      <c r="G3550" s="18">
        <v>74</v>
      </c>
      <c r="H3550" s="5">
        <v>71</v>
      </c>
      <c r="I3550" s="1">
        <v>91</v>
      </c>
      <c r="J3550" s="1" t="s">
        <v>3271</v>
      </c>
      <c r="L3550" t="str">
        <f t="shared" si="55"/>
        <v>http://www.badatelna.eu/reprodukce/?fondId=1073&amp;zaznamId=1108952&amp;reproId=3778935</v>
      </c>
      <c r="M3550">
        <f>VLOOKUP(F3550,Sheet2!$B$1:$E$19,2,FALSE)</f>
        <v>1073</v>
      </c>
      <c r="N3550">
        <f>VLOOKUP(F3550,Sheet2!$B$1:$E$19,3,FALSE)</f>
        <v>1108952</v>
      </c>
      <c r="O3550">
        <f>IF(G3550="Not available","",VLOOKUP(F3550,Sheet2!$B$1:$E$19,4,FALSE)+(G3550-1))</f>
        <v>3778935</v>
      </c>
    </row>
    <row r="3551" spans="1:15" s="1" customFormat="1" ht="15" customHeight="1" x14ac:dyDescent="0.25">
      <c r="A3551" s="18" t="s">
        <v>366</v>
      </c>
      <c r="B3551" s="19" t="s">
        <v>2972</v>
      </c>
      <c r="C3551" s="5">
        <v>1785</v>
      </c>
      <c r="D3551" s="1" t="s">
        <v>16</v>
      </c>
      <c r="E3551" s="1" t="s">
        <v>2</v>
      </c>
      <c r="F3551" s="18">
        <v>2173</v>
      </c>
      <c r="G3551" s="18">
        <v>12</v>
      </c>
      <c r="H3551" s="5">
        <v>18</v>
      </c>
      <c r="I3551" s="1">
        <v>110</v>
      </c>
      <c r="J3551" s="1">
        <v>239</v>
      </c>
      <c r="L3551" t="str">
        <f t="shared" si="55"/>
        <v>http://www.badatelna.eu/reprodukce/?fondId=1073&amp;zaznamId=1108959&amp;reproId=3780005</v>
      </c>
      <c r="M3551">
        <f>VLOOKUP(F3551,Sheet2!$B$1:$E$19,2,FALSE)</f>
        <v>1073</v>
      </c>
      <c r="N3551">
        <f>VLOOKUP(F3551,Sheet2!$B$1:$E$19,3,FALSE)</f>
        <v>1108959</v>
      </c>
      <c r="O3551">
        <f>IF(G3551="Not available","",VLOOKUP(F3551,Sheet2!$B$1:$E$19,4,FALSE)+(G3551-1))</f>
        <v>3780005</v>
      </c>
    </row>
    <row r="3552" spans="1:15" s="1" customFormat="1" ht="15" customHeight="1" x14ac:dyDescent="0.25">
      <c r="A3552" s="18" t="s">
        <v>366</v>
      </c>
      <c r="B3552" s="18" t="s">
        <v>1121</v>
      </c>
      <c r="C3552" s="10" t="s">
        <v>2026</v>
      </c>
      <c r="D3552" s="3" t="s">
        <v>2569</v>
      </c>
      <c r="E3552" s="4" t="s">
        <v>2</v>
      </c>
      <c r="F3552" s="18">
        <v>2176</v>
      </c>
      <c r="G3552" s="18" t="s">
        <v>3271</v>
      </c>
      <c r="H3552" s="10" t="s">
        <v>2083</v>
      </c>
      <c r="I3552" s="3">
        <v>34</v>
      </c>
      <c r="J3552" s="3" t="s">
        <v>3271</v>
      </c>
      <c r="K3552" s="3"/>
      <c r="L3552" t="str">
        <f t="shared" si="55"/>
        <v/>
      </c>
      <c r="M3552">
        <f>VLOOKUP(F3552,Sheet2!$B$1:$E$19,2,FALSE)</f>
        <v>1073</v>
      </c>
      <c r="N3552">
        <f>VLOOKUP(F3552,Sheet2!$B$1:$E$19,3,FALSE)</f>
        <v>1108963</v>
      </c>
      <c r="O3552" t="str">
        <f>IF(G3552="Not available","",VLOOKUP(F3552,Sheet2!$B$1:$E$19,4,FALSE)+(G3552-1))</f>
        <v/>
      </c>
    </row>
    <row r="3553" spans="1:15" s="1" customFormat="1" ht="15" customHeight="1" x14ac:dyDescent="0.25">
      <c r="A3553" s="18" t="s">
        <v>366</v>
      </c>
      <c r="B3553" s="18" t="s">
        <v>1121</v>
      </c>
      <c r="C3553" s="5" t="s">
        <v>1733</v>
      </c>
      <c r="D3553" s="1" t="s">
        <v>377</v>
      </c>
      <c r="E3553" s="1" t="s">
        <v>2</v>
      </c>
      <c r="F3553" s="18">
        <v>2165</v>
      </c>
      <c r="G3553" s="18">
        <v>165</v>
      </c>
      <c r="H3553" s="5">
        <v>1</v>
      </c>
      <c r="I3553" s="1">
        <v>171</v>
      </c>
      <c r="J3553" s="1">
        <v>149</v>
      </c>
      <c r="L3553" t="str">
        <f t="shared" si="55"/>
        <v>http://www.badatelna.eu/reprodukce/?fondId=1073&amp;zaznamId=1108952&amp;reproId=3779026</v>
      </c>
      <c r="M3553">
        <f>VLOOKUP(F3553,Sheet2!$B$1:$E$19,2,FALSE)</f>
        <v>1073</v>
      </c>
      <c r="N3553">
        <f>VLOOKUP(F3553,Sheet2!$B$1:$E$19,3,FALSE)</f>
        <v>1108952</v>
      </c>
      <c r="O3553">
        <f>IF(G3553="Not available","",VLOOKUP(F3553,Sheet2!$B$1:$E$19,4,FALSE)+(G3553-1))</f>
        <v>3779026</v>
      </c>
    </row>
    <row r="3554" spans="1:15" s="1" customFormat="1" ht="15" customHeight="1" x14ac:dyDescent="0.25">
      <c r="A3554" s="18" t="s">
        <v>366</v>
      </c>
      <c r="B3554" s="18" t="s">
        <v>11</v>
      </c>
      <c r="C3554" s="5">
        <v>1813</v>
      </c>
      <c r="E3554" s="1" t="s">
        <v>2</v>
      </c>
      <c r="F3554" s="18">
        <v>2173</v>
      </c>
      <c r="G3554" s="18">
        <v>61</v>
      </c>
      <c r="H3554" s="14" t="s">
        <v>2977</v>
      </c>
      <c r="I3554" s="1">
        <v>111</v>
      </c>
      <c r="J3554" s="1">
        <v>240</v>
      </c>
      <c r="L3554" t="str">
        <f t="shared" si="55"/>
        <v>http://www.badatelna.eu/reprodukce/?fondId=1073&amp;zaznamId=1108959&amp;reproId=3780054</v>
      </c>
      <c r="M3554">
        <f>VLOOKUP(F3554,Sheet2!$B$1:$E$19,2,FALSE)</f>
        <v>1073</v>
      </c>
      <c r="N3554">
        <f>VLOOKUP(F3554,Sheet2!$B$1:$E$19,3,FALSE)</f>
        <v>1108959</v>
      </c>
      <c r="O3554">
        <f>IF(G3554="Not available","",VLOOKUP(F3554,Sheet2!$B$1:$E$19,4,FALSE)+(G3554-1))</f>
        <v>3780054</v>
      </c>
    </row>
    <row r="3555" spans="1:15" s="1" customFormat="1" ht="15" customHeight="1" x14ac:dyDescent="0.25">
      <c r="A3555" s="18" t="s">
        <v>366</v>
      </c>
      <c r="B3555" s="18" t="s">
        <v>23</v>
      </c>
      <c r="C3555" s="5">
        <v>1815</v>
      </c>
      <c r="E3555" s="1" t="s">
        <v>2</v>
      </c>
      <c r="F3555" s="18">
        <v>2173</v>
      </c>
      <c r="G3555" s="18">
        <v>64</v>
      </c>
      <c r="H3555" s="5">
        <v>123</v>
      </c>
      <c r="I3555" s="1">
        <v>111</v>
      </c>
      <c r="J3555" s="1">
        <v>240</v>
      </c>
      <c r="L3555" t="str">
        <f t="shared" si="55"/>
        <v>http://www.badatelna.eu/reprodukce/?fondId=1073&amp;zaznamId=1108959&amp;reproId=3780057</v>
      </c>
      <c r="M3555">
        <f>VLOOKUP(F3555,Sheet2!$B$1:$E$19,2,FALSE)</f>
        <v>1073</v>
      </c>
      <c r="N3555">
        <f>VLOOKUP(F3555,Sheet2!$B$1:$E$19,3,FALSE)</f>
        <v>1108959</v>
      </c>
      <c r="O3555">
        <f>IF(G3555="Not available","",VLOOKUP(F3555,Sheet2!$B$1:$E$19,4,FALSE)+(G3555-1))</f>
        <v>3780057</v>
      </c>
    </row>
    <row r="3556" spans="1:15" s="1" customFormat="1" ht="15" customHeight="1" x14ac:dyDescent="0.25">
      <c r="A3556" s="18" t="s">
        <v>391</v>
      </c>
      <c r="B3556" s="18" t="s">
        <v>392</v>
      </c>
      <c r="C3556" s="5">
        <v>1811</v>
      </c>
      <c r="E3556" s="1" t="s">
        <v>2</v>
      </c>
      <c r="F3556" s="18">
        <v>2173</v>
      </c>
      <c r="G3556" s="18">
        <v>57</v>
      </c>
      <c r="H3556" s="14" t="s">
        <v>2947</v>
      </c>
      <c r="I3556" s="1">
        <v>111</v>
      </c>
      <c r="J3556" s="1">
        <v>240</v>
      </c>
      <c r="L3556" t="str">
        <f t="shared" si="55"/>
        <v>http://www.badatelna.eu/reprodukce/?fondId=1073&amp;zaznamId=1108959&amp;reproId=3780050</v>
      </c>
      <c r="M3556">
        <f>VLOOKUP(F3556,Sheet2!$B$1:$E$19,2,FALSE)</f>
        <v>1073</v>
      </c>
      <c r="N3556">
        <f>VLOOKUP(F3556,Sheet2!$B$1:$E$19,3,FALSE)</f>
        <v>1108959</v>
      </c>
      <c r="O3556">
        <f>IF(G3556="Not available","",VLOOKUP(F3556,Sheet2!$B$1:$E$19,4,FALSE)+(G3556-1))</f>
        <v>3780050</v>
      </c>
    </row>
    <row r="3557" spans="1:15" s="1" customFormat="1" ht="15" customHeight="1" x14ac:dyDescent="0.25">
      <c r="A3557" s="18" t="s">
        <v>401</v>
      </c>
      <c r="B3557" s="18" t="s">
        <v>53</v>
      </c>
      <c r="C3557" s="5">
        <v>1812</v>
      </c>
      <c r="E3557" s="1" t="s">
        <v>2</v>
      </c>
      <c r="F3557" s="18">
        <v>2173</v>
      </c>
      <c r="G3557" s="18">
        <v>58</v>
      </c>
      <c r="H3557" s="5">
        <v>111</v>
      </c>
      <c r="I3557" s="1">
        <v>113</v>
      </c>
      <c r="J3557" s="1">
        <v>247</v>
      </c>
      <c r="L3557" t="str">
        <f t="shared" si="55"/>
        <v>http://www.badatelna.eu/reprodukce/?fondId=1073&amp;zaznamId=1108959&amp;reproId=3780051</v>
      </c>
      <c r="M3557">
        <f>VLOOKUP(F3557,Sheet2!$B$1:$E$19,2,FALSE)</f>
        <v>1073</v>
      </c>
      <c r="N3557">
        <f>VLOOKUP(F3557,Sheet2!$B$1:$E$19,3,FALSE)</f>
        <v>1108959</v>
      </c>
      <c r="O3557">
        <f>IF(G3557="Not available","",VLOOKUP(F3557,Sheet2!$B$1:$E$19,4,FALSE)+(G3557-1))</f>
        <v>3780051</v>
      </c>
    </row>
    <row r="3558" spans="1:15" s="1" customFormat="1" ht="15" customHeight="1" x14ac:dyDescent="0.25">
      <c r="A3558" s="18" t="s">
        <v>401</v>
      </c>
      <c r="B3558" s="18" t="s">
        <v>162</v>
      </c>
      <c r="C3558" s="5">
        <v>1813</v>
      </c>
      <c r="E3558" s="1" t="s">
        <v>2</v>
      </c>
      <c r="F3558" s="18">
        <v>2173</v>
      </c>
      <c r="G3558" s="18">
        <v>61</v>
      </c>
      <c r="H3558" s="5">
        <v>116</v>
      </c>
      <c r="I3558" s="1">
        <v>113</v>
      </c>
      <c r="J3558" s="1">
        <v>247</v>
      </c>
      <c r="L3558" t="str">
        <f t="shared" si="55"/>
        <v>http://www.badatelna.eu/reprodukce/?fondId=1073&amp;zaznamId=1108959&amp;reproId=3780054</v>
      </c>
      <c r="M3558">
        <f>VLOOKUP(F3558,Sheet2!$B$1:$E$19,2,FALSE)</f>
        <v>1073</v>
      </c>
      <c r="N3558">
        <f>VLOOKUP(F3558,Sheet2!$B$1:$E$19,3,FALSE)</f>
        <v>1108959</v>
      </c>
      <c r="O3558">
        <f>IF(G3558="Not available","",VLOOKUP(F3558,Sheet2!$B$1:$E$19,4,FALSE)+(G3558-1))</f>
        <v>3780054</v>
      </c>
    </row>
    <row r="3559" spans="1:15" s="1" customFormat="1" ht="15" customHeight="1" x14ac:dyDescent="0.25">
      <c r="A3559" s="18" t="s">
        <v>401</v>
      </c>
      <c r="B3559" s="18" t="s">
        <v>86</v>
      </c>
      <c r="C3559" s="5">
        <v>1789</v>
      </c>
      <c r="D3559" s="12" t="s">
        <v>40</v>
      </c>
      <c r="E3559" s="1" t="s">
        <v>2</v>
      </c>
      <c r="F3559" s="18">
        <v>2173</v>
      </c>
      <c r="G3559" s="18">
        <v>20</v>
      </c>
      <c r="H3559" s="5">
        <v>35</v>
      </c>
      <c r="I3559" s="1">
        <v>113</v>
      </c>
      <c r="J3559" s="1">
        <v>247</v>
      </c>
      <c r="L3559" t="str">
        <f t="shared" si="55"/>
        <v>http://www.badatelna.eu/reprodukce/?fondId=1073&amp;zaznamId=1108959&amp;reproId=3780013</v>
      </c>
      <c r="M3559">
        <f>VLOOKUP(F3559,Sheet2!$B$1:$E$19,2,FALSE)</f>
        <v>1073</v>
      </c>
      <c r="N3559">
        <f>VLOOKUP(F3559,Sheet2!$B$1:$E$19,3,FALSE)</f>
        <v>1108959</v>
      </c>
      <c r="O3559">
        <f>IF(G3559="Not available","",VLOOKUP(F3559,Sheet2!$B$1:$E$19,4,FALSE)+(G3559-1))</f>
        <v>3780013</v>
      </c>
    </row>
    <row r="3560" spans="1:15" s="1" customFormat="1" ht="15" customHeight="1" x14ac:dyDescent="0.25">
      <c r="A3560" s="18" t="s">
        <v>401</v>
      </c>
      <c r="B3560" s="18" t="s">
        <v>137</v>
      </c>
      <c r="C3560" s="5">
        <v>1809</v>
      </c>
      <c r="E3560" s="1" t="s">
        <v>2</v>
      </c>
      <c r="F3560" s="18">
        <v>2173</v>
      </c>
      <c r="G3560" s="18">
        <v>55</v>
      </c>
      <c r="H3560" s="5">
        <v>104</v>
      </c>
      <c r="I3560" s="1">
        <v>113</v>
      </c>
      <c r="J3560" s="1">
        <v>247</v>
      </c>
      <c r="L3560" t="str">
        <f t="shared" si="55"/>
        <v>http://www.badatelna.eu/reprodukce/?fondId=1073&amp;zaznamId=1108959&amp;reproId=3780048</v>
      </c>
      <c r="M3560">
        <f>VLOOKUP(F3560,Sheet2!$B$1:$E$19,2,FALSE)</f>
        <v>1073</v>
      </c>
      <c r="N3560">
        <f>VLOOKUP(F3560,Sheet2!$B$1:$E$19,3,FALSE)</f>
        <v>1108959</v>
      </c>
      <c r="O3560">
        <f>IF(G3560="Not available","",VLOOKUP(F3560,Sheet2!$B$1:$E$19,4,FALSE)+(G3560-1))</f>
        <v>3780048</v>
      </c>
    </row>
    <row r="3561" spans="1:15" s="1" customFormat="1" ht="15" customHeight="1" x14ac:dyDescent="0.25">
      <c r="A3561" s="18" t="s">
        <v>401</v>
      </c>
      <c r="B3561" s="18" t="s">
        <v>125</v>
      </c>
      <c r="C3561" s="5">
        <v>1807</v>
      </c>
      <c r="E3561" s="1" t="s">
        <v>2</v>
      </c>
      <c r="F3561" s="18">
        <v>2173</v>
      </c>
      <c r="G3561" s="18">
        <v>52</v>
      </c>
      <c r="H3561" s="5">
        <v>99</v>
      </c>
      <c r="I3561" s="1">
        <v>113</v>
      </c>
      <c r="J3561" s="1">
        <v>247</v>
      </c>
      <c r="L3561" t="str">
        <f t="shared" si="55"/>
        <v>http://www.badatelna.eu/reprodukce/?fondId=1073&amp;zaznamId=1108959&amp;reproId=3780045</v>
      </c>
      <c r="M3561">
        <f>VLOOKUP(F3561,Sheet2!$B$1:$E$19,2,FALSE)</f>
        <v>1073</v>
      </c>
      <c r="N3561">
        <f>VLOOKUP(F3561,Sheet2!$B$1:$E$19,3,FALSE)</f>
        <v>1108959</v>
      </c>
      <c r="O3561">
        <f>IF(G3561="Not available","",VLOOKUP(F3561,Sheet2!$B$1:$E$19,4,FALSE)+(G3561-1))</f>
        <v>3780045</v>
      </c>
    </row>
    <row r="3562" spans="1:15" s="1" customFormat="1" ht="15" customHeight="1" x14ac:dyDescent="0.25">
      <c r="A3562" s="18" t="s">
        <v>401</v>
      </c>
      <c r="B3562" s="18" t="s">
        <v>23</v>
      </c>
      <c r="C3562" s="5">
        <v>1814</v>
      </c>
      <c r="E3562" s="1" t="s">
        <v>2</v>
      </c>
      <c r="F3562" s="18">
        <v>2173</v>
      </c>
      <c r="G3562" s="18">
        <v>63</v>
      </c>
      <c r="H3562" s="5">
        <v>120</v>
      </c>
      <c r="I3562" s="1">
        <v>113</v>
      </c>
      <c r="J3562" s="1">
        <v>247</v>
      </c>
      <c r="L3562" t="str">
        <f t="shared" si="55"/>
        <v>http://www.badatelna.eu/reprodukce/?fondId=1073&amp;zaznamId=1108959&amp;reproId=3780056</v>
      </c>
      <c r="M3562">
        <f>VLOOKUP(F3562,Sheet2!$B$1:$E$19,2,FALSE)</f>
        <v>1073</v>
      </c>
      <c r="N3562">
        <f>VLOOKUP(F3562,Sheet2!$B$1:$E$19,3,FALSE)</f>
        <v>1108959</v>
      </c>
      <c r="O3562">
        <f>IF(G3562="Not available","",VLOOKUP(F3562,Sheet2!$B$1:$E$19,4,FALSE)+(G3562-1))</f>
        <v>3780056</v>
      </c>
    </row>
    <row r="3563" spans="1:15" s="1" customFormat="1" ht="15" customHeight="1" x14ac:dyDescent="0.25">
      <c r="A3563" s="18" t="s">
        <v>401</v>
      </c>
      <c r="B3563" s="19" t="s">
        <v>2989</v>
      </c>
      <c r="C3563" s="6" t="s">
        <v>2941</v>
      </c>
      <c r="D3563" s="1" t="s">
        <v>40</v>
      </c>
      <c r="E3563" s="1" t="s">
        <v>2</v>
      </c>
      <c r="F3563" s="18">
        <v>2173</v>
      </c>
      <c r="G3563" s="18">
        <v>10</v>
      </c>
      <c r="H3563" s="6" t="s">
        <v>2896</v>
      </c>
      <c r="I3563" s="1">
        <v>113</v>
      </c>
      <c r="J3563" s="1">
        <v>247</v>
      </c>
      <c r="L3563" t="str">
        <f t="shared" si="55"/>
        <v>http://www.badatelna.eu/reprodukce/?fondId=1073&amp;zaznamId=1108959&amp;reproId=3780003</v>
      </c>
      <c r="M3563">
        <f>VLOOKUP(F3563,Sheet2!$B$1:$E$19,2,FALSE)</f>
        <v>1073</v>
      </c>
      <c r="N3563">
        <f>VLOOKUP(F3563,Sheet2!$B$1:$E$19,3,FALSE)</f>
        <v>1108959</v>
      </c>
      <c r="O3563">
        <f>IF(G3563="Not available","",VLOOKUP(F3563,Sheet2!$B$1:$E$19,4,FALSE)+(G3563-1))</f>
        <v>3780003</v>
      </c>
    </row>
    <row r="3564" spans="1:15" s="1" customFormat="1" ht="15" customHeight="1" x14ac:dyDescent="0.25">
      <c r="A3564" s="18" t="s">
        <v>573</v>
      </c>
      <c r="B3564" s="18" t="s">
        <v>213</v>
      </c>
      <c r="C3564" s="5">
        <v>1821</v>
      </c>
      <c r="E3564" s="1" t="s">
        <v>2</v>
      </c>
      <c r="F3564" s="18">
        <v>2173</v>
      </c>
      <c r="G3564" s="18">
        <v>73</v>
      </c>
      <c r="H3564" s="5">
        <v>139</v>
      </c>
      <c r="I3564" s="1">
        <v>114</v>
      </c>
      <c r="J3564" s="1">
        <v>248</v>
      </c>
      <c r="L3564" t="str">
        <f t="shared" si="55"/>
        <v>http://www.badatelna.eu/reprodukce/?fondId=1073&amp;zaznamId=1108959&amp;reproId=3780066</v>
      </c>
      <c r="M3564">
        <f>VLOOKUP(F3564,Sheet2!$B$1:$E$19,2,FALSE)</f>
        <v>1073</v>
      </c>
      <c r="N3564">
        <f>VLOOKUP(F3564,Sheet2!$B$1:$E$19,3,FALSE)</f>
        <v>1108959</v>
      </c>
      <c r="O3564">
        <f>IF(G3564="Not available","",VLOOKUP(F3564,Sheet2!$B$1:$E$19,4,FALSE)+(G3564-1))</f>
        <v>3780066</v>
      </c>
    </row>
    <row r="3565" spans="1:15" s="1" customFormat="1" ht="15" customHeight="1" x14ac:dyDescent="0.25">
      <c r="A3565" s="18" t="s">
        <v>573</v>
      </c>
      <c r="B3565" s="18" t="s">
        <v>625</v>
      </c>
      <c r="C3565" s="5">
        <v>1841</v>
      </c>
      <c r="D3565" s="1" t="s">
        <v>478</v>
      </c>
      <c r="E3565" s="1" t="s">
        <v>2</v>
      </c>
      <c r="F3565" s="18">
        <v>2174</v>
      </c>
      <c r="G3565" s="18">
        <v>117</v>
      </c>
      <c r="H3565" s="14" t="s">
        <v>3185</v>
      </c>
      <c r="I3565" s="1">
        <v>199</v>
      </c>
      <c r="J3565" s="1">
        <v>234</v>
      </c>
      <c r="L3565" t="str">
        <f t="shared" si="55"/>
        <v>http://www.badatelna.eu/reprodukce/?fondId=1073&amp;zaznamId=1108960&amp;reproId=3780341</v>
      </c>
      <c r="M3565">
        <f>VLOOKUP(F3565,Sheet2!$B$1:$E$19,2,FALSE)</f>
        <v>1073</v>
      </c>
      <c r="N3565">
        <f>VLOOKUP(F3565,Sheet2!$B$1:$E$19,3,FALSE)</f>
        <v>1108960</v>
      </c>
      <c r="O3565">
        <f>IF(G3565="Not available","",VLOOKUP(F3565,Sheet2!$B$1:$E$19,4,FALSE)+(G3565-1))</f>
        <v>3780341</v>
      </c>
    </row>
    <row r="3566" spans="1:15" s="1" customFormat="1" ht="15" customHeight="1" x14ac:dyDescent="0.25">
      <c r="A3566" s="18" t="s">
        <v>573</v>
      </c>
      <c r="B3566" s="18" t="s">
        <v>427</v>
      </c>
      <c r="C3566" s="5">
        <v>1845</v>
      </c>
      <c r="D3566" s="1" t="s">
        <v>422</v>
      </c>
      <c r="E3566" s="1" t="s">
        <v>2</v>
      </c>
      <c r="F3566" s="18">
        <v>2174</v>
      </c>
      <c r="G3566" s="18">
        <v>154</v>
      </c>
      <c r="H3566" s="14" t="s">
        <v>3220</v>
      </c>
      <c r="I3566" s="1">
        <v>199</v>
      </c>
      <c r="J3566" s="1">
        <v>234</v>
      </c>
      <c r="L3566" t="str">
        <f t="shared" si="55"/>
        <v>http://www.badatelna.eu/reprodukce/?fondId=1073&amp;zaznamId=1108960&amp;reproId=3780378</v>
      </c>
      <c r="M3566">
        <f>VLOOKUP(F3566,Sheet2!$B$1:$E$19,2,FALSE)</f>
        <v>1073</v>
      </c>
      <c r="N3566">
        <f>VLOOKUP(F3566,Sheet2!$B$1:$E$19,3,FALSE)</f>
        <v>1108960</v>
      </c>
      <c r="O3566">
        <f>IF(G3566="Not available","",VLOOKUP(F3566,Sheet2!$B$1:$E$19,4,FALSE)+(G3566-1))</f>
        <v>3780378</v>
      </c>
    </row>
    <row r="3567" spans="1:15" s="1" customFormat="1" ht="15" customHeight="1" x14ac:dyDescent="0.25">
      <c r="A3567" s="18" t="s">
        <v>573</v>
      </c>
      <c r="B3567" s="18" t="s">
        <v>44</v>
      </c>
      <c r="C3567" s="5">
        <v>1843</v>
      </c>
      <c r="D3567" s="1" t="s">
        <v>478</v>
      </c>
      <c r="E3567" s="1" t="s">
        <v>2</v>
      </c>
      <c r="F3567" s="18">
        <v>2174</v>
      </c>
      <c r="G3567" s="18">
        <v>137</v>
      </c>
      <c r="H3567" s="6" t="s">
        <v>3209</v>
      </c>
      <c r="I3567" s="1">
        <v>199</v>
      </c>
      <c r="J3567" s="1">
        <v>234</v>
      </c>
      <c r="L3567" t="str">
        <f t="shared" si="55"/>
        <v>http://www.badatelna.eu/reprodukce/?fondId=1073&amp;zaznamId=1108960&amp;reproId=3780361</v>
      </c>
      <c r="M3567">
        <f>VLOOKUP(F3567,Sheet2!$B$1:$E$19,2,FALSE)</f>
        <v>1073</v>
      </c>
      <c r="N3567">
        <f>VLOOKUP(F3567,Sheet2!$B$1:$E$19,3,FALSE)</f>
        <v>1108960</v>
      </c>
      <c r="O3567">
        <f>IF(G3567="Not available","",VLOOKUP(F3567,Sheet2!$B$1:$E$19,4,FALSE)+(G3567-1))</f>
        <v>3780361</v>
      </c>
    </row>
    <row r="3568" spans="1:15" s="1" customFormat="1" ht="15" customHeight="1" x14ac:dyDescent="0.25">
      <c r="A3568" s="18" t="s">
        <v>572</v>
      </c>
      <c r="B3568" s="18" t="s">
        <v>507</v>
      </c>
      <c r="C3568" s="5">
        <v>1827</v>
      </c>
      <c r="E3568" s="1" t="s">
        <v>2</v>
      </c>
      <c r="F3568" s="18">
        <v>2173</v>
      </c>
      <c r="G3568" s="18">
        <v>80</v>
      </c>
      <c r="H3568" s="5">
        <v>152</v>
      </c>
      <c r="I3568" s="1">
        <v>114</v>
      </c>
      <c r="J3568" s="1">
        <v>248</v>
      </c>
      <c r="L3568" t="str">
        <f t="shared" si="55"/>
        <v>http://www.badatelna.eu/reprodukce/?fondId=1073&amp;zaznamId=1108959&amp;reproId=3780073</v>
      </c>
      <c r="M3568">
        <f>VLOOKUP(F3568,Sheet2!$B$1:$E$19,2,FALSE)</f>
        <v>1073</v>
      </c>
      <c r="N3568">
        <f>VLOOKUP(F3568,Sheet2!$B$1:$E$19,3,FALSE)</f>
        <v>1108959</v>
      </c>
      <c r="O3568">
        <f>IF(G3568="Not available","",VLOOKUP(F3568,Sheet2!$B$1:$E$19,4,FALSE)+(G3568-1))</f>
        <v>3780073</v>
      </c>
    </row>
    <row r="3569" spans="1:15" s="1" customFormat="1" ht="15" customHeight="1" x14ac:dyDescent="0.25">
      <c r="A3569" s="18" t="s">
        <v>572</v>
      </c>
      <c r="B3569" s="18" t="s">
        <v>293</v>
      </c>
      <c r="C3569" s="6" t="s">
        <v>2960</v>
      </c>
      <c r="E3569" s="1" t="s">
        <v>2</v>
      </c>
      <c r="F3569" s="18">
        <v>2173</v>
      </c>
      <c r="G3569" s="18">
        <v>68</v>
      </c>
      <c r="H3569" s="14" t="s">
        <v>3000</v>
      </c>
      <c r="I3569" s="1">
        <v>114</v>
      </c>
      <c r="J3569" s="1">
        <v>248</v>
      </c>
      <c r="L3569" t="str">
        <f t="shared" si="55"/>
        <v>http://www.badatelna.eu/reprodukce/?fondId=1073&amp;zaznamId=1108959&amp;reproId=3780061</v>
      </c>
      <c r="M3569">
        <f>VLOOKUP(F3569,Sheet2!$B$1:$E$19,2,FALSE)</f>
        <v>1073</v>
      </c>
      <c r="N3569">
        <f>VLOOKUP(F3569,Sheet2!$B$1:$E$19,3,FALSE)</f>
        <v>1108959</v>
      </c>
      <c r="O3569">
        <f>IF(G3569="Not available","",VLOOKUP(F3569,Sheet2!$B$1:$E$19,4,FALSE)+(G3569-1))</f>
        <v>3780061</v>
      </c>
    </row>
    <row r="3570" spans="1:15" s="1" customFormat="1" ht="15" customHeight="1" x14ac:dyDescent="0.25">
      <c r="A3570" s="18" t="s">
        <v>572</v>
      </c>
      <c r="B3570" s="18" t="s">
        <v>160</v>
      </c>
      <c r="C3570" s="5">
        <v>1825</v>
      </c>
      <c r="E3570" s="1" t="s">
        <v>2</v>
      </c>
      <c r="F3570" s="18">
        <v>2173</v>
      </c>
      <c r="G3570" s="18">
        <v>76</v>
      </c>
      <c r="H3570" s="14" t="s">
        <v>3001</v>
      </c>
      <c r="I3570" s="1">
        <v>114</v>
      </c>
      <c r="J3570" s="1">
        <v>248</v>
      </c>
      <c r="L3570" t="str">
        <f t="shared" si="55"/>
        <v>http://www.badatelna.eu/reprodukce/?fondId=1073&amp;zaznamId=1108959&amp;reproId=3780069</v>
      </c>
      <c r="M3570">
        <f>VLOOKUP(F3570,Sheet2!$B$1:$E$19,2,FALSE)</f>
        <v>1073</v>
      </c>
      <c r="N3570">
        <f>VLOOKUP(F3570,Sheet2!$B$1:$E$19,3,FALSE)</f>
        <v>1108959</v>
      </c>
      <c r="O3570">
        <f>IF(G3570="Not available","",VLOOKUP(F3570,Sheet2!$B$1:$E$19,4,FALSE)+(G3570-1))</f>
        <v>3780069</v>
      </c>
    </row>
    <row r="3571" spans="1:15" s="1" customFormat="1" ht="15" customHeight="1" x14ac:dyDescent="0.25">
      <c r="A3571" s="18" t="s">
        <v>1086</v>
      </c>
      <c r="B3571" s="18" t="s">
        <v>632</v>
      </c>
      <c r="C3571" s="5" t="s">
        <v>1545</v>
      </c>
      <c r="D3571" s="1" t="s">
        <v>370</v>
      </c>
      <c r="E3571" s="1" t="s">
        <v>2</v>
      </c>
      <c r="F3571" s="18">
        <v>2165</v>
      </c>
      <c r="G3571" s="18">
        <v>37</v>
      </c>
      <c r="H3571" s="5">
        <v>34</v>
      </c>
      <c r="I3571" s="1">
        <v>91</v>
      </c>
      <c r="J3571" s="1" t="s">
        <v>3271</v>
      </c>
      <c r="L3571" t="str">
        <f t="shared" si="55"/>
        <v>http://www.badatelna.eu/reprodukce/?fondId=1073&amp;zaznamId=1108952&amp;reproId=3778898</v>
      </c>
      <c r="M3571">
        <f>VLOOKUP(F3571,Sheet2!$B$1:$E$19,2,FALSE)</f>
        <v>1073</v>
      </c>
      <c r="N3571">
        <f>VLOOKUP(F3571,Sheet2!$B$1:$E$19,3,FALSE)</f>
        <v>1108952</v>
      </c>
      <c r="O3571">
        <f>IF(G3571="Not available","",VLOOKUP(F3571,Sheet2!$B$1:$E$19,4,FALSE)+(G3571-1))</f>
        <v>3778898</v>
      </c>
    </row>
    <row r="3572" spans="1:15" s="1" customFormat="1" ht="15" customHeight="1" x14ac:dyDescent="0.25">
      <c r="A3572" s="18" t="s">
        <v>1086</v>
      </c>
      <c r="B3572" s="18" t="s">
        <v>868</v>
      </c>
      <c r="C3572" s="5" t="s">
        <v>1600</v>
      </c>
      <c r="D3572" s="1" t="s">
        <v>370</v>
      </c>
      <c r="E3572" s="1" t="s">
        <v>2</v>
      </c>
      <c r="F3572" s="18">
        <v>2165</v>
      </c>
      <c r="G3572" s="18">
        <v>71</v>
      </c>
      <c r="H3572" s="5">
        <v>68</v>
      </c>
      <c r="I3572" s="1">
        <v>91</v>
      </c>
      <c r="J3572" s="1" t="s">
        <v>3271</v>
      </c>
      <c r="L3572" t="str">
        <f t="shared" si="55"/>
        <v>http://www.badatelna.eu/reprodukce/?fondId=1073&amp;zaznamId=1108952&amp;reproId=3778932</v>
      </c>
      <c r="M3572">
        <f>VLOOKUP(F3572,Sheet2!$B$1:$E$19,2,FALSE)</f>
        <v>1073</v>
      </c>
      <c r="N3572">
        <f>VLOOKUP(F3572,Sheet2!$B$1:$E$19,3,FALSE)</f>
        <v>1108952</v>
      </c>
      <c r="O3572">
        <f>IF(G3572="Not available","",VLOOKUP(F3572,Sheet2!$B$1:$E$19,4,FALSE)+(G3572-1))</f>
        <v>3778932</v>
      </c>
    </row>
    <row r="3573" spans="1:15" s="1" customFormat="1" ht="15" customHeight="1" x14ac:dyDescent="0.25">
      <c r="A3573" s="18" t="s">
        <v>1086</v>
      </c>
      <c r="B3573" s="18" t="s">
        <v>548</v>
      </c>
      <c r="C3573" s="5" t="s">
        <v>1582</v>
      </c>
      <c r="D3573" s="1" t="s">
        <v>370</v>
      </c>
      <c r="E3573" s="1" t="s">
        <v>2</v>
      </c>
      <c r="F3573" s="18">
        <v>2165</v>
      </c>
      <c r="G3573" s="18">
        <v>18</v>
      </c>
      <c r="H3573" s="5">
        <v>15</v>
      </c>
      <c r="I3573" s="1">
        <v>91</v>
      </c>
      <c r="J3573" s="1" t="s">
        <v>3271</v>
      </c>
      <c r="L3573" t="str">
        <f t="shared" si="55"/>
        <v>http://www.badatelna.eu/reprodukce/?fondId=1073&amp;zaznamId=1108952&amp;reproId=3778879</v>
      </c>
      <c r="M3573">
        <f>VLOOKUP(F3573,Sheet2!$B$1:$E$19,2,FALSE)</f>
        <v>1073</v>
      </c>
      <c r="N3573">
        <f>VLOOKUP(F3573,Sheet2!$B$1:$E$19,3,FALSE)</f>
        <v>1108952</v>
      </c>
      <c r="O3573">
        <f>IF(G3573="Not available","",VLOOKUP(F3573,Sheet2!$B$1:$E$19,4,FALSE)+(G3573-1))</f>
        <v>3778879</v>
      </c>
    </row>
    <row r="3574" spans="1:15" s="1" customFormat="1" ht="15" customHeight="1" x14ac:dyDescent="0.25">
      <c r="A3574" s="18" t="s">
        <v>1086</v>
      </c>
      <c r="B3574" s="18" t="s">
        <v>12</v>
      </c>
      <c r="C3574" s="5" t="s">
        <v>1590</v>
      </c>
      <c r="D3574" s="1" t="s">
        <v>370</v>
      </c>
      <c r="E3574" s="1" t="s">
        <v>2</v>
      </c>
      <c r="F3574" s="18">
        <v>2165</v>
      </c>
      <c r="G3574" s="18">
        <v>35</v>
      </c>
      <c r="H3574" s="5">
        <v>32</v>
      </c>
      <c r="I3574" s="1">
        <v>91</v>
      </c>
      <c r="J3574" s="1" t="s">
        <v>3271</v>
      </c>
      <c r="L3574" t="str">
        <f t="shared" si="55"/>
        <v>http://www.badatelna.eu/reprodukce/?fondId=1073&amp;zaznamId=1108952&amp;reproId=3778896</v>
      </c>
      <c r="M3574">
        <f>VLOOKUP(F3574,Sheet2!$B$1:$E$19,2,FALSE)</f>
        <v>1073</v>
      </c>
      <c r="N3574">
        <f>VLOOKUP(F3574,Sheet2!$B$1:$E$19,3,FALSE)</f>
        <v>1108952</v>
      </c>
      <c r="O3574">
        <f>IF(G3574="Not available","",VLOOKUP(F3574,Sheet2!$B$1:$E$19,4,FALSE)+(G3574-1))</f>
        <v>3778896</v>
      </c>
    </row>
    <row r="3575" spans="1:15" s="1" customFormat="1" ht="15" customHeight="1" x14ac:dyDescent="0.25">
      <c r="A3575" s="18" t="s">
        <v>1086</v>
      </c>
      <c r="B3575" s="18" t="s">
        <v>233</v>
      </c>
      <c r="C3575" s="5" t="s">
        <v>1595</v>
      </c>
      <c r="D3575" s="1" t="s">
        <v>370</v>
      </c>
      <c r="E3575" s="1" t="s">
        <v>2</v>
      </c>
      <c r="F3575" s="18">
        <v>2165</v>
      </c>
      <c r="G3575" s="18">
        <v>53</v>
      </c>
      <c r="H3575" s="5">
        <v>50</v>
      </c>
      <c r="I3575" s="1">
        <v>91</v>
      </c>
      <c r="J3575" s="1" t="s">
        <v>3271</v>
      </c>
      <c r="L3575" t="str">
        <f t="shared" si="55"/>
        <v>http://www.badatelna.eu/reprodukce/?fondId=1073&amp;zaznamId=1108952&amp;reproId=3778914</v>
      </c>
      <c r="M3575">
        <f>VLOOKUP(F3575,Sheet2!$B$1:$E$19,2,FALSE)</f>
        <v>1073</v>
      </c>
      <c r="N3575">
        <f>VLOOKUP(F3575,Sheet2!$B$1:$E$19,3,FALSE)</f>
        <v>1108952</v>
      </c>
      <c r="O3575">
        <f>IF(G3575="Not available","",VLOOKUP(F3575,Sheet2!$B$1:$E$19,4,FALSE)+(G3575-1))</f>
        <v>3778914</v>
      </c>
    </row>
    <row r="3576" spans="1:15" s="1" customFormat="1" ht="15" customHeight="1" x14ac:dyDescent="0.25">
      <c r="A3576" s="18" t="s">
        <v>1086</v>
      </c>
      <c r="B3576" s="18" t="s">
        <v>432</v>
      </c>
      <c r="C3576" s="5" t="s">
        <v>1598</v>
      </c>
      <c r="D3576" s="1" t="s">
        <v>370</v>
      </c>
      <c r="E3576" s="1" t="s">
        <v>2</v>
      </c>
      <c r="F3576" s="18">
        <v>2165</v>
      </c>
      <c r="G3576" s="18">
        <v>63</v>
      </c>
      <c r="H3576" s="5">
        <v>60</v>
      </c>
      <c r="I3576" s="1">
        <v>91</v>
      </c>
      <c r="J3576" s="1" t="s">
        <v>3271</v>
      </c>
      <c r="L3576" t="str">
        <f t="shared" si="55"/>
        <v>http://www.badatelna.eu/reprodukce/?fondId=1073&amp;zaznamId=1108952&amp;reproId=3778924</v>
      </c>
      <c r="M3576">
        <f>VLOOKUP(F3576,Sheet2!$B$1:$E$19,2,FALSE)</f>
        <v>1073</v>
      </c>
      <c r="N3576">
        <f>VLOOKUP(F3576,Sheet2!$B$1:$E$19,3,FALSE)</f>
        <v>1108952</v>
      </c>
      <c r="O3576">
        <f>IF(G3576="Not available","",VLOOKUP(F3576,Sheet2!$B$1:$E$19,4,FALSE)+(G3576-1))</f>
        <v>3778924</v>
      </c>
    </row>
    <row r="3577" spans="1:15" s="1" customFormat="1" ht="15" customHeight="1" x14ac:dyDescent="0.25">
      <c r="A3577" s="18" t="s">
        <v>399</v>
      </c>
      <c r="B3577" s="18" t="s">
        <v>50</v>
      </c>
      <c r="C3577" s="5">
        <v>1834</v>
      </c>
      <c r="D3577" s="1" t="s">
        <v>40</v>
      </c>
      <c r="E3577" s="1" t="s">
        <v>2</v>
      </c>
      <c r="F3577" s="18">
        <v>2174</v>
      </c>
      <c r="G3577" s="18">
        <v>75</v>
      </c>
      <c r="H3577" s="6" t="s">
        <v>3141</v>
      </c>
      <c r="I3577" s="1">
        <v>199</v>
      </c>
      <c r="J3577" s="1">
        <v>234</v>
      </c>
      <c r="L3577" t="str">
        <f t="shared" si="55"/>
        <v>http://www.badatelna.eu/reprodukce/?fondId=1073&amp;zaznamId=1108960&amp;reproId=3780299</v>
      </c>
      <c r="M3577">
        <f>VLOOKUP(F3577,Sheet2!$B$1:$E$19,2,FALSE)</f>
        <v>1073</v>
      </c>
      <c r="N3577">
        <f>VLOOKUP(F3577,Sheet2!$B$1:$E$19,3,FALSE)</f>
        <v>1108960</v>
      </c>
      <c r="O3577">
        <f>IF(G3577="Not available","",VLOOKUP(F3577,Sheet2!$B$1:$E$19,4,FALSE)+(G3577-1))</f>
        <v>3780299</v>
      </c>
    </row>
    <row r="3578" spans="1:15" s="1" customFormat="1" ht="15" customHeight="1" x14ac:dyDescent="0.25">
      <c r="A3578" s="18" t="s">
        <v>399</v>
      </c>
      <c r="B3578" s="18" t="s">
        <v>746</v>
      </c>
      <c r="C3578" s="5">
        <v>1836</v>
      </c>
      <c r="D3578" s="1" t="s">
        <v>71</v>
      </c>
      <c r="E3578" s="1" t="s">
        <v>2</v>
      </c>
      <c r="F3578" s="18">
        <v>2174</v>
      </c>
      <c r="G3578" s="18">
        <v>88</v>
      </c>
      <c r="H3578" s="6" t="s">
        <v>3155</v>
      </c>
      <c r="I3578" s="1">
        <v>199</v>
      </c>
      <c r="J3578" s="1">
        <v>234</v>
      </c>
      <c r="L3578" t="str">
        <f t="shared" si="55"/>
        <v>http://www.badatelna.eu/reprodukce/?fondId=1073&amp;zaznamId=1108960&amp;reproId=3780312</v>
      </c>
      <c r="M3578">
        <f>VLOOKUP(F3578,Sheet2!$B$1:$E$19,2,FALSE)</f>
        <v>1073</v>
      </c>
      <c r="N3578">
        <f>VLOOKUP(F3578,Sheet2!$B$1:$E$19,3,FALSE)</f>
        <v>1108960</v>
      </c>
      <c r="O3578">
        <f>IF(G3578="Not available","",VLOOKUP(F3578,Sheet2!$B$1:$E$19,4,FALSE)+(G3578-1))</f>
        <v>3780312</v>
      </c>
    </row>
    <row r="3579" spans="1:15" s="1" customFormat="1" ht="15" customHeight="1" x14ac:dyDescent="0.25">
      <c r="A3579" s="18" t="s">
        <v>399</v>
      </c>
      <c r="B3579" s="18" t="s">
        <v>507</v>
      </c>
      <c r="C3579" s="5">
        <v>1845</v>
      </c>
      <c r="D3579" s="1" t="s">
        <v>71</v>
      </c>
      <c r="E3579" s="1" t="s">
        <v>2</v>
      </c>
      <c r="F3579" s="18">
        <v>2174</v>
      </c>
      <c r="G3579" s="18">
        <v>154</v>
      </c>
      <c r="H3579" s="14" t="s">
        <v>3220</v>
      </c>
      <c r="I3579" s="1">
        <v>199</v>
      </c>
      <c r="J3579" s="1">
        <v>234</v>
      </c>
      <c r="L3579" t="str">
        <f t="shared" si="55"/>
        <v>http://www.badatelna.eu/reprodukce/?fondId=1073&amp;zaznamId=1108960&amp;reproId=3780378</v>
      </c>
      <c r="M3579">
        <f>VLOOKUP(F3579,Sheet2!$B$1:$E$19,2,FALSE)</f>
        <v>1073</v>
      </c>
      <c r="N3579">
        <f>VLOOKUP(F3579,Sheet2!$B$1:$E$19,3,FALSE)</f>
        <v>1108960</v>
      </c>
      <c r="O3579">
        <f>IF(G3579="Not available","",VLOOKUP(F3579,Sheet2!$B$1:$E$19,4,FALSE)+(G3579-1))</f>
        <v>3780378</v>
      </c>
    </row>
    <row r="3580" spans="1:15" s="1" customFormat="1" ht="15" customHeight="1" x14ac:dyDescent="0.25">
      <c r="A3580" s="18" t="s">
        <v>399</v>
      </c>
      <c r="B3580" s="18" t="s">
        <v>477</v>
      </c>
      <c r="C3580" s="5">
        <v>1860</v>
      </c>
      <c r="E3580" s="1" t="s">
        <v>939</v>
      </c>
      <c r="F3580" s="18">
        <v>999</v>
      </c>
      <c r="G3580" s="18">
        <v>21</v>
      </c>
      <c r="H3580" s="5">
        <v>19</v>
      </c>
      <c r="I3580" s="1">
        <v>75</v>
      </c>
      <c r="J3580" s="1">
        <v>110</v>
      </c>
      <c r="L3580" t="str">
        <f t="shared" si="55"/>
        <v>http://www.badatelna.eu/reprodukce/?fondId=241&amp;zaznamId=1133739&amp;reproId=3885750</v>
      </c>
      <c r="M3580">
        <f>VLOOKUP(F3580,Sheet2!$B$1:$E$19,2,FALSE)</f>
        <v>241</v>
      </c>
      <c r="N3580">
        <f>VLOOKUP(F3580,Sheet2!$B$1:$E$19,3,FALSE)</f>
        <v>1133739</v>
      </c>
      <c r="O3580">
        <f>IF(G3580="Not available","",VLOOKUP(F3580,Sheet2!$B$1:$E$19,4,FALSE)+(G3580-1))</f>
        <v>3885750</v>
      </c>
    </row>
    <row r="3581" spans="1:15" s="1" customFormat="1" ht="15" customHeight="1" x14ac:dyDescent="0.25">
      <c r="A3581" s="18" t="s">
        <v>399</v>
      </c>
      <c r="B3581" s="18" t="s">
        <v>2096</v>
      </c>
      <c r="C3581" s="10" t="s">
        <v>1957</v>
      </c>
      <c r="D3581" s="3" t="s">
        <v>2395</v>
      </c>
      <c r="E3581" s="4" t="s">
        <v>2</v>
      </c>
      <c r="F3581" s="18">
        <v>2176</v>
      </c>
      <c r="G3581" s="18" t="s">
        <v>3271</v>
      </c>
      <c r="H3581" s="10" t="s">
        <v>2037</v>
      </c>
      <c r="I3581" s="3">
        <v>38</v>
      </c>
      <c r="J3581" s="3" t="s">
        <v>3271</v>
      </c>
      <c r="K3581" s="3"/>
      <c r="L3581" t="str">
        <f t="shared" si="55"/>
        <v/>
      </c>
      <c r="M3581">
        <f>VLOOKUP(F3581,Sheet2!$B$1:$E$19,2,FALSE)</f>
        <v>1073</v>
      </c>
      <c r="N3581">
        <f>VLOOKUP(F3581,Sheet2!$B$1:$E$19,3,FALSE)</f>
        <v>1108963</v>
      </c>
      <c r="O3581" t="str">
        <f>IF(G3581="Not available","",VLOOKUP(F3581,Sheet2!$B$1:$E$19,4,FALSE)+(G3581-1))</f>
        <v/>
      </c>
    </row>
    <row r="3582" spans="1:15" s="1" customFormat="1" ht="15" customHeight="1" x14ac:dyDescent="0.25">
      <c r="A3582" s="19" t="s">
        <v>399</v>
      </c>
      <c r="B3582" s="18" t="s">
        <v>162</v>
      </c>
      <c r="C3582" s="5">
        <v>1820</v>
      </c>
      <c r="E3582" s="1" t="s">
        <v>2</v>
      </c>
      <c r="F3582" s="18">
        <v>2173</v>
      </c>
      <c r="G3582" s="18">
        <v>70</v>
      </c>
      <c r="H3582" s="5">
        <v>133</v>
      </c>
      <c r="I3582" s="1">
        <v>114</v>
      </c>
      <c r="J3582" s="1">
        <v>248</v>
      </c>
      <c r="L3582" t="str">
        <f t="shared" si="55"/>
        <v>http://www.badatelna.eu/reprodukce/?fondId=1073&amp;zaznamId=1108959&amp;reproId=3780063</v>
      </c>
      <c r="M3582">
        <f>VLOOKUP(F3582,Sheet2!$B$1:$E$19,2,FALSE)</f>
        <v>1073</v>
      </c>
      <c r="N3582">
        <f>VLOOKUP(F3582,Sheet2!$B$1:$E$19,3,FALSE)</f>
        <v>1108959</v>
      </c>
      <c r="O3582">
        <f>IF(G3582="Not available","",VLOOKUP(F3582,Sheet2!$B$1:$E$19,4,FALSE)+(G3582-1))</f>
        <v>3780063</v>
      </c>
    </row>
    <row r="3583" spans="1:15" s="1" customFormat="1" ht="15" customHeight="1" x14ac:dyDescent="0.25">
      <c r="A3583" s="18" t="s">
        <v>399</v>
      </c>
      <c r="B3583" s="18" t="s">
        <v>897</v>
      </c>
      <c r="C3583" s="14" t="s">
        <v>2098</v>
      </c>
      <c r="D3583" s="4" t="s">
        <v>219</v>
      </c>
      <c r="E3583" s="1" t="s">
        <v>2</v>
      </c>
      <c r="F3583" s="18">
        <v>2165</v>
      </c>
      <c r="G3583" s="18">
        <v>303</v>
      </c>
      <c r="H3583" s="5">
        <v>2</v>
      </c>
      <c r="I3583" s="1">
        <v>305</v>
      </c>
      <c r="J3583" s="1">
        <v>278</v>
      </c>
      <c r="L3583" t="str">
        <f t="shared" si="55"/>
        <v>http://www.badatelna.eu/reprodukce/?fondId=1073&amp;zaznamId=1108952&amp;reproId=3779164</v>
      </c>
      <c r="M3583">
        <f>VLOOKUP(F3583,Sheet2!$B$1:$E$19,2,FALSE)</f>
        <v>1073</v>
      </c>
      <c r="N3583">
        <f>VLOOKUP(F3583,Sheet2!$B$1:$E$19,3,FALSE)</f>
        <v>1108952</v>
      </c>
      <c r="O3583">
        <f>IF(G3583="Not available","",VLOOKUP(F3583,Sheet2!$B$1:$E$19,4,FALSE)+(G3583-1))</f>
        <v>3779164</v>
      </c>
    </row>
    <row r="3584" spans="1:15" s="1" customFormat="1" ht="15" customHeight="1" x14ac:dyDescent="0.25">
      <c r="A3584" s="18" t="s">
        <v>399</v>
      </c>
      <c r="B3584" s="18" t="s">
        <v>2189</v>
      </c>
      <c r="C3584" s="10" t="s">
        <v>2098</v>
      </c>
      <c r="D3584" s="3" t="s">
        <v>2395</v>
      </c>
      <c r="E3584" s="4" t="s">
        <v>2</v>
      </c>
      <c r="F3584" s="18">
        <v>2176</v>
      </c>
      <c r="G3584" s="18" t="s">
        <v>3271</v>
      </c>
      <c r="H3584" s="10" t="s">
        <v>1976</v>
      </c>
      <c r="I3584" s="3">
        <v>38</v>
      </c>
      <c r="J3584" s="3" t="s">
        <v>3271</v>
      </c>
      <c r="K3584" s="3"/>
      <c r="L3584" t="str">
        <f t="shared" si="55"/>
        <v/>
      </c>
      <c r="M3584">
        <f>VLOOKUP(F3584,Sheet2!$B$1:$E$19,2,FALSE)</f>
        <v>1073</v>
      </c>
      <c r="N3584">
        <f>VLOOKUP(F3584,Sheet2!$B$1:$E$19,3,FALSE)</f>
        <v>1108963</v>
      </c>
      <c r="O3584" t="str">
        <f>IF(G3584="Not available","",VLOOKUP(F3584,Sheet2!$B$1:$E$19,4,FALSE)+(G3584-1))</f>
        <v/>
      </c>
    </row>
    <row r="3585" spans="1:15" s="1" customFormat="1" ht="15" customHeight="1" x14ac:dyDescent="0.25">
      <c r="A3585" s="18" t="s">
        <v>399</v>
      </c>
      <c r="B3585" s="18" t="s">
        <v>897</v>
      </c>
      <c r="C3585" s="5" t="s">
        <v>1583</v>
      </c>
      <c r="D3585" s="1" t="s">
        <v>12</v>
      </c>
      <c r="E3585" s="1" t="s">
        <v>2</v>
      </c>
      <c r="F3585" s="18">
        <v>2165</v>
      </c>
      <c r="G3585" s="18">
        <v>18</v>
      </c>
      <c r="H3585" s="5">
        <v>15</v>
      </c>
      <c r="I3585" s="1">
        <v>91</v>
      </c>
      <c r="J3585" s="1" t="s">
        <v>3271</v>
      </c>
      <c r="L3585" t="str">
        <f t="shared" si="55"/>
        <v>http://www.badatelna.eu/reprodukce/?fondId=1073&amp;zaznamId=1108952&amp;reproId=3778879</v>
      </c>
      <c r="M3585">
        <f>VLOOKUP(F3585,Sheet2!$B$1:$E$19,2,FALSE)</f>
        <v>1073</v>
      </c>
      <c r="N3585">
        <f>VLOOKUP(F3585,Sheet2!$B$1:$E$19,3,FALSE)</f>
        <v>1108952</v>
      </c>
      <c r="O3585">
        <f>IF(G3585="Not available","",VLOOKUP(F3585,Sheet2!$B$1:$E$19,4,FALSE)+(G3585-1))</f>
        <v>3778879</v>
      </c>
    </row>
    <row r="3586" spans="1:15" s="1" customFormat="1" ht="15" customHeight="1" x14ac:dyDescent="0.25">
      <c r="A3586" s="18" t="s">
        <v>399</v>
      </c>
      <c r="B3586" s="18" t="s">
        <v>293</v>
      </c>
      <c r="C3586" s="5">
        <v>1826</v>
      </c>
      <c r="E3586" s="1" t="s">
        <v>2</v>
      </c>
      <c r="F3586" s="18">
        <v>2173</v>
      </c>
      <c r="G3586" s="18">
        <v>78</v>
      </c>
      <c r="H3586" s="5">
        <v>148</v>
      </c>
      <c r="I3586" s="1">
        <v>114</v>
      </c>
      <c r="J3586" s="1">
        <v>248</v>
      </c>
      <c r="L3586" t="str">
        <f t="shared" si="55"/>
        <v>http://www.badatelna.eu/reprodukce/?fondId=1073&amp;zaznamId=1108959&amp;reproId=3780071</v>
      </c>
      <c r="M3586">
        <f>VLOOKUP(F3586,Sheet2!$B$1:$E$19,2,FALSE)</f>
        <v>1073</v>
      </c>
      <c r="N3586">
        <f>VLOOKUP(F3586,Sheet2!$B$1:$E$19,3,FALSE)</f>
        <v>1108959</v>
      </c>
      <c r="O3586">
        <f>IF(G3586="Not available","",VLOOKUP(F3586,Sheet2!$B$1:$E$19,4,FALSE)+(G3586-1))</f>
        <v>3780071</v>
      </c>
    </row>
    <row r="3587" spans="1:15" s="1" customFormat="1" ht="15" customHeight="1" x14ac:dyDescent="0.25">
      <c r="A3587" s="18" t="s">
        <v>399</v>
      </c>
      <c r="B3587" s="18" t="s">
        <v>400</v>
      </c>
      <c r="C3587" s="5">
        <v>1784</v>
      </c>
      <c r="E3587" s="1" t="s">
        <v>2</v>
      </c>
      <c r="F3587" s="18">
        <v>2173</v>
      </c>
      <c r="G3587" s="18">
        <v>3</v>
      </c>
      <c r="H3587" s="5">
        <v>1</v>
      </c>
      <c r="I3587" s="1">
        <v>113</v>
      </c>
      <c r="J3587" s="1">
        <v>247</v>
      </c>
      <c r="L3587" t="str">
        <f t="shared" ref="L3587:L3650" si="56">IF(G3587="Not available","","http://www.badatelna.eu/reprodukce/?fondId="&amp;M3587&amp;"&amp;zaznamId="&amp;N3587&amp;"&amp;reproId="&amp;O3587)</f>
        <v>http://www.badatelna.eu/reprodukce/?fondId=1073&amp;zaznamId=1108959&amp;reproId=3779996</v>
      </c>
      <c r="M3587">
        <f>VLOOKUP(F3587,Sheet2!$B$1:$E$19,2,FALSE)</f>
        <v>1073</v>
      </c>
      <c r="N3587">
        <f>VLOOKUP(F3587,Sheet2!$B$1:$E$19,3,FALSE)</f>
        <v>1108959</v>
      </c>
      <c r="O3587">
        <f>IF(G3587="Not available","",VLOOKUP(F3587,Sheet2!$B$1:$E$19,4,FALSE)+(G3587-1))</f>
        <v>3779996</v>
      </c>
    </row>
    <row r="3588" spans="1:15" s="1" customFormat="1" ht="15" customHeight="1" x14ac:dyDescent="0.25">
      <c r="A3588" s="18" t="s">
        <v>399</v>
      </c>
      <c r="B3588" s="18" t="s">
        <v>122</v>
      </c>
      <c r="C3588" s="5">
        <v>1812</v>
      </c>
      <c r="E3588" s="1" t="s">
        <v>2</v>
      </c>
      <c r="F3588" s="18">
        <v>2173</v>
      </c>
      <c r="G3588" s="18">
        <v>58</v>
      </c>
      <c r="H3588" s="5">
        <v>111</v>
      </c>
      <c r="I3588" s="1">
        <v>113</v>
      </c>
      <c r="J3588" s="1">
        <v>247</v>
      </c>
      <c r="L3588" t="str">
        <f t="shared" si="56"/>
        <v>http://www.badatelna.eu/reprodukce/?fondId=1073&amp;zaznamId=1108959&amp;reproId=3780051</v>
      </c>
      <c r="M3588">
        <f>VLOOKUP(F3588,Sheet2!$B$1:$E$19,2,FALSE)</f>
        <v>1073</v>
      </c>
      <c r="N3588">
        <f>VLOOKUP(F3588,Sheet2!$B$1:$E$19,3,FALSE)</f>
        <v>1108959</v>
      </c>
      <c r="O3588">
        <f>IF(G3588="Not available","",VLOOKUP(F3588,Sheet2!$B$1:$E$19,4,FALSE)+(G3588-1))</f>
        <v>3780051</v>
      </c>
    </row>
    <row r="3589" spans="1:15" s="1" customFormat="1" ht="15" customHeight="1" x14ac:dyDescent="0.25">
      <c r="A3589" s="18" t="s">
        <v>399</v>
      </c>
      <c r="B3589" s="18" t="s">
        <v>123</v>
      </c>
      <c r="C3589" s="5">
        <v>1827</v>
      </c>
      <c r="E3589" s="1" t="s">
        <v>2</v>
      </c>
      <c r="F3589" s="18">
        <v>2173</v>
      </c>
      <c r="G3589" s="18">
        <v>82</v>
      </c>
      <c r="H3589" s="5">
        <v>157</v>
      </c>
      <c r="I3589" s="1">
        <v>114</v>
      </c>
      <c r="J3589" s="1">
        <v>248</v>
      </c>
      <c r="L3589" t="str">
        <f t="shared" si="56"/>
        <v>http://www.badatelna.eu/reprodukce/?fondId=1073&amp;zaznamId=1108959&amp;reproId=3780075</v>
      </c>
      <c r="M3589">
        <f>VLOOKUP(F3589,Sheet2!$B$1:$E$19,2,FALSE)</f>
        <v>1073</v>
      </c>
      <c r="N3589">
        <f>VLOOKUP(F3589,Sheet2!$B$1:$E$19,3,FALSE)</f>
        <v>1108959</v>
      </c>
      <c r="O3589">
        <f>IF(G3589="Not available","",VLOOKUP(F3589,Sheet2!$B$1:$E$19,4,FALSE)+(G3589-1))</f>
        <v>3780075</v>
      </c>
    </row>
    <row r="3590" spans="1:15" s="1" customFormat="1" ht="15" customHeight="1" x14ac:dyDescent="0.25">
      <c r="A3590" s="18" t="s">
        <v>399</v>
      </c>
      <c r="B3590" s="18" t="s">
        <v>1209</v>
      </c>
      <c r="C3590" s="5" t="s">
        <v>1934</v>
      </c>
      <c r="D3590" s="1" t="s">
        <v>219</v>
      </c>
      <c r="E3590" s="1" t="s">
        <v>2</v>
      </c>
      <c r="F3590" s="18">
        <v>2165</v>
      </c>
      <c r="G3590" s="18">
        <v>282</v>
      </c>
      <c r="H3590" s="5">
        <v>2</v>
      </c>
      <c r="I3590" s="1">
        <v>284</v>
      </c>
      <c r="J3590" s="1">
        <v>258</v>
      </c>
      <c r="L3590" t="str">
        <f t="shared" si="56"/>
        <v>http://www.badatelna.eu/reprodukce/?fondId=1073&amp;zaznamId=1108952&amp;reproId=3779143</v>
      </c>
      <c r="M3590">
        <f>VLOOKUP(F3590,Sheet2!$B$1:$E$19,2,FALSE)</f>
        <v>1073</v>
      </c>
      <c r="N3590">
        <f>VLOOKUP(F3590,Sheet2!$B$1:$E$19,3,FALSE)</f>
        <v>1108952</v>
      </c>
      <c r="O3590">
        <f>IF(G3590="Not available","",VLOOKUP(F3590,Sheet2!$B$1:$E$19,4,FALSE)+(G3590-1))</f>
        <v>3779143</v>
      </c>
    </row>
    <row r="3591" spans="1:15" s="1" customFormat="1" ht="15" customHeight="1" x14ac:dyDescent="0.25">
      <c r="A3591" s="18" t="s">
        <v>399</v>
      </c>
      <c r="B3591" s="19" t="s">
        <v>917</v>
      </c>
      <c r="C3591" s="5">
        <v>1862</v>
      </c>
      <c r="E3591" s="1" t="s">
        <v>939</v>
      </c>
      <c r="F3591" s="18">
        <v>999</v>
      </c>
      <c r="G3591" s="18">
        <v>35</v>
      </c>
      <c r="H3591" s="5">
        <v>33</v>
      </c>
      <c r="I3591" s="1">
        <v>75</v>
      </c>
      <c r="J3591" s="1">
        <v>110</v>
      </c>
      <c r="L3591" t="str">
        <f t="shared" si="56"/>
        <v>http://www.badatelna.eu/reprodukce/?fondId=241&amp;zaznamId=1133739&amp;reproId=3885764</v>
      </c>
      <c r="M3591">
        <f>VLOOKUP(F3591,Sheet2!$B$1:$E$19,2,FALSE)</f>
        <v>241</v>
      </c>
      <c r="N3591">
        <f>VLOOKUP(F3591,Sheet2!$B$1:$E$19,3,FALSE)</f>
        <v>1133739</v>
      </c>
      <c r="O3591">
        <f>IF(G3591="Not available","",VLOOKUP(F3591,Sheet2!$B$1:$E$19,4,FALSE)+(G3591-1))</f>
        <v>3885764</v>
      </c>
    </row>
    <row r="3592" spans="1:15" s="1" customFormat="1" ht="15" customHeight="1" x14ac:dyDescent="0.25">
      <c r="A3592" s="18" t="s">
        <v>399</v>
      </c>
      <c r="B3592" s="18" t="s">
        <v>219</v>
      </c>
      <c r="C3592" s="5" t="s">
        <v>1591</v>
      </c>
      <c r="D3592" s="1" t="s">
        <v>12</v>
      </c>
      <c r="E3592" s="1" t="s">
        <v>2</v>
      </c>
      <c r="F3592" s="18">
        <v>2165</v>
      </c>
      <c r="G3592" s="18">
        <v>37</v>
      </c>
      <c r="H3592" s="5">
        <v>34</v>
      </c>
      <c r="I3592" s="1">
        <v>91</v>
      </c>
      <c r="J3592" s="1" t="s">
        <v>3271</v>
      </c>
      <c r="L3592" t="str">
        <f t="shared" si="56"/>
        <v>http://www.badatelna.eu/reprodukce/?fondId=1073&amp;zaznamId=1108952&amp;reproId=3778898</v>
      </c>
      <c r="M3592">
        <f>VLOOKUP(F3592,Sheet2!$B$1:$E$19,2,FALSE)</f>
        <v>1073</v>
      </c>
      <c r="N3592">
        <f>VLOOKUP(F3592,Sheet2!$B$1:$E$19,3,FALSE)</f>
        <v>1108952</v>
      </c>
      <c r="O3592">
        <f>IF(G3592="Not available","",VLOOKUP(F3592,Sheet2!$B$1:$E$19,4,FALSE)+(G3592-1))</f>
        <v>3778898</v>
      </c>
    </row>
    <row r="3593" spans="1:15" s="1" customFormat="1" ht="15" customHeight="1" x14ac:dyDescent="0.25">
      <c r="A3593" s="18" t="s">
        <v>399</v>
      </c>
      <c r="B3593" s="18" t="s">
        <v>495</v>
      </c>
      <c r="C3593" s="5">
        <v>1861</v>
      </c>
      <c r="E3593" s="1" t="s">
        <v>939</v>
      </c>
      <c r="F3593" s="18">
        <v>999</v>
      </c>
      <c r="G3593" s="18">
        <v>28</v>
      </c>
      <c r="H3593" s="5">
        <v>26</v>
      </c>
      <c r="I3593" s="1">
        <v>75</v>
      </c>
      <c r="J3593" s="1">
        <v>110</v>
      </c>
      <c r="L3593" t="str">
        <f t="shared" si="56"/>
        <v>http://www.badatelna.eu/reprodukce/?fondId=241&amp;zaznamId=1133739&amp;reproId=3885757</v>
      </c>
      <c r="M3593">
        <f>VLOOKUP(F3593,Sheet2!$B$1:$E$19,2,FALSE)</f>
        <v>241</v>
      </c>
      <c r="N3593">
        <f>VLOOKUP(F3593,Sheet2!$B$1:$E$19,3,FALSE)</f>
        <v>1133739</v>
      </c>
      <c r="O3593">
        <f>IF(G3593="Not available","",VLOOKUP(F3593,Sheet2!$B$1:$E$19,4,FALSE)+(G3593-1))</f>
        <v>3885757</v>
      </c>
    </row>
    <row r="3594" spans="1:15" s="1" customFormat="1" ht="15" customHeight="1" x14ac:dyDescent="0.25">
      <c r="A3594" s="18" t="s">
        <v>399</v>
      </c>
      <c r="B3594" s="18" t="s">
        <v>1208</v>
      </c>
      <c r="C3594" s="10" t="s">
        <v>2102</v>
      </c>
      <c r="D3594" s="3" t="s">
        <v>2641</v>
      </c>
      <c r="E3594" s="4" t="s">
        <v>2</v>
      </c>
      <c r="F3594" s="18">
        <v>2176</v>
      </c>
      <c r="G3594" s="18" t="s">
        <v>3271</v>
      </c>
      <c r="H3594" s="10" t="s">
        <v>1955</v>
      </c>
      <c r="I3594" s="3">
        <v>38</v>
      </c>
      <c r="J3594" s="3" t="s">
        <v>3271</v>
      </c>
      <c r="K3594" s="3"/>
      <c r="L3594" t="str">
        <f t="shared" si="56"/>
        <v/>
      </c>
      <c r="M3594">
        <f>VLOOKUP(F3594,Sheet2!$B$1:$E$19,2,FALSE)</f>
        <v>1073</v>
      </c>
      <c r="N3594">
        <f>VLOOKUP(F3594,Sheet2!$B$1:$E$19,3,FALSE)</f>
        <v>1108963</v>
      </c>
      <c r="O3594" t="str">
        <f>IF(G3594="Not available","",VLOOKUP(F3594,Sheet2!$B$1:$E$19,4,FALSE)+(G3594-1))</f>
        <v/>
      </c>
    </row>
    <row r="3595" spans="1:15" s="1" customFormat="1" ht="15" customHeight="1" x14ac:dyDescent="0.25">
      <c r="A3595" s="18" t="s">
        <v>399</v>
      </c>
      <c r="B3595" s="18" t="s">
        <v>1152</v>
      </c>
      <c r="C3595" s="14" t="s">
        <v>2244</v>
      </c>
      <c r="D3595" s="4" t="s">
        <v>219</v>
      </c>
      <c r="E3595" s="1" t="s">
        <v>2</v>
      </c>
      <c r="F3595" s="18">
        <v>2165</v>
      </c>
      <c r="G3595" s="18">
        <v>297</v>
      </c>
      <c r="H3595" s="5">
        <v>1</v>
      </c>
      <c r="I3595" s="1">
        <v>300</v>
      </c>
      <c r="J3595" s="1">
        <v>273</v>
      </c>
      <c r="L3595" t="str">
        <f t="shared" si="56"/>
        <v>http://www.badatelna.eu/reprodukce/?fondId=1073&amp;zaznamId=1108952&amp;reproId=3779158</v>
      </c>
      <c r="M3595">
        <f>VLOOKUP(F3595,Sheet2!$B$1:$E$19,2,FALSE)</f>
        <v>1073</v>
      </c>
      <c r="N3595">
        <f>VLOOKUP(F3595,Sheet2!$B$1:$E$19,3,FALSE)</f>
        <v>1108952</v>
      </c>
      <c r="O3595">
        <f>IF(G3595="Not available","",VLOOKUP(F3595,Sheet2!$B$1:$E$19,4,FALSE)+(G3595-1))</f>
        <v>3779158</v>
      </c>
    </row>
    <row r="3596" spans="1:15" s="1" customFormat="1" ht="15" customHeight="1" x14ac:dyDescent="0.25">
      <c r="A3596" s="18" t="s">
        <v>399</v>
      </c>
      <c r="B3596" s="18" t="s">
        <v>1152</v>
      </c>
      <c r="C3596" s="10" t="s">
        <v>2244</v>
      </c>
      <c r="D3596" s="3" t="s">
        <v>2395</v>
      </c>
      <c r="E3596" s="4" t="s">
        <v>2</v>
      </c>
      <c r="F3596" s="18">
        <v>2176</v>
      </c>
      <c r="G3596" s="18" t="s">
        <v>3271</v>
      </c>
      <c r="H3596" s="10" t="s">
        <v>2088</v>
      </c>
      <c r="I3596" s="3">
        <v>38</v>
      </c>
      <c r="J3596" s="3" t="s">
        <v>3271</v>
      </c>
      <c r="K3596" s="3"/>
      <c r="L3596" t="str">
        <f t="shared" si="56"/>
        <v/>
      </c>
      <c r="M3596">
        <f>VLOOKUP(F3596,Sheet2!$B$1:$E$19,2,FALSE)</f>
        <v>1073</v>
      </c>
      <c r="N3596">
        <f>VLOOKUP(F3596,Sheet2!$B$1:$E$19,3,FALSE)</f>
        <v>1108963</v>
      </c>
      <c r="O3596" t="str">
        <f>IF(G3596="Not available","",VLOOKUP(F3596,Sheet2!$B$1:$E$19,4,FALSE)+(G3596-1))</f>
        <v/>
      </c>
    </row>
    <row r="3597" spans="1:15" s="1" customFormat="1" ht="15" customHeight="1" x14ac:dyDescent="0.25">
      <c r="A3597" s="18" t="s">
        <v>399</v>
      </c>
      <c r="B3597" s="18" t="s">
        <v>12</v>
      </c>
      <c r="C3597" s="5">
        <v>1824</v>
      </c>
      <c r="E3597" s="1" t="s">
        <v>2</v>
      </c>
      <c r="F3597" s="18">
        <v>2173</v>
      </c>
      <c r="G3597" s="18">
        <v>75</v>
      </c>
      <c r="H3597" s="5">
        <v>143</v>
      </c>
      <c r="I3597" s="1">
        <v>114</v>
      </c>
      <c r="J3597" s="1">
        <v>248</v>
      </c>
      <c r="L3597" t="str">
        <f t="shared" si="56"/>
        <v>http://www.badatelna.eu/reprodukce/?fondId=1073&amp;zaznamId=1108959&amp;reproId=3780068</v>
      </c>
      <c r="M3597">
        <f>VLOOKUP(F3597,Sheet2!$B$1:$E$19,2,FALSE)</f>
        <v>1073</v>
      </c>
      <c r="N3597">
        <f>VLOOKUP(F3597,Sheet2!$B$1:$E$19,3,FALSE)</f>
        <v>1108959</v>
      </c>
      <c r="O3597">
        <f>IF(G3597="Not available","",VLOOKUP(F3597,Sheet2!$B$1:$E$19,4,FALSE)+(G3597-1))</f>
        <v>3780068</v>
      </c>
    </row>
    <row r="3598" spans="1:15" s="1" customFormat="1" ht="15" customHeight="1" x14ac:dyDescent="0.25">
      <c r="A3598" s="18" t="s">
        <v>399</v>
      </c>
      <c r="B3598" s="18" t="s">
        <v>12</v>
      </c>
      <c r="C3598" s="5">
        <v>1848</v>
      </c>
      <c r="D3598" s="1" t="s">
        <v>71</v>
      </c>
      <c r="E3598" s="1" t="s">
        <v>2</v>
      </c>
      <c r="F3598" s="18">
        <v>2164</v>
      </c>
      <c r="G3598" s="18">
        <v>24</v>
      </c>
      <c r="H3598" s="5">
        <v>22</v>
      </c>
      <c r="I3598" s="1">
        <v>138</v>
      </c>
      <c r="J3598" s="3" t="s">
        <v>3271</v>
      </c>
      <c r="L3598" t="str">
        <f t="shared" si="56"/>
        <v>http://www.badatelna.eu/reprodukce/?fondId=1073&amp;zaznamId=1108951&amp;reproId=3778738</v>
      </c>
      <c r="M3598">
        <f>VLOOKUP(F3598,Sheet2!$B$1:$E$19,2,FALSE)</f>
        <v>1073</v>
      </c>
      <c r="N3598">
        <f>VLOOKUP(F3598,Sheet2!$B$1:$E$19,3,FALSE)</f>
        <v>1108951</v>
      </c>
      <c r="O3598">
        <f>IF(G3598="Not available","",VLOOKUP(F3598,Sheet2!$B$1:$E$19,4,FALSE)+(G3598-1))</f>
        <v>3778738</v>
      </c>
    </row>
    <row r="3599" spans="1:15" s="1" customFormat="1" ht="15" customHeight="1" x14ac:dyDescent="0.25">
      <c r="A3599" s="18" t="s">
        <v>399</v>
      </c>
      <c r="B3599" s="18" t="s">
        <v>120</v>
      </c>
      <c r="C3599" s="5">
        <v>1797</v>
      </c>
      <c r="D3599" s="1" t="s">
        <v>8</v>
      </c>
      <c r="E3599" s="1" t="s">
        <v>2</v>
      </c>
      <c r="F3599" s="18">
        <v>2173</v>
      </c>
      <c r="G3599" s="18">
        <v>37</v>
      </c>
      <c r="H3599" s="5">
        <v>66</v>
      </c>
      <c r="I3599" s="1">
        <v>113</v>
      </c>
      <c r="J3599" s="1">
        <v>247</v>
      </c>
      <c r="L3599" t="str">
        <f t="shared" si="56"/>
        <v>http://www.badatelna.eu/reprodukce/?fondId=1073&amp;zaznamId=1108959&amp;reproId=3780030</v>
      </c>
      <c r="M3599">
        <f>VLOOKUP(F3599,Sheet2!$B$1:$E$19,2,FALSE)</f>
        <v>1073</v>
      </c>
      <c r="N3599">
        <f>VLOOKUP(F3599,Sheet2!$B$1:$E$19,3,FALSE)</f>
        <v>1108959</v>
      </c>
      <c r="O3599">
        <f>IF(G3599="Not available","",VLOOKUP(F3599,Sheet2!$B$1:$E$19,4,FALSE)+(G3599-1))</f>
        <v>3780030</v>
      </c>
    </row>
    <row r="3600" spans="1:15" s="1" customFormat="1" ht="15" customHeight="1" x14ac:dyDescent="0.25">
      <c r="A3600" s="18" t="s">
        <v>399</v>
      </c>
      <c r="B3600" s="18" t="s">
        <v>197</v>
      </c>
      <c r="C3600" s="5">
        <v>1863</v>
      </c>
      <c r="E3600" s="1" t="s">
        <v>939</v>
      </c>
      <c r="F3600" s="18">
        <v>999</v>
      </c>
      <c r="G3600" s="18">
        <v>45</v>
      </c>
      <c r="H3600" s="5">
        <v>43</v>
      </c>
      <c r="I3600" s="1">
        <v>75</v>
      </c>
      <c r="J3600" s="1">
        <v>110</v>
      </c>
      <c r="L3600" t="str">
        <f t="shared" si="56"/>
        <v>http://www.badatelna.eu/reprodukce/?fondId=241&amp;zaznamId=1133739&amp;reproId=3885774</v>
      </c>
      <c r="M3600">
        <f>VLOOKUP(F3600,Sheet2!$B$1:$E$19,2,FALSE)</f>
        <v>241</v>
      </c>
      <c r="N3600">
        <f>VLOOKUP(F3600,Sheet2!$B$1:$E$19,3,FALSE)</f>
        <v>1133739</v>
      </c>
      <c r="O3600">
        <f>IF(G3600="Not available","",VLOOKUP(F3600,Sheet2!$B$1:$E$19,4,FALSE)+(G3600-1))</f>
        <v>3885774</v>
      </c>
    </row>
    <row r="3601" spans="1:15" s="1" customFormat="1" ht="15" customHeight="1" x14ac:dyDescent="0.25">
      <c r="A3601" s="18" t="s">
        <v>399</v>
      </c>
      <c r="B3601" s="18" t="s">
        <v>137</v>
      </c>
      <c r="C3601" s="5">
        <v>1843</v>
      </c>
      <c r="D3601" s="1" t="s">
        <v>71</v>
      </c>
      <c r="E3601" s="1" t="s">
        <v>2</v>
      </c>
      <c r="F3601" s="18">
        <v>2174</v>
      </c>
      <c r="G3601" s="18">
        <v>131</v>
      </c>
      <c r="H3601" s="6" t="s">
        <v>3193</v>
      </c>
      <c r="I3601" s="1">
        <v>199</v>
      </c>
      <c r="J3601" s="1">
        <v>234</v>
      </c>
      <c r="L3601" t="str">
        <f t="shared" si="56"/>
        <v>http://www.badatelna.eu/reprodukce/?fondId=1073&amp;zaznamId=1108960&amp;reproId=3780355</v>
      </c>
      <c r="M3601">
        <f>VLOOKUP(F3601,Sheet2!$B$1:$E$19,2,FALSE)</f>
        <v>1073</v>
      </c>
      <c r="N3601">
        <f>VLOOKUP(F3601,Sheet2!$B$1:$E$19,3,FALSE)</f>
        <v>1108960</v>
      </c>
      <c r="O3601">
        <f>IF(G3601="Not available","",VLOOKUP(F3601,Sheet2!$B$1:$E$19,4,FALSE)+(G3601-1))</f>
        <v>3780355</v>
      </c>
    </row>
    <row r="3602" spans="1:15" s="1" customFormat="1" ht="15" customHeight="1" x14ac:dyDescent="0.25">
      <c r="A3602" s="18" t="s">
        <v>399</v>
      </c>
      <c r="B3602" s="18" t="s">
        <v>863</v>
      </c>
      <c r="C3602" s="5">
        <v>1865</v>
      </c>
      <c r="E3602" s="1" t="s">
        <v>939</v>
      </c>
      <c r="F3602" s="18">
        <v>999</v>
      </c>
      <c r="G3602" s="18">
        <v>56</v>
      </c>
      <c r="H3602" s="5">
        <v>54</v>
      </c>
      <c r="I3602" s="1">
        <v>75</v>
      </c>
      <c r="J3602" s="1">
        <v>110</v>
      </c>
      <c r="L3602" t="str">
        <f t="shared" si="56"/>
        <v>http://www.badatelna.eu/reprodukce/?fondId=241&amp;zaznamId=1133739&amp;reproId=3885785</v>
      </c>
      <c r="M3602">
        <f>VLOOKUP(F3602,Sheet2!$B$1:$E$19,2,FALSE)</f>
        <v>241</v>
      </c>
      <c r="N3602">
        <f>VLOOKUP(F3602,Sheet2!$B$1:$E$19,3,FALSE)</f>
        <v>1133739</v>
      </c>
      <c r="O3602">
        <f>IF(G3602="Not available","",VLOOKUP(F3602,Sheet2!$B$1:$E$19,4,FALSE)+(G3602-1))</f>
        <v>3885785</v>
      </c>
    </row>
    <row r="3603" spans="1:15" s="1" customFormat="1" ht="15" customHeight="1" x14ac:dyDescent="0.25">
      <c r="A3603" s="18" t="s">
        <v>399</v>
      </c>
      <c r="B3603" s="18" t="s">
        <v>863</v>
      </c>
      <c r="C3603" s="5" t="s">
        <v>1580</v>
      </c>
      <c r="D3603" s="1" t="s">
        <v>478</v>
      </c>
      <c r="E3603" s="1" t="s">
        <v>2</v>
      </c>
      <c r="F3603" s="18">
        <v>2165</v>
      </c>
      <c r="G3603" s="18">
        <v>9</v>
      </c>
      <c r="H3603" s="5">
        <v>6</v>
      </c>
      <c r="I3603" s="1">
        <v>91</v>
      </c>
      <c r="J3603" s="1" t="s">
        <v>3271</v>
      </c>
      <c r="L3603" t="str">
        <f t="shared" si="56"/>
        <v>http://www.badatelna.eu/reprodukce/?fondId=1073&amp;zaznamId=1108952&amp;reproId=3778870</v>
      </c>
      <c r="M3603">
        <f>VLOOKUP(F3603,Sheet2!$B$1:$E$19,2,FALSE)</f>
        <v>1073</v>
      </c>
      <c r="N3603">
        <f>VLOOKUP(F3603,Sheet2!$B$1:$E$19,3,FALSE)</f>
        <v>1108952</v>
      </c>
      <c r="O3603">
        <f>IF(G3603="Not available","",VLOOKUP(F3603,Sheet2!$B$1:$E$19,4,FALSE)+(G3603-1))</f>
        <v>3778870</v>
      </c>
    </row>
    <row r="3604" spans="1:15" s="1" customFormat="1" ht="15" customHeight="1" x14ac:dyDescent="0.25">
      <c r="A3604" s="18" t="s">
        <v>399</v>
      </c>
      <c r="B3604" s="18" t="s">
        <v>602</v>
      </c>
      <c r="C3604" s="5">
        <v>1864</v>
      </c>
      <c r="E3604" s="1" t="s">
        <v>939</v>
      </c>
      <c r="F3604" s="18">
        <v>999</v>
      </c>
      <c r="G3604" s="18">
        <v>47</v>
      </c>
      <c r="H3604" s="5">
        <v>45</v>
      </c>
      <c r="I3604" s="1">
        <v>75</v>
      </c>
      <c r="J3604" s="1">
        <v>110</v>
      </c>
      <c r="L3604" t="str">
        <f t="shared" si="56"/>
        <v>http://www.badatelna.eu/reprodukce/?fondId=241&amp;zaznamId=1133739&amp;reproId=3885776</v>
      </c>
      <c r="M3604">
        <f>VLOOKUP(F3604,Sheet2!$B$1:$E$19,2,FALSE)</f>
        <v>241</v>
      </c>
      <c r="N3604">
        <f>VLOOKUP(F3604,Sheet2!$B$1:$E$19,3,FALSE)</f>
        <v>1133739</v>
      </c>
      <c r="O3604">
        <f>IF(G3604="Not available","",VLOOKUP(F3604,Sheet2!$B$1:$E$19,4,FALSE)+(G3604-1))</f>
        <v>3885776</v>
      </c>
    </row>
    <row r="3605" spans="1:15" s="12" customFormat="1" ht="15" customHeight="1" x14ac:dyDescent="0.25">
      <c r="A3605" s="18" t="s">
        <v>399</v>
      </c>
      <c r="B3605" s="18" t="s">
        <v>624</v>
      </c>
      <c r="C3605" s="5">
        <v>1841</v>
      </c>
      <c r="D3605" s="1" t="s">
        <v>71</v>
      </c>
      <c r="E3605" s="1" t="s">
        <v>2</v>
      </c>
      <c r="F3605" s="18">
        <v>2174</v>
      </c>
      <c r="G3605" s="18">
        <v>115</v>
      </c>
      <c r="H3605" s="6" t="s">
        <v>3184</v>
      </c>
      <c r="I3605" s="1">
        <v>199</v>
      </c>
      <c r="J3605" s="1">
        <v>234</v>
      </c>
      <c r="K3605" s="1"/>
      <c r="L3605" t="str">
        <f t="shared" si="56"/>
        <v>http://www.badatelna.eu/reprodukce/?fondId=1073&amp;zaznamId=1108960&amp;reproId=3780339</v>
      </c>
      <c r="M3605">
        <f>VLOOKUP(F3605,Sheet2!$B$1:$E$19,2,FALSE)</f>
        <v>1073</v>
      </c>
      <c r="N3605">
        <f>VLOOKUP(F3605,Sheet2!$B$1:$E$19,3,FALSE)</f>
        <v>1108960</v>
      </c>
      <c r="O3605">
        <f>IF(G3605="Not available","",VLOOKUP(F3605,Sheet2!$B$1:$E$19,4,FALSE)+(G3605-1))</f>
        <v>3780339</v>
      </c>
    </row>
    <row r="3606" spans="1:15" s="12" customFormat="1" ht="15" customHeight="1" x14ac:dyDescent="0.25">
      <c r="A3606" s="18" t="s">
        <v>399</v>
      </c>
      <c r="B3606" s="18" t="s">
        <v>845</v>
      </c>
      <c r="C3606" s="5">
        <v>1857</v>
      </c>
      <c r="D3606" s="1" t="s">
        <v>478</v>
      </c>
      <c r="E3606" s="1" t="s">
        <v>2</v>
      </c>
      <c r="F3606" s="18">
        <v>2164</v>
      </c>
      <c r="G3606" s="18">
        <v>118</v>
      </c>
      <c r="H3606" s="5">
        <v>116</v>
      </c>
      <c r="I3606" s="1">
        <v>138</v>
      </c>
      <c r="J3606" s="3" t="s">
        <v>3271</v>
      </c>
      <c r="K3606" s="1"/>
      <c r="L3606" t="str">
        <f t="shared" si="56"/>
        <v>http://www.badatelna.eu/reprodukce/?fondId=1073&amp;zaznamId=1108951&amp;reproId=3778832</v>
      </c>
      <c r="M3606">
        <f>VLOOKUP(F3606,Sheet2!$B$1:$E$19,2,FALSE)</f>
        <v>1073</v>
      </c>
      <c r="N3606">
        <f>VLOOKUP(F3606,Sheet2!$B$1:$E$19,3,FALSE)</f>
        <v>1108951</v>
      </c>
      <c r="O3606">
        <f>IF(G3606="Not available","",VLOOKUP(F3606,Sheet2!$B$1:$E$19,4,FALSE)+(G3606-1))</f>
        <v>3778832</v>
      </c>
    </row>
    <row r="3607" spans="1:15" s="12" customFormat="1" ht="15" customHeight="1" x14ac:dyDescent="0.25">
      <c r="A3607" s="18" t="s">
        <v>399</v>
      </c>
      <c r="B3607" s="18" t="s">
        <v>25</v>
      </c>
      <c r="C3607" s="5">
        <v>1839</v>
      </c>
      <c r="D3607" s="1" t="s">
        <v>71</v>
      </c>
      <c r="E3607" s="1" t="s">
        <v>2</v>
      </c>
      <c r="F3607" s="18">
        <v>2174</v>
      </c>
      <c r="G3607" s="18">
        <v>102</v>
      </c>
      <c r="H3607" s="6" t="s">
        <v>3165</v>
      </c>
      <c r="I3607" s="1">
        <v>199</v>
      </c>
      <c r="J3607" s="1">
        <v>234</v>
      </c>
      <c r="K3607" s="1"/>
      <c r="L3607" t="str">
        <f t="shared" si="56"/>
        <v>http://www.badatelna.eu/reprodukce/?fondId=1073&amp;zaznamId=1108960&amp;reproId=3780326</v>
      </c>
      <c r="M3607">
        <f>VLOOKUP(F3607,Sheet2!$B$1:$E$19,2,FALSE)</f>
        <v>1073</v>
      </c>
      <c r="N3607">
        <f>VLOOKUP(F3607,Sheet2!$B$1:$E$19,3,FALSE)</f>
        <v>1108960</v>
      </c>
      <c r="O3607">
        <f>IF(G3607="Not available","",VLOOKUP(F3607,Sheet2!$B$1:$E$19,4,FALSE)+(G3607-1))</f>
        <v>3780326</v>
      </c>
    </row>
    <row r="3608" spans="1:15" s="12" customFormat="1" ht="15" customHeight="1" x14ac:dyDescent="0.25">
      <c r="A3608" s="18" t="s">
        <v>399</v>
      </c>
      <c r="B3608" s="18" t="s">
        <v>25</v>
      </c>
      <c r="C3608" s="6" t="s">
        <v>2100</v>
      </c>
      <c r="D3608" s="4" t="s">
        <v>1078</v>
      </c>
      <c r="E3608" s="1" t="s">
        <v>2</v>
      </c>
      <c r="F3608" s="18">
        <v>2165</v>
      </c>
      <c r="G3608" s="18">
        <v>309</v>
      </c>
      <c r="H3608" s="5">
        <v>2</v>
      </c>
      <c r="I3608" s="1">
        <v>311</v>
      </c>
      <c r="J3608" s="1">
        <v>284</v>
      </c>
      <c r="K3608" s="1"/>
      <c r="L3608" t="str">
        <f t="shared" si="56"/>
        <v>http://www.badatelna.eu/reprodukce/?fondId=1073&amp;zaznamId=1108952&amp;reproId=3779170</v>
      </c>
      <c r="M3608">
        <f>VLOOKUP(F3608,Sheet2!$B$1:$E$19,2,FALSE)</f>
        <v>1073</v>
      </c>
      <c r="N3608">
        <f>VLOOKUP(F3608,Sheet2!$B$1:$E$19,3,FALSE)</f>
        <v>1108952</v>
      </c>
      <c r="O3608">
        <f>IF(G3608="Not available","",VLOOKUP(F3608,Sheet2!$B$1:$E$19,4,FALSE)+(G3608-1))</f>
        <v>3779170</v>
      </c>
    </row>
    <row r="3609" spans="1:15" s="12" customFormat="1" ht="15" customHeight="1" x14ac:dyDescent="0.25">
      <c r="A3609" s="18" t="s">
        <v>399</v>
      </c>
      <c r="B3609" s="18" t="s">
        <v>25</v>
      </c>
      <c r="C3609" s="10" t="s">
        <v>2100</v>
      </c>
      <c r="D3609" s="3" t="s">
        <v>2641</v>
      </c>
      <c r="E3609" s="4" t="s">
        <v>2</v>
      </c>
      <c r="F3609" s="18">
        <v>2176</v>
      </c>
      <c r="G3609" s="18" t="s">
        <v>3271</v>
      </c>
      <c r="H3609" s="10" t="s">
        <v>2351</v>
      </c>
      <c r="I3609" s="3">
        <v>38</v>
      </c>
      <c r="J3609" s="3" t="s">
        <v>3271</v>
      </c>
      <c r="K3609" s="3"/>
      <c r="L3609" t="str">
        <f t="shared" si="56"/>
        <v/>
      </c>
      <c r="M3609">
        <f>VLOOKUP(F3609,Sheet2!$B$1:$E$19,2,FALSE)</f>
        <v>1073</v>
      </c>
      <c r="N3609">
        <f>VLOOKUP(F3609,Sheet2!$B$1:$E$19,3,FALSE)</f>
        <v>1108963</v>
      </c>
      <c r="O3609" t="str">
        <f>IF(G3609="Not available","",VLOOKUP(F3609,Sheet2!$B$1:$E$19,4,FALSE)+(G3609-1))</f>
        <v/>
      </c>
    </row>
    <row r="3610" spans="1:15" s="1" customFormat="1" ht="15" customHeight="1" x14ac:dyDescent="0.25">
      <c r="A3610" s="18" t="s">
        <v>399</v>
      </c>
      <c r="B3610" s="18" t="s">
        <v>115</v>
      </c>
      <c r="C3610" s="5">
        <v>1813</v>
      </c>
      <c r="E3610" s="1" t="s">
        <v>2</v>
      </c>
      <c r="F3610" s="18">
        <v>2173</v>
      </c>
      <c r="G3610" s="18">
        <v>61</v>
      </c>
      <c r="H3610" s="5">
        <v>116</v>
      </c>
      <c r="I3610" s="1">
        <v>113</v>
      </c>
      <c r="J3610" s="1">
        <v>247</v>
      </c>
      <c r="L3610" t="str">
        <f t="shared" si="56"/>
        <v>http://www.badatelna.eu/reprodukce/?fondId=1073&amp;zaznamId=1108959&amp;reproId=3780054</v>
      </c>
      <c r="M3610">
        <f>VLOOKUP(F3610,Sheet2!$B$1:$E$19,2,FALSE)</f>
        <v>1073</v>
      </c>
      <c r="N3610">
        <f>VLOOKUP(F3610,Sheet2!$B$1:$E$19,3,FALSE)</f>
        <v>1108959</v>
      </c>
      <c r="O3610">
        <f>IF(G3610="Not available","",VLOOKUP(F3610,Sheet2!$B$1:$E$19,4,FALSE)+(G3610-1))</f>
        <v>3780054</v>
      </c>
    </row>
    <row r="3611" spans="1:15" s="1" customFormat="1" ht="15" customHeight="1" x14ac:dyDescent="0.25">
      <c r="A3611" s="18" t="s">
        <v>399</v>
      </c>
      <c r="B3611" s="18" t="s">
        <v>432</v>
      </c>
      <c r="C3611" s="5" t="s">
        <v>1596</v>
      </c>
      <c r="D3611" s="1" t="s">
        <v>12</v>
      </c>
      <c r="E3611" s="1" t="s">
        <v>2</v>
      </c>
      <c r="F3611" s="18">
        <v>2165</v>
      </c>
      <c r="G3611" s="18">
        <v>56</v>
      </c>
      <c r="H3611" s="5">
        <v>53</v>
      </c>
      <c r="I3611" s="1">
        <v>91</v>
      </c>
      <c r="J3611" s="1" t="s">
        <v>3271</v>
      </c>
      <c r="L3611" t="str">
        <f t="shared" si="56"/>
        <v>http://www.badatelna.eu/reprodukce/?fondId=1073&amp;zaznamId=1108952&amp;reproId=3778917</v>
      </c>
      <c r="M3611">
        <f>VLOOKUP(F3611,Sheet2!$B$1:$E$19,2,FALSE)</f>
        <v>1073</v>
      </c>
      <c r="N3611">
        <f>VLOOKUP(F3611,Sheet2!$B$1:$E$19,3,FALSE)</f>
        <v>1108952</v>
      </c>
      <c r="O3611">
        <f>IF(G3611="Not available","",VLOOKUP(F3611,Sheet2!$B$1:$E$19,4,FALSE)+(G3611-1))</f>
        <v>3778917</v>
      </c>
    </row>
    <row r="3612" spans="1:15" s="1" customFormat="1" ht="15" customHeight="1" x14ac:dyDescent="0.25">
      <c r="A3612" s="18" t="s">
        <v>399</v>
      </c>
      <c r="B3612" s="18" t="s">
        <v>422</v>
      </c>
      <c r="C3612" s="14" t="s">
        <v>3103</v>
      </c>
      <c r="D3612" s="1" t="s">
        <v>40</v>
      </c>
      <c r="E3612" s="1" t="s">
        <v>2</v>
      </c>
      <c r="F3612" s="18">
        <v>2174</v>
      </c>
      <c r="G3612" s="18">
        <v>65</v>
      </c>
      <c r="H3612" s="6" t="s">
        <v>3109</v>
      </c>
      <c r="I3612" s="1">
        <v>199</v>
      </c>
      <c r="J3612" s="1">
        <v>234</v>
      </c>
      <c r="L3612" t="str">
        <f t="shared" si="56"/>
        <v>http://www.badatelna.eu/reprodukce/?fondId=1073&amp;zaznamId=1108960&amp;reproId=3780289</v>
      </c>
      <c r="M3612">
        <f>VLOOKUP(F3612,Sheet2!$B$1:$E$19,2,FALSE)</f>
        <v>1073</v>
      </c>
      <c r="N3612">
        <f>VLOOKUP(F3612,Sheet2!$B$1:$E$19,3,FALSE)</f>
        <v>1108960</v>
      </c>
      <c r="O3612">
        <f>IF(G3612="Not available","",VLOOKUP(F3612,Sheet2!$B$1:$E$19,4,FALSE)+(G3612-1))</f>
        <v>3780289</v>
      </c>
    </row>
    <row r="3613" spans="1:15" s="1" customFormat="1" ht="15" customHeight="1" x14ac:dyDescent="0.25">
      <c r="A3613" s="18" t="s">
        <v>399</v>
      </c>
      <c r="B3613" s="18" t="s">
        <v>100</v>
      </c>
      <c r="C3613" s="5">
        <v>1814</v>
      </c>
      <c r="E3613" s="1" t="s">
        <v>2</v>
      </c>
      <c r="F3613" s="18">
        <v>2173</v>
      </c>
      <c r="G3613" s="18">
        <v>63</v>
      </c>
      <c r="H3613" s="5">
        <v>121</v>
      </c>
      <c r="I3613" s="1">
        <v>113</v>
      </c>
      <c r="J3613" s="1">
        <v>247</v>
      </c>
      <c r="L3613" t="str">
        <f t="shared" si="56"/>
        <v>http://www.badatelna.eu/reprodukce/?fondId=1073&amp;zaznamId=1108959&amp;reproId=3780056</v>
      </c>
      <c r="M3613">
        <f>VLOOKUP(F3613,Sheet2!$B$1:$E$19,2,FALSE)</f>
        <v>1073</v>
      </c>
      <c r="N3613">
        <f>VLOOKUP(F3613,Sheet2!$B$1:$E$19,3,FALSE)</f>
        <v>1108959</v>
      </c>
      <c r="O3613">
        <f>IF(G3613="Not available","",VLOOKUP(F3613,Sheet2!$B$1:$E$19,4,FALSE)+(G3613-1))</f>
        <v>3780056</v>
      </c>
    </row>
    <row r="3614" spans="1:15" s="1" customFormat="1" ht="15" customHeight="1" x14ac:dyDescent="0.25">
      <c r="A3614" s="18" t="s">
        <v>399</v>
      </c>
      <c r="B3614" s="18" t="s">
        <v>2253</v>
      </c>
      <c r="C3614" s="10" t="s">
        <v>2106</v>
      </c>
      <c r="D3614" s="3" t="s">
        <v>2641</v>
      </c>
      <c r="E3614" s="4" t="s">
        <v>2</v>
      </c>
      <c r="F3614" s="18">
        <v>2176</v>
      </c>
      <c r="G3614" s="18" t="s">
        <v>3271</v>
      </c>
      <c r="H3614" s="10" t="s">
        <v>2037</v>
      </c>
      <c r="I3614" s="3">
        <v>38</v>
      </c>
      <c r="J3614" s="3" t="s">
        <v>3271</v>
      </c>
      <c r="K3614" s="3"/>
      <c r="L3614" t="str">
        <f t="shared" si="56"/>
        <v/>
      </c>
      <c r="M3614">
        <f>VLOOKUP(F3614,Sheet2!$B$1:$E$19,2,FALSE)</f>
        <v>1073</v>
      </c>
      <c r="N3614">
        <f>VLOOKUP(F3614,Sheet2!$B$1:$E$19,3,FALSE)</f>
        <v>1108963</v>
      </c>
      <c r="O3614" t="str">
        <f>IF(G3614="Not available","",VLOOKUP(F3614,Sheet2!$B$1:$E$19,4,FALSE)+(G3614-1))</f>
        <v/>
      </c>
    </row>
    <row r="3615" spans="1:15" s="1" customFormat="1" ht="15" customHeight="1" x14ac:dyDescent="0.25">
      <c r="A3615" s="18" t="s">
        <v>399</v>
      </c>
      <c r="B3615" s="18" t="s">
        <v>145</v>
      </c>
      <c r="C3615" s="5">
        <v>1827</v>
      </c>
      <c r="E3615" s="1" t="s">
        <v>2</v>
      </c>
      <c r="F3615" s="18">
        <v>2173</v>
      </c>
      <c r="G3615" s="18">
        <v>80</v>
      </c>
      <c r="H3615" s="5">
        <v>153</v>
      </c>
      <c r="I3615" s="1">
        <v>114</v>
      </c>
      <c r="J3615" s="1">
        <v>248</v>
      </c>
      <c r="L3615" t="str">
        <f t="shared" si="56"/>
        <v>http://www.badatelna.eu/reprodukce/?fondId=1073&amp;zaznamId=1108959&amp;reproId=3780073</v>
      </c>
      <c r="M3615">
        <f>VLOOKUP(F3615,Sheet2!$B$1:$E$19,2,FALSE)</f>
        <v>1073</v>
      </c>
      <c r="N3615">
        <f>VLOOKUP(F3615,Sheet2!$B$1:$E$19,3,FALSE)</f>
        <v>1108959</v>
      </c>
      <c r="O3615">
        <f>IF(G3615="Not available","",VLOOKUP(F3615,Sheet2!$B$1:$E$19,4,FALSE)+(G3615-1))</f>
        <v>3780073</v>
      </c>
    </row>
    <row r="3616" spans="1:15" s="1" customFormat="1" ht="15" customHeight="1" x14ac:dyDescent="0.25">
      <c r="A3616" s="18" t="s">
        <v>399</v>
      </c>
      <c r="B3616" s="18" t="s">
        <v>71</v>
      </c>
      <c r="C3616" s="5">
        <v>1803</v>
      </c>
      <c r="E3616" s="1" t="s">
        <v>2</v>
      </c>
      <c r="F3616" s="18">
        <v>2173</v>
      </c>
      <c r="G3616" s="18">
        <v>47</v>
      </c>
      <c r="H3616" s="5">
        <v>88</v>
      </c>
      <c r="I3616" s="1">
        <v>113</v>
      </c>
      <c r="J3616" s="1">
        <v>247</v>
      </c>
      <c r="L3616" t="str">
        <f t="shared" si="56"/>
        <v>http://www.badatelna.eu/reprodukce/?fondId=1073&amp;zaznamId=1108959&amp;reproId=3780040</v>
      </c>
      <c r="M3616">
        <f>VLOOKUP(F3616,Sheet2!$B$1:$E$19,2,FALSE)</f>
        <v>1073</v>
      </c>
      <c r="N3616">
        <f>VLOOKUP(F3616,Sheet2!$B$1:$E$19,3,FALSE)</f>
        <v>1108959</v>
      </c>
      <c r="O3616">
        <f>IF(G3616="Not available","",VLOOKUP(F3616,Sheet2!$B$1:$E$19,4,FALSE)+(G3616-1))</f>
        <v>3780040</v>
      </c>
    </row>
    <row r="3617" spans="1:15" s="1" customFormat="1" ht="15" customHeight="1" x14ac:dyDescent="0.25">
      <c r="A3617" s="18" t="s">
        <v>399</v>
      </c>
      <c r="B3617" s="18" t="s">
        <v>23</v>
      </c>
      <c r="C3617" s="5">
        <v>1799</v>
      </c>
      <c r="E3617" s="1" t="s">
        <v>2</v>
      </c>
      <c r="F3617" s="18">
        <v>2173</v>
      </c>
      <c r="G3617" s="18">
        <v>42</v>
      </c>
      <c r="H3617" s="5">
        <v>78</v>
      </c>
      <c r="I3617" s="1">
        <v>113</v>
      </c>
      <c r="J3617" s="1">
        <v>247</v>
      </c>
      <c r="L3617" t="str">
        <f t="shared" si="56"/>
        <v>http://www.badatelna.eu/reprodukce/?fondId=1073&amp;zaznamId=1108959&amp;reproId=3780035</v>
      </c>
      <c r="M3617">
        <f>VLOOKUP(F3617,Sheet2!$B$1:$E$19,2,FALSE)</f>
        <v>1073</v>
      </c>
      <c r="N3617">
        <f>VLOOKUP(F3617,Sheet2!$B$1:$E$19,3,FALSE)</f>
        <v>1108959</v>
      </c>
      <c r="O3617">
        <f>IF(G3617="Not available","",VLOOKUP(F3617,Sheet2!$B$1:$E$19,4,FALSE)+(G3617-1))</f>
        <v>3780035</v>
      </c>
    </row>
    <row r="3618" spans="1:15" s="1" customFormat="1" ht="15" customHeight="1" x14ac:dyDescent="0.25">
      <c r="A3618" s="18" t="s">
        <v>399</v>
      </c>
      <c r="B3618" s="18" t="s">
        <v>23</v>
      </c>
      <c r="C3618" s="5">
        <v>1817</v>
      </c>
      <c r="E3618" s="1" t="s">
        <v>2</v>
      </c>
      <c r="F3618" s="18">
        <v>2173</v>
      </c>
      <c r="G3618" s="18">
        <v>66</v>
      </c>
      <c r="H3618" s="5">
        <v>127</v>
      </c>
      <c r="I3618" s="1">
        <v>114</v>
      </c>
      <c r="J3618" s="1">
        <v>248</v>
      </c>
      <c r="L3618" t="str">
        <f t="shared" si="56"/>
        <v>http://www.badatelna.eu/reprodukce/?fondId=1073&amp;zaznamId=1108959&amp;reproId=3780059</v>
      </c>
      <c r="M3618">
        <f>VLOOKUP(F3618,Sheet2!$B$1:$E$19,2,FALSE)</f>
        <v>1073</v>
      </c>
      <c r="N3618">
        <f>VLOOKUP(F3618,Sheet2!$B$1:$E$19,3,FALSE)</f>
        <v>1108959</v>
      </c>
      <c r="O3618">
        <f>IF(G3618="Not available","",VLOOKUP(F3618,Sheet2!$B$1:$E$19,4,FALSE)+(G3618-1))</f>
        <v>3780059</v>
      </c>
    </row>
    <row r="3619" spans="1:15" s="1" customFormat="1" ht="15" customHeight="1" x14ac:dyDescent="0.25">
      <c r="A3619" s="18" t="s">
        <v>399</v>
      </c>
      <c r="B3619" s="18" t="s">
        <v>304</v>
      </c>
      <c r="C3619" s="5">
        <v>1859</v>
      </c>
      <c r="E3619" s="1" t="s">
        <v>939</v>
      </c>
      <c r="F3619" s="18">
        <v>999</v>
      </c>
      <c r="G3619" s="18">
        <v>15</v>
      </c>
      <c r="H3619" s="5">
        <v>13</v>
      </c>
      <c r="I3619" s="1">
        <v>75</v>
      </c>
      <c r="J3619" s="1">
        <v>110</v>
      </c>
      <c r="L3619" t="str">
        <f t="shared" si="56"/>
        <v>http://www.badatelna.eu/reprodukce/?fondId=241&amp;zaznamId=1133739&amp;reproId=3885744</v>
      </c>
      <c r="M3619">
        <f>VLOOKUP(F3619,Sheet2!$B$1:$E$19,2,FALSE)</f>
        <v>241</v>
      </c>
      <c r="N3619">
        <f>VLOOKUP(F3619,Sheet2!$B$1:$E$19,3,FALSE)</f>
        <v>1133739</v>
      </c>
      <c r="O3619">
        <f>IF(G3619="Not available","",VLOOKUP(F3619,Sheet2!$B$1:$E$19,4,FALSE)+(G3619-1))</f>
        <v>3885744</v>
      </c>
    </row>
    <row r="3620" spans="1:15" s="1" customFormat="1" ht="15" customHeight="1" x14ac:dyDescent="0.25">
      <c r="A3620" s="18" t="s">
        <v>399</v>
      </c>
      <c r="B3620" s="18" t="s">
        <v>1171</v>
      </c>
      <c r="C3620" s="10" t="s">
        <v>2092</v>
      </c>
      <c r="D3620" s="3" t="s">
        <v>2395</v>
      </c>
      <c r="E3620" s="4" t="s">
        <v>2</v>
      </c>
      <c r="F3620" s="18">
        <v>2176</v>
      </c>
      <c r="G3620" s="18" t="s">
        <v>3271</v>
      </c>
      <c r="H3620" s="10" t="s">
        <v>2006</v>
      </c>
      <c r="I3620" s="3">
        <v>38</v>
      </c>
      <c r="J3620" s="3" t="s">
        <v>3271</v>
      </c>
      <c r="K3620" s="3"/>
      <c r="L3620" t="str">
        <f t="shared" si="56"/>
        <v/>
      </c>
      <c r="M3620">
        <f>VLOOKUP(F3620,Sheet2!$B$1:$E$19,2,FALSE)</f>
        <v>1073</v>
      </c>
      <c r="N3620">
        <f>VLOOKUP(F3620,Sheet2!$B$1:$E$19,3,FALSE)</f>
        <v>1108963</v>
      </c>
      <c r="O3620" t="str">
        <f>IF(G3620="Not available","",VLOOKUP(F3620,Sheet2!$B$1:$E$19,4,FALSE)+(G3620-1))</f>
        <v/>
      </c>
    </row>
    <row r="3621" spans="1:15" s="1" customFormat="1" ht="15" customHeight="1" x14ac:dyDescent="0.25">
      <c r="A3621" s="18" t="s">
        <v>399</v>
      </c>
      <c r="B3621" s="18" t="s">
        <v>1197</v>
      </c>
      <c r="C3621" s="5" t="s">
        <v>1901</v>
      </c>
      <c r="D3621" s="1" t="s">
        <v>219</v>
      </c>
      <c r="E3621" s="1" t="s">
        <v>2</v>
      </c>
      <c r="F3621" s="18">
        <v>2165</v>
      </c>
      <c r="G3621" s="18">
        <v>270</v>
      </c>
      <c r="H3621" s="5">
        <v>2</v>
      </c>
      <c r="I3621" s="1">
        <v>273</v>
      </c>
      <c r="J3621" s="1">
        <v>247</v>
      </c>
      <c r="L3621" t="str">
        <f t="shared" si="56"/>
        <v>http://www.badatelna.eu/reprodukce/?fondId=1073&amp;zaznamId=1108952&amp;reproId=3779131</v>
      </c>
      <c r="M3621">
        <f>VLOOKUP(F3621,Sheet2!$B$1:$E$19,2,FALSE)</f>
        <v>1073</v>
      </c>
      <c r="N3621">
        <f>VLOOKUP(F3621,Sheet2!$B$1:$E$19,3,FALSE)</f>
        <v>1108952</v>
      </c>
      <c r="O3621">
        <f>IF(G3621="Not available","",VLOOKUP(F3621,Sheet2!$B$1:$E$19,4,FALSE)+(G3621-1))</f>
        <v>3779131</v>
      </c>
    </row>
    <row r="3622" spans="1:15" s="1" customFormat="1" ht="15" customHeight="1" x14ac:dyDescent="0.25">
      <c r="A3622" s="18" t="s">
        <v>407</v>
      </c>
      <c r="B3622" s="18" t="s">
        <v>87</v>
      </c>
      <c r="C3622" s="5">
        <v>1795</v>
      </c>
      <c r="D3622" s="1" t="s">
        <v>26</v>
      </c>
      <c r="E3622" s="1" t="s">
        <v>2</v>
      </c>
      <c r="F3622" s="18">
        <v>2173</v>
      </c>
      <c r="G3622" s="18">
        <v>33</v>
      </c>
      <c r="H3622" s="5">
        <v>61</v>
      </c>
      <c r="I3622" s="1">
        <v>113</v>
      </c>
      <c r="J3622" s="1">
        <v>247</v>
      </c>
      <c r="L3622" t="str">
        <f t="shared" si="56"/>
        <v>http://www.badatelna.eu/reprodukce/?fondId=1073&amp;zaznamId=1108959&amp;reproId=3780026</v>
      </c>
      <c r="M3622">
        <f>VLOOKUP(F3622,Sheet2!$B$1:$E$19,2,FALSE)</f>
        <v>1073</v>
      </c>
      <c r="N3622">
        <f>VLOOKUP(F3622,Sheet2!$B$1:$E$19,3,FALSE)</f>
        <v>1108959</v>
      </c>
      <c r="O3622">
        <f>IF(G3622="Not available","",VLOOKUP(F3622,Sheet2!$B$1:$E$19,4,FALSE)+(G3622-1))</f>
        <v>3780026</v>
      </c>
    </row>
    <row r="3623" spans="1:15" s="1" customFormat="1" ht="15" customHeight="1" x14ac:dyDescent="0.25">
      <c r="A3623" s="18" t="s">
        <v>407</v>
      </c>
      <c r="B3623" s="19" t="s">
        <v>2991</v>
      </c>
      <c r="C3623" s="5">
        <v>1797</v>
      </c>
      <c r="D3623" s="1" t="s">
        <v>26</v>
      </c>
      <c r="E3623" s="1" t="s">
        <v>2</v>
      </c>
      <c r="F3623" s="18">
        <v>2173</v>
      </c>
      <c r="G3623" s="18">
        <v>36</v>
      </c>
      <c r="H3623" s="14" t="s">
        <v>2990</v>
      </c>
      <c r="I3623" s="1">
        <v>113</v>
      </c>
      <c r="J3623" s="1">
        <v>247</v>
      </c>
      <c r="L3623" t="str">
        <f t="shared" si="56"/>
        <v>http://www.badatelna.eu/reprodukce/?fondId=1073&amp;zaznamId=1108959&amp;reproId=3780029</v>
      </c>
      <c r="M3623">
        <f>VLOOKUP(F3623,Sheet2!$B$1:$E$19,2,FALSE)</f>
        <v>1073</v>
      </c>
      <c r="N3623">
        <f>VLOOKUP(F3623,Sheet2!$B$1:$E$19,3,FALSE)</f>
        <v>1108959</v>
      </c>
      <c r="O3623">
        <f>IF(G3623="Not available","",VLOOKUP(F3623,Sheet2!$B$1:$E$19,4,FALSE)+(G3623-1))</f>
        <v>3780029</v>
      </c>
    </row>
    <row r="3624" spans="1:15" s="1" customFormat="1" ht="15" customHeight="1" x14ac:dyDescent="0.25">
      <c r="A3624" s="19" t="s">
        <v>407</v>
      </c>
      <c r="B3624" s="18" t="s">
        <v>406</v>
      </c>
      <c r="C3624" s="5">
        <v>1793</v>
      </c>
      <c r="D3624" s="4" t="s">
        <v>8</v>
      </c>
      <c r="E3624" s="1" t="s">
        <v>2</v>
      </c>
      <c r="F3624" s="18">
        <v>2173</v>
      </c>
      <c r="G3624" s="18">
        <v>30</v>
      </c>
      <c r="H3624" s="6" t="s">
        <v>2992</v>
      </c>
      <c r="I3624" s="1">
        <v>113</v>
      </c>
      <c r="J3624" s="1">
        <v>247</v>
      </c>
      <c r="L3624" t="str">
        <f t="shared" si="56"/>
        <v>http://www.badatelna.eu/reprodukce/?fondId=1073&amp;zaznamId=1108959&amp;reproId=3780023</v>
      </c>
      <c r="M3624">
        <f>VLOOKUP(F3624,Sheet2!$B$1:$E$19,2,FALSE)</f>
        <v>1073</v>
      </c>
      <c r="N3624">
        <f>VLOOKUP(F3624,Sheet2!$B$1:$E$19,3,FALSE)</f>
        <v>1108959</v>
      </c>
      <c r="O3624">
        <f>IF(G3624="Not available","",VLOOKUP(F3624,Sheet2!$B$1:$E$19,4,FALSE)+(G3624-1))</f>
        <v>3780023</v>
      </c>
    </row>
    <row r="3625" spans="1:15" s="1" customFormat="1" ht="15" customHeight="1" x14ac:dyDescent="0.25">
      <c r="A3625" s="19" t="s">
        <v>573</v>
      </c>
      <c r="B3625" s="18" t="s">
        <v>3278</v>
      </c>
      <c r="C3625" s="5"/>
      <c r="D3625" s="4"/>
      <c r="F3625" s="18"/>
      <c r="G3625" s="18"/>
      <c r="H3625" s="6"/>
      <c r="L3625" t="e">
        <f t="shared" si="56"/>
        <v>#N/A</v>
      </c>
      <c r="M3625" t="e">
        <f>VLOOKUP(F3625,Sheet2!$B$1:$E$19,2,FALSE)</f>
        <v>#N/A</v>
      </c>
      <c r="N3625" t="e">
        <f>VLOOKUP(F3625,Sheet2!$B$1:$E$19,3,FALSE)</f>
        <v>#N/A</v>
      </c>
      <c r="O3625" t="e">
        <f>IF(G3625="Not available","",VLOOKUP(F3625,Sheet2!$B$1:$E$19,4,FALSE)+(G3625-1))</f>
        <v>#N/A</v>
      </c>
    </row>
    <row r="3626" spans="1:15" s="1" customFormat="1" ht="15" customHeight="1" x14ac:dyDescent="0.25">
      <c r="A3626" s="19" t="s">
        <v>3076</v>
      </c>
      <c r="B3626" s="18" t="s">
        <v>2993</v>
      </c>
      <c r="C3626" s="5">
        <v>1786</v>
      </c>
      <c r="D3626" s="12" t="s">
        <v>2994</v>
      </c>
      <c r="E3626" s="1" t="s">
        <v>2</v>
      </c>
      <c r="F3626" s="18">
        <v>2173</v>
      </c>
      <c r="G3626" s="18">
        <v>12</v>
      </c>
      <c r="H3626" s="5">
        <v>18</v>
      </c>
      <c r="I3626" s="1">
        <v>113</v>
      </c>
      <c r="J3626" s="1">
        <v>247</v>
      </c>
      <c r="L3626" t="str">
        <f t="shared" si="56"/>
        <v>http://www.badatelna.eu/reprodukce/?fondId=1073&amp;zaznamId=1108959&amp;reproId=3780005</v>
      </c>
      <c r="M3626">
        <f>VLOOKUP(F3626,Sheet2!$B$1:$E$19,2,FALSE)</f>
        <v>1073</v>
      </c>
      <c r="N3626">
        <f>VLOOKUP(F3626,Sheet2!$B$1:$E$19,3,FALSE)</f>
        <v>1108959</v>
      </c>
      <c r="O3626">
        <f>IF(G3626="Not available","",VLOOKUP(F3626,Sheet2!$B$1:$E$19,4,FALSE)+(G3626-1))</f>
        <v>3780005</v>
      </c>
    </row>
    <row r="3627" spans="1:15" s="1" customFormat="1" ht="15" customHeight="1" x14ac:dyDescent="0.25">
      <c r="A3627" s="19" t="s">
        <v>1194</v>
      </c>
      <c r="B3627" s="18" t="s">
        <v>1033</v>
      </c>
      <c r="C3627" s="14" t="s">
        <v>1285</v>
      </c>
      <c r="D3627" s="3" t="s">
        <v>2635</v>
      </c>
      <c r="E3627" s="4" t="s">
        <v>2</v>
      </c>
      <c r="F3627" s="18">
        <v>2176</v>
      </c>
      <c r="G3627" s="18" t="s">
        <v>3271</v>
      </c>
      <c r="H3627" s="10" t="s">
        <v>1981</v>
      </c>
      <c r="I3627" s="3">
        <v>37</v>
      </c>
      <c r="J3627" s="3" t="s">
        <v>3271</v>
      </c>
      <c r="K3627" s="3"/>
      <c r="L3627" t="str">
        <f t="shared" si="56"/>
        <v/>
      </c>
      <c r="M3627">
        <f>VLOOKUP(F3627,Sheet2!$B$1:$E$19,2,FALSE)</f>
        <v>1073</v>
      </c>
      <c r="N3627">
        <f>VLOOKUP(F3627,Sheet2!$B$1:$E$19,3,FALSE)</f>
        <v>1108963</v>
      </c>
      <c r="O3627" t="str">
        <f>IF(G3627="Not available","",VLOOKUP(F3627,Sheet2!$B$1:$E$19,4,FALSE)+(G3627-1))</f>
        <v/>
      </c>
    </row>
    <row r="3628" spans="1:15" s="1" customFormat="1" ht="15" customHeight="1" x14ac:dyDescent="0.25">
      <c r="A3628" s="18" t="s">
        <v>1194</v>
      </c>
      <c r="B3628" s="18" t="s">
        <v>1186</v>
      </c>
      <c r="C3628" s="5">
        <v>1889</v>
      </c>
      <c r="D3628" s="1" t="s">
        <v>1195</v>
      </c>
      <c r="E3628" s="1" t="s">
        <v>2</v>
      </c>
      <c r="F3628" s="18">
        <v>2165</v>
      </c>
      <c r="G3628" s="18">
        <v>222</v>
      </c>
      <c r="H3628" s="5">
        <v>2</v>
      </c>
      <c r="I3628" s="1">
        <v>225</v>
      </c>
      <c r="J3628" s="1">
        <v>201</v>
      </c>
      <c r="L3628" t="str">
        <f t="shared" si="56"/>
        <v>http://www.badatelna.eu/reprodukce/?fondId=1073&amp;zaznamId=1108952&amp;reproId=3779083</v>
      </c>
      <c r="M3628">
        <f>VLOOKUP(F3628,Sheet2!$B$1:$E$19,2,FALSE)</f>
        <v>1073</v>
      </c>
      <c r="N3628">
        <f>VLOOKUP(F3628,Sheet2!$B$1:$E$19,3,FALSE)</f>
        <v>1108952</v>
      </c>
      <c r="O3628">
        <f>IF(G3628="Not available","",VLOOKUP(F3628,Sheet2!$B$1:$E$19,4,FALSE)+(G3628-1))</f>
        <v>3779083</v>
      </c>
    </row>
    <row r="3629" spans="1:15" s="1" customFormat="1" ht="15" customHeight="1" x14ac:dyDescent="0.25">
      <c r="A3629" s="19" t="s">
        <v>1194</v>
      </c>
      <c r="B3629" s="18" t="s">
        <v>2253</v>
      </c>
      <c r="C3629" s="14" t="s">
        <v>2068</v>
      </c>
      <c r="D3629" s="3" t="s">
        <v>2636</v>
      </c>
      <c r="E3629" s="4" t="s">
        <v>2</v>
      </c>
      <c r="F3629" s="18">
        <v>2176</v>
      </c>
      <c r="G3629" s="18" t="s">
        <v>3271</v>
      </c>
      <c r="H3629" s="10" t="s">
        <v>1974</v>
      </c>
      <c r="I3629" s="3">
        <v>38</v>
      </c>
      <c r="J3629" s="3" t="s">
        <v>3271</v>
      </c>
      <c r="K3629" s="3"/>
      <c r="L3629" t="str">
        <f t="shared" si="56"/>
        <v/>
      </c>
      <c r="M3629">
        <f>VLOOKUP(F3629,Sheet2!$B$1:$E$19,2,FALSE)</f>
        <v>1073</v>
      </c>
      <c r="N3629">
        <f>VLOOKUP(F3629,Sheet2!$B$1:$E$19,3,FALSE)</f>
        <v>1108963</v>
      </c>
      <c r="O3629" t="str">
        <f>IF(G3629="Not available","",VLOOKUP(F3629,Sheet2!$B$1:$E$19,4,FALSE)+(G3629-1))</f>
        <v/>
      </c>
    </row>
    <row r="3630" spans="1:15" s="1" customFormat="1" ht="15" customHeight="1" x14ac:dyDescent="0.25">
      <c r="A3630" s="18" t="s">
        <v>745</v>
      </c>
      <c r="B3630" s="18" t="s">
        <v>749</v>
      </c>
      <c r="C3630" s="5">
        <v>1847</v>
      </c>
      <c r="D3630" s="1" t="s">
        <v>639</v>
      </c>
      <c r="E3630" s="1" t="s">
        <v>2</v>
      </c>
      <c r="F3630" s="18">
        <v>2174</v>
      </c>
      <c r="G3630" s="18">
        <v>160</v>
      </c>
      <c r="H3630" s="6" t="s">
        <v>3223</v>
      </c>
      <c r="I3630" s="1">
        <v>200</v>
      </c>
      <c r="J3630" s="1">
        <v>235</v>
      </c>
      <c r="L3630" t="str">
        <f t="shared" si="56"/>
        <v>http://www.badatelna.eu/reprodukce/?fondId=1073&amp;zaznamId=1108960&amp;reproId=3780384</v>
      </c>
      <c r="M3630">
        <f>VLOOKUP(F3630,Sheet2!$B$1:$E$19,2,FALSE)</f>
        <v>1073</v>
      </c>
      <c r="N3630">
        <f>VLOOKUP(F3630,Sheet2!$B$1:$E$19,3,FALSE)</f>
        <v>1108960</v>
      </c>
      <c r="O3630">
        <f>IF(G3630="Not available","",VLOOKUP(F3630,Sheet2!$B$1:$E$19,4,FALSE)+(G3630-1))</f>
        <v>3780384</v>
      </c>
    </row>
    <row r="3631" spans="1:15" s="1" customFormat="1" ht="15" customHeight="1" x14ac:dyDescent="0.25">
      <c r="A3631" s="18" t="s">
        <v>745</v>
      </c>
      <c r="B3631" s="18" t="s">
        <v>985</v>
      </c>
      <c r="C3631" s="5">
        <v>1884</v>
      </c>
      <c r="D3631" s="1" t="s">
        <v>1069</v>
      </c>
      <c r="E3631" s="1" t="s">
        <v>2</v>
      </c>
      <c r="F3631" s="18">
        <v>2165</v>
      </c>
      <c r="G3631" s="18">
        <v>194</v>
      </c>
      <c r="H3631" s="5">
        <v>2</v>
      </c>
      <c r="I3631" s="1">
        <v>197</v>
      </c>
      <c r="J3631" s="1">
        <v>174</v>
      </c>
      <c r="L3631" t="str">
        <f t="shared" si="56"/>
        <v>http://www.badatelna.eu/reprodukce/?fondId=1073&amp;zaznamId=1108952&amp;reproId=3779055</v>
      </c>
      <c r="M3631">
        <f>VLOOKUP(F3631,Sheet2!$B$1:$E$19,2,FALSE)</f>
        <v>1073</v>
      </c>
      <c r="N3631">
        <f>VLOOKUP(F3631,Sheet2!$B$1:$E$19,3,FALSE)</f>
        <v>1108952</v>
      </c>
      <c r="O3631">
        <f>IF(G3631="Not available","",VLOOKUP(F3631,Sheet2!$B$1:$E$19,4,FALSE)+(G3631-1))</f>
        <v>3779055</v>
      </c>
    </row>
    <row r="3632" spans="1:15" s="1" customFormat="1" ht="15" customHeight="1" x14ac:dyDescent="0.25">
      <c r="A3632" s="19" t="s">
        <v>745</v>
      </c>
      <c r="B3632" s="18" t="s">
        <v>2154</v>
      </c>
      <c r="C3632" s="10" t="s">
        <v>2041</v>
      </c>
      <c r="D3632" s="3" t="s">
        <v>2636</v>
      </c>
      <c r="E3632" s="4" t="s">
        <v>2</v>
      </c>
      <c r="F3632" s="18">
        <v>2176</v>
      </c>
      <c r="G3632" s="18" t="s">
        <v>3271</v>
      </c>
      <c r="H3632" s="10" t="s">
        <v>2006</v>
      </c>
      <c r="I3632" s="3">
        <v>37</v>
      </c>
      <c r="J3632" s="3" t="s">
        <v>3271</v>
      </c>
      <c r="K3632" s="3"/>
      <c r="L3632" t="str">
        <f t="shared" si="56"/>
        <v/>
      </c>
      <c r="M3632">
        <f>VLOOKUP(F3632,Sheet2!$B$1:$E$19,2,FALSE)</f>
        <v>1073</v>
      </c>
      <c r="N3632">
        <f>VLOOKUP(F3632,Sheet2!$B$1:$E$19,3,FALSE)</f>
        <v>1108963</v>
      </c>
      <c r="O3632" t="str">
        <f>IF(G3632="Not available","",VLOOKUP(F3632,Sheet2!$B$1:$E$19,4,FALSE)+(G3632-1))</f>
        <v/>
      </c>
    </row>
    <row r="3633" spans="1:15" s="1" customFormat="1" ht="15" customHeight="1" x14ac:dyDescent="0.25">
      <c r="A3633" s="18" t="s">
        <v>745</v>
      </c>
      <c r="B3633" s="18" t="s">
        <v>735</v>
      </c>
      <c r="C3633" s="5">
        <v>1842</v>
      </c>
      <c r="D3633" s="1" t="s">
        <v>74</v>
      </c>
      <c r="E3633" s="1" t="s">
        <v>2</v>
      </c>
      <c r="F3633" s="18">
        <v>2174</v>
      </c>
      <c r="G3633" s="18">
        <v>120</v>
      </c>
      <c r="H3633" s="6" t="s">
        <v>3183</v>
      </c>
      <c r="I3633" s="1">
        <v>199</v>
      </c>
      <c r="J3633" s="1">
        <v>234</v>
      </c>
      <c r="L3633" t="str">
        <f t="shared" si="56"/>
        <v>http://www.badatelna.eu/reprodukce/?fondId=1073&amp;zaznamId=1108960&amp;reproId=3780344</v>
      </c>
      <c r="M3633">
        <f>VLOOKUP(F3633,Sheet2!$B$1:$E$19,2,FALSE)</f>
        <v>1073</v>
      </c>
      <c r="N3633">
        <f>VLOOKUP(F3633,Sheet2!$B$1:$E$19,3,FALSE)</f>
        <v>1108960</v>
      </c>
      <c r="O3633">
        <f>IF(G3633="Not available","",VLOOKUP(F3633,Sheet2!$B$1:$E$19,4,FALSE)+(G3633-1))</f>
        <v>3780344</v>
      </c>
    </row>
    <row r="3634" spans="1:15" s="1" customFormat="1" ht="15" customHeight="1" x14ac:dyDescent="0.25">
      <c r="A3634" s="18" t="s">
        <v>745</v>
      </c>
      <c r="B3634" s="18" t="s">
        <v>476</v>
      </c>
      <c r="C3634" s="5">
        <v>1839</v>
      </c>
      <c r="D3634" s="1" t="s">
        <v>74</v>
      </c>
      <c r="E3634" s="1" t="s">
        <v>2</v>
      </c>
      <c r="F3634" s="18">
        <v>2174</v>
      </c>
      <c r="G3634" s="18">
        <v>113</v>
      </c>
      <c r="H3634" s="6" t="s">
        <v>3179</v>
      </c>
      <c r="I3634" s="1">
        <v>199</v>
      </c>
      <c r="J3634" s="1">
        <v>234</v>
      </c>
      <c r="L3634" t="str">
        <f t="shared" si="56"/>
        <v>http://www.badatelna.eu/reprodukce/?fondId=1073&amp;zaznamId=1108960&amp;reproId=3780337</v>
      </c>
      <c r="M3634">
        <f>VLOOKUP(F3634,Sheet2!$B$1:$E$19,2,FALSE)</f>
        <v>1073</v>
      </c>
      <c r="N3634">
        <f>VLOOKUP(F3634,Sheet2!$B$1:$E$19,3,FALSE)</f>
        <v>1108960</v>
      </c>
      <c r="O3634">
        <f>IF(G3634="Not available","",VLOOKUP(F3634,Sheet2!$B$1:$E$19,4,FALSE)+(G3634-1))</f>
        <v>3780337</v>
      </c>
    </row>
    <row r="3635" spans="1:15" s="1" customFormat="1" ht="15" customHeight="1" x14ac:dyDescent="0.25">
      <c r="A3635" s="18" t="s">
        <v>745</v>
      </c>
      <c r="B3635" s="18" t="s">
        <v>1033</v>
      </c>
      <c r="C3635" s="5">
        <v>1882</v>
      </c>
      <c r="D3635" s="1" t="s">
        <v>484</v>
      </c>
      <c r="E3635" s="1" t="s">
        <v>2</v>
      </c>
      <c r="F3635" s="18">
        <v>2165</v>
      </c>
      <c r="G3635" s="18">
        <v>179</v>
      </c>
      <c r="H3635" s="5">
        <v>3</v>
      </c>
      <c r="I3635" s="1">
        <v>183</v>
      </c>
      <c r="J3635" s="1">
        <v>160</v>
      </c>
      <c r="L3635" t="str">
        <f t="shared" si="56"/>
        <v>http://www.badatelna.eu/reprodukce/?fondId=1073&amp;zaznamId=1108952&amp;reproId=3779040</v>
      </c>
      <c r="M3635">
        <f>VLOOKUP(F3635,Sheet2!$B$1:$E$19,2,FALSE)</f>
        <v>1073</v>
      </c>
      <c r="N3635">
        <f>VLOOKUP(F3635,Sheet2!$B$1:$E$19,3,FALSE)</f>
        <v>1108952</v>
      </c>
      <c r="O3635">
        <f>IF(G3635="Not available","",VLOOKUP(F3635,Sheet2!$B$1:$E$19,4,FALSE)+(G3635-1))</f>
        <v>3779040</v>
      </c>
    </row>
    <row r="3636" spans="1:15" s="1" customFormat="1" ht="15" customHeight="1" x14ac:dyDescent="0.25">
      <c r="A3636" s="18" t="s">
        <v>745</v>
      </c>
      <c r="B3636" s="18" t="s">
        <v>593</v>
      </c>
      <c r="C3636" s="5">
        <v>1833</v>
      </c>
      <c r="D3636" s="1" t="s">
        <v>74</v>
      </c>
      <c r="E3636" s="1" t="s">
        <v>2</v>
      </c>
      <c r="F3636" s="18">
        <v>2174</v>
      </c>
      <c r="G3636" s="18">
        <v>71</v>
      </c>
      <c r="H3636" s="6" t="s">
        <v>3139</v>
      </c>
      <c r="I3636" s="1">
        <v>199</v>
      </c>
      <c r="J3636" s="1">
        <v>234</v>
      </c>
      <c r="L3636" t="str">
        <f t="shared" si="56"/>
        <v>http://www.badatelna.eu/reprodukce/?fondId=1073&amp;zaznamId=1108960&amp;reproId=3780295</v>
      </c>
      <c r="M3636">
        <f>VLOOKUP(F3636,Sheet2!$B$1:$E$19,2,FALSE)</f>
        <v>1073</v>
      </c>
      <c r="N3636">
        <f>VLOOKUP(F3636,Sheet2!$B$1:$E$19,3,FALSE)</f>
        <v>1108960</v>
      </c>
      <c r="O3636">
        <f>IF(G3636="Not available","",VLOOKUP(F3636,Sheet2!$B$1:$E$19,4,FALSE)+(G3636-1))</f>
        <v>3780295</v>
      </c>
    </row>
    <row r="3637" spans="1:15" s="1" customFormat="1" ht="15" customHeight="1" x14ac:dyDescent="0.25">
      <c r="A3637" s="18" t="s">
        <v>745</v>
      </c>
      <c r="B3637" s="18" t="s">
        <v>23</v>
      </c>
      <c r="C3637" s="14" t="s">
        <v>3103</v>
      </c>
      <c r="D3637" s="1" t="s">
        <v>74</v>
      </c>
      <c r="E3637" s="1" t="s">
        <v>2</v>
      </c>
      <c r="F3637" s="18">
        <v>2174</v>
      </c>
      <c r="G3637" s="18">
        <v>64</v>
      </c>
      <c r="H3637" s="6" t="s">
        <v>3108</v>
      </c>
      <c r="I3637" s="1">
        <v>199</v>
      </c>
      <c r="J3637" s="1">
        <v>234</v>
      </c>
      <c r="L3637" t="str">
        <f t="shared" si="56"/>
        <v>http://www.badatelna.eu/reprodukce/?fondId=1073&amp;zaznamId=1108960&amp;reproId=3780288</v>
      </c>
      <c r="M3637">
        <f>VLOOKUP(F3637,Sheet2!$B$1:$E$19,2,FALSE)</f>
        <v>1073</v>
      </c>
      <c r="N3637">
        <f>VLOOKUP(F3637,Sheet2!$B$1:$E$19,3,FALSE)</f>
        <v>1108960</v>
      </c>
      <c r="O3637">
        <f>IF(G3637="Not available","",VLOOKUP(F3637,Sheet2!$B$1:$E$19,4,FALSE)+(G3637-1))</f>
        <v>3780288</v>
      </c>
    </row>
    <row r="3638" spans="1:15" s="1" customFormat="1" ht="15" customHeight="1" x14ac:dyDescent="0.25">
      <c r="A3638" s="18" t="s">
        <v>410</v>
      </c>
      <c r="B3638" s="18" t="s">
        <v>74</v>
      </c>
      <c r="C3638" s="5">
        <v>1801</v>
      </c>
      <c r="E3638" s="1" t="s">
        <v>2</v>
      </c>
      <c r="F3638" s="18">
        <v>2173</v>
      </c>
      <c r="G3638" s="18">
        <v>44</v>
      </c>
      <c r="H3638" s="5">
        <v>83</v>
      </c>
      <c r="I3638" s="1">
        <v>113</v>
      </c>
      <c r="J3638" s="1">
        <v>247</v>
      </c>
      <c r="L3638" t="str">
        <f t="shared" si="56"/>
        <v>http://www.badatelna.eu/reprodukce/?fondId=1073&amp;zaznamId=1108959&amp;reproId=3780037</v>
      </c>
      <c r="M3638">
        <f>VLOOKUP(F3638,Sheet2!$B$1:$E$19,2,FALSE)</f>
        <v>1073</v>
      </c>
      <c r="N3638">
        <f>VLOOKUP(F3638,Sheet2!$B$1:$E$19,3,FALSE)</f>
        <v>1108959</v>
      </c>
      <c r="O3638">
        <f>IF(G3638="Not available","",VLOOKUP(F3638,Sheet2!$B$1:$E$19,4,FALSE)+(G3638-1))</f>
        <v>3780037</v>
      </c>
    </row>
    <row r="3639" spans="1:15" s="1" customFormat="1" ht="15" customHeight="1" x14ac:dyDescent="0.25">
      <c r="A3639" s="18" t="s">
        <v>410</v>
      </c>
      <c r="B3639" s="18" t="s">
        <v>426</v>
      </c>
      <c r="C3639" s="5">
        <v>1839</v>
      </c>
      <c r="D3639" s="1" t="s">
        <v>74</v>
      </c>
      <c r="E3639" s="1" t="s">
        <v>2</v>
      </c>
      <c r="F3639" s="18">
        <v>2174</v>
      </c>
      <c r="G3639" s="18">
        <v>102</v>
      </c>
      <c r="H3639" s="6" t="s">
        <v>3165</v>
      </c>
      <c r="I3639" s="1">
        <v>199</v>
      </c>
      <c r="J3639" s="1">
        <v>234</v>
      </c>
      <c r="L3639" t="str">
        <f t="shared" si="56"/>
        <v>http://www.badatelna.eu/reprodukce/?fondId=1073&amp;zaznamId=1108960&amp;reproId=3780326</v>
      </c>
      <c r="M3639">
        <f>VLOOKUP(F3639,Sheet2!$B$1:$E$19,2,FALSE)</f>
        <v>1073</v>
      </c>
      <c r="N3639">
        <f>VLOOKUP(F3639,Sheet2!$B$1:$E$19,3,FALSE)</f>
        <v>1108960</v>
      </c>
      <c r="O3639">
        <f>IF(G3639="Not available","",VLOOKUP(F3639,Sheet2!$B$1:$E$19,4,FALSE)+(G3639-1))</f>
        <v>3780326</v>
      </c>
    </row>
    <row r="3640" spans="1:15" s="1" customFormat="1" ht="15" customHeight="1" x14ac:dyDescent="0.25">
      <c r="A3640" s="19" t="s">
        <v>410</v>
      </c>
      <c r="B3640" s="18" t="s">
        <v>213</v>
      </c>
      <c r="C3640" s="5">
        <v>1824</v>
      </c>
      <c r="E3640" s="1" t="s">
        <v>2</v>
      </c>
      <c r="F3640" s="18">
        <v>2173</v>
      </c>
      <c r="G3640" s="18">
        <v>76</v>
      </c>
      <c r="H3640" s="5">
        <v>144</v>
      </c>
      <c r="I3640" s="1">
        <v>114</v>
      </c>
      <c r="J3640" s="1">
        <v>248</v>
      </c>
      <c r="L3640" t="str">
        <f t="shared" si="56"/>
        <v>http://www.badatelna.eu/reprodukce/?fondId=1073&amp;zaznamId=1108959&amp;reproId=3780069</v>
      </c>
      <c r="M3640">
        <f>VLOOKUP(F3640,Sheet2!$B$1:$E$19,2,FALSE)</f>
        <v>1073</v>
      </c>
      <c r="N3640">
        <f>VLOOKUP(F3640,Sheet2!$B$1:$E$19,3,FALSE)</f>
        <v>1108959</v>
      </c>
      <c r="O3640">
        <f>IF(G3640="Not available","",VLOOKUP(F3640,Sheet2!$B$1:$E$19,4,FALSE)+(G3640-1))</f>
        <v>3780069</v>
      </c>
    </row>
    <row r="3641" spans="1:15" s="1" customFormat="1" ht="15" customHeight="1" x14ac:dyDescent="0.25">
      <c r="A3641" s="18" t="s">
        <v>410</v>
      </c>
      <c r="B3641" s="18" t="s">
        <v>494</v>
      </c>
      <c r="C3641" s="5">
        <v>1834</v>
      </c>
      <c r="D3641" s="1" t="s">
        <v>74</v>
      </c>
      <c r="E3641" s="1" t="s">
        <v>2</v>
      </c>
      <c r="F3641" s="18">
        <v>2174</v>
      </c>
      <c r="G3641" s="18">
        <v>80</v>
      </c>
      <c r="H3641" s="6" t="s">
        <v>3146</v>
      </c>
      <c r="I3641" s="1">
        <v>199</v>
      </c>
      <c r="J3641" s="1">
        <v>234</v>
      </c>
      <c r="L3641" t="str">
        <f t="shared" si="56"/>
        <v>http://www.badatelna.eu/reprodukce/?fondId=1073&amp;zaznamId=1108960&amp;reproId=3780304</v>
      </c>
      <c r="M3641">
        <f>VLOOKUP(F3641,Sheet2!$B$1:$E$19,2,FALSE)</f>
        <v>1073</v>
      </c>
      <c r="N3641">
        <f>VLOOKUP(F3641,Sheet2!$B$1:$E$19,3,FALSE)</f>
        <v>1108960</v>
      </c>
      <c r="O3641">
        <f>IF(G3641="Not available","",VLOOKUP(F3641,Sheet2!$B$1:$E$19,4,FALSE)+(G3641-1))</f>
        <v>3780304</v>
      </c>
    </row>
    <row r="3642" spans="1:15" s="1" customFormat="1" ht="15" customHeight="1" x14ac:dyDescent="0.25">
      <c r="A3642" s="18" t="s">
        <v>410</v>
      </c>
      <c r="B3642" s="18" t="s">
        <v>495</v>
      </c>
      <c r="C3642" s="5">
        <v>1836</v>
      </c>
      <c r="D3642" s="1" t="s">
        <v>74</v>
      </c>
      <c r="E3642" s="1" t="s">
        <v>2</v>
      </c>
      <c r="F3642" s="18">
        <v>2174</v>
      </c>
      <c r="G3642" s="18">
        <v>88</v>
      </c>
      <c r="H3642" s="6" t="s">
        <v>3155</v>
      </c>
      <c r="I3642" s="1">
        <v>199</v>
      </c>
      <c r="J3642" s="1">
        <v>234</v>
      </c>
      <c r="L3642" t="str">
        <f t="shared" si="56"/>
        <v>http://www.badatelna.eu/reprodukce/?fondId=1073&amp;zaznamId=1108960&amp;reproId=3780312</v>
      </c>
      <c r="M3642">
        <f>VLOOKUP(F3642,Sheet2!$B$1:$E$19,2,FALSE)</f>
        <v>1073</v>
      </c>
      <c r="N3642">
        <f>VLOOKUP(F3642,Sheet2!$B$1:$E$19,3,FALSE)</f>
        <v>1108960</v>
      </c>
      <c r="O3642">
        <f>IF(G3642="Not available","",VLOOKUP(F3642,Sheet2!$B$1:$E$19,4,FALSE)+(G3642-1))</f>
        <v>3780312</v>
      </c>
    </row>
    <row r="3643" spans="1:15" s="1" customFormat="1" ht="15" customHeight="1" x14ac:dyDescent="0.25">
      <c r="A3643" s="18" t="s">
        <v>410</v>
      </c>
      <c r="B3643" s="18" t="s">
        <v>1011</v>
      </c>
      <c r="C3643" s="10" t="s">
        <v>2025</v>
      </c>
      <c r="D3643" s="3" t="s">
        <v>2634</v>
      </c>
      <c r="E3643" s="4" t="s">
        <v>2</v>
      </c>
      <c r="F3643" s="18">
        <v>2176</v>
      </c>
      <c r="G3643" s="18" t="s">
        <v>3271</v>
      </c>
      <c r="H3643" s="10" t="s">
        <v>2230</v>
      </c>
      <c r="I3643" s="3">
        <v>37</v>
      </c>
      <c r="J3643" s="3" t="s">
        <v>3271</v>
      </c>
      <c r="K3643" s="3"/>
      <c r="L3643" t="str">
        <f t="shared" si="56"/>
        <v/>
      </c>
      <c r="M3643">
        <f>VLOOKUP(F3643,Sheet2!$B$1:$E$19,2,FALSE)</f>
        <v>1073</v>
      </c>
      <c r="N3643">
        <f>VLOOKUP(F3643,Sheet2!$B$1:$E$19,3,FALSE)</f>
        <v>1108963</v>
      </c>
      <c r="O3643" t="str">
        <f>IF(G3643="Not available","",VLOOKUP(F3643,Sheet2!$B$1:$E$19,4,FALSE)+(G3643-1))</f>
        <v/>
      </c>
    </row>
    <row r="3644" spans="1:15" s="1" customFormat="1" ht="15" customHeight="1" x14ac:dyDescent="0.25">
      <c r="A3644" s="18" t="s">
        <v>410</v>
      </c>
      <c r="B3644" s="18" t="s">
        <v>413</v>
      </c>
      <c r="C3644" s="5">
        <v>1807</v>
      </c>
      <c r="E3644" s="1" t="s">
        <v>2</v>
      </c>
      <c r="F3644" s="18">
        <v>2173</v>
      </c>
      <c r="G3644" s="18">
        <v>52</v>
      </c>
      <c r="H3644" s="5">
        <v>98</v>
      </c>
      <c r="I3644" s="1">
        <v>113</v>
      </c>
      <c r="J3644" s="1">
        <v>247</v>
      </c>
      <c r="L3644" t="str">
        <f t="shared" si="56"/>
        <v>http://www.badatelna.eu/reprodukce/?fondId=1073&amp;zaznamId=1108959&amp;reproId=3780045</v>
      </c>
      <c r="M3644">
        <f>VLOOKUP(F3644,Sheet2!$B$1:$E$19,2,FALSE)</f>
        <v>1073</v>
      </c>
      <c r="N3644">
        <f>VLOOKUP(F3644,Sheet2!$B$1:$E$19,3,FALSE)</f>
        <v>1108959</v>
      </c>
      <c r="O3644">
        <f>IF(G3644="Not available","",VLOOKUP(F3644,Sheet2!$B$1:$E$19,4,FALSE)+(G3644-1))</f>
        <v>3780045</v>
      </c>
    </row>
    <row r="3645" spans="1:15" s="1" customFormat="1" ht="15" customHeight="1" x14ac:dyDescent="0.25">
      <c r="A3645" s="18" t="s">
        <v>410</v>
      </c>
      <c r="B3645" s="18" t="s">
        <v>411</v>
      </c>
      <c r="C3645" s="5">
        <v>1804</v>
      </c>
      <c r="E3645" s="1" t="s">
        <v>2</v>
      </c>
      <c r="F3645" s="18">
        <v>2173</v>
      </c>
      <c r="G3645" s="18">
        <v>48</v>
      </c>
      <c r="H3645" s="5">
        <v>91</v>
      </c>
      <c r="I3645" s="1">
        <v>113</v>
      </c>
      <c r="J3645" s="1">
        <v>247</v>
      </c>
      <c r="L3645" t="str">
        <f t="shared" si="56"/>
        <v>http://www.badatelna.eu/reprodukce/?fondId=1073&amp;zaznamId=1108959&amp;reproId=3780041</v>
      </c>
      <c r="M3645">
        <f>VLOOKUP(F3645,Sheet2!$B$1:$E$19,2,FALSE)</f>
        <v>1073</v>
      </c>
      <c r="N3645">
        <f>VLOOKUP(F3645,Sheet2!$B$1:$E$19,3,FALSE)</f>
        <v>1108959</v>
      </c>
      <c r="O3645">
        <f>IF(G3645="Not available","",VLOOKUP(F3645,Sheet2!$B$1:$E$19,4,FALSE)+(G3645-1))</f>
        <v>3780041</v>
      </c>
    </row>
    <row r="3646" spans="1:15" s="1" customFormat="1" ht="15" customHeight="1" x14ac:dyDescent="0.25">
      <c r="A3646" s="18" t="s">
        <v>410</v>
      </c>
      <c r="B3646" s="18" t="s">
        <v>2022</v>
      </c>
      <c r="C3646" s="10" t="s">
        <v>1949</v>
      </c>
      <c r="D3646" s="3" t="s">
        <v>2637</v>
      </c>
      <c r="E3646" s="4" t="s">
        <v>2</v>
      </c>
      <c r="F3646" s="18">
        <v>2176</v>
      </c>
      <c r="G3646" s="18" t="s">
        <v>3271</v>
      </c>
      <c r="H3646" s="10" t="s">
        <v>2145</v>
      </c>
      <c r="I3646" s="3">
        <v>37</v>
      </c>
      <c r="J3646" s="3" t="s">
        <v>3271</v>
      </c>
      <c r="K3646" s="3"/>
      <c r="L3646" t="str">
        <f t="shared" si="56"/>
        <v/>
      </c>
      <c r="M3646">
        <f>VLOOKUP(F3646,Sheet2!$B$1:$E$19,2,FALSE)</f>
        <v>1073</v>
      </c>
      <c r="N3646">
        <f>VLOOKUP(F3646,Sheet2!$B$1:$E$19,3,FALSE)</f>
        <v>1108963</v>
      </c>
      <c r="O3646" t="str">
        <f>IF(G3646="Not available","",VLOOKUP(F3646,Sheet2!$B$1:$E$19,4,FALSE)+(G3646-1))</f>
        <v/>
      </c>
    </row>
    <row r="3647" spans="1:15" s="1" customFormat="1" ht="15" customHeight="1" x14ac:dyDescent="0.25">
      <c r="A3647" s="18" t="s">
        <v>2638</v>
      </c>
      <c r="B3647" s="18" t="s">
        <v>654</v>
      </c>
      <c r="C3647" s="14" t="s">
        <v>1949</v>
      </c>
      <c r="D3647" s="3" t="s">
        <v>2639</v>
      </c>
      <c r="E3647" s="4" t="s">
        <v>2</v>
      </c>
      <c r="F3647" s="18">
        <v>2176</v>
      </c>
      <c r="G3647" s="18" t="s">
        <v>3271</v>
      </c>
      <c r="H3647" s="10" t="s">
        <v>2478</v>
      </c>
      <c r="I3647" s="3">
        <v>37</v>
      </c>
      <c r="J3647" s="3" t="s">
        <v>3271</v>
      </c>
      <c r="K3647" s="3"/>
      <c r="L3647" t="str">
        <f t="shared" si="56"/>
        <v/>
      </c>
      <c r="M3647">
        <f>VLOOKUP(F3647,Sheet2!$B$1:$E$19,2,FALSE)</f>
        <v>1073</v>
      </c>
      <c r="N3647">
        <f>VLOOKUP(F3647,Sheet2!$B$1:$E$19,3,FALSE)</f>
        <v>1108963</v>
      </c>
      <c r="O3647" t="str">
        <f>IF(G3647="Not available","",VLOOKUP(F3647,Sheet2!$B$1:$E$19,4,FALSE)+(G3647-1))</f>
        <v/>
      </c>
    </row>
    <row r="3648" spans="1:15" s="1" customFormat="1" ht="15" customHeight="1" x14ac:dyDescent="0.25">
      <c r="A3648" s="18" t="s">
        <v>403</v>
      </c>
      <c r="B3648" s="18" t="s">
        <v>99</v>
      </c>
      <c r="C3648" s="5">
        <v>1789</v>
      </c>
      <c r="D3648" s="1" t="s">
        <v>17</v>
      </c>
      <c r="E3648" s="1" t="s">
        <v>2</v>
      </c>
      <c r="F3648" s="18">
        <v>2173</v>
      </c>
      <c r="G3648" s="18">
        <v>18</v>
      </c>
      <c r="H3648" s="5">
        <v>30</v>
      </c>
      <c r="I3648" s="1">
        <v>113</v>
      </c>
      <c r="J3648" s="1">
        <v>247</v>
      </c>
      <c r="L3648" t="str">
        <f t="shared" si="56"/>
        <v>http://www.badatelna.eu/reprodukce/?fondId=1073&amp;zaznamId=1108959&amp;reproId=3780011</v>
      </c>
      <c r="M3648">
        <f>VLOOKUP(F3648,Sheet2!$B$1:$E$19,2,FALSE)</f>
        <v>1073</v>
      </c>
      <c r="N3648">
        <f>VLOOKUP(F3648,Sheet2!$B$1:$E$19,3,FALSE)</f>
        <v>1108959</v>
      </c>
      <c r="O3648">
        <f>IF(G3648="Not available","",VLOOKUP(F3648,Sheet2!$B$1:$E$19,4,FALSE)+(G3648-1))</f>
        <v>3780011</v>
      </c>
    </row>
    <row r="3649" spans="1:15" s="1" customFormat="1" ht="15" customHeight="1" x14ac:dyDescent="0.25">
      <c r="A3649" s="18" t="s">
        <v>405</v>
      </c>
      <c r="B3649" s="18" t="s">
        <v>507</v>
      </c>
      <c r="C3649" s="5" t="s">
        <v>1581</v>
      </c>
      <c r="D3649" s="1" t="s">
        <v>9</v>
      </c>
      <c r="E3649" s="1" t="s">
        <v>2</v>
      </c>
      <c r="F3649" s="18">
        <v>2165</v>
      </c>
      <c r="G3649" s="18">
        <v>13</v>
      </c>
      <c r="H3649" s="5">
        <v>10</v>
      </c>
      <c r="I3649" s="1">
        <v>91</v>
      </c>
      <c r="J3649" s="1" t="s">
        <v>3271</v>
      </c>
      <c r="L3649" t="str">
        <f t="shared" si="56"/>
        <v>http://www.badatelna.eu/reprodukce/?fondId=1073&amp;zaznamId=1108952&amp;reproId=3778874</v>
      </c>
      <c r="M3649">
        <f>VLOOKUP(F3649,Sheet2!$B$1:$E$19,2,FALSE)</f>
        <v>1073</v>
      </c>
      <c r="N3649">
        <f>VLOOKUP(F3649,Sheet2!$B$1:$E$19,3,FALSE)</f>
        <v>1108952</v>
      </c>
      <c r="O3649">
        <f>IF(G3649="Not available","",VLOOKUP(F3649,Sheet2!$B$1:$E$19,4,FALSE)+(G3649-1))</f>
        <v>3778874</v>
      </c>
    </row>
    <row r="3650" spans="1:15" s="1" customFormat="1" ht="15" customHeight="1" x14ac:dyDescent="0.25">
      <c r="A3650" s="18" t="s">
        <v>405</v>
      </c>
      <c r="B3650" s="18" t="s">
        <v>92</v>
      </c>
      <c r="C3650" s="5" t="s">
        <v>1592</v>
      </c>
      <c r="D3650" s="1" t="s">
        <v>9</v>
      </c>
      <c r="E3650" s="1" t="s">
        <v>2</v>
      </c>
      <c r="F3650" s="18">
        <v>2165</v>
      </c>
      <c r="G3650" s="18">
        <v>41</v>
      </c>
      <c r="H3650" s="5">
        <v>38</v>
      </c>
      <c r="I3650" s="1">
        <v>91</v>
      </c>
      <c r="J3650" s="1" t="s">
        <v>3271</v>
      </c>
      <c r="L3650" t="str">
        <f t="shared" si="56"/>
        <v>http://www.badatelna.eu/reprodukce/?fondId=1073&amp;zaznamId=1108952&amp;reproId=3778902</v>
      </c>
      <c r="M3650">
        <f>VLOOKUP(F3650,Sheet2!$B$1:$E$19,2,FALSE)</f>
        <v>1073</v>
      </c>
      <c r="N3650">
        <f>VLOOKUP(F3650,Sheet2!$B$1:$E$19,3,FALSE)</f>
        <v>1108952</v>
      </c>
      <c r="O3650">
        <f>IF(G3650="Not available","",VLOOKUP(F3650,Sheet2!$B$1:$E$19,4,FALSE)+(G3650-1))</f>
        <v>3778902</v>
      </c>
    </row>
    <row r="3651" spans="1:15" s="1" customFormat="1" ht="15" customHeight="1" x14ac:dyDescent="0.25">
      <c r="A3651" s="18" t="s">
        <v>405</v>
      </c>
      <c r="B3651" s="18" t="s">
        <v>74</v>
      </c>
      <c r="C3651" s="5">
        <v>1802</v>
      </c>
      <c r="E3651" s="1" t="s">
        <v>2</v>
      </c>
      <c r="F3651" s="18">
        <v>2173</v>
      </c>
      <c r="G3651" s="18">
        <v>45</v>
      </c>
      <c r="H3651" s="5">
        <v>85</v>
      </c>
      <c r="I3651" s="1">
        <v>113</v>
      </c>
      <c r="J3651" s="1">
        <v>247</v>
      </c>
      <c r="L3651" t="str">
        <f t="shared" ref="L3651:L3714" si="57">IF(G3651="Not available","","http://www.badatelna.eu/reprodukce/?fondId="&amp;M3651&amp;"&amp;zaznamId="&amp;N3651&amp;"&amp;reproId="&amp;O3651)</f>
        <v>http://www.badatelna.eu/reprodukce/?fondId=1073&amp;zaznamId=1108959&amp;reproId=3780038</v>
      </c>
      <c r="M3651">
        <f>VLOOKUP(F3651,Sheet2!$B$1:$E$19,2,FALSE)</f>
        <v>1073</v>
      </c>
      <c r="N3651">
        <f>VLOOKUP(F3651,Sheet2!$B$1:$E$19,3,FALSE)</f>
        <v>1108959</v>
      </c>
      <c r="O3651">
        <f>IF(G3651="Not available","",VLOOKUP(F3651,Sheet2!$B$1:$E$19,4,FALSE)+(G3651-1))</f>
        <v>3780038</v>
      </c>
    </row>
    <row r="3652" spans="1:15" s="1" customFormat="1" ht="15" customHeight="1" x14ac:dyDescent="0.25">
      <c r="A3652" s="18" t="s">
        <v>405</v>
      </c>
      <c r="B3652" s="18" t="s">
        <v>769</v>
      </c>
      <c r="C3652" s="5" t="s">
        <v>1594</v>
      </c>
      <c r="D3652" s="1" t="s">
        <v>9</v>
      </c>
      <c r="E3652" s="1" t="s">
        <v>2</v>
      </c>
      <c r="F3652" s="18">
        <v>2165</v>
      </c>
      <c r="G3652" s="18">
        <v>49</v>
      </c>
      <c r="H3652" s="5">
        <v>46</v>
      </c>
      <c r="I3652" s="1">
        <v>91</v>
      </c>
      <c r="J3652" s="1" t="s">
        <v>3271</v>
      </c>
      <c r="L3652" t="str">
        <f t="shared" si="57"/>
        <v>http://www.badatelna.eu/reprodukce/?fondId=1073&amp;zaznamId=1108952&amp;reproId=3778910</v>
      </c>
      <c r="M3652">
        <f>VLOOKUP(F3652,Sheet2!$B$1:$E$19,2,FALSE)</f>
        <v>1073</v>
      </c>
      <c r="N3652">
        <f>VLOOKUP(F3652,Sheet2!$B$1:$E$19,3,FALSE)</f>
        <v>1108952</v>
      </c>
      <c r="O3652">
        <f>IF(G3652="Not available","",VLOOKUP(F3652,Sheet2!$B$1:$E$19,4,FALSE)+(G3652-1))</f>
        <v>3778910</v>
      </c>
    </row>
    <row r="3653" spans="1:15" s="1" customFormat="1" ht="15" customHeight="1" x14ac:dyDescent="0.25">
      <c r="A3653" s="18" t="s">
        <v>405</v>
      </c>
      <c r="B3653" s="18" t="s">
        <v>59</v>
      </c>
      <c r="C3653" s="5">
        <v>1809</v>
      </c>
      <c r="E3653" s="1" t="s">
        <v>2</v>
      </c>
      <c r="F3653" s="18">
        <v>2173</v>
      </c>
      <c r="G3653" s="18">
        <v>55</v>
      </c>
      <c r="H3653" s="5">
        <v>105</v>
      </c>
      <c r="I3653" s="1">
        <v>113</v>
      </c>
      <c r="J3653" s="1">
        <v>247</v>
      </c>
      <c r="L3653" t="str">
        <f t="shared" si="57"/>
        <v>http://www.badatelna.eu/reprodukce/?fondId=1073&amp;zaznamId=1108959&amp;reproId=3780048</v>
      </c>
      <c r="M3653">
        <f>VLOOKUP(F3653,Sheet2!$B$1:$E$19,2,FALSE)</f>
        <v>1073</v>
      </c>
      <c r="N3653">
        <f>VLOOKUP(F3653,Sheet2!$B$1:$E$19,3,FALSE)</f>
        <v>1108959</v>
      </c>
      <c r="O3653">
        <f>IF(G3653="Not available","",VLOOKUP(F3653,Sheet2!$B$1:$E$19,4,FALSE)+(G3653-1))</f>
        <v>3780048</v>
      </c>
    </row>
    <row r="3654" spans="1:15" s="1" customFormat="1" ht="15" customHeight="1" x14ac:dyDescent="0.25">
      <c r="A3654" s="18" t="s">
        <v>405</v>
      </c>
      <c r="B3654" s="18" t="s">
        <v>87</v>
      </c>
      <c r="C3654" s="5">
        <v>1820</v>
      </c>
      <c r="E3654" s="1" t="s">
        <v>2</v>
      </c>
      <c r="F3654" s="18">
        <v>2173</v>
      </c>
      <c r="G3654" s="18">
        <v>71</v>
      </c>
      <c r="H3654" s="5">
        <v>133</v>
      </c>
      <c r="I3654" s="1">
        <v>114</v>
      </c>
      <c r="J3654" s="1">
        <v>248</v>
      </c>
      <c r="L3654" t="str">
        <f t="shared" si="57"/>
        <v>http://www.badatelna.eu/reprodukce/?fondId=1073&amp;zaznamId=1108959&amp;reproId=3780064</v>
      </c>
      <c r="M3654">
        <f>VLOOKUP(F3654,Sheet2!$B$1:$E$19,2,FALSE)</f>
        <v>1073</v>
      </c>
      <c r="N3654">
        <f>VLOOKUP(F3654,Sheet2!$B$1:$E$19,3,FALSE)</f>
        <v>1108959</v>
      </c>
      <c r="O3654">
        <f>IF(G3654="Not available","",VLOOKUP(F3654,Sheet2!$B$1:$E$19,4,FALSE)+(G3654-1))</f>
        <v>3780064</v>
      </c>
    </row>
    <row r="3655" spans="1:15" s="1" customFormat="1" ht="15" customHeight="1" x14ac:dyDescent="0.25">
      <c r="A3655" s="18" t="s">
        <v>405</v>
      </c>
      <c r="B3655" s="18" t="s">
        <v>166</v>
      </c>
      <c r="C3655" s="5">
        <v>1818</v>
      </c>
      <c r="E3655" s="1" t="s">
        <v>2</v>
      </c>
      <c r="F3655" s="18">
        <v>2173</v>
      </c>
      <c r="G3655" s="18">
        <v>68</v>
      </c>
      <c r="H3655" s="5">
        <v>129</v>
      </c>
      <c r="I3655" s="1">
        <v>114</v>
      </c>
      <c r="J3655" s="1">
        <v>248</v>
      </c>
      <c r="L3655" t="str">
        <f t="shared" si="57"/>
        <v>http://www.badatelna.eu/reprodukce/?fondId=1073&amp;zaznamId=1108959&amp;reproId=3780061</v>
      </c>
      <c r="M3655">
        <f>VLOOKUP(F3655,Sheet2!$B$1:$E$19,2,FALSE)</f>
        <v>1073</v>
      </c>
      <c r="N3655">
        <f>VLOOKUP(F3655,Sheet2!$B$1:$E$19,3,FALSE)</f>
        <v>1108959</v>
      </c>
      <c r="O3655">
        <f>IF(G3655="Not available","",VLOOKUP(F3655,Sheet2!$B$1:$E$19,4,FALSE)+(G3655-1))</f>
        <v>3780061</v>
      </c>
    </row>
    <row r="3656" spans="1:15" s="1" customFormat="1" ht="15" customHeight="1" x14ac:dyDescent="0.25">
      <c r="A3656" s="18" t="s">
        <v>405</v>
      </c>
      <c r="B3656" s="18" t="s">
        <v>123</v>
      </c>
      <c r="C3656" s="5">
        <v>1808</v>
      </c>
      <c r="E3656" s="1" t="s">
        <v>2</v>
      </c>
      <c r="F3656" s="18">
        <v>2173</v>
      </c>
      <c r="G3656" s="18">
        <v>53</v>
      </c>
      <c r="H3656" s="14" t="s">
        <v>2995</v>
      </c>
      <c r="I3656" s="1">
        <v>113</v>
      </c>
      <c r="J3656" s="1">
        <v>247</v>
      </c>
      <c r="L3656" t="str">
        <f t="shared" si="57"/>
        <v>http://www.badatelna.eu/reprodukce/?fondId=1073&amp;zaznamId=1108959&amp;reproId=3780046</v>
      </c>
      <c r="M3656">
        <f>VLOOKUP(F3656,Sheet2!$B$1:$E$19,2,FALSE)</f>
        <v>1073</v>
      </c>
      <c r="N3656">
        <f>VLOOKUP(F3656,Sheet2!$B$1:$E$19,3,FALSE)</f>
        <v>1108959</v>
      </c>
      <c r="O3656">
        <f>IF(G3656="Not available","",VLOOKUP(F3656,Sheet2!$B$1:$E$19,4,FALSE)+(G3656-1))</f>
        <v>3780046</v>
      </c>
    </row>
    <row r="3657" spans="1:15" s="1" customFormat="1" ht="15" customHeight="1" x14ac:dyDescent="0.25">
      <c r="A3657" s="18" t="s">
        <v>405</v>
      </c>
      <c r="B3657" s="18" t="s">
        <v>231</v>
      </c>
      <c r="C3657" s="5">
        <v>1801</v>
      </c>
      <c r="E3657" s="1" t="s">
        <v>2</v>
      </c>
      <c r="F3657" s="18">
        <v>2173</v>
      </c>
      <c r="G3657" s="18">
        <v>41</v>
      </c>
      <c r="H3657" s="5">
        <v>76</v>
      </c>
      <c r="I3657" s="1">
        <v>113</v>
      </c>
      <c r="J3657" s="1">
        <v>247</v>
      </c>
      <c r="L3657" t="str">
        <f t="shared" si="57"/>
        <v>http://www.badatelna.eu/reprodukce/?fondId=1073&amp;zaznamId=1108959&amp;reproId=3780034</v>
      </c>
      <c r="M3657">
        <f>VLOOKUP(F3657,Sheet2!$B$1:$E$19,2,FALSE)</f>
        <v>1073</v>
      </c>
      <c r="N3657">
        <f>VLOOKUP(F3657,Sheet2!$B$1:$E$19,3,FALSE)</f>
        <v>1108959</v>
      </c>
      <c r="O3657">
        <f>IF(G3657="Not available","",VLOOKUP(F3657,Sheet2!$B$1:$E$19,4,FALSE)+(G3657-1))</f>
        <v>3780034</v>
      </c>
    </row>
    <row r="3658" spans="1:15" s="1" customFormat="1" ht="15" customHeight="1" x14ac:dyDescent="0.25">
      <c r="A3658" s="18" t="s">
        <v>405</v>
      </c>
      <c r="B3658" s="18" t="s">
        <v>992</v>
      </c>
      <c r="C3658" s="5" t="s">
        <v>1579</v>
      </c>
      <c r="D3658" s="1" t="s">
        <v>50</v>
      </c>
      <c r="E3658" s="1" t="s">
        <v>2</v>
      </c>
      <c r="F3658" s="18">
        <v>2165</v>
      </c>
      <c r="G3658" s="18">
        <v>7</v>
      </c>
      <c r="H3658" s="5">
        <v>4</v>
      </c>
      <c r="I3658" s="1">
        <v>91</v>
      </c>
      <c r="J3658" s="1" t="s">
        <v>3271</v>
      </c>
      <c r="L3658" t="str">
        <f t="shared" si="57"/>
        <v>http://www.badatelna.eu/reprodukce/?fondId=1073&amp;zaznamId=1108952&amp;reproId=3778868</v>
      </c>
      <c r="M3658">
        <f>VLOOKUP(F3658,Sheet2!$B$1:$E$19,2,FALSE)</f>
        <v>1073</v>
      </c>
      <c r="N3658">
        <f>VLOOKUP(F3658,Sheet2!$B$1:$E$19,3,FALSE)</f>
        <v>1108952</v>
      </c>
      <c r="O3658">
        <f>IF(G3658="Not available","",VLOOKUP(F3658,Sheet2!$B$1:$E$19,4,FALSE)+(G3658-1))</f>
        <v>3778868</v>
      </c>
    </row>
    <row r="3659" spans="1:15" s="1" customFormat="1" ht="15" customHeight="1" x14ac:dyDescent="0.25">
      <c r="A3659" s="18" t="s">
        <v>405</v>
      </c>
      <c r="B3659" s="18" t="s">
        <v>2112</v>
      </c>
      <c r="C3659" s="10" t="s">
        <v>1966</v>
      </c>
      <c r="D3659" s="3" t="s">
        <v>2647</v>
      </c>
      <c r="E3659" s="4" t="s">
        <v>2</v>
      </c>
      <c r="F3659" s="18">
        <v>2176</v>
      </c>
      <c r="G3659" s="18" t="s">
        <v>3271</v>
      </c>
      <c r="H3659" s="10" t="s">
        <v>2083</v>
      </c>
      <c r="I3659" s="3">
        <v>38</v>
      </c>
      <c r="J3659" s="3" t="s">
        <v>3271</v>
      </c>
      <c r="K3659" s="3"/>
      <c r="L3659" t="str">
        <f t="shared" si="57"/>
        <v/>
      </c>
      <c r="M3659">
        <f>VLOOKUP(F3659,Sheet2!$B$1:$E$19,2,FALSE)</f>
        <v>1073</v>
      </c>
      <c r="N3659">
        <f>VLOOKUP(F3659,Sheet2!$B$1:$E$19,3,FALSE)</f>
        <v>1108963</v>
      </c>
      <c r="O3659" t="str">
        <f>IF(G3659="Not available","",VLOOKUP(F3659,Sheet2!$B$1:$E$19,4,FALSE)+(G3659-1))</f>
        <v/>
      </c>
    </row>
    <row r="3660" spans="1:15" s="1" customFormat="1" ht="15" customHeight="1" x14ac:dyDescent="0.25">
      <c r="A3660" s="18" t="s">
        <v>405</v>
      </c>
      <c r="B3660" s="18" t="s">
        <v>197</v>
      </c>
      <c r="C3660" s="5" t="s">
        <v>1597</v>
      </c>
      <c r="D3660" s="1" t="s">
        <v>50</v>
      </c>
      <c r="E3660" s="1" t="s">
        <v>2</v>
      </c>
      <c r="F3660" s="18">
        <v>2165</v>
      </c>
      <c r="G3660" s="18">
        <v>60</v>
      </c>
      <c r="H3660" s="5">
        <v>57</v>
      </c>
      <c r="I3660" s="1">
        <v>91</v>
      </c>
      <c r="J3660" s="1" t="s">
        <v>3271</v>
      </c>
      <c r="L3660" t="str">
        <f t="shared" si="57"/>
        <v>http://www.badatelna.eu/reprodukce/?fondId=1073&amp;zaznamId=1108952&amp;reproId=3778921</v>
      </c>
      <c r="M3660">
        <f>VLOOKUP(F3660,Sheet2!$B$1:$E$19,2,FALSE)</f>
        <v>1073</v>
      </c>
      <c r="N3660">
        <f>VLOOKUP(F3660,Sheet2!$B$1:$E$19,3,FALSE)</f>
        <v>1108952</v>
      </c>
      <c r="O3660">
        <f>IF(G3660="Not available","",VLOOKUP(F3660,Sheet2!$B$1:$E$19,4,FALSE)+(G3660-1))</f>
        <v>3778921</v>
      </c>
    </row>
    <row r="3661" spans="1:15" s="1" customFormat="1" ht="15" customHeight="1" x14ac:dyDescent="0.25">
      <c r="A3661" s="18" t="s">
        <v>405</v>
      </c>
      <c r="B3661" s="18" t="s">
        <v>137</v>
      </c>
      <c r="C3661" s="5">
        <v>1821</v>
      </c>
      <c r="E3661" s="1" t="s">
        <v>2</v>
      </c>
      <c r="F3661" s="18">
        <v>2173</v>
      </c>
      <c r="G3661" s="18">
        <v>72</v>
      </c>
      <c r="H3661" s="5">
        <v>136</v>
      </c>
      <c r="I3661" s="1">
        <v>114</v>
      </c>
      <c r="J3661" s="1">
        <v>248</v>
      </c>
      <c r="L3661" t="str">
        <f t="shared" si="57"/>
        <v>http://www.badatelna.eu/reprodukce/?fondId=1073&amp;zaznamId=1108959&amp;reproId=3780065</v>
      </c>
      <c r="M3661">
        <f>VLOOKUP(F3661,Sheet2!$B$1:$E$19,2,FALSE)</f>
        <v>1073</v>
      </c>
      <c r="N3661">
        <f>VLOOKUP(F3661,Sheet2!$B$1:$E$19,3,FALSE)</f>
        <v>1108959</v>
      </c>
      <c r="O3661">
        <f>IF(G3661="Not available","",VLOOKUP(F3661,Sheet2!$B$1:$E$19,4,FALSE)+(G3661-1))</f>
        <v>3780065</v>
      </c>
    </row>
    <row r="3662" spans="1:15" s="1" customFormat="1" ht="15" customHeight="1" x14ac:dyDescent="0.25">
      <c r="A3662" s="18" t="s">
        <v>405</v>
      </c>
      <c r="B3662" s="18" t="s">
        <v>1087</v>
      </c>
      <c r="C3662" s="5" t="s">
        <v>1593</v>
      </c>
      <c r="D3662" s="1" t="s">
        <v>50</v>
      </c>
      <c r="E3662" s="1" t="s">
        <v>2</v>
      </c>
      <c r="F3662" s="18">
        <v>2165</v>
      </c>
      <c r="G3662" s="18">
        <v>36</v>
      </c>
      <c r="H3662" s="5">
        <v>33</v>
      </c>
      <c r="I3662" s="1">
        <v>91</v>
      </c>
      <c r="J3662" s="1" t="s">
        <v>3271</v>
      </c>
      <c r="L3662" t="str">
        <f t="shared" si="57"/>
        <v>http://www.badatelna.eu/reprodukce/?fondId=1073&amp;zaznamId=1108952&amp;reproId=3778897</v>
      </c>
      <c r="M3662">
        <f>VLOOKUP(F3662,Sheet2!$B$1:$E$19,2,FALSE)</f>
        <v>1073</v>
      </c>
      <c r="N3662">
        <f>VLOOKUP(F3662,Sheet2!$B$1:$E$19,3,FALSE)</f>
        <v>1108952</v>
      </c>
      <c r="O3662">
        <f>IF(G3662="Not available","",VLOOKUP(F3662,Sheet2!$B$1:$E$19,4,FALSE)+(G3662-1))</f>
        <v>3778897</v>
      </c>
    </row>
    <row r="3663" spans="1:15" s="1" customFormat="1" ht="15" customHeight="1" x14ac:dyDescent="0.25">
      <c r="A3663" s="18" t="s">
        <v>405</v>
      </c>
      <c r="B3663" s="18" t="s">
        <v>937</v>
      </c>
      <c r="C3663" s="5" t="s">
        <v>1587</v>
      </c>
      <c r="D3663" s="1" t="s">
        <v>9</v>
      </c>
      <c r="E3663" s="1" t="s">
        <v>2</v>
      </c>
      <c r="F3663" s="18">
        <v>2165</v>
      </c>
      <c r="G3663" s="18">
        <v>32</v>
      </c>
      <c r="H3663" s="5">
        <v>29</v>
      </c>
      <c r="I3663" s="1">
        <v>91</v>
      </c>
      <c r="J3663" s="1" t="s">
        <v>3271</v>
      </c>
      <c r="L3663" t="str">
        <f t="shared" si="57"/>
        <v>http://www.badatelna.eu/reprodukce/?fondId=1073&amp;zaznamId=1108952&amp;reproId=3778893</v>
      </c>
      <c r="M3663">
        <f>VLOOKUP(F3663,Sheet2!$B$1:$E$19,2,FALSE)</f>
        <v>1073</v>
      </c>
      <c r="N3663">
        <f>VLOOKUP(F3663,Sheet2!$B$1:$E$19,3,FALSE)</f>
        <v>1108952</v>
      </c>
      <c r="O3663">
        <f>IF(G3663="Not available","",VLOOKUP(F3663,Sheet2!$B$1:$E$19,4,FALSE)+(G3663-1))</f>
        <v>3778893</v>
      </c>
    </row>
    <row r="3664" spans="1:15" s="1" customFormat="1" ht="15" customHeight="1" x14ac:dyDescent="0.25">
      <c r="A3664" s="18" t="s">
        <v>405</v>
      </c>
      <c r="B3664" s="18" t="s">
        <v>13</v>
      </c>
      <c r="C3664" s="5">
        <v>1802</v>
      </c>
      <c r="E3664" s="1" t="s">
        <v>2</v>
      </c>
      <c r="F3664" s="18">
        <v>2173</v>
      </c>
      <c r="G3664" s="18">
        <v>45</v>
      </c>
      <c r="H3664" s="5">
        <v>84</v>
      </c>
      <c r="I3664" s="1">
        <v>113</v>
      </c>
      <c r="J3664" s="1">
        <v>247</v>
      </c>
      <c r="L3664" t="str">
        <f t="shared" si="57"/>
        <v>http://www.badatelna.eu/reprodukce/?fondId=1073&amp;zaznamId=1108959&amp;reproId=3780038</v>
      </c>
      <c r="M3664">
        <f>VLOOKUP(F3664,Sheet2!$B$1:$E$19,2,FALSE)</f>
        <v>1073</v>
      </c>
      <c r="N3664">
        <f>VLOOKUP(F3664,Sheet2!$B$1:$E$19,3,FALSE)</f>
        <v>1108959</v>
      </c>
      <c r="O3664">
        <f>IF(G3664="Not available","",VLOOKUP(F3664,Sheet2!$B$1:$E$19,4,FALSE)+(G3664-1))</f>
        <v>3780038</v>
      </c>
    </row>
    <row r="3665" spans="1:15" s="1" customFormat="1" ht="15" customHeight="1" x14ac:dyDescent="0.25">
      <c r="A3665" s="18" t="s">
        <v>405</v>
      </c>
      <c r="B3665" s="18" t="s">
        <v>476</v>
      </c>
      <c r="C3665" s="5">
        <v>1837</v>
      </c>
      <c r="D3665" s="1" t="s">
        <v>422</v>
      </c>
      <c r="E3665" s="1" t="s">
        <v>2</v>
      </c>
      <c r="F3665" s="18">
        <v>2174</v>
      </c>
      <c r="G3665" s="18">
        <v>91</v>
      </c>
      <c r="H3665" s="6" t="s">
        <v>3157</v>
      </c>
      <c r="I3665" s="1">
        <v>199</v>
      </c>
      <c r="J3665" s="1">
        <v>234</v>
      </c>
      <c r="L3665" t="str">
        <f t="shared" si="57"/>
        <v>http://www.badatelna.eu/reprodukce/?fondId=1073&amp;zaznamId=1108960&amp;reproId=3780315</v>
      </c>
      <c r="M3665">
        <f>VLOOKUP(F3665,Sheet2!$B$1:$E$19,2,FALSE)</f>
        <v>1073</v>
      </c>
      <c r="N3665">
        <f>VLOOKUP(F3665,Sheet2!$B$1:$E$19,3,FALSE)</f>
        <v>1108960</v>
      </c>
      <c r="O3665">
        <f>IF(G3665="Not available","",VLOOKUP(F3665,Sheet2!$B$1:$E$19,4,FALSE)+(G3665-1))</f>
        <v>3780315</v>
      </c>
    </row>
    <row r="3666" spans="1:15" s="1" customFormat="1" ht="15" customHeight="1" x14ac:dyDescent="0.25">
      <c r="A3666" s="18" t="s">
        <v>405</v>
      </c>
      <c r="B3666" s="18" t="s">
        <v>412</v>
      </c>
      <c r="C3666" s="5">
        <v>1805</v>
      </c>
      <c r="E3666" s="1" t="s">
        <v>2</v>
      </c>
      <c r="F3666" s="18">
        <v>2173</v>
      </c>
      <c r="G3666" s="18">
        <v>49</v>
      </c>
      <c r="H3666" s="5">
        <v>92</v>
      </c>
      <c r="I3666" s="1">
        <v>113</v>
      </c>
      <c r="J3666" s="1">
        <v>247</v>
      </c>
      <c r="L3666" t="str">
        <f t="shared" si="57"/>
        <v>http://www.badatelna.eu/reprodukce/?fondId=1073&amp;zaznamId=1108959&amp;reproId=3780042</v>
      </c>
      <c r="M3666">
        <f>VLOOKUP(F3666,Sheet2!$B$1:$E$19,2,FALSE)</f>
        <v>1073</v>
      </c>
      <c r="N3666">
        <f>VLOOKUP(F3666,Sheet2!$B$1:$E$19,3,FALSE)</f>
        <v>1108959</v>
      </c>
      <c r="O3666">
        <f>IF(G3666="Not available","",VLOOKUP(F3666,Sheet2!$B$1:$E$19,4,FALSE)+(G3666-1))</f>
        <v>3780042</v>
      </c>
    </row>
    <row r="3667" spans="1:15" s="1" customFormat="1" ht="15" customHeight="1" x14ac:dyDescent="0.25">
      <c r="A3667" s="18" t="s">
        <v>405</v>
      </c>
      <c r="B3667" s="18" t="s">
        <v>143</v>
      </c>
      <c r="C3667" s="14" t="s">
        <v>3103</v>
      </c>
      <c r="D3667" s="1" t="s">
        <v>466</v>
      </c>
      <c r="E3667" s="1" t="s">
        <v>2</v>
      </c>
      <c r="F3667" s="18">
        <v>2174</v>
      </c>
      <c r="G3667" s="18">
        <v>63</v>
      </c>
      <c r="H3667" s="6" t="s">
        <v>3107</v>
      </c>
      <c r="I3667" s="1">
        <v>199</v>
      </c>
      <c r="J3667" s="1">
        <v>234</v>
      </c>
      <c r="L3667" t="str">
        <f t="shared" si="57"/>
        <v>http://www.badatelna.eu/reprodukce/?fondId=1073&amp;zaznamId=1108960&amp;reproId=3780287</v>
      </c>
      <c r="M3667">
        <f>VLOOKUP(F3667,Sheet2!$B$1:$E$19,2,FALSE)</f>
        <v>1073</v>
      </c>
      <c r="N3667">
        <f>VLOOKUP(F3667,Sheet2!$B$1:$E$19,3,FALSE)</f>
        <v>1108960</v>
      </c>
      <c r="O3667">
        <f>IF(G3667="Not available","",VLOOKUP(F3667,Sheet2!$B$1:$E$19,4,FALSE)+(G3667-1))</f>
        <v>3780287</v>
      </c>
    </row>
    <row r="3668" spans="1:15" s="1" customFormat="1" ht="15" customHeight="1" x14ac:dyDescent="0.25">
      <c r="A3668" s="18" t="s">
        <v>405</v>
      </c>
      <c r="B3668" s="18" t="s">
        <v>404</v>
      </c>
      <c r="C3668" s="5">
        <v>1793</v>
      </c>
      <c r="D3668" s="1" t="s">
        <v>38</v>
      </c>
      <c r="E3668" s="1" t="s">
        <v>2</v>
      </c>
      <c r="F3668" s="18">
        <v>2173</v>
      </c>
      <c r="G3668" s="18">
        <v>30</v>
      </c>
      <c r="H3668" s="5">
        <v>55</v>
      </c>
      <c r="I3668" s="1">
        <v>113</v>
      </c>
      <c r="J3668" s="1">
        <v>247</v>
      </c>
      <c r="L3668" t="str">
        <f t="shared" si="57"/>
        <v>http://www.badatelna.eu/reprodukce/?fondId=1073&amp;zaznamId=1108959&amp;reproId=3780023</v>
      </c>
      <c r="M3668">
        <f>VLOOKUP(F3668,Sheet2!$B$1:$E$19,2,FALSE)</f>
        <v>1073</v>
      </c>
      <c r="N3668">
        <f>VLOOKUP(F3668,Sheet2!$B$1:$E$19,3,FALSE)</f>
        <v>1108959</v>
      </c>
      <c r="O3668">
        <f>IF(G3668="Not available","",VLOOKUP(F3668,Sheet2!$B$1:$E$19,4,FALSE)+(G3668-1))</f>
        <v>3780023</v>
      </c>
    </row>
    <row r="3669" spans="1:15" s="1" customFormat="1" ht="15" customHeight="1" x14ac:dyDescent="0.25">
      <c r="A3669" s="18" t="s">
        <v>405</v>
      </c>
      <c r="B3669" s="18" t="s">
        <v>2253</v>
      </c>
      <c r="C3669" s="10" t="s">
        <v>2648</v>
      </c>
      <c r="D3669" s="3" t="s">
        <v>2647</v>
      </c>
      <c r="E3669" s="4" t="s">
        <v>2</v>
      </c>
      <c r="F3669" s="18">
        <v>2176</v>
      </c>
      <c r="G3669" s="18" t="s">
        <v>3271</v>
      </c>
      <c r="H3669" s="10" t="s">
        <v>1954</v>
      </c>
      <c r="I3669" s="3">
        <v>38</v>
      </c>
      <c r="J3669" s="3" t="s">
        <v>3271</v>
      </c>
      <c r="K3669" s="3"/>
      <c r="L3669" t="str">
        <f t="shared" si="57"/>
        <v/>
      </c>
      <c r="M3669">
        <f>VLOOKUP(F3669,Sheet2!$B$1:$E$19,2,FALSE)</f>
        <v>1073</v>
      </c>
      <c r="N3669">
        <f>VLOOKUP(F3669,Sheet2!$B$1:$E$19,3,FALSE)</f>
        <v>1108963</v>
      </c>
      <c r="O3669" t="str">
        <f>IF(G3669="Not available","",VLOOKUP(F3669,Sheet2!$B$1:$E$19,4,FALSE)+(G3669-1))</f>
        <v/>
      </c>
    </row>
    <row r="3670" spans="1:15" s="1" customFormat="1" ht="15" customHeight="1" x14ac:dyDescent="0.25">
      <c r="A3670" s="18" t="s">
        <v>405</v>
      </c>
      <c r="B3670" s="18" t="s">
        <v>18</v>
      </c>
      <c r="C3670" s="5">
        <v>1794</v>
      </c>
      <c r="D3670" s="1" t="s">
        <v>65</v>
      </c>
      <c r="E3670" s="1" t="s">
        <v>2</v>
      </c>
      <c r="F3670" s="18">
        <v>2173</v>
      </c>
      <c r="G3670" s="18">
        <v>31</v>
      </c>
      <c r="H3670" s="5">
        <v>56</v>
      </c>
      <c r="I3670" s="1">
        <v>113</v>
      </c>
      <c r="J3670" s="1">
        <v>247</v>
      </c>
      <c r="L3670" t="str">
        <f t="shared" si="57"/>
        <v>http://www.badatelna.eu/reprodukce/?fondId=1073&amp;zaznamId=1108959&amp;reproId=3780024</v>
      </c>
      <c r="M3670">
        <f>VLOOKUP(F3670,Sheet2!$B$1:$E$19,2,FALSE)</f>
        <v>1073</v>
      </c>
      <c r="N3670">
        <f>VLOOKUP(F3670,Sheet2!$B$1:$E$19,3,FALSE)</f>
        <v>1108959</v>
      </c>
      <c r="O3670">
        <f>IF(G3670="Not available","",VLOOKUP(F3670,Sheet2!$B$1:$E$19,4,FALSE)+(G3670-1))</f>
        <v>3780024</v>
      </c>
    </row>
    <row r="3671" spans="1:15" s="1" customFormat="1" ht="15" customHeight="1" x14ac:dyDescent="0.25">
      <c r="A3671" s="18" t="s">
        <v>405</v>
      </c>
      <c r="B3671" s="18" t="s">
        <v>11</v>
      </c>
      <c r="C3671" s="5">
        <v>1801</v>
      </c>
      <c r="E3671" s="1" t="s">
        <v>2</v>
      </c>
      <c r="F3671" s="18">
        <v>2173</v>
      </c>
      <c r="G3671" s="18">
        <v>42</v>
      </c>
      <c r="H3671" s="5">
        <v>78</v>
      </c>
      <c r="I3671" s="1">
        <v>113</v>
      </c>
      <c r="J3671" s="1">
        <v>247</v>
      </c>
      <c r="L3671" t="str">
        <f t="shared" si="57"/>
        <v>http://www.badatelna.eu/reprodukce/?fondId=1073&amp;zaznamId=1108959&amp;reproId=3780035</v>
      </c>
      <c r="M3671">
        <f>VLOOKUP(F3671,Sheet2!$B$1:$E$19,2,FALSE)</f>
        <v>1073</v>
      </c>
      <c r="N3671">
        <f>VLOOKUP(F3671,Sheet2!$B$1:$E$19,3,FALSE)</f>
        <v>1108959</v>
      </c>
      <c r="O3671">
        <f>IF(G3671="Not available","",VLOOKUP(F3671,Sheet2!$B$1:$E$19,4,FALSE)+(G3671-1))</f>
        <v>3780035</v>
      </c>
    </row>
    <row r="3672" spans="1:15" s="1" customFormat="1" ht="15" customHeight="1" x14ac:dyDescent="0.25">
      <c r="A3672" s="18" t="s">
        <v>405</v>
      </c>
      <c r="B3672" s="18" t="s">
        <v>398</v>
      </c>
      <c r="C3672" s="5">
        <v>1807</v>
      </c>
      <c r="E3672" s="1" t="s">
        <v>2</v>
      </c>
      <c r="F3672" s="18">
        <v>2173</v>
      </c>
      <c r="G3672" s="18">
        <v>52</v>
      </c>
      <c r="H3672" s="5">
        <v>99</v>
      </c>
      <c r="I3672" s="1">
        <v>113</v>
      </c>
      <c r="J3672" s="1">
        <v>247</v>
      </c>
      <c r="L3672" t="str">
        <f t="shared" si="57"/>
        <v>http://www.badatelna.eu/reprodukce/?fondId=1073&amp;zaznamId=1108959&amp;reproId=3780045</v>
      </c>
      <c r="M3672">
        <f>VLOOKUP(F3672,Sheet2!$B$1:$E$19,2,FALSE)</f>
        <v>1073</v>
      </c>
      <c r="N3672">
        <f>VLOOKUP(F3672,Sheet2!$B$1:$E$19,3,FALSE)</f>
        <v>1108959</v>
      </c>
      <c r="O3672">
        <f>IF(G3672="Not available","",VLOOKUP(F3672,Sheet2!$B$1:$E$19,4,FALSE)+(G3672-1))</f>
        <v>3780045</v>
      </c>
    </row>
    <row r="3673" spans="1:15" s="1" customFormat="1" ht="15" customHeight="1" x14ac:dyDescent="0.25">
      <c r="A3673" s="18" t="s">
        <v>405</v>
      </c>
      <c r="B3673" s="18" t="s">
        <v>23</v>
      </c>
      <c r="C3673" s="5">
        <v>1814</v>
      </c>
      <c r="E3673" s="1" t="s">
        <v>2</v>
      </c>
      <c r="F3673" s="18">
        <v>2173</v>
      </c>
      <c r="G3673" s="18">
        <v>62</v>
      </c>
      <c r="H3673" s="5">
        <v>118</v>
      </c>
      <c r="I3673" s="1">
        <v>113</v>
      </c>
      <c r="J3673" s="1">
        <v>247</v>
      </c>
      <c r="L3673" t="str">
        <f t="shared" si="57"/>
        <v>http://www.badatelna.eu/reprodukce/?fondId=1073&amp;zaznamId=1108959&amp;reproId=3780055</v>
      </c>
      <c r="M3673">
        <f>VLOOKUP(F3673,Sheet2!$B$1:$E$19,2,FALSE)</f>
        <v>1073</v>
      </c>
      <c r="N3673">
        <f>VLOOKUP(F3673,Sheet2!$B$1:$E$19,3,FALSE)</f>
        <v>1108959</v>
      </c>
      <c r="O3673">
        <f>IF(G3673="Not available","",VLOOKUP(F3673,Sheet2!$B$1:$E$19,4,FALSE)+(G3673-1))</f>
        <v>3780055</v>
      </c>
    </row>
    <row r="3674" spans="1:15" s="1" customFormat="1" ht="15" customHeight="1" x14ac:dyDescent="0.25">
      <c r="A3674" s="18" t="s">
        <v>405</v>
      </c>
      <c r="B3674" s="18" t="s">
        <v>924</v>
      </c>
      <c r="C3674" s="5" t="s">
        <v>1585</v>
      </c>
      <c r="D3674" s="1" t="s">
        <v>50</v>
      </c>
      <c r="E3674" s="1" t="s">
        <v>2</v>
      </c>
      <c r="F3674" s="18">
        <v>2165</v>
      </c>
      <c r="G3674" s="18">
        <v>21</v>
      </c>
      <c r="H3674" s="5">
        <v>18</v>
      </c>
      <c r="I3674" s="1">
        <v>91</v>
      </c>
      <c r="J3674" s="1" t="s">
        <v>3271</v>
      </c>
      <c r="L3674" t="str">
        <f t="shared" si="57"/>
        <v>http://www.badatelna.eu/reprodukce/?fondId=1073&amp;zaznamId=1108952&amp;reproId=3778882</v>
      </c>
      <c r="M3674">
        <f>VLOOKUP(F3674,Sheet2!$B$1:$E$19,2,FALSE)</f>
        <v>1073</v>
      </c>
      <c r="N3674">
        <f>VLOOKUP(F3674,Sheet2!$B$1:$E$19,3,FALSE)</f>
        <v>1108952</v>
      </c>
      <c r="O3674">
        <f>IF(G3674="Not available","",VLOOKUP(F3674,Sheet2!$B$1:$E$19,4,FALSE)+(G3674-1))</f>
        <v>3778882</v>
      </c>
    </row>
    <row r="3675" spans="1:15" s="1" customFormat="1" ht="15" customHeight="1" x14ac:dyDescent="0.25">
      <c r="A3675" s="18" t="s">
        <v>405</v>
      </c>
      <c r="B3675" s="18" t="s">
        <v>924</v>
      </c>
      <c r="C3675" s="5" t="s">
        <v>1599</v>
      </c>
      <c r="D3675" s="1" t="s">
        <v>9</v>
      </c>
      <c r="E3675" s="1" t="s">
        <v>2</v>
      </c>
      <c r="F3675" s="18">
        <v>2165</v>
      </c>
      <c r="G3675" s="18">
        <v>63</v>
      </c>
      <c r="H3675" s="5">
        <v>60</v>
      </c>
      <c r="I3675" s="1">
        <v>91</v>
      </c>
      <c r="J3675" s="1" t="s">
        <v>3271</v>
      </c>
      <c r="L3675" t="str">
        <f t="shared" si="57"/>
        <v>http://www.badatelna.eu/reprodukce/?fondId=1073&amp;zaznamId=1108952&amp;reproId=3778924</v>
      </c>
      <c r="M3675">
        <f>VLOOKUP(F3675,Sheet2!$B$1:$E$19,2,FALSE)</f>
        <v>1073</v>
      </c>
      <c r="N3675">
        <f>VLOOKUP(F3675,Sheet2!$B$1:$E$19,3,FALSE)</f>
        <v>1108952</v>
      </c>
      <c r="O3675">
        <f>IF(G3675="Not available","",VLOOKUP(F3675,Sheet2!$B$1:$E$19,4,FALSE)+(G3675-1))</f>
        <v>3778924</v>
      </c>
    </row>
    <row r="3676" spans="1:15" s="1" customFormat="1" ht="15" customHeight="1" x14ac:dyDescent="0.25">
      <c r="A3676" s="18" t="s">
        <v>405</v>
      </c>
      <c r="B3676" s="18" t="s">
        <v>998</v>
      </c>
      <c r="C3676" s="5" t="s">
        <v>1584</v>
      </c>
      <c r="D3676" s="1" t="s">
        <v>9</v>
      </c>
      <c r="E3676" s="1" t="s">
        <v>2</v>
      </c>
      <c r="F3676" s="18">
        <v>2165</v>
      </c>
      <c r="G3676" s="18">
        <v>22</v>
      </c>
      <c r="H3676" s="5">
        <v>19</v>
      </c>
      <c r="I3676" s="1">
        <v>91</v>
      </c>
      <c r="J3676" s="1" t="s">
        <v>3271</v>
      </c>
      <c r="L3676" t="str">
        <f t="shared" si="57"/>
        <v>http://www.badatelna.eu/reprodukce/?fondId=1073&amp;zaznamId=1108952&amp;reproId=3778883</v>
      </c>
      <c r="M3676">
        <f>VLOOKUP(F3676,Sheet2!$B$1:$E$19,2,FALSE)</f>
        <v>1073</v>
      </c>
      <c r="N3676">
        <f>VLOOKUP(F3676,Sheet2!$B$1:$E$19,3,FALSE)</f>
        <v>1108952</v>
      </c>
      <c r="O3676">
        <f>IF(G3676="Not available","",VLOOKUP(F3676,Sheet2!$B$1:$E$19,4,FALSE)+(G3676-1))</f>
        <v>3778883</v>
      </c>
    </row>
    <row r="3677" spans="1:15" s="1" customFormat="1" ht="15" customHeight="1" x14ac:dyDescent="0.25">
      <c r="A3677" s="18" t="s">
        <v>402</v>
      </c>
      <c r="B3677" s="18" t="s">
        <v>50</v>
      </c>
      <c r="C3677" s="5">
        <v>1838</v>
      </c>
      <c r="D3677" s="1" t="s">
        <v>422</v>
      </c>
      <c r="E3677" s="1" t="s">
        <v>2</v>
      </c>
      <c r="F3677" s="18">
        <v>2174</v>
      </c>
      <c r="G3677" s="18">
        <v>97</v>
      </c>
      <c r="H3677" s="6" t="s">
        <v>3167</v>
      </c>
      <c r="I3677" s="1">
        <v>199</v>
      </c>
      <c r="J3677" s="1">
        <v>234</v>
      </c>
      <c r="L3677" t="str">
        <f t="shared" si="57"/>
        <v>http://www.badatelna.eu/reprodukce/?fondId=1073&amp;zaznamId=1108960&amp;reproId=3780321</v>
      </c>
      <c r="M3677">
        <f>VLOOKUP(F3677,Sheet2!$B$1:$E$19,2,FALSE)</f>
        <v>1073</v>
      </c>
      <c r="N3677">
        <f>VLOOKUP(F3677,Sheet2!$B$1:$E$19,3,FALSE)</f>
        <v>1108960</v>
      </c>
      <c r="O3677">
        <f>IF(G3677="Not available","",VLOOKUP(F3677,Sheet2!$B$1:$E$19,4,FALSE)+(G3677-1))</f>
        <v>3780321</v>
      </c>
    </row>
    <row r="3678" spans="1:15" s="1" customFormat="1" ht="15" customHeight="1" x14ac:dyDescent="0.25">
      <c r="A3678" s="18" t="s">
        <v>402</v>
      </c>
      <c r="B3678" s="18" t="s">
        <v>738</v>
      </c>
      <c r="C3678" s="5">
        <v>1866</v>
      </c>
      <c r="E3678" s="1" t="s">
        <v>939</v>
      </c>
      <c r="F3678" s="18">
        <v>999</v>
      </c>
      <c r="G3678" s="18">
        <v>59</v>
      </c>
      <c r="H3678" s="5">
        <v>57</v>
      </c>
      <c r="I3678" s="1">
        <v>75</v>
      </c>
      <c r="J3678" s="1">
        <v>110</v>
      </c>
      <c r="L3678" t="str">
        <f t="shared" si="57"/>
        <v>http://www.badatelna.eu/reprodukce/?fondId=241&amp;zaznamId=1133739&amp;reproId=3885788</v>
      </c>
      <c r="M3678">
        <f>VLOOKUP(F3678,Sheet2!$B$1:$E$19,2,FALSE)</f>
        <v>241</v>
      </c>
      <c r="N3678">
        <f>VLOOKUP(F3678,Sheet2!$B$1:$E$19,3,FALSE)</f>
        <v>1133739</v>
      </c>
      <c r="O3678">
        <f>IF(G3678="Not available","",VLOOKUP(F3678,Sheet2!$B$1:$E$19,4,FALSE)+(G3678-1))</f>
        <v>3885788</v>
      </c>
    </row>
    <row r="3679" spans="1:15" s="1" customFormat="1" ht="15" customHeight="1" x14ac:dyDescent="0.25">
      <c r="A3679" s="18" t="s">
        <v>402</v>
      </c>
      <c r="B3679" s="18" t="s">
        <v>899</v>
      </c>
      <c r="C3679" s="5">
        <v>1848</v>
      </c>
      <c r="D3679" s="1" t="s">
        <v>422</v>
      </c>
      <c r="E3679" s="1" t="s">
        <v>2</v>
      </c>
      <c r="F3679" s="18">
        <v>2164</v>
      </c>
      <c r="G3679" s="18">
        <v>26</v>
      </c>
      <c r="H3679" s="5">
        <v>24</v>
      </c>
      <c r="I3679" s="1">
        <v>138</v>
      </c>
      <c r="J3679" s="3" t="s">
        <v>3271</v>
      </c>
      <c r="L3679" t="str">
        <f t="shared" si="57"/>
        <v>http://www.badatelna.eu/reprodukce/?fondId=1073&amp;zaznamId=1108951&amp;reproId=3778740</v>
      </c>
      <c r="M3679">
        <f>VLOOKUP(F3679,Sheet2!$B$1:$E$19,2,FALSE)</f>
        <v>1073</v>
      </c>
      <c r="N3679">
        <f>VLOOKUP(F3679,Sheet2!$B$1:$E$19,3,FALSE)</f>
        <v>1108951</v>
      </c>
      <c r="O3679">
        <f>IF(G3679="Not available","",VLOOKUP(F3679,Sheet2!$B$1:$E$19,4,FALSE)+(G3679-1))</f>
        <v>3778740</v>
      </c>
    </row>
    <row r="3680" spans="1:15" s="1" customFormat="1" ht="15" customHeight="1" x14ac:dyDescent="0.25">
      <c r="A3680" s="18" t="s">
        <v>402</v>
      </c>
      <c r="B3680" s="18" t="s">
        <v>2261</v>
      </c>
      <c r="C3680" s="10" t="s">
        <v>2628</v>
      </c>
      <c r="D3680" s="3" t="s">
        <v>2626</v>
      </c>
      <c r="E3680" s="4" t="s">
        <v>2</v>
      </c>
      <c r="F3680" s="18">
        <v>2176</v>
      </c>
      <c r="G3680" s="18" t="s">
        <v>3271</v>
      </c>
      <c r="H3680" s="10" t="s">
        <v>2086</v>
      </c>
      <c r="I3680" s="3">
        <v>37</v>
      </c>
      <c r="J3680" s="3" t="s">
        <v>3271</v>
      </c>
      <c r="L3680" t="str">
        <f t="shared" si="57"/>
        <v/>
      </c>
      <c r="M3680">
        <f>VLOOKUP(F3680,Sheet2!$B$1:$E$19,2,FALSE)</f>
        <v>1073</v>
      </c>
      <c r="N3680">
        <f>VLOOKUP(F3680,Sheet2!$B$1:$E$19,3,FALSE)</f>
        <v>1108963</v>
      </c>
      <c r="O3680" t="str">
        <f>IF(G3680="Not available","",VLOOKUP(F3680,Sheet2!$B$1:$E$19,4,FALSE)+(G3680-1))</f>
        <v/>
      </c>
    </row>
    <row r="3681" spans="1:15" s="1" customFormat="1" ht="15" customHeight="1" x14ac:dyDescent="0.25">
      <c r="A3681" s="18" t="s">
        <v>402</v>
      </c>
      <c r="B3681" s="18" t="s">
        <v>9</v>
      </c>
      <c r="C3681" s="5">
        <v>1826</v>
      </c>
      <c r="E3681" s="1" t="s">
        <v>2</v>
      </c>
      <c r="F3681" s="18">
        <v>2173</v>
      </c>
      <c r="G3681" s="18">
        <v>78</v>
      </c>
      <c r="H3681" s="5">
        <v>149</v>
      </c>
      <c r="I3681" s="1">
        <v>114</v>
      </c>
      <c r="J3681" s="1">
        <v>248</v>
      </c>
      <c r="L3681" t="str">
        <f t="shared" si="57"/>
        <v>http://www.badatelna.eu/reprodukce/?fondId=1073&amp;zaznamId=1108959&amp;reproId=3780071</v>
      </c>
      <c r="M3681">
        <f>VLOOKUP(F3681,Sheet2!$B$1:$E$19,2,FALSE)</f>
        <v>1073</v>
      </c>
      <c r="N3681">
        <f>VLOOKUP(F3681,Sheet2!$B$1:$E$19,3,FALSE)</f>
        <v>1108959</v>
      </c>
      <c r="O3681">
        <f>IF(G3681="Not available","",VLOOKUP(F3681,Sheet2!$B$1:$E$19,4,FALSE)+(G3681-1))</f>
        <v>3780071</v>
      </c>
    </row>
    <row r="3682" spans="1:15" s="1" customFormat="1" ht="15" customHeight="1" x14ac:dyDescent="0.25">
      <c r="A3682" s="18" t="s">
        <v>402</v>
      </c>
      <c r="B3682" s="18" t="s">
        <v>9</v>
      </c>
      <c r="C3682" s="5">
        <v>1846</v>
      </c>
      <c r="D3682" s="1" t="s">
        <v>166</v>
      </c>
      <c r="E3682" s="1" t="s">
        <v>2</v>
      </c>
      <c r="F3682" s="18">
        <v>2174</v>
      </c>
      <c r="G3682" s="18">
        <v>166</v>
      </c>
      <c r="H3682" s="6" t="s">
        <v>3228</v>
      </c>
      <c r="I3682" s="1">
        <v>200</v>
      </c>
      <c r="J3682" s="1">
        <v>235</v>
      </c>
      <c r="L3682" t="str">
        <f t="shared" si="57"/>
        <v>http://www.badatelna.eu/reprodukce/?fondId=1073&amp;zaznamId=1108960&amp;reproId=3780390</v>
      </c>
      <c r="M3682">
        <f>VLOOKUP(F3682,Sheet2!$B$1:$E$19,2,FALSE)</f>
        <v>1073</v>
      </c>
      <c r="N3682">
        <f>VLOOKUP(F3682,Sheet2!$B$1:$E$19,3,FALSE)</f>
        <v>1108960</v>
      </c>
      <c r="O3682">
        <f>IF(G3682="Not available","",VLOOKUP(F3682,Sheet2!$B$1:$E$19,4,FALSE)+(G3682-1))</f>
        <v>3780390</v>
      </c>
    </row>
    <row r="3683" spans="1:15" s="1" customFormat="1" ht="15" customHeight="1" x14ac:dyDescent="0.25">
      <c r="A3683" s="18" t="s">
        <v>402</v>
      </c>
      <c r="B3683" s="18" t="s">
        <v>774</v>
      </c>
      <c r="C3683" s="5">
        <v>1848</v>
      </c>
      <c r="D3683" s="1" t="s">
        <v>166</v>
      </c>
      <c r="E3683" s="1" t="s">
        <v>2</v>
      </c>
      <c r="F3683" s="18">
        <v>2164</v>
      </c>
      <c r="G3683" s="18">
        <v>29</v>
      </c>
      <c r="H3683" s="5">
        <v>27</v>
      </c>
      <c r="I3683" s="1">
        <v>138</v>
      </c>
      <c r="J3683" s="3" t="s">
        <v>3271</v>
      </c>
      <c r="L3683" t="str">
        <f t="shared" si="57"/>
        <v>http://www.badatelna.eu/reprodukce/?fondId=1073&amp;zaznamId=1108951&amp;reproId=3778743</v>
      </c>
      <c r="M3683">
        <f>VLOOKUP(F3683,Sheet2!$B$1:$E$19,2,FALSE)</f>
        <v>1073</v>
      </c>
      <c r="N3683">
        <f>VLOOKUP(F3683,Sheet2!$B$1:$E$19,3,FALSE)</f>
        <v>1108951</v>
      </c>
      <c r="O3683">
        <f>IF(G3683="Not available","",VLOOKUP(F3683,Sheet2!$B$1:$E$19,4,FALSE)+(G3683-1))</f>
        <v>3778743</v>
      </c>
    </row>
    <row r="3684" spans="1:15" s="1" customFormat="1" ht="15" customHeight="1" x14ac:dyDescent="0.25">
      <c r="A3684" s="18" t="s">
        <v>402</v>
      </c>
      <c r="B3684" s="18" t="s">
        <v>774</v>
      </c>
      <c r="C3684" s="5">
        <v>1854</v>
      </c>
      <c r="D3684" s="1" t="s">
        <v>9</v>
      </c>
      <c r="E3684" s="1" t="s">
        <v>2</v>
      </c>
      <c r="F3684" s="18">
        <v>2164</v>
      </c>
      <c r="G3684" s="18">
        <v>97</v>
      </c>
      <c r="H3684" s="5">
        <v>95</v>
      </c>
      <c r="I3684" s="1">
        <v>138</v>
      </c>
      <c r="J3684" s="3" t="s">
        <v>3271</v>
      </c>
      <c r="L3684" t="str">
        <f t="shared" si="57"/>
        <v>http://www.badatelna.eu/reprodukce/?fondId=1073&amp;zaznamId=1108951&amp;reproId=3778811</v>
      </c>
      <c r="M3684">
        <f>VLOOKUP(F3684,Sheet2!$B$1:$E$19,2,FALSE)</f>
        <v>1073</v>
      </c>
      <c r="N3684">
        <f>VLOOKUP(F3684,Sheet2!$B$1:$E$19,3,FALSE)</f>
        <v>1108951</v>
      </c>
      <c r="O3684">
        <f>IF(G3684="Not available","",VLOOKUP(F3684,Sheet2!$B$1:$E$19,4,FALSE)+(G3684-1))</f>
        <v>3778811</v>
      </c>
    </row>
    <row r="3685" spans="1:15" s="1" customFormat="1" ht="15" customHeight="1" x14ac:dyDescent="0.25">
      <c r="A3685" s="18" t="s">
        <v>402</v>
      </c>
      <c r="B3685" s="18" t="s">
        <v>166</v>
      </c>
      <c r="C3685" s="5">
        <v>1839</v>
      </c>
      <c r="D3685" s="1" t="s">
        <v>422</v>
      </c>
      <c r="E3685" s="1" t="s">
        <v>2</v>
      </c>
      <c r="F3685" s="18">
        <v>2174</v>
      </c>
      <c r="G3685" s="18">
        <v>114</v>
      </c>
      <c r="H3685" s="6" t="s">
        <v>3180</v>
      </c>
      <c r="I3685" s="1">
        <v>199</v>
      </c>
      <c r="J3685" s="1">
        <v>234</v>
      </c>
      <c r="L3685" t="str">
        <f t="shared" si="57"/>
        <v>http://www.badatelna.eu/reprodukce/?fondId=1073&amp;zaznamId=1108960&amp;reproId=3780338</v>
      </c>
      <c r="M3685">
        <f>VLOOKUP(F3685,Sheet2!$B$1:$E$19,2,FALSE)</f>
        <v>1073</v>
      </c>
      <c r="N3685">
        <f>VLOOKUP(F3685,Sheet2!$B$1:$E$19,3,FALSE)</f>
        <v>1108960</v>
      </c>
      <c r="O3685">
        <f>IF(G3685="Not available","",VLOOKUP(F3685,Sheet2!$B$1:$E$19,4,FALSE)+(G3685-1))</f>
        <v>3780338</v>
      </c>
    </row>
    <row r="3686" spans="1:15" s="1" customFormat="1" ht="15" customHeight="1" x14ac:dyDescent="0.25">
      <c r="A3686" s="18" t="s">
        <v>402</v>
      </c>
      <c r="B3686" s="18" t="s">
        <v>135</v>
      </c>
      <c r="C3686" s="5">
        <v>1855</v>
      </c>
      <c r="D3686" s="1" t="s">
        <v>9</v>
      </c>
      <c r="E3686" s="1" t="s">
        <v>2</v>
      </c>
      <c r="F3686" s="18">
        <v>2164</v>
      </c>
      <c r="G3686" s="18">
        <v>107</v>
      </c>
      <c r="H3686" s="5">
        <v>105</v>
      </c>
      <c r="I3686" s="1">
        <v>138</v>
      </c>
      <c r="J3686" s="3" t="s">
        <v>3271</v>
      </c>
      <c r="L3686" t="str">
        <f t="shared" si="57"/>
        <v>http://www.badatelna.eu/reprodukce/?fondId=1073&amp;zaznamId=1108951&amp;reproId=3778821</v>
      </c>
      <c r="M3686">
        <f>VLOOKUP(F3686,Sheet2!$B$1:$E$19,2,FALSE)</f>
        <v>1073</v>
      </c>
      <c r="N3686">
        <f>VLOOKUP(F3686,Sheet2!$B$1:$E$19,3,FALSE)</f>
        <v>1108951</v>
      </c>
      <c r="O3686">
        <f>IF(G3686="Not available","",VLOOKUP(F3686,Sheet2!$B$1:$E$19,4,FALSE)+(G3686-1))</f>
        <v>3778821</v>
      </c>
    </row>
    <row r="3687" spans="1:15" s="1" customFormat="1" ht="15" customHeight="1" x14ac:dyDescent="0.25">
      <c r="A3687" s="18" t="s">
        <v>402</v>
      </c>
      <c r="B3687" s="18" t="s">
        <v>231</v>
      </c>
      <c r="C3687" s="5">
        <v>1789</v>
      </c>
      <c r="D3687" s="1" t="s">
        <v>65</v>
      </c>
      <c r="E3687" s="1" t="s">
        <v>2</v>
      </c>
      <c r="F3687" s="18">
        <v>2173</v>
      </c>
      <c r="G3687" s="18">
        <v>31</v>
      </c>
      <c r="H3687" s="5">
        <v>56</v>
      </c>
      <c r="I3687" s="1">
        <v>113</v>
      </c>
      <c r="J3687" s="1">
        <v>247</v>
      </c>
      <c r="L3687" t="str">
        <f t="shared" si="57"/>
        <v>http://www.badatelna.eu/reprodukce/?fondId=1073&amp;zaznamId=1108959&amp;reproId=3780024</v>
      </c>
      <c r="M3687">
        <f>VLOOKUP(F3687,Sheet2!$B$1:$E$19,2,FALSE)</f>
        <v>1073</v>
      </c>
      <c r="N3687">
        <f>VLOOKUP(F3687,Sheet2!$B$1:$E$19,3,FALSE)</f>
        <v>1108959</v>
      </c>
      <c r="O3687">
        <f>IF(G3687="Not available","",VLOOKUP(F3687,Sheet2!$B$1:$E$19,4,FALSE)+(G3687-1))</f>
        <v>3780024</v>
      </c>
    </row>
    <row r="3688" spans="1:15" s="1" customFormat="1" ht="15" customHeight="1" x14ac:dyDescent="0.25">
      <c r="A3688" s="18" t="s">
        <v>402</v>
      </c>
      <c r="B3688" s="19" t="s">
        <v>992</v>
      </c>
      <c r="C3688" s="5">
        <v>1865</v>
      </c>
      <c r="E3688" s="1" t="s">
        <v>939</v>
      </c>
      <c r="F3688" s="18">
        <v>999</v>
      </c>
      <c r="G3688" s="18">
        <v>55</v>
      </c>
      <c r="H3688" s="5">
        <v>53</v>
      </c>
      <c r="I3688" s="1">
        <v>75</v>
      </c>
      <c r="J3688" s="1">
        <v>110</v>
      </c>
      <c r="L3688" t="str">
        <f t="shared" si="57"/>
        <v>http://www.badatelna.eu/reprodukce/?fondId=241&amp;zaznamId=1133739&amp;reproId=3885784</v>
      </c>
      <c r="M3688">
        <f>VLOOKUP(F3688,Sheet2!$B$1:$E$19,2,FALSE)</f>
        <v>241</v>
      </c>
      <c r="N3688">
        <f>VLOOKUP(F3688,Sheet2!$B$1:$E$19,3,FALSE)</f>
        <v>1133739</v>
      </c>
      <c r="O3688">
        <f>IF(G3688="Not available","",VLOOKUP(F3688,Sheet2!$B$1:$E$19,4,FALSE)+(G3688-1))</f>
        <v>3885784</v>
      </c>
    </row>
    <row r="3689" spans="1:15" s="1" customFormat="1" ht="15" customHeight="1" x14ac:dyDescent="0.25">
      <c r="A3689" s="18" t="s">
        <v>402</v>
      </c>
      <c r="B3689" s="18" t="s">
        <v>484</v>
      </c>
      <c r="C3689" s="5">
        <v>1862</v>
      </c>
      <c r="E3689" s="1" t="s">
        <v>939</v>
      </c>
      <c r="F3689" s="18">
        <v>999</v>
      </c>
      <c r="G3689" s="18">
        <v>36</v>
      </c>
      <c r="H3689" s="5">
        <v>34</v>
      </c>
      <c r="I3689" s="1">
        <v>75</v>
      </c>
      <c r="J3689" s="1">
        <v>110</v>
      </c>
      <c r="L3689" t="str">
        <f t="shared" si="57"/>
        <v>http://www.badatelna.eu/reprodukce/?fondId=241&amp;zaznamId=1133739&amp;reproId=3885765</v>
      </c>
      <c r="M3689">
        <f>VLOOKUP(F3689,Sheet2!$B$1:$E$19,2,FALSE)</f>
        <v>241</v>
      </c>
      <c r="N3689">
        <f>VLOOKUP(F3689,Sheet2!$B$1:$E$19,3,FALSE)</f>
        <v>1133739</v>
      </c>
      <c r="O3689">
        <f>IF(G3689="Not available","",VLOOKUP(F3689,Sheet2!$B$1:$E$19,4,FALSE)+(G3689-1))</f>
        <v>3885765</v>
      </c>
    </row>
    <row r="3690" spans="1:15" s="1" customFormat="1" ht="15" customHeight="1" x14ac:dyDescent="0.25">
      <c r="A3690" s="18" t="s">
        <v>402</v>
      </c>
      <c r="B3690" s="18" t="s">
        <v>90</v>
      </c>
      <c r="C3690" s="5">
        <v>1856</v>
      </c>
      <c r="D3690" s="1" t="s">
        <v>9</v>
      </c>
      <c r="E3690" s="1" t="s">
        <v>2</v>
      </c>
      <c r="F3690" s="18">
        <v>2164</v>
      </c>
      <c r="G3690" s="18">
        <v>112</v>
      </c>
      <c r="H3690" s="5">
        <v>110</v>
      </c>
      <c r="I3690" s="1">
        <v>138</v>
      </c>
      <c r="J3690" s="3" t="s">
        <v>3271</v>
      </c>
      <c r="L3690" t="str">
        <f t="shared" si="57"/>
        <v>http://www.badatelna.eu/reprodukce/?fondId=1073&amp;zaznamId=1108951&amp;reproId=3778826</v>
      </c>
      <c r="M3690">
        <f>VLOOKUP(F3690,Sheet2!$B$1:$E$19,2,FALSE)</f>
        <v>1073</v>
      </c>
      <c r="N3690">
        <f>VLOOKUP(F3690,Sheet2!$B$1:$E$19,3,FALSE)</f>
        <v>1108951</v>
      </c>
      <c r="O3690">
        <f>IF(G3690="Not available","",VLOOKUP(F3690,Sheet2!$B$1:$E$19,4,FALSE)+(G3690-1))</f>
        <v>3778826</v>
      </c>
    </row>
    <row r="3691" spans="1:15" s="1" customFormat="1" ht="15" customHeight="1" x14ac:dyDescent="0.25">
      <c r="A3691" s="18" t="s">
        <v>402</v>
      </c>
      <c r="B3691" s="18" t="s">
        <v>370</v>
      </c>
      <c r="C3691" s="5">
        <v>1859</v>
      </c>
      <c r="E3691" s="1" t="s">
        <v>939</v>
      </c>
      <c r="F3691" s="18">
        <v>999</v>
      </c>
      <c r="G3691" s="18">
        <v>12</v>
      </c>
      <c r="H3691" s="5">
        <v>10</v>
      </c>
      <c r="I3691" s="1">
        <v>75</v>
      </c>
      <c r="J3691" s="1">
        <v>110</v>
      </c>
      <c r="L3691" t="str">
        <f t="shared" si="57"/>
        <v>http://www.badatelna.eu/reprodukce/?fondId=241&amp;zaznamId=1133739&amp;reproId=3885741</v>
      </c>
      <c r="M3691">
        <f>VLOOKUP(F3691,Sheet2!$B$1:$E$19,2,FALSE)</f>
        <v>241</v>
      </c>
      <c r="N3691">
        <f>VLOOKUP(F3691,Sheet2!$B$1:$E$19,3,FALSE)</f>
        <v>1133739</v>
      </c>
      <c r="O3691">
        <f>IF(G3691="Not available","",VLOOKUP(F3691,Sheet2!$B$1:$E$19,4,FALSE)+(G3691-1))</f>
        <v>3885741</v>
      </c>
    </row>
    <row r="3692" spans="1:15" s="1" customFormat="1" ht="15" customHeight="1" x14ac:dyDescent="0.25">
      <c r="A3692" s="18" t="s">
        <v>402</v>
      </c>
      <c r="B3692" s="18" t="s">
        <v>34</v>
      </c>
      <c r="C3692" s="5">
        <v>1791</v>
      </c>
      <c r="E3692" s="1" t="s">
        <v>2</v>
      </c>
      <c r="F3692" s="18">
        <v>2173</v>
      </c>
      <c r="G3692" s="18">
        <v>25</v>
      </c>
      <c r="H3692" s="5">
        <v>45</v>
      </c>
      <c r="I3692" s="1">
        <v>113</v>
      </c>
      <c r="J3692" s="1">
        <v>247</v>
      </c>
      <c r="L3692" t="str">
        <f t="shared" si="57"/>
        <v>http://www.badatelna.eu/reprodukce/?fondId=1073&amp;zaznamId=1108959&amp;reproId=3780018</v>
      </c>
      <c r="M3692">
        <f>VLOOKUP(F3692,Sheet2!$B$1:$E$19,2,FALSE)</f>
        <v>1073</v>
      </c>
      <c r="N3692">
        <f>VLOOKUP(F3692,Sheet2!$B$1:$E$19,3,FALSE)</f>
        <v>1108959</v>
      </c>
      <c r="O3692">
        <f>IF(G3692="Not available","",VLOOKUP(F3692,Sheet2!$B$1:$E$19,4,FALSE)+(G3692-1))</f>
        <v>3780018</v>
      </c>
    </row>
    <row r="3693" spans="1:15" s="1" customFormat="1" ht="15" customHeight="1" x14ac:dyDescent="0.25">
      <c r="A3693" s="18" t="s">
        <v>402</v>
      </c>
      <c r="B3693" s="19" t="s">
        <v>809</v>
      </c>
      <c r="C3693" s="5">
        <v>1860</v>
      </c>
      <c r="E3693" s="1" t="s">
        <v>939</v>
      </c>
      <c r="F3693" s="18">
        <v>999</v>
      </c>
      <c r="G3693" s="18">
        <v>21</v>
      </c>
      <c r="H3693" s="5">
        <v>19</v>
      </c>
      <c r="I3693" s="1">
        <v>75</v>
      </c>
      <c r="J3693" s="1">
        <v>110</v>
      </c>
      <c r="L3693" t="str">
        <f t="shared" si="57"/>
        <v>http://www.badatelna.eu/reprodukce/?fondId=241&amp;zaznamId=1133739&amp;reproId=3885750</v>
      </c>
      <c r="M3693">
        <f>VLOOKUP(F3693,Sheet2!$B$1:$E$19,2,FALSE)</f>
        <v>241</v>
      </c>
      <c r="N3693">
        <f>VLOOKUP(F3693,Sheet2!$B$1:$E$19,3,FALSE)</f>
        <v>1133739</v>
      </c>
      <c r="O3693">
        <f>IF(G3693="Not available","",VLOOKUP(F3693,Sheet2!$B$1:$E$19,4,FALSE)+(G3693-1))</f>
        <v>3885750</v>
      </c>
    </row>
    <row r="3694" spans="1:15" s="1" customFormat="1" ht="15" customHeight="1" x14ac:dyDescent="0.25">
      <c r="A3694" s="18" t="s">
        <v>402</v>
      </c>
      <c r="B3694" s="18" t="s">
        <v>12</v>
      </c>
      <c r="C3694" s="5">
        <v>1850</v>
      </c>
      <c r="D3694" s="1" t="s">
        <v>422</v>
      </c>
      <c r="E3694" s="1" t="s">
        <v>2</v>
      </c>
      <c r="F3694" s="18">
        <v>2164</v>
      </c>
      <c r="G3694" s="18">
        <v>68</v>
      </c>
      <c r="H3694" s="5">
        <v>66</v>
      </c>
      <c r="I3694" s="1">
        <v>138</v>
      </c>
      <c r="J3694" s="3" t="s">
        <v>3271</v>
      </c>
      <c r="L3694" t="str">
        <f t="shared" si="57"/>
        <v>http://www.badatelna.eu/reprodukce/?fondId=1073&amp;zaznamId=1108951&amp;reproId=3778782</v>
      </c>
      <c r="M3694">
        <f>VLOOKUP(F3694,Sheet2!$B$1:$E$19,2,FALSE)</f>
        <v>1073</v>
      </c>
      <c r="N3694">
        <f>VLOOKUP(F3694,Sheet2!$B$1:$E$19,3,FALSE)</f>
        <v>1108951</v>
      </c>
      <c r="O3694">
        <f>IF(G3694="Not available","",VLOOKUP(F3694,Sheet2!$B$1:$E$19,4,FALSE)+(G3694-1))</f>
        <v>3778782</v>
      </c>
    </row>
    <row r="3695" spans="1:15" s="1" customFormat="1" ht="15" customHeight="1" x14ac:dyDescent="0.25">
      <c r="A3695" s="18" t="s">
        <v>402</v>
      </c>
      <c r="B3695" s="18" t="s">
        <v>361</v>
      </c>
      <c r="C3695" s="5">
        <v>1858</v>
      </c>
      <c r="E3695" s="1" t="s">
        <v>939</v>
      </c>
      <c r="F3695" s="18">
        <v>999</v>
      </c>
      <c r="G3695" s="18">
        <v>3</v>
      </c>
      <c r="H3695" s="5">
        <v>1</v>
      </c>
      <c r="I3695" s="1">
        <v>75</v>
      </c>
      <c r="J3695" s="1">
        <v>110</v>
      </c>
      <c r="L3695" t="str">
        <f t="shared" si="57"/>
        <v>http://www.badatelna.eu/reprodukce/?fondId=241&amp;zaznamId=1133739&amp;reproId=3885732</v>
      </c>
      <c r="M3695">
        <f>VLOOKUP(F3695,Sheet2!$B$1:$E$19,2,FALSE)</f>
        <v>241</v>
      </c>
      <c r="N3695">
        <f>VLOOKUP(F3695,Sheet2!$B$1:$E$19,3,FALSE)</f>
        <v>1133739</v>
      </c>
      <c r="O3695">
        <f>IF(G3695="Not available","",VLOOKUP(F3695,Sheet2!$B$1:$E$19,4,FALSE)+(G3695-1))</f>
        <v>3885732</v>
      </c>
    </row>
    <row r="3696" spans="1:15" s="1" customFormat="1" ht="15" customHeight="1" x14ac:dyDescent="0.25">
      <c r="A3696" s="18" t="s">
        <v>402</v>
      </c>
      <c r="B3696" s="18" t="s">
        <v>842</v>
      </c>
      <c r="C3696" s="5">
        <v>1858</v>
      </c>
      <c r="D3696" s="1" t="s">
        <v>9</v>
      </c>
      <c r="E3696" s="1" t="s">
        <v>2</v>
      </c>
      <c r="F3696" s="18">
        <v>2164</v>
      </c>
      <c r="G3696" s="18">
        <v>121</v>
      </c>
      <c r="H3696" s="5">
        <v>119</v>
      </c>
      <c r="I3696" s="1">
        <v>138</v>
      </c>
      <c r="J3696" s="3" t="s">
        <v>3271</v>
      </c>
      <c r="L3696" t="str">
        <f t="shared" si="57"/>
        <v>http://www.badatelna.eu/reprodukce/?fondId=1073&amp;zaznamId=1108951&amp;reproId=3778835</v>
      </c>
      <c r="M3696">
        <f>VLOOKUP(F3696,Sheet2!$B$1:$E$19,2,FALSE)</f>
        <v>1073</v>
      </c>
      <c r="N3696">
        <f>VLOOKUP(F3696,Sheet2!$B$1:$E$19,3,FALSE)</f>
        <v>1108951</v>
      </c>
      <c r="O3696">
        <f>IF(G3696="Not available","",VLOOKUP(F3696,Sheet2!$B$1:$E$19,4,FALSE)+(G3696-1))</f>
        <v>3778835</v>
      </c>
    </row>
    <row r="3697" spans="1:15" s="1" customFormat="1" ht="15" customHeight="1" x14ac:dyDescent="0.25">
      <c r="A3697" s="18" t="s">
        <v>402</v>
      </c>
      <c r="B3697" s="18" t="s">
        <v>240</v>
      </c>
      <c r="C3697" s="5">
        <v>1796</v>
      </c>
      <c r="D3697" s="1" t="s">
        <v>38</v>
      </c>
      <c r="E3697" s="1" t="s">
        <v>2</v>
      </c>
      <c r="F3697" s="18">
        <v>2173</v>
      </c>
      <c r="G3697" s="18">
        <v>34</v>
      </c>
      <c r="H3697" s="5">
        <v>63</v>
      </c>
      <c r="I3697" s="1">
        <v>113</v>
      </c>
      <c r="J3697" s="1">
        <v>247</v>
      </c>
      <c r="L3697" t="str">
        <f t="shared" si="57"/>
        <v>http://www.badatelna.eu/reprodukce/?fondId=1073&amp;zaznamId=1108959&amp;reproId=3780027</v>
      </c>
      <c r="M3697">
        <f>VLOOKUP(F3697,Sheet2!$B$1:$E$19,2,FALSE)</f>
        <v>1073</v>
      </c>
      <c r="N3697">
        <f>VLOOKUP(F3697,Sheet2!$B$1:$E$19,3,FALSE)</f>
        <v>1108959</v>
      </c>
      <c r="O3697">
        <f>IF(G3697="Not available","",VLOOKUP(F3697,Sheet2!$B$1:$E$19,4,FALSE)+(G3697-1))</f>
        <v>3780027</v>
      </c>
    </row>
    <row r="3698" spans="1:15" s="1" customFormat="1" ht="15" customHeight="1" x14ac:dyDescent="0.25">
      <c r="A3698" s="18" t="s">
        <v>402</v>
      </c>
      <c r="B3698" s="18" t="s">
        <v>602</v>
      </c>
      <c r="C3698" s="5">
        <v>1864</v>
      </c>
      <c r="E3698" s="1" t="s">
        <v>939</v>
      </c>
      <c r="F3698" s="18">
        <v>999</v>
      </c>
      <c r="G3698" s="18">
        <v>47</v>
      </c>
      <c r="H3698" s="5">
        <v>45</v>
      </c>
      <c r="I3698" s="1">
        <v>75</v>
      </c>
      <c r="J3698" s="1">
        <v>110</v>
      </c>
      <c r="L3698" t="str">
        <f t="shared" si="57"/>
        <v>http://www.badatelna.eu/reprodukce/?fondId=241&amp;zaznamId=1133739&amp;reproId=3885776</v>
      </c>
      <c r="M3698">
        <f>VLOOKUP(F3698,Sheet2!$B$1:$E$19,2,FALSE)</f>
        <v>241</v>
      </c>
      <c r="N3698">
        <f>VLOOKUP(F3698,Sheet2!$B$1:$E$19,3,FALSE)</f>
        <v>1133739</v>
      </c>
      <c r="O3698">
        <f>IF(G3698="Not available","",VLOOKUP(F3698,Sheet2!$B$1:$E$19,4,FALSE)+(G3698-1))</f>
        <v>3885776</v>
      </c>
    </row>
    <row r="3699" spans="1:15" s="1" customFormat="1" ht="15" customHeight="1" x14ac:dyDescent="0.25">
      <c r="A3699" s="18" t="s">
        <v>402</v>
      </c>
      <c r="B3699" s="18" t="s">
        <v>602</v>
      </c>
      <c r="C3699" s="10" t="s">
        <v>1969</v>
      </c>
      <c r="D3699" s="3" t="s">
        <v>2626</v>
      </c>
      <c r="E3699" s="4" t="s">
        <v>2</v>
      </c>
      <c r="F3699" s="18">
        <v>2176</v>
      </c>
      <c r="G3699" s="18" t="s">
        <v>3271</v>
      </c>
      <c r="H3699" s="10" t="s">
        <v>2061</v>
      </c>
      <c r="I3699" s="3">
        <v>37</v>
      </c>
      <c r="J3699" s="3" t="s">
        <v>3271</v>
      </c>
      <c r="L3699" t="str">
        <f t="shared" si="57"/>
        <v/>
      </c>
      <c r="M3699">
        <f>VLOOKUP(F3699,Sheet2!$B$1:$E$19,2,FALSE)</f>
        <v>1073</v>
      </c>
      <c r="N3699">
        <f>VLOOKUP(F3699,Sheet2!$B$1:$E$19,3,FALSE)</f>
        <v>1108963</v>
      </c>
      <c r="O3699" t="str">
        <f>IF(G3699="Not available","",VLOOKUP(F3699,Sheet2!$B$1:$E$19,4,FALSE)+(G3699-1))</f>
        <v/>
      </c>
    </row>
    <row r="3700" spans="1:15" s="1" customFormat="1" ht="15" customHeight="1" x14ac:dyDescent="0.25">
      <c r="A3700" s="18" t="s">
        <v>402</v>
      </c>
      <c r="B3700" s="18" t="s">
        <v>847</v>
      </c>
      <c r="C3700" s="5">
        <v>1849</v>
      </c>
      <c r="D3700" s="1" t="s">
        <v>166</v>
      </c>
      <c r="E3700" s="1" t="s">
        <v>2</v>
      </c>
      <c r="F3700" s="18">
        <v>2164</v>
      </c>
      <c r="G3700" s="18">
        <v>60</v>
      </c>
      <c r="H3700" s="5">
        <v>58</v>
      </c>
      <c r="I3700" s="1">
        <v>138</v>
      </c>
      <c r="J3700" s="3" t="s">
        <v>3271</v>
      </c>
      <c r="L3700" t="str">
        <f t="shared" si="57"/>
        <v>http://www.badatelna.eu/reprodukce/?fondId=1073&amp;zaznamId=1108951&amp;reproId=3778774</v>
      </c>
      <c r="M3700">
        <f>VLOOKUP(F3700,Sheet2!$B$1:$E$19,2,FALSE)</f>
        <v>1073</v>
      </c>
      <c r="N3700">
        <f>VLOOKUP(F3700,Sheet2!$B$1:$E$19,3,FALSE)</f>
        <v>1108951</v>
      </c>
      <c r="O3700">
        <f>IF(G3700="Not available","",VLOOKUP(F3700,Sheet2!$B$1:$E$19,4,FALSE)+(G3700-1))</f>
        <v>3778774</v>
      </c>
    </row>
    <row r="3701" spans="1:15" s="1" customFormat="1" ht="15" customHeight="1" x14ac:dyDescent="0.25">
      <c r="A3701" s="18" t="s">
        <v>402</v>
      </c>
      <c r="B3701" s="18" t="s">
        <v>432</v>
      </c>
      <c r="C3701" s="10" t="s">
        <v>1987</v>
      </c>
      <c r="D3701" s="3" t="s">
        <v>2629</v>
      </c>
      <c r="E3701" s="4" t="s">
        <v>2</v>
      </c>
      <c r="F3701" s="18">
        <v>2176</v>
      </c>
      <c r="G3701" s="18" t="s">
        <v>3271</v>
      </c>
      <c r="H3701" s="10" t="s">
        <v>2630</v>
      </c>
      <c r="I3701" s="3">
        <v>37</v>
      </c>
      <c r="J3701" s="3" t="s">
        <v>3271</v>
      </c>
      <c r="L3701" t="str">
        <f t="shared" si="57"/>
        <v/>
      </c>
      <c r="M3701">
        <f>VLOOKUP(F3701,Sheet2!$B$1:$E$19,2,FALSE)</f>
        <v>1073</v>
      </c>
      <c r="N3701">
        <f>VLOOKUP(F3701,Sheet2!$B$1:$E$19,3,FALSE)</f>
        <v>1108963</v>
      </c>
      <c r="O3701" t="str">
        <f>IF(G3701="Not available","",VLOOKUP(F3701,Sheet2!$B$1:$E$19,4,FALSE)+(G3701-1))</f>
        <v/>
      </c>
    </row>
    <row r="3702" spans="1:15" s="1" customFormat="1" ht="15" customHeight="1" x14ac:dyDescent="0.25">
      <c r="A3702" s="18" t="s">
        <v>402</v>
      </c>
      <c r="B3702" s="18" t="s">
        <v>422</v>
      </c>
      <c r="C3702" s="5">
        <v>1847</v>
      </c>
      <c r="D3702" s="1" t="s">
        <v>495</v>
      </c>
      <c r="E3702" s="1" t="s">
        <v>2</v>
      </c>
      <c r="F3702" s="18">
        <v>2174</v>
      </c>
      <c r="G3702" s="18">
        <v>171</v>
      </c>
      <c r="H3702" s="6" t="s">
        <v>3238</v>
      </c>
      <c r="I3702" s="1">
        <v>200</v>
      </c>
      <c r="J3702" s="1">
        <v>235</v>
      </c>
      <c r="L3702" t="str">
        <f t="shared" si="57"/>
        <v>http://www.badatelna.eu/reprodukce/?fondId=1073&amp;zaznamId=1108960&amp;reproId=3780395</v>
      </c>
      <c r="M3702">
        <f>VLOOKUP(F3702,Sheet2!$B$1:$E$19,2,FALSE)</f>
        <v>1073</v>
      </c>
      <c r="N3702">
        <f>VLOOKUP(F3702,Sheet2!$B$1:$E$19,3,FALSE)</f>
        <v>1108960</v>
      </c>
      <c r="O3702">
        <f>IF(G3702="Not available","",VLOOKUP(F3702,Sheet2!$B$1:$E$19,4,FALSE)+(G3702-1))</f>
        <v>3780395</v>
      </c>
    </row>
    <row r="3703" spans="1:15" s="1" customFormat="1" ht="15" customHeight="1" x14ac:dyDescent="0.25">
      <c r="A3703" s="18" t="s">
        <v>402</v>
      </c>
      <c r="B3703" s="18" t="s">
        <v>476</v>
      </c>
      <c r="C3703" s="5">
        <v>1849</v>
      </c>
      <c r="D3703" s="1" t="s">
        <v>34</v>
      </c>
      <c r="E3703" s="1" t="s">
        <v>2</v>
      </c>
      <c r="F3703" s="18">
        <v>2164</v>
      </c>
      <c r="G3703" s="18">
        <v>50</v>
      </c>
      <c r="H3703" s="5">
        <v>48</v>
      </c>
      <c r="I3703" s="1">
        <v>138</v>
      </c>
      <c r="J3703" s="3" t="s">
        <v>3271</v>
      </c>
      <c r="L3703" t="str">
        <f t="shared" si="57"/>
        <v>http://www.badatelna.eu/reprodukce/?fondId=1073&amp;zaznamId=1108951&amp;reproId=3778764</v>
      </c>
      <c r="M3703">
        <f>VLOOKUP(F3703,Sheet2!$B$1:$E$19,2,FALSE)</f>
        <v>1073</v>
      </c>
      <c r="N3703">
        <f>VLOOKUP(F3703,Sheet2!$B$1:$E$19,3,FALSE)</f>
        <v>1108951</v>
      </c>
      <c r="O3703">
        <f>IF(G3703="Not available","",VLOOKUP(F3703,Sheet2!$B$1:$E$19,4,FALSE)+(G3703-1))</f>
        <v>3778764</v>
      </c>
    </row>
    <row r="3704" spans="1:15" s="1" customFormat="1" ht="15" customHeight="1" x14ac:dyDescent="0.25">
      <c r="A3704" s="18" t="s">
        <v>402</v>
      </c>
      <c r="B3704" s="18" t="s">
        <v>11</v>
      </c>
      <c r="C3704" s="5">
        <v>1797</v>
      </c>
      <c r="E3704" s="1" t="s">
        <v>2</v>
      </c>
      <c r="F3704" s="18">
        <v>2173</v>
      </c>
      <c r="G3704" s="18">
        <v>36</v>
      </c>
      <c r="H3704" s="5">
        <v>66</v>
      </c>
      <c r="I3704" s="1">
        <v>113</v>
      </c>
      <c r="J3704" s="1">
        <v>247</v>
      </c>
      <c r="L3704" t="str">
        <f t="shared" si="57"/>
        <v>http://www.badatelna.eu/reprodukce/?fondId=1073&amp;zaznamId=1108959&amp;reproId=3780029</v>
      </c>
      <c r="M3704">
        <f>VLOOKUP(F3704,Sheet2!$B$1:$E$19,2,FALSE)</f>
        <v>1073</v>
      </c>
      <c r="N3704">
        <f>VLOOKUP(F3704,Sheet2!$B$1:$E$19,3,FALSE)</f>
        <v>1108959</v>
      </c>
      <c r="O3704">
        <f>IF(G3704="Not available","",VLOOKUP(F3704,Sheet2!$B$1:$E$19,4,FALSE)+(G3704-1))</f>
        <v>3780029</v>
      </c>
    </row>
    <row r="3705" spans="1:15" s="1" customFormat="1" ht="15" customHeight="1" x14ac:dyDescent="0.25">
      <c r="A3705" s="18" t="s">
        <v>402</v>
      </c>
      <c r="B3705" s="18" t="s">
        <v>593</v>
      </c>
      <c r="C3705" s="5">
        <v>1861</v>
      </c>
      <c r="E3705" s="1" t="s">
        <v>939</v>
      </c>
      <c r="F3705" s="18">
        <v>999</v>
      </c>
      <c r="G3705" s="18">
        <v>28</v>
      </c>
      <c r="H3705" s="5">
        <v>26</v>
      </c>
      <c r="I3705" s="1">
        <v>75</v>
      </c>
      <c r="J3705" s="1">
        <v>110</v>
      </c>
      <c r="L3705" t="str">
        <f t="shared" si="57"/>
        <v>http://www.badatelna.eu/reprodukce/?fondId=241&amp;zaznamId=1133739&amp;reproId=3885757</v>
      </c>
      <c r="M3705">
        <f>VLOOKUP(F3705,Sheet2!$B$1:$E$19,2,FALSE)</f>
        <v>241</v>
      </c>
      <c r="N3705">
        <f>VLOOKUP(F3705,Sheet2!$B$1:$E$19,3,FALSE)</f>
        <v>1133739</v>
      </c>
      <c r="O3705">
        <f>IF(G3705="Not available","",VLOOKUP(F3705,Sheet2!$B$1:$E$19,4,FALSE)+(G3705-1))</f>
        <v>3885757</v>
      </c>
    </row>
    <row r="3706" spans="1:15" s="1" customFormat="1" ht="15" customHeight="1" x14ac:dyDescent="0.25">
      <c r="A3706" s="18" t="s">
        <v>402</v>
      </c>
      <c r="B3706" s="18" t="s">
        <v>2627</v>
      </c>
      <c r="C3706" s="10" t="s">
        <v>2475</v>
      </c>
      <c r="D3706" s="3" t="s">
        <v>2626</v>
      </c>
      <c r="E3706" s="4" t="s">
        <v>2</v>
      </c>
      <c r="F3706" s="18">
        <v>2176</v>
      </c>
      <c r="G3706" s="18" t="s">
        <v>3271</v>
      </c>
      <c r="H3706" s="10" t="s">
        <v>2080</v>
      </c>
      <c r="I3706" s="3">
        <v>37</v>
      </c>
      <c r="J3706" s="3" t="s">
        <v>3271</v>
      </c>
      <c r="L3706" t="str">
        <f t="shared" si="57"/>
        <v/>
      </c>
      <c r="M3706">
        <f>VLOOKUP(F3706,Sheet2!$B$1:$E$19,2,FALSE)</f>
        <v>1073</v>
      </c>
      <c r="N3706">
        <f>VLOOKUP(F3706,Sheet2!$B$1:$E$19,3,FALSE)</f>
        <v>1108963</v>
      </c>
      <c r="O3706" t="str">
        <f>IF(G3706="Not available","",VLOOKUP(F3706,Sheet2!$B$1:$E$19,4,FALSE)+(G3706-1))</f>
        <v/>
      </c>
    </row>
    <row r="3707" spans="1:15" s="1" customFormat="1" ht="15" customHeight="1" x14ac:dyDescent="0.25">
      <c r="A3707" s="18" t="s">
        <v>402</v>
      </c>
      <c r="B3707" s="18" t="s">
        <v>475</v>
      </c>
      <c r="C3707" s="5">
        <v>1842</v>
      </c>
      <c r="D3707" s="1" t="s">
        <v>422</v>
      </c>
      <c r="E3707" s="1" t="s">
        <v>2</v>
      </c>
      <c r="F3707" s="18">
        <v>2174</v>
      </c>
      <c r="G3707" s="18">
        <v>126</v>
      </c>
      <c r="H3707" s="6" t="s">
        <v>3196</v>
      </c>
      <c r="I3707" s="1">
        <v>199</v>
      </c>
      <c r="J3707" s="1">
        <v>234</v>
      </c>
      <c r="L3707" t="str">
        <f t="shared" si="57"/>
        <v>http://www.badatelna.eu/reprodukce/?fondId=1073&amp;zaznamId=1108960&amp;reproId=3780350</v>
      </c>
      <c r="M3707">
        <f>VLOOKUP(F3707,Sheet2!$B$1:$E$19,2,FALSE)</f>
        <v>1073</v>
      </c>
      <c r="N3707">
        <f>VLOOKUP(F3707,Sheet2!$B$1:$E$19,3,FALSE)</f>
        <v>1108960</v>
      </c>
      <c r="O3707">
        <f>IF(G3707="Not available","",VLOOKUP(F3707,Sheet2!$B$1:$E$19,4,FALSE)+(G3707-1))</f>
        <v>3780350</v>
      </c>
    </row>
    <row r="3708" spans="1:15" s="1" customFormat="1" ht="15" customHeight="1" x14ac:dyDescent="0.25">
      <c r="A3708" s="18" t="s">
        <v>402</v>
      </c>
      <c r="B3708" s="18" t="s">
        <v>304</v>
      </c>
      <c r="C3708" s="5">
        <v>1851</v>
      </c>
      <c r="D3708" s="1" t="s">
        <v>422</v>
      </c>
      <c r="E3708" s="1" t="s">
        <v>2</v>
      </c>
      <c r="F3708" s="18">
        <v>2164</v>
      </c>
      <c r="G3708" s="18">
        <v>79</v>
      </c>
      <c r="H3708" s="5">
        <v>77</v>
      </c>
      <c r="I3708" s="1">
        <v>138</v>
      </c>
      <c r="J3708" s="3" t="s">
        <v>3271</v>
      </c>
      <c r="L3708" t="str">
        <f t="shared" si="57"/>
        <v>http://www.badatelna.eu/reprodukce/?fondId=1073&amp;zaznamId=1108951&amp;reproId=3778793</v>
      </c>
      <c r="M3708">
        <f>VLOOKUP(F3708,Sheet2!$B$1:$E$19,2,FALSE)</f>
        <v>1073</v>
      </c>
      <c r="N3708">
        <f>VLOOKUP(F3708,Sheet2!$B$1:$E$19,3,FALSE)</f>
        <v>1108951</v>
      </c>
      <c r="O3708">
        <f>IF(G3708="Not available","",VLOOKUP(F3708,Sheet2!$B$1:$E$19,4,FALSE)+(G3708-1))</f>
        <v>3778793</v>
      </c>
    </row>
    <row r="3709" spans="1:15" s="1" customFormat="1" ht="15" customHeight="1" x14ac:dyDescent="0.25">
      <c r="A3709" s="18" t="s">
        <v>414</v>
      </c>
      <c r="B3709" s="18" t="s">
        <v>50</v>
      </c>
      <c r="C3709" s="5">
        <v>1842</v>
      </c>
      <c r="D3709" s="1" t="s">
        <v>536</v>
      </c>
      <c r="E3709" s="1" t="s">
        <v>2</v>
      </c>
      <c r="F3709" s="18">
        <v>2174</v>
      </c>
      <c r="G3709" s="18">
        <v>126</v>
      </c>
      <c r="H3709" s="6" t="s">
        <v>3196</v>
      </c>
      <c r="I3709" s="1">
        <v>199</v>
      </c>
      <c r="J3709" s="1">
        <v>234</v>
      </c>
      <c r="L3709" t="str">
        <f t="shared" si="57"/>
        <v>http://www.badatelna.eu/reprodukce/?fondId=1073&amp;zaznamId=1108960&amp;reproId=3780350</v>
      </c>
      <c r="M3709">
        <f>VLOOKUP(F3709,Sheet2!$B$1:$E$19,2,FALSE)</f>
        <v>1073</v>
      </c>
      <c r="N3709">
        <f>VLOOKUP(F3709,Sheet2!$B$1:$E$19,3,FALSE)</f>
        <v>1108960</v>
      </c>
      <c r="O3709">
        <f>IF(G3709="Not available","",VLOOKUP(F3709,Sheet2!$B$1:$E$19,4,FALSE)+(G3709-1))</f>
        <v>3780350</v>
      </c>
    </row>
    <row r="3710" spans="1:15" s="1" customFormat="1" ht="15" customHeight="1" x14ac:dyDescent="0.25">
      <c r="A3710" s="18" t="s">
        <v>414</v>
      </c>
      <c r="B3710" s="18" t="s">
        <v>196</v>
      </c>
      <c r="C3710" s="5">
        <v>1836</v>
      </c>
      <c r="D3710" s="1" t="s">
        <v>747</v>
      </c>
      <c r="E3710" s="1" t="s">
        <v>2</v>
      </c>
      <c r="F3710" s="18">
        <v>2174</v>
      </c>
      <c r="G3710" s="18">
        <v>91</v>
      </c>
      <c r="H3710" s="6" t="s">
        <v>3157</v>
      </c>
      <c r="I3710" s="1">
        <v>199</v>
      </c>
      <c r="J3710" s="1">
        <v>234</v>
      </c>
      <c r="L3710" t="str">
        <f t="shared" si="57"/>
        <v>http://www.badatelna.eu/reprodukce/?fondId=1073&amp;zaznamId=1108960&amp;reproId=3780315</v>
      </c>
      <c r="M3710">
        <f>VLOOKUP(F3710,Sheet2!$B$1:$E$19,2,FALSE)</f>
        <v>1073</v>
      </c>
      <c r="N3710">
        <f>VLOOKUP(F3710,Sheet2!$B$1:$E$19,3,FALSE)</f>
        <v>1108960</v>
      </c>
      <c r="O3710">
        <f>IF(G3710="Not available","",VLOOKUP(F3710,Sheet2!$B$1:$E$19,4,FALSE)+(G3710-1))</f>
        <v>3780315</v>
      </c>
    </row>
    <row r="3711" spans="1:15" s="1" customFormat="1" ht="15" customHeight="1" x14ac:dyDescent="0.25">
      <c r="A3711" s="18" t="s">
        <v>414</v>
      </c>
      <c r="B3711" s="18" t="s">
        <v>547</v>
      </c>
      <c r="C3711" s="5">
        <v>1844</v>
      </c>
      <c r="D3711" s="1" t="s">
        <v>536</v>
      </c>
      <c r="E3711" s="1" t="s">
        <v>2</v>
      </c>
      <c r="F3711" s="18">
        <v>2174</v>
      </c>
      <c r="G3711" s="18">
        <v>144</v>
      </c>
      <c r="H3711" s="6" t="s">
        <v>3211</v>
      </c>
      <c r="I3711" s="1">
        <v>199</v>
      </c>
      <c r="J3711" s="1">
        <v>234</v>
      </c>
      <c r="K3711" s="4" t="s">
        <v>363</v>
      </c>
      <c r="L3711" t="str">
        <f t="shared" si="57"/>
        <v>http://www.badatelna.eu/reprodukce/?fondId=1073&amp;zaznamId=1108960&amp;reproId=3780368</v>
      </c>
      <c r="M3711">
        <f>VLOOKUP(F3711,Sheet2!$B$1:$E$19,2,FALSE)</f>
        <v>1073</v>
      </c>
      <c r="N3711">
        <f>VLOOKUP(F3711,Sheet2!$B$1:$E$19,3,FALSE)</f>
        <v>1108960</v>
      </c>
      <c r="O3711">
        <f>IF(G3711="Not available","",VLOOKUP(F3711,Sheet2!$B$1:$E$19,4,FALSE)+(G3711-1))</f>
        <v>3780368</v>
      </c>
    </row>
    <row r="3712" spans="1:15" s="1" customFormat="1" ht="15" customHeight="1" x14ac:dyDescent="0.25">
      <c r="A3712" s="18" t="s">
        <v>414</v>
      </c>
      <c r="B3712" s="19" t="s">
        <v>774</v>
      </c>
      <c r="C3712" s="5">
        <v>1864</v>
      </c>
      <c r="E3712" s="1" t="s">
        <v>939</v>
      </c>
      <c r="F3712" s="18">
        <v>999</v>
      </c>
      <c r="G3712" s="18">
        <v>49</v>
      </c>
      <c r="H3712" s="5">
        <v>47</v>
      </c>
      <c r="I3712" s="1">
        <v>75</v>
      </c>
      <c r="J3712" s="1">
        <v>110</v>
      </c>
      <c r="L3712" t="str">
        <f t="shared" si="57"/>
        <v>http://www.badatelna.eu/reprodukce/?fondId=241&amp;zaznamId=1133739&amp;reproId=3885778</v>
      </c>
      <c r="M3712">
        <f>VLOOKUP(F3712,Sheet2!$B$1:$E$19,2,FALSE)</f>
        <v>241</v>
      </c>
      <c r="N3712">
        <f>VLOOKUP(F3712,Sheet2!$B$1:$E$19,3,FALSE)</f>
        <v>1133739</v>
      </c>
      <c r="O3712">
        <f>IF(G3712="Not available","",VLOOKUP(F3712,Sheet2!$B$1:$E$19,4,FALSE)+(G3712-1))</f>
        <v>3885778</v>
      </c>
    </row>
    <row r="3713" spans="1:15" s="1" customFormat="1" ht="15" customHeight="1" x14ac:dyDescent="0.25">
      <c r="A3713" s="18" t="s">
        <v>414</v>
      </c>
      <c r="B3713" s="18" t="s">
        <v>212</v>
      </c>
      <c r="C3713" s="5">
        <v>1839</v>
      </c>
      <c r="D3713" s="1" t="s">
        <v>747</v>
      </c>
      <c r="E3713" s="1" t="s">
        <v>2</v>
      </c>
      <c r="F3713" s="18">
        <v>2174</v>
      </c>
      <c r="G3713" s="18">
        <v>110</v>
      </c>
      <c r="H3713" s="6" t="s">
        <v>3178</v>
      </c>
      <c r="I3713" s="1">
        <v>199</v>
      </c>
      <c r="J3713" s="1">
        <v>234</v>
      </c>
      <c r="L3713" t="str">
        <f t="shared" si="57"/>
        <v>http://www.badatelna.eu/reprodukce/?fondId=1073&amp;zaznamId=1108960&amp;reproId=3780334</v>
      </c>
      <c r="M3713">
        <f>VLOOKUP(F3713,Sheet2!$B$1:$E$19,2,FALSE)</f>
        <v>1073</v>
      </c>
      <c r="N3713">
        <f>VLOOKUP(F3713,Sheet2!$B$1:$E$19,3,FALSE)</f>
        <v>1108960</v>
      </c>
      <c r="O3713">
        <f>IF(G3713="Not available","",VLOOKUP(F3713,Sheet2!$B$1:$E$19,4,FALSE)+(G3713-1))</f>
        <v>3780334</v>
      </c>
    </row>
    <row r="3714" spans="1:15" s="1" customFormat="1" ht="15" customHeight="1" x14ac:dyDescent="0.25">
      <c r="A3714" s="18" t="s">
        <v>414</v>
      </c>
      <c r="B3714" s="18" t="s">
        <v>96</v>
      </c>
      <c r="C3714" s="5">
        <v>1808</v>
      </c>
      <c r="E3714" s="1" t="s">
        <v>2</v>
      </c>
      <c r="F3714" s="18">
        <v>2173</v>
      </c>
      <c r="G3714" s="18">
        <v>53</v>
      </c>
      <c r="H3714" s="14" t="s">
        <v>2995</v>
      </c>
      <c r="I3714" s="1">
        <v>113</v>
      </c>
      <c r="J3714" s="1">
        <v>247</v>
      </c>
      <c r="L3714" t="str">
        <f t="shared" si="57"/>
        <v>http://www.badatelna.eu/reprodukce/?fondId=1073&amp;zaznamId=1108959&amp;reproId=3780046</v>
      </c>
      <c r="M3714">
        <f>VLOOKUP(F3714,Sheet2!$B$1:$E$19,2,FALSE)</f>
        <v>1073</v>
      </c>
      <c r="N3714">
        <f>VLOOKUP(F3714,Sheet2!$B$1:$E$19,3,FALSE)</f>
        <v>1108959</v>
      </c>
      <c r="O3714">
        <f>IF(G3714="Not available","",VLOOKUP(F3714,Sheet2!$B$1:$E$19,4,FALSE)+(G3714-1))</f>
        <v>3780046</v>
      </c>
    </row>
    <row r="3715" spans="1:15" s="1" customFormat="1" ht="15" customHeight="1" x14ac:dyDescent="0.25">
      <c r="A3715" s="18" t="s">
        <v>414</v>
      </c>
      <c r="B3715" s="18" t="s">
        <v>398</v>
      </c>
      <c r="C3715" s="5" t="s">
        <v>1586</v>
      </c>
      <c r="D3715" s="1" t="s">
        <v>96</v>
      </c>
      <c r="E3715" s="1" t="s">
        <v>2</v>
      </c>
      <c r="F3715" s="18">
        <v>2165</v>
      </c>
      <c r="G3715" s="18">
        <v>27</v>
      </c>
      <c r="H3715" s="5">
        <v>24</v>
      </c>
      <c r="I3715" s="1">
        <v>91</v>
      </c>
      <c r="J3715" s="1" t="s">
        <v>3271</v>
      </c>
      <c r="L3715" t="str">
        <f t="shared" ref="L3715:L3778" si="58">IF(G3715="Not available","","http://www.badatelna.eu/reprodukce/?fondId="&amp;M3715&amp;"&amp;zaznamId="&amp;N3715&amp;"&amp;reproId="&amp;O3715)</f>
        <v>http://www.badatelna.eu/reprodukce/?fondId=1073&amp;zaznamId=1108952&amp;reproId=3778888</v>
      </c>
      <c r="M3715">
        <f>VLOOKUP(F3715,Sheet2!$B$1:$E$19,2,FALSE)</f>
        <v>1073</v>
      </c>
      <c r="N3715">
        <f>VLOOKUP(F3715,Sheet2!$B$1:$E$19,3,FALSE)</f>
        <v>1108952</v>
      </c>
      <c r="O3715">
        <f>IF(G3715="Not available","",VLOOKUP(F3715,Sheet2!$B$1:$E$19,4,FALSE)+(G3715-1))</f>
        <v>3778888</v>
      </c>
    </row>
    <row r="3716" spans="1:15" s="1" customFormat="1" ht="15" customHeight="1" x14ac:dyDescent="0.25">
      <c r="A3716" s="18" t="s">
        <v>414</v>
      </c>
      <c r="B3716" s="18" t="s">
        <v>680</v>
      </c>
      <c r="C3716" s="5">
        <v>1844</v>
      </c>
      <c r="D3716" s="1" t="s">
        <v>536</v>
      </c>
      <c r="E3716" s="1" t="s">
        <v>2</v>
      </c>
      <c r="F3716" s="18">
        <v>2174</v>
      </c>
      <c r="G3716" s="18">
        <v>149</v>
      </c>
      <c r="H3716" s="6" t="s">
        <v>3216</v>
      </c>
      <c r="I3716" s="1">
        <v>199</v>
      </c>
      <c r="J3716" s="1">
        <v>234</v>
      </c>
      <c r="L3716" t="str">
        <f t="shared" si="58"/>
        <v>http://www.badatelna.eu/reprodukce/?fondId=1073&amp;zaznamId=1108960&amp;reproId=3780373</v>
      </c>
      <c r="M3716">
        <f>VLOOKUP(F3716,Sheet2!$B$1:$E$19,2,FALSE)</f>
        <v>1073</v>
      </c>
      <c r="N3716">
        <f>VLOOKUP(F3716,Sheet2!$B$1:$E$19,3,FALSE)</f>
        <v>1108960</v>
      </c>
      <c r="O3716">
        <f>IF(G3716="Not available","",VLOOKUP(F3716,Sheet2!$B$1:$E$19,4,FALSE)+(G3716-1))</f>
        <v>3780373</v>
      </c>
    </row>
    <row r="3717" spans="1:15" s="1" customFormat="1" ht="15" customHeight="1" x14ac:dyDescent="0.25">
      <c r="A3717" s="18" t="s">
        <v>748</v>
      </c>
      <c r="B3717" s="18" t="s">
        <v>196</v>
      </c>
      <c r="C3717" s="5">
        <v>1838</v>
      </c>
      <c r="D3717" s="1" t="s">
        <v>747</v>
      </c>
      <c r="E3717" s="1" t="s">
        <v>2</v>
      </c>
      <c r="F3717" s="18">
        <v>2174</v>
      </c>
      <c r="G3717" s="18">
        <v>98</v>
      </c>
      <c r="H3717" s="6" t="s">
        <v>3166</v>
      </c>
      <c r="I3717" s="1">
        <v>199</v>
      </c>
      <c r="J3717" s="1">
        <v>234</v>
      </c>
      <c r="L3717" t="str">
        <f t="shared" si="58"/>
        <v>http://www.badatelna.eu/reprodukce/?fondId=1073&amp;zaznamId=1108960&amp;reproId=3780322</v>
      </c>
      <c r="M3717">
        <f>VLOOKUP(F3717,Sheet2!$B$1:$E$19,2,FALSE)</f>
        <v>1073</v>
      </c>
      <c r="N3717">
        <f>VLOOKUP(F3717,Sheet2!$B$1:$E$19,3,FALSE)</f>
        <v>1108960</v>
      </c>
      <c r="O3717">
        <f>IF(G3717="Not available","",VLOOKUP(F3717,Sheet2!$B$1:$E$19,4,FALSE)+(G3717-1))</f>
        <v>3780322</v>
      </c>
    </row>
    <row r="3718" spans="1:15" s="1" customFormat="1" ht="15" customHeight="1" x14ac:dyDescent="0.25">
      <c r="A3718" s="19" t="s">
        <v>409</v>
      </c>
      <c r="B3718" s="18" t="s">
        <v>50</v>
      </c>
      <c r="C3718" s="5">
        <v>1793</v>
      </c>
      <c r="D3718" s="4" t="s">
        <v>3084</v>
      </c>
      <c r="E3718" s="1" t="s">
        <v>2</v>
      </c>
      <c r="F3718" s="18">
        <v>2173</v>
      </c>
      <c r="G3718" s="18">
        <v>30</v>
      </c>
      <c r="H3718" s="5">
        <v>55</v>
      </c>
      <c r="I3718" s="1">
        <v>113</v>
      </c>
      <c r="J3718" s="1">
        <v>247</v>
      </c>
      <c r="L3718" t="str">
        <f t="shared" si="58"/>
        <v>http://www.badatelna.eu/reprodukce/?fondId=1073&amp;zaznamId=1108959&amp;reproId=3780023</v>
      </c>
      <c r="M3718">
        <f>VLOOKUP(F3718,Sheet2!$B$1:$E$19,2,FALSE)</f>
        <v>1073</v>
      </c>
      <c r="N3718">
        <f>VLOOKUP(F3718,Sheet2!$B$1:$E$19,3,FALSE)</f>
        <v>1108959</v>
      </c>
      <c r="O3718">
        <f>IF(G3718="Not available","",VLOOKUP(F3718,Sheet2!$B$1:$E$19,4,FALSE)+(G3718-1))</f>
        <v>3780023</v>
      </c>
    </row>
    <row r="3719" spans="1:15" s="1" customFormat="1" ht="15" customHeight="1" x14ac:dyDescent="0.25">
      <c r="A3719" s="18" t="s">
        <v>409</v>
      </c>
      <c r="B3719" s="18" t="s">
        <v>95</v>
      </c>
      <c r="C3719" s="5">
        <v>1806</v>
      </c>
      <c r="E3719" s="1" t="s">
        <v>2</v>
      </c>
      <c r="F3719" s="18">
        <v>2173</v>
      </c>
      <c r="G3719" s="18">
        <v>51</v>
      </c>
      <c r="H3719" s="5">
        <v>97</v>
      </c>
      <c r="I3719" s="1">
        <v>113</v>
      </c>
      <c r="J3719" s="1">
        <v>247</v>
      </c>
      <c r="L3719" t="str">
        <f t="shared" si="58"/>
        <v>http://www.badatelna.eu/reprodukce/?fondId=1073&amp;zaznamId=1108959&amp;reproId=3780044</v>
      </c>
      <c r="M3719">
        <f>VLOOKUP(F3719,Sheet2!$B$1:$E$19,2,FALSE)</f>
        <v>1073</v>
      </c>
      <c r="N3719">
        <f>VLOOKUP(F3719,Sheet2!$B$1:$E$19,3,FALSE)</f>
        <v>1108959</v>
      </c>
      <c r="O3719">
        <f>IF(G3719="Not available","",VLOOKUP(F3719,Sheet2!$B$1:$E$19,4,FALSE)+(G3719-1))</f>
        <v>3780044</v>
      </c>
    </row>
    <row r="3720" spans="1:15" s="1" customFormat="1" ht="15" customHeight="1" x14ac:dyDescent="0.25">
      <c r="A3720" s="18" t="s">
        <v>409</v>
      </c>
      <c r="B3720" s="18" t="s">
        <v>494</v>
      </c>
      <c r="C3720" s="5">
        <v>1838</v>
      </c>
      <c r="D3720" s="1" t="s">
        <v>24</v>
      </c>
      <c r="E3720" s="1" t="s">
        <v>2</v>
      </c>
      <c r="F3720" s="18">
        <v>2174</v>
      </c>
      <c r="G3720" s="18">
        <v>99</v>
      </c>
      <c r="H3720" s="6" t="s">
        <v>3169</v>
      </c>
      <c r="I3720" s="1">
        <v>199</v>
      </c>
      <c r="J3720" s="1">
        <v>234</v>
      </c>
      <c r="L3720" t="str">
        <f t="shared" si="58"/>
        <v>http://www.badatelna.eu/reprodukce/?fondId=1073&amp;zaznamId=1108960&amp;reproId=3780323</v>
      </c>
      <c r="M3720">
        <f>VLOOKUP(F3720,Sheet2!$B$1:$E$19,2,FALSE)</f>
        <v>1073</v>
      </c>
      <c r="N3720">
        <f>VLOOKUP(F3720,Sheet2!$B$1:$E$19,3,FALSE)</f>
        <v>1108960</v>
      </c>
      <c r="O3720">
        <f>IF(G3720="Not available","",VLOOKUP(F3720,Sheet2!$B$1:$E$19,4,FALSE)+(G3720-1))</f>
        <v>3780323</v>
      </c>
    </row>
    <row r="3721" spans="1:15" s="1" customFormat="1" ht="15" customHeight="1" x14ac:dyDescent="0.25">
      <c r="A3721" s="18" t="s">
        <v>409</v>
      </c>
      <c r="B3721" s="18" t="s">
        <v>503</v>
      </c>
      <c r="C3721" s="5">
        <v>1842</v>
      </c>
      <c r="D3721" s="1" t="s">
        <v>24</v>
      </c>
      <c r="E3721" s="1" t="s">
        <v>2</v>
      </c>
      <c r="F3721" s="18">
        <v>2174</v>
      </c>
      <c r="G3721" s="18">
        <v>124</v>
      </c>
      <c r="H3721" s="6" t="s">
        <v>3198</v>
      </c>
      <c r="I3721" s="1">
        <v>199</v>
      </c>
      <c r="J3721" s="1">
        <v>234</v>
      </c>
      <c r="L3721" t="str">
        <f t="shared" si="58"/>
        <v>http://www.badatelna.eu/reprodukce/?fondId=1073&amp;zaznamId=1108960&amp;reproId=3780348</v>
      </c>
      <c r="M3721">
        <f>VLOOKUP(F3721,Sheet2!$B$1:$E$19,2,FALSE)</f>
        <v>1073</v>
      </c>
      <c r="N3721">
        <f>VLOOKUP(F3721,Sheet2!$B$1:$E$19,3,FALSE)</f>
        <v>1108960</v>
      </c>
      <c r="O3721">
        <f>IF(G3721="Not available","",VLOOKUP(F3721,Sheet2!$B$1:$E$19,4,FALSE)+(G3721-1))</f>
        <v>3780348</v>
      </c>
    </row>
    <row r="3722" spans="1:15" s="1" customFormat="1" ht="15" customHeight="1" x14ac:dyDescent="0.25">
      <c r="A3722" s="18" t="s">
        <v>409</v>
      </c>
      <c r="B3722" s="18" t="s">
        <v>56</v>
      </c>
      <c r="C3722" s="6" t="s">
        <v>3331</v>
      </c>
      <c r="E3722" s="1" t="s">
        <v>2</v>
      </c>
      <c r="F3722" s="18">
        <v>2173</v>
      </c>
      <c r="G3722" s="18">
        <v>70</v>
      </c>
      <c r="H3722" s="5">
        <v>133</v>
      </c>
      <c r="I3722" s="1">
        <v>114</v>
      </c>
      <c r="J3722" s="1">
        <v>248</v>
      </c>
      <c r="L3722" t="str">
        <f t="shared" si="58"/>
        <v>http://www.badatelna.eu/reprodukce/?fondId=1073&amp;zaznamId=1108959&amp;reproId=3780063</v>
      </c>
      <c r="M3722">
        <f>VLOOKUP(F3722,Sheet2!$B$1:$E$19,2,FALSE)</f>
        <v>1073</v>
      </c>
      <c r="N3722">
        <f>VLOOKUP(F3722,Sheet2!$B$1:$E$19,3,FALSE)</f>
        <v>1108959</v>
      </c>
      <c r="O3722">
        <f>IF(G3722="Not available","",VLOOKUP(F3722,Sheet2!$B$1:$E$19,4,FALSE)+(G3722-1))</f>
        <v>3780063</v>
      </c>
    </row>
    <row r="3723" spans="1:15" s="1" customFormat="1" ht="15" customHeight="1" x14ac:dyDescent="0.25">
      <c r="A3723" s="18" t="s">
        <v>409</v>
      </c>
      <c r="B3723" s="18" t="s">
        <v>653</v>
      </c>
      <c r="C3723" s="5">
        <v>1836</v>
      </c>
      <c r="D3723" s="1" t="s">
        <v>24</v>
      </c>
      <c r="E3723" s="1" t="s">
        <v>2</v>
      </c>
      <c r="F3723" s="18">
        <v>2174</v>
      </c>
      <c r="G3723" s="18">
        <v>90</v>
      </c>
      <c r="H3723" s="6" t="s">
        <v>3156</v>
      </c>
      <c r="I3723" s="1">
        <v>199</v>
      </c>
      <c r="J3723" s="1">
        <v>234</v>
      </c>
      <c r="L3723" t="str">
        <f t="shared" si="58"/>
        <v>http://www.badatelna.eu/reprodukce/?fondId=1073&amp;zaznamId=1108960&amp;reproId=3780314</v>
      </c>
      <c r="M3723">
        <f>VLOOKUP(F3723,Sheet2!$B$1:$E$19,2,FALSE)</f>
        <v>1073</v>
      </c>
      <c r="N3723">
        <f>VLOOKUP(F3723,Sheet2!$B$1:$E$19,3,FALSE)</f>
        <v>1108960</v>
      </c>
      <c r="O3723">
        <f>IF(G3723="Not available","",VLOOKUP(F3723,Sheet2!$B$1:$E$19,4,FALSE)+(G3723-1))</f>
        <v>3780314</v>
      </c>
    </row>
    <row r="3724" spans="1:15" s="1" customFormat="1" ht="15" customHeight="1" x14ac:dyDescent="0.25">
      <c r="A3724" s="18" t="s">
        <v>409</v>
      </c>
      <c r="B3724" s="18" t="s">
        <v>422</v>
      </c>
      <c r="C3724" s="5">
        <v>1835</v>
      </c>
      <c r="D3724" s="1" t="s">
        <v>24</v>
      </c>
      <c r="E3724" s="1" t="s">
        <v>2</v>
      </c>
      <c r="F3724" s="18">
        <v>2174</v>
      </c>
      <c r="G3724" s="18">
        <v>81</v>
      </c>
      <c r="H3724" s="6" t="s">
        <v>3148</v>
      </c>
      <c r="I3724" s="1">
        <v>199</v>
      </c>
      <c r="J3724" s="1">
        <v>234</v>
      </c>
      <c r="L3724" t="str">
        <f t="shared" si="58"/>
        <v>http://www.badatelna.eu/reprodukce/?fondId=1073&amp;zaznamId=1108960&amp;reproId=3780305</v>
      </c>
      <c r="M3724">
        <f>VLOOKUP(F3724,Sheet2!$B$1:$E$19,2,FALSE)</f>
        <v>1073</v>
      </c>
      <c r="N3724">
        <f>VLOOKUP(F3724,Sheet2!$B$1:$E$19,3,FALSE)</f>
        <v>1108960</v>
      </c>
      <c r="O3724">
        <f>IF(G3724="Not available","",VLOOKUP(F3724,Sheet2!$B$1:$E$19,4,FALSE)+(G3724-1))</f>
        <v>3780305</v>
      </c>
    </row>
    <row r="3725" spans="1:15" s="1" customFormat="1" ht="15" customHeight="1" x14ac:dyDescent="0.25">
      <c r="A3725" s="18" t="s">
        <v>409</v>
      </c>
      <c r="B3725" s="18" t="s">
        <v>18</v>
      </c>
      <c r="C3725" s="5">
        <v>1798</v>
      </c>
      <c r="D3725" s="1" t="s">
        <v>13</v>
      </c>
      <c r="E3725" s="1" t="s">
        <v>2</v>
      </c>
      <c r="F3725" s="18">
        <v>2173</v>
      </c>
      <c r="G3725" s="18">
        <v>38</v>
      </c>
      <c r="H3725" s="5">
        <v>70</v>
      </c>
      <c r="I3725" s="1">
        <v>113</v>
      </c>
      <c r="J3725" s="1">
        <v>247</v>
      </c>
      <c r="L3725" t="str">
        <f t="shared" si="58"/>
        <v>http://www.badatelna.eu/reprodukce/?fondId=1073&amp;zaznamId=1108959&amp;reproId=3780031</v>
      </c>
      <c r="M3725">
        <f>VLOOKUP(F3725,Sheet2!$B$1:$E$19,2,FALSE)</f>
        <v>1073</v>
      </c>
      <c r="N3725">
        <f>VLOOKUP(F3725,Sheet2!$B$1:$E$19,3,FALSE)</f>
        <v>1108959</v>
      </c>
      <c r="O3725">
        <f>IF(G3725="Not available","",VLOOKUP(F3725,Sheet2!$B$1:$E$19,4,FALSE)+(G3725-1))</f>
        <v>3780031</v>
      </c>
    </row>
    <row r="3726" spans="1:15" s="1" customFormat="1" ht="15" customHeight="1" x14ac:dyDescent="0.25">
      <c r="A3726" s="18" t="s">
        <v>409</v>
      </c>
      <c r="B3726" s="18" t="s">
        <v>11</v>
      </c>
      <c r="C3726" s="5">
        <v>1803</v>
      </c>
      <c r="E3726" s="1" t="s">
        <v>2</v>
      </c>
      <c r="F3726" s="18">
        <v>2173</v>
      </c>
      <c r="G3726" s="18">
        <v>47</v>
      </c>
      <c r="H3726" s="5">
        <v>88</v>
      </c>
      <c r="I3726" s="1">
        <v>113</v>
      </c>
      <c r="J3726" s="1">
        <v>247</v>
      </c>
      <c r="L3726" t="str">
        <f t="shared" si="58"/>
        <v>http://www.badatelna.eu/reprodukce/?fondId=1073&amp;zaznamId=1108959&amp;reproId=3780040</v>
      </c>
      <c r="M3726">
        <f>VLOOKUP(F3726,Sheet2!$B$1:$E$19,2,FALSE)</f>
        <v>1073</v>
      </c>
      <c r="N3726">
        <f>VLOOKUP(F3726,Sheet2!$B$1:$E$19,3,FALSE)</f>
        <v>1108959</v>
      </c>
      <c r="O3726">
        <f>IF(G3726="Not available","",VLOOKUP(F3726,Sheet2!$B$1:$E$19,4,FALSE)+(G3726-1))</f>
        <v>3780040</v>
      </c>
    </row>
    <row r="3727" spans="1:15" s="1" customFormat="1" ht="15" customHeight="1" x14ac:dyDescent="0.25">
      <c r="A3727" s="18" t="s">
        <v>409</v>
      </c>
      <c r="B3727" s="18" t="s">
        <v>17</v>
      </c>
      <c r="C3727" s="5">
        <v>1796</v>
      </c>
      <c r="D3727" s="1" t="s">
        <v>13</v>
      </c>
      <c r="E3727" s="1" t="s">
        <v>2</v>
      </c>
      <c r="F3727" s="18">
        <v>2173</v>
      </c>
      <c r="G3727" s="18">
        <v>34</v>
      </c>
      <c r="H3727" s="5">
        <v>62</v>
      </c>
      <c r="I3727" s="1">
        <v>113</v>
      </c>
      <c r="J3727" s="1">
        <v>247</v>
      </c>
      <c r="L3727" t="str">
        <f t="shared" si="58"/>
        <v>http://www.badatelna.eu/reprodukce/?fondId=1073&amp;zaznamId=1108959&amp;reproId=3780027</v>
      </c>
      <c r="M3727">
        <f>VLOOKUP(F3727,Sheet2!$B$1:$E$19,2,FALSE)</f>
        <v>1073</v>
      </c>
      <c r="N3727">
        <f>VLOOKUP(F3727,Sheet2!$B$1:$E$19,3,FALSE)</f>
        <v>1108959</v>
      </c>
      <c r="O3727">
        <f>IF(G3727="Not available","",VLOOKUP(F3727,Sheet2!$B$1:$E$19,4,FALSE)+(G3727-1))</f>
        <v>3780027</v>
      </c>
    </row>
    <row r="3728" spans="1:15" s="1" customFormat="1" ht="15" customHeight="1" x14ac:dyDescent="0.25">
      <c r="A3728" s="18" t="s">
        <v>409</v>
      </c>
      <c r="B3728" s="18" t="s">
        <v>71</v>
      </c>
      <c r="C3728" s="5">
        <v>1826</v>
      </c>
      <c r="E3728" s="1" t="s">
        <v>2</v>
      </c>
      <c r="F3728" s="18">
        <v>2173</v>
      </c>
      <c r="G3728" s="18">
        <v>78</v>
      </c>
      <c r="H3728" s="5">
        <v>149</v>
      </c>
      <c r="I3728" s="1">
        <v>114</v>
      </c>
      <c r="J3728" s="1">
        <v>248</v>
      </c>
      <c r="L3728" t="str">
        <f t="shared" si="58"/>
        <v>http://www.badatelna.eu/reprodukce/?fondId=1073&amp;zaznamId=1108959&amp;reproId=3780071</v>
      </c>
      <c r="M3728">
        <f>VLOOKUP(F3728,Sheet2!$B$1:$E$19,2,FALSE)</f>
        <v>1073</v>
      </c>
      <c r="N3728">
        <f>VLOOKUP(F3728,Sheet2!$B$1:$E$19,3,FALSE)</f>
        <v>1108959</v>
      </c>
      <c r="O3728">
        <f>IF(G3728="Not available","",VLOOKUP(F3728,Sheet2!$B$1:$E$19,4,FALSE)+(G3728-1))</f>
        <v>3780071</v>
      </c>
    </row>
    <row r="3729" spans="1:15" s="1" customFormat="1" ht="15" customHeight="1" x14ac:dyDescent="0.25">
      <c r="A3729" s="18" t="s">
        <v>409</v>
      </c>
      <c r="B3729" s="18" t="s">
        <v>23</v>
      </c>
      <c r="C3729" s="5">
        <v>1801</v>
      </c>
      <c r="E3729" s="1" t="s">
        <v>2</v>
      </c>
      <c r="F3729" s="18">
        <v>2173</v>
      </c>
      <c r="G3729" s="18">
        <v>43</v>
      </c>
      <c r="H3729" s="14" t="s">
        <v>2996</v>
      </c>
      <c r="I3729" s="1">
        <v>113</v>
      </c>
      <c r="J3729" s="1">
        <v>247</v>
      </c>
      <c r="L3729" t="str">
        <f t="shared" si="58"/>
        <v>http://www.badatelna.eu/reprodukce/?fondId=1073&amp;zaznamId=1108959&amp;reproId=3780036</v>
      </c>
      <c r="M3729">
        <f>VLOOKUP(F3729,Sheet2!$B$1:$E$19,2,FALSE)</f>
        <v>1073</v>
      </c>
      <c r="N3729">
        <f>VLOOKUP(F3729,Sheet2!$B$1:$E$19,3,FALSE)</f>
        <v>1108959</v>
      </c>
      <c r="O3729">
        <f>IF(G3729="Not available","",VLOOKUP(F3729,Sheet2!$B$1:$E$19,4,FALSE)+(G3729-1))</f>
        <v>3780036</v>
      </c>
    </row>
    <row r="3730" spans="1:15" s="1" customFormat="1" ht="15" customHeight="1" x14ac:dyDescent="0.25">
      <c r="A3730" s="19" t="s">
        <v>574</v>
      </c>
      <c r="B3730" s="18" t="s">
        <v>50</v>
      </c>
      <c r="C3730" s="5">
        <v>1816</v>
      </c>
      <c r="D3730" s="4" t="s">
        <v>26</v>
      </c>
      <c r="E3730" s="1" t="s">
        <v>2</v>
      </c>
      <c r="F3730" s="18">
        <v>2173</v>
      </c>
      <c r="G3730" s="18">
        <v>65</v>
      </c>
      <c r="H3730" s="5">
        <v>125</v>
      </c>
      <c r="I3730" s="1">
        <v>113</v>
      </c>
      <c r="J3730" s="1">
        <v>247</v>
      </c>
      <c r="L3730" t="str">
        <f t="shared" si="58"/>
        <v>http://www.badatelna.eu/reprodukce/?fondId=1073&amp;zaznamId=1108959&amp;reproId=3780058</v>
      </c>
      <c r="M3730">
        <f>VLOOKUP(F3730,Sheet2!$B$1:$E$19,2,FALSE)</f>
        <v>1073</v>
      </c>
      <c r="N3730">
        <f>VLOOKUP(F3730,Sheet2!$B$1:$E$19,3,FALSE)</f>
        <v>1108959</v>
      </c>
      <c r="O3730">
        <f>IF(G3730="Not available","",VLOOKUP(F3730,Sheet2!$B$1:$E$19,4,FALSE)+(G3730-1))</f>
        <v>3780058</v>
      </c>
    </row>
    <row r="3731" spans="1:15" s="1" customFormat="1" ht="15" customHeight="1" x14ac:dyDescent="0.25">
      <c r="A3731" s="18" t="s">
        <v>574</v>
      </c>
      <c r="B3731" s="18" t="s">
        <v>356</v>
      </c>
      <c r="C3731" s="5">
        <v>1821</v>
      </c>
      <c r="E3731" s="1" t="s">
        <v>2</v>
      </c>
      <c r="F3731" s="18">
        <v>2173</v>
      </c>
      <c r="G3731" s="18">
        <v>73</v>
      </c>
      <c r="H3731" s="5">
        <v>141</v>
      </c>
      <c r="I3731" s="1">
        <v>114</v>
      </c>
      <c r="J3731" s="1">
        <v>248</v>
      </c>
      <c r="L3731" t="str">
        <f t="shared" si="58"/>
        <v>http://www.badatelna.eu/reprodukce/?fondId=1073&amp;zaznamId=1108959&amp;reproId=3780066</v>
      </c>
      <c r="M3731">
        <f>VLOOKUP(F3731,Sheet2!$B$1:$E$19,2,FALSE)</f>
        <v>1073</v>
      </c>
      <c r="N3731">
        <f>VLOOKUP(F3731,Sheet2!$B$1:$E$19,3,FALSE)</f>
        <v>1108959</v>
      </c>
      <c r="O3731">
        <f>IF(G3731="Not available","",VLOOKUP(F3731,Sheet2!$B$1:$E$19,4,FALSE)+(G3731-1))</f>
        <v>3780066</v>
      </c>
    </row>
    <row r="3732" spans="1:15" s="1" customFormat="1" ht="15" customHeight="1" x14ac:dyDescent="0.25">
      <c r="A3732" s="18" t="s">
        <v>574</v>
      </c>
      <c r="B3732" s="18" t="s">
        <v>87</v>
      </c>
      <c r="C3732" s="5">
        <v>1823</v>
      </c>
      <c r="E3732" s="1" t="s">
        <v>2</v>
      </c>
      <c r="F3732" s="18">
        <v>2173</v>
      </c>
      <c r="G3732" s="18">
        <v>73</v>
      </c>
      <c r="H3732" s="5">
        <v>141</v>
      </c>
      <c r="I3732" s="1">
        <v>114</v>
      </c>
      <c r="J3732" s="1">
        <v>248</v>
      </c>
      <c r="L3732" t="str">
        <f t="shared" si="58"/>
        <v>http://www.badatelna.eu/reprodukce/?fondId=1073&amp;zaznamId=1108959&amp;reproId=3780066</v>
      </c>
      <c r="M3732">
        <f>VLOOKUP(F3732,Sheet2!$B$1:$E$19,2,FALSE)</f>
        <v>1073</v>
      </c>
      <c r="N3732">
        <f>VLOOKUP(F3732,Sheet2!$B$1:$E$19,3,FALSE)</f>
        <v>1108959</v>
      </c>
      <c r="O3732">
        <f>IF(G3732="Not available","",VLOOKUP(F3732,Sheet2!$B$1:$E$19,4,FALSE)+(G3732-1))</f>
        <v>3780066</v>
      </c>
    </row>
    <row r="3733" spans="1:15" s="1" customFormat="1" ht="15" customHeight="1" x14ac:dyDescent="0.25">
      <c r="A3733" s="18" t="s">
        <v>574</v>
      </c>
      <c r="B3733" s="18" t="s">
        <v>138</v>
      </c>
      <c r="C3733" s="5">
        <v>1861</v>
      </c>
      <c r="E3733" s="1" t="s">
        <v>939</v>
      </c>
      <c r="F3733" s="18">
        <v>999</v>
      </c>
      <c r="G3733" s="18">
        <v>28</v>
      </c>
      <c r="H3733" s="5">
        <v>26</v>
      </c>
      <c r="I3733" s="1">
        <v>75</v>
      </c>
      <c r="J3733" s="1">
        <v>110</v>
      </c>
      <c r="L3733" t="str">
        <f t="shared" si="58"/>
        <v>http://www.badatelna.eu/reprodukce/?fondId=241&amp;zaznamId=1133739&amp;reproId=3885757</v>
      </c>
      <c r="M3733">
        <f>VLOOKUP(F3733,Sheet2!$B$1:$E$19,2,FALSE)</f>
        <v>241</v>
      </c>
      <c r="N3733">
        <f>VLOOKUP(F3733,Sheet2!$B$1:$E$19,3,FALSE)</f>
        <v>1133739</v>
      </c>
      <c r="O3733">
        <f>IF(G3733="Not available","",VLOOKUP(F3733,Sheet2!$B$1:$E$19,4,FALSE)+(G3733-1))</f>
        <v>3885757</v>
      </c>
    </row>
    <row r="3734" spans="1:15" s="1" customFormat="1" ht="15" customHeight="1" x14ac:dyDescent="0.25">
      <c r="A3734" s="18" t="s">
        <v>574</v>
      </c>
      <c r="B3734" s="18" t="s">
        <v>575</v>
      </c>
      <c r="C3734" s="5">
        <v>1826</v>
      </c>
      <c r="E3734" s="1" t="s">
        <v>2</v>
      </c>
      <c r="F3734" s="18">
        <v>2173</v>
      </c>
      <c r="G3734" s="18">
        <v>79</v>
      </c>
      <c r="H3734" s="5">
        <v>150</v>
      </c>
      <c r="I3734" s="1">
        <v>114</v>
      </c>
      <c r="J3734" s="1">
        <v>248</v>
      </c>
      <c r="L3734" t="str">
        <f t="shared" si="58"/>
        <v>http://www.badatelna.eu/reprodukce/?fondId=1073&amp;zaznamId=1108959&amp;reproId=3780072</v>
      </c>
      <c r="M3734">
        <f>VLOOKUP(F3734,Sheet2!$B$1:$E$19,2,FALSE)</f>
        <v>1073</v>
      </c>
      <c r="N3734">
        <f>VLOOKUP(F3734,Sheet2!$B$1:$E$19,3,FALSE)</f>
        <v>1108959</v>
      </c>
      <c r="O3734">
        <f>IF(G3734="Not available","",VLOOKUP(F3734,Sheet2!$B$1:$E$19,4,FALSE)+(G3734-1))</f>
        <v>3780072</v>
      </c>
    </row>
    <row r="3735" spans="1:15" s="1" customFormat="1" ht="15" customHeight="1" x14ac:dyDescent="0.25">
      <c r="A3735" s="18" t="s">
        <v>574</v>
      </c>
      <c r="B3735" s="18" t="s">
        <v>287</v>
      </c>
      <c r="C3735" s="5">
        <v>1853</v>
      </c>
      <c r="D3735" s="1" t="s">
        <v>6</v>
      </c>
      <c r="E3735" s="1" t="s">
        <v>2</v>
      </c>
      <c r="F3735" s="18">
        <v>2164</v>
      </c>
      <c r="G3735" s="18">
        <v>95</v>
      </c>
      <c r="H3735" s="5">
        <v>93</v>
      </c>
      <c r="I3735" s="1">
        <v>138</v>
      </c>
      <c r="J3735" s="3" t="s">
        <v>3271</v>
      </c>
      <c r="L3735" t="str">
        <f t="shared" si="58"/>
        <v>http://www.badatelna.eu/reprodukce/?fondId=1073&amp;zaznamId=1108951&amp;reproId=3778809</v>
      </c>
      <c r="M3735">
        <f>VLOOKUP(F3735,Sheet2!$B$1:$E$19,2,FALSE)</f>
        <v>1073</v>
      </c>
      <c r="N3735">
        <f>VLOOKUP(F3735,Sheet2!$B$1:$E$19,3,FALSE)</f>
        <v>1108951</v>
      </c>
      <c r="O3735">
        <f>IF(G3735="Not available","",VLOOKUP(F3735,Sheet2!$B$1:$E$19,4,FALSE)+(G3735-1))</f>
        <v>3778809</v>
      </c>
    </row>
    <row r="3736" spans="1:15" s="1" customFormat="1" ht="15" customHeight="1" x14ac:dyDescent="0.25">
      <c r="A3736" s="18" t="s">
        <v>574</v>
      </c>
      <c r="B3736" s="18" t="s">
        <v>432</v>
      </c>
      <c r="C3736" s="5">
        <v>1860</v>
      </c>
      <c r="E3736" s="1" t="s">
        <v>939</v>
      </c>
      <c r="F3736" s="18">
        <v>999</v>
      </c>
      <c r="G3736" s="18">
        <v>19</v>
      </c>
      <c r="H3736" s="5">
        <v>17</v>
      </c>
      <c r="I3736" s="1">
        <v>75</v>
      </c>
      <c r="J3736" s="1">
        <v>110</v>
      </c>
      <c r="L3736" t="str">
        <f t="shared" si="58"/>
        <v>http://www.badatelna.eu/reprodukce/?fondId=241&amp;zaznamId=1133739&amp;reproId=3885748</v>
      </c>
      <c r="M3736">
        <f>VLOOKUP(F3736,Sheet2!$B$1:$E$19,2,FALSE)</f>
        <v>241</v>
      </c>
      <c r="N3736">
        <f>VLOOKUP(F3736,Sheet2!$B$1:$E$19,3,FALSE)</f>
        <v>1133739</v>
      </c>
      <c r="O3736">
        <f>IF(G3736="Not available","",VLOOKUP(F3736,Sheet2!$B$1:$E$19,4,FALSE)+(G3736-1))</f>
        <v>3885748</v>
      </c>
    </row>
    <row r="3737" spans="1:15" s="1" customFormat="1" ht="15" customHeight="1" x14ac:dyDescent="0.25">
      <c r="A3737" s="18" t="s">
        <v>571</v>
      </c>
      <c r="B3737" s="19" t="s">
        <v>237</v>
      </c>
      <c r="C3737" s="6" t="s">
        <v>2960</v>
      </c>
      <c r="E3737" s="1" t="s">
        <v>2</v>
      </c>
      <c r="F3737" s="18">
        <v>2173</v>
      </c>
      <c r="G3737" s="18">
        <v>67</v>
      </c>
      <c r="H3737" s="6" t="s">
        <v>2999</v>
      </c>
      <c r="I3737" s="1">
        <v>114</v>
      </c>
      <c r="J3737" s="1">
        <v>248</v>
      </c>
      <c r="L3737" t="str">
        <f t="shared" si="58"/>
        <v>http://www.badatelna.eu/reprodukce/?fondId=1073&amp;zaznamId=1108959&amp;reproId=3780060</v>
      </c>
      <c r="M3737">
        <f>VLOOKUP(F3737,Sheet2!$B$1:$E$19,2,FALSE)</f>
        <v>1073</v>
      </c>
      <c r="N3737">
        <f>VLOOKUP(F3737,Sheet2!$B$1:$E$19,3,FALSE)</f>
        <v>1108959</v>
      </c>
      <c r="O3737">
        <f>IF(G3737="Not available","",VLOOKUP(F3737,Sheet2!$B$1:$E$19,4,FALSE)+(G3737-1))</f>
        <v>3780060</v>
      </c>
    </row>
    <row r="3738" spans="1:15" s="1" customFormat="1" ht="15" customHeight="1" x14ac:dyDescent="0.25">
      <c r="A3738" s="18" t="s">
        <v>571</v>
      </c>
      <c r="B3738" s="18" t="s">
        <v>11</v>
      </c>
      <c r="C3738" s="5">
        <v>1821</v>
      </c>
      <c r="E3738" s="1" t="s">
        <v>2</v>
      </c>
      <c r="F3738" s="18">
        <v>2173</v>
      </c>
      <c r="G3738" s="18">
        <v>72</v>
      </c>
      <c r="H3738" s="5">
        <v>136</v>
      </c>
      <c r="I3738" s="1">
        <v>114</v>
      </c>
      <c r="J3738" s="1">
        <v>248</v>
      </c>
      <c r="L3738" t="str">
        <f t="shared" si="58"/>
        <v>http://www.badatelna.eu/reprodukce/?fondId=1073&amp;zaznamId=1108959&amp;reproId=3780065</v>
      </c>
      <c r="M3738">
        <f>VLOOKUP(F3738,Sheet2!$B$1:$E$19,2,FALSE)</f>
        <v>1073</v>
      </c>
      <c r="N3738">
        <f>VLOOKUP(F3738,Sheet2!$B$1:$E$19,3,FALSE)</f>
        <v>1108959</v>
      </c>
      <c r="O3738">
        <f>IF(G3738="Not available","",VLOOKUP(F3738,Sheet2!$B$1:$E$19,4,FALSE)+(G3738-1))</f>
        <v>3780065</v>
      </c>
    </row>
    <row r="3739" spans="1:15" s="1" customFormat="1" ht="15" customHeight="1" x14ac:dyDescent="0.25">
      <c r="A3739" s="18" t="s">
        <v>408</v>
      </c>
      <c r="B3739" s="18" t="s">
        <v>50</v>
      </c>
      <c r="C3739" s="5">
        <v>1801</v>
      </c>
      <c r="E3739" s="1" t="s">
        <v>2</v>
      </c>
      <c r="F3739" s="18">
        <v>2173</v>
      </c>
      <c r="G3739" s="18">
        <v>42</v>
      </c>
      <c r="H3739" s="5">
        <v>79</v>
      </c>
      <c r="I3739" s="1">
        <v>113</v>
      </c>
      <c r="J3739" s="1">
        <v>247</v>
      </c>
      <c r="L3739" t="str">
        <f t="shared" si="58"/>
        <v>http://www.badatelna.eu/reprodukce/?fondId=1073&amp;zaznamId=1108959&amp;reproId=3780035</v>
      </c>
      <c r="M3739">
        <f>VLOOKUP(F3739,Sheet2!$B$1:$E$19,2,FALSE)</f>
        <v>1073</v>
      </c>
      <c r="N3739">
        <f>VLOOKUP(F3739,Sheet2!$B$1:$E$19,3,FALSE)</f>
        <v>1108959</v>
      </c>
      <c r="O3739">
        <f>IF(G3739="Not available","",VLOOKUP(F3739,Sheet2!$B$1:$E$19,4,FALSE)+(G3739-1))</f>
        <v>3780035</v>
      </c>
    </row>
    <row r="3740" spans="1:15" s="1" customFormat="1" ht="15" customHeight="1" x14ac:dyDescent="0.25">
      <c r="A3740" s="18" t="s">
        <v>408</v>
      </c>
      <c r="B3740" s="18" t="s">
        <v>92</v>
      </c>
      <c r="C3740" s="5">
        <v>1801</v>
      </c>
      <c r="E3740" s="1" t="s">
        <v>2</v>
      </c>
      <c r="F3740" s="18">
        <v>2173</v>
      </c>
      <c r="G3740" s="18">
        <v>44</v>
      </c>
      <c r="H3740" s="5">
        <v>83</v>
      </c>
      <c r="I3740" s="1">
        <v>113</v>
      </c>
      <c r="J3740" s="1">
        <v>247</v>
      </c>
      <c r="L3740" t="str">
        <f t="shared" si="58"/>
        <v>http://www.badatelna.eu/reprodukce/?fondId=1073&amp;zaznamId=1108959&amp;reproId=3780037</v>
      </c>
      <c r="M3740">
        <f>VLOOKUP(F3740,Sheet2!$B$1:$E$19,2,FALSE)</f>
        <v>1073</v>
      </c>
      <c r="N3740">
        <f>VLOOKUP(F3740,Sheet2!$B$1:$E$19,3,FALSE)</f>
        <v>1108959</v>
      </c>
      <c r="O3740">
        <f>IF(G3740="Not available","",VLOOKUP(F3740,Sheet2!$B$1:$E$19,4,FALSE)+(G3740-1))</f>
        <v>3780037</v>
      </c>
    </row>
    <row r="3741" spans="1:15" s="1" customFormat="1" ht="15" customHeight="1" x14ac:dyDescent="0.25">
      <c r="A3741" s="18" t="s">
        <v>408</v>
      </c>
      <c r="B3741" s="18" t="s">
        <v>14</v>
      </c>
      <c r="C3741" s="5">
        <v>1804</v>
      </c>
      <c r="E3741" s="1" t="s">
        <v>2</v>
      </c>
      <c r="F3741" s="18">
        <v>2173</v>
      </c>
      <c r="G3741" s="18">
        <v>48</v>
      </c>
      <c r="H3741" s="5">
        <v>90</v>
      </c>
      <c r="I3741" s="1">
        <v>113</v>
      </c>
      <c r="J3741" s="1">
        <v>247</v>
      </c>
      <c r="L3741" t="str">
        <f t="shared" si="58"/>
        <v>http://www.badatelna.eu/reprodukce/?fondId=1073&amp;zaznamId=1108959&amp;reproId=3780041</v>
      </c>
      <c r="M3741">
        <f>VLOOKUP(F3741,Sheet2!$B$1:$E$19,2,FALSE)</f>
        <v>1073</v>
      </c>
      <c r="N3741">
        <f>VLOOKUP(F3741,Sheet2!$B$1:$E$19,3,FALSE)</f>
        <v>1108959</v>
      </c>
      <c r="O3741">
        <f>IF(G3741="Not available","",VLOOKUP(F3741,Sheet2!$B$1:$E$19,4,FALSE)+(G3741-1))</f>
        <v>3780041</v>
      </c>
    </row>
    <row r="3742" spans="1:15" s="1" customFormat="1" ht="15" customHeight="1" x14ac:dyDescent="0.25">
      <c r="A3742" s="18" t="s">
        <v>408</v>
      </c>
      <c r="B3742" s="18" t="s">
        <v>34</v>
      </c>
      <c r="C3742" s="5">
        <v>1825</v>
      </c>
      <c r="E3742" s="1" t="s">
        <v>2</v>
      </c>
      <c r="F3742" s="18">
        <v>2173</v>
      </c>
      <c r="G3742" s="18">
        <v>78</v>
      </c>
      <c r="H3742" s="5">
        <v>148</v>
      </c>
      <c r="I3742" s="1">
        <v>114</v>
      </c>
      <c r="J3742" s="1">
        <v>248</v>
      </c>
      <c r="L3742" t="str">
        <f t="shared" si="58"/>
        <v>http://www.badatelna.eu/reprodukce/?fondId=1073&amp;zaznamId=1108959&amp;reproId=3780071</v>
      </c>
      <c r="M3742">
        <f>VLOOKUP(F3742,Sheet2!$B$1:$E$19,2,FALSE)</f>
        <v>1073</v>
      </c>
      <c r="N3742">
        <f>VLOOKUP(F3742,Sheet2!$B$1:$E$19,3,FALSE)</f>
        <v>1108959</v>
      </c>
      <c r="O3742">
        <f>IF(G3742="Not available","",VLOOKUP(F3742,Sheet2!$B$1:$E$19,4,FALSE)+(G3742-1))</f>
        <v>3780071</v>
      </c>
    </row>
    <row r="3743" spans="1:15" s="1" customFormat="1" ht="15" customHeight="1" x14ac:dyDescent="0.25">
      <c r="A3743" s="18" t="s">
        <v>408</v>
      </c>
      <c r="B3743" s="18" t="s">
        <v>13</v>
      </c>
      <c r="C3743" s="5">
        <v>1820</v>
      </c>
      <c r="E3743" s="1" t="s">
        <v>2</v>
      </c>
      <c r="F3743" s="18">
        <v>2173</v>
      </c>
      <c r="G3743" s="18">
        <v>81</v>
      </c>
      <c r="H3743" s="5">
        <v>134</v>
      </c>
      <c r="I3743" s="1">
        <v>114</v>
      </c>
      <c r="J3743" s="1">
        <v>248</v>
      </c>
      <c r="L3743" t="str">
        <f t="shared" si="58"/>
        <v>http://www.badatelna.eu/reprodukce/?fondId=1073&amp;zaznamId=1108959&amp;reproId=3780074</v>
      </c>
      <c r="M3743">
        <f>VLOOKUP(F3743,Sheet2!$B$1:$E$19,2,FALSE)</f>
        <v>1073</v>
      </c>
      <c r="N3743">
        <f>VLOOKUP(F3743,Sheet2!$B$1:$E$19,3,FALSE)</f>
        <v>1108959</v>
      </c>
      <c r="O3743">
        <f>IF(G3743="Not available","",VLOOKUP(F3743,Sheet2!$B$1:$E$19,4,FALSE)+(G3743-1))</f>
        <v>3780074</v>
      </c>
    </row>
    <row r="3744" spans="1:15" s="1" customFormat="1" ht="15" customHeight="1" x14ac:dyDescent="0.25">
      <c r="A3744" s="18" t="s">
        <v>408</v>
      </c>
      <c r="B3744" s="19" t="s">
        <v>108</v>
      </c>
      <c r="C3744" s="5">
        <v>1825</v>
      </c>
      <c r="E3744" s="1" t="s">
        <v>2</v>
      </c>
      <c r="F3744" s="18">
        <v>2173</v>
      </c>
      <c r="G3744" s="18">
        <v>77</v>
      </c>
      <c r="H3744" s="5">
        <v>147</v>
      </c>
      <c r="I3744" s="1">
        <v>114</v>
      </c>
      <c r="J3744" s="1">
        <v>248</v>
      </c>
      <c r="L3744" t="str">
        <f t="shared" si="58"/>
        <v>http://www.badatelna.eu/reprodukce/?fondId=1073&amp;zaznamId=1108959&amp;reproId=3780070</v>
      </c>
      <c r="M3744">
        <f>VLOOKUP(F3744,Sheet2!$B$1:$E$19,2,FALSE)</f>
        <v>1073</v>
      </c>
      <c r="N3744">
        <f>VLOOKUP(F3744,Sheet2!$B$1:$E$19,3,FALSE)</f>
        <v>1108959</v>
      </c>
      <c r="O3744">
        <f>IF(G3744="Not available","",VLOOKUP(F3744,Sheet2!$B$1:$E$19,4,FALSE)+(G3744-1))</f>
        <v>3780070</v>
      </c>
    </row>
    <row r="3745" spans="1:15" s="1" customFormat="1" ht="15" customHeight="1" x14ac:dyDescent="0.25">
      <c r="A3745" s="18" t="s">
        <v>244</v>
      </c>
      <c r="B3745" s="18" t="s">
        <v>738</v>
      </c>
      <c r="C3745" s="5">
        <v>1858</v>
      </c>
      <c r="D3745" s="1" t="s">
        <v>58</v>
      </c>
      <c r="E3745" s="1" t="s">
        <v>2</v>
      </c>
      <c r="F3745" s="18">
        <v>2164</v>
      </c>
      <c r="G3745" s="18">
        <v>116</v>
      </c>
      <c r="H3745" s="5">
        <v>114</v>
      </c>
      <c r="I3745" s="1">
        <v>138</v>
      </c>
      <c r="J3745" s="3" t="s">
        <v>3271</v>
      </c>
      <c r="L3745" t="str">
        <f t="shared" si="58"/>
        <v>http://www.badatelna.eu/reprodukce/?fondId=1073&amp;zaznamId=1108951&amp;reproId=3778830</v>
      </c>
      <c r="M3745">
        <f>VLOOKUP(F3745,Sheet2!$B$1:$E$19,2,FALSE)</f>
        <v>1073</v>
      </c>
      <c r="N3745">
        <f>VLOOKUP(F3745,Sheet2!$B$1:$E$19,3,FALSE)</f>
        <v>1108951</v>
      </c>
      <c r="O3745">
        <f>IF(G3745="Not available","",VLOOKUP(F3745,Sheet2!$B$1:$E$19,4,FALSE)+(G3745-1))</f>
        <v>3778830</v>
      </c>
    </row>
    <row r="3746" spans="1:15" s="1" customFormat="1" ht="15" customHeight="1" x14ac:dyDescent="0.25">
      <c r="A3746" s="19" t="s">
        <v>244</v>
      </c>
      <c r="B3746" s="18" t="s">
        <v>977</v>
      </c>
      <c r="C3746" s="5">
        <v>1861</v>
      </c>
      <c r="E3746" s="1" t="s">
        <v>939</v>
      </c>
      <c r="F3746" s="18">
        <v>999</v>
      </c>
      <c r="G3746" s="18">
        <v>31</v>
      </c>
      <c r="H3746" s="5">
        <v>29</v>
      </c>
      <c r="I3746" s="1">
        <v>75</v>
      </c>
      <c r="J3746" s="1">
        <v>110</v>
      </c>
      <c r="L3746" t="str">
        <f t="shared" si="58"/>
        <v>http://www.badatelna.eu/reprodukce/?fondId=241&amp;zaznamId=1133739&amp;reproId=3885760</v>
      </c>
      <c r="M3746">
        <f>VLOOKUP(F3746,Sheet2!$B$1:$E$19,2,FALSE)</f>
        <v>241</v>
      </c>
      <c r="N3746">
        <f>VLOOKUP(F3746,Sheet2!$B$1:$E$19,3,FALSE)</f>
        <v>1133739</v>
      </c>
      <c r="O3746">
        <f>IF(G3746="Not available","",VLOOKUP(F3746,Sheet2!$B$1:$E$19,4,FALSE)+(G3746-1))</f>
        <v>3885760</v>
      </c>
    </row>
    <row r="3747" spans="1:15" s="1" customFormat="1" ht="15" customHeight="1" x14ac:dyDescent="0.25">
      <c r="A3747" s="19" t="s">
        <v>244</v>
      </c>
      <c r="B3747" s="18" t="s">
        <v>467</v>
      </c>
      <c r="C3747" s="6" t="s">
        <v>2873</v>
      </c>
      <c r="E3747" s="1" t="s">
        <v>939</v>
      </c>
      <c r="F3747" s="18">
        <v>999</v>
      </c>
      <c r="G3747" s="18">
        <v>31</v>
      </c>
      <c r="H3747" s="5">
        <v>29</v>
      </c>
      <c r="I3747" s="1">
        <v>75</v>
      </c>
      <c r="J3747" s="1">
        <v>110</v>
      </c>
      <c r="L3747" t="str">
        <f t="shared" si="58"/>
        <v>http://www.badatelna.eu/reprodukce/?fondId=241&amp;zaznamId=1133739&amp;reproId=3885760</v>
      </c>
      <c r="M3747">
        <f>VLOOKUP(F3747,Sheet2!$B$1:$E$19,2,FALSE)</f>
        <v>241</v>
      </c>
      <c r="N3747">
        <f>VLOOKUP(F3747,Sheet2!$B$1:$E$19,3,FALSE)</f>
        <v>1133739</v>
      </c>
      <c r="O3747">
        <f>IF(G3747="Not available","",VLOOKUP(F3747,Sheet2!$B$1:$E$19,4,FALSE)+(G3747-1))</f>
        <v>3885760</v>
      </c>
    </row>
    <row r="3748" spans="1:15" s="1" customFormat="1" ht="15" customHeight="1" x14ac:dyDescent="0.25">
      <c r="A3748" s="18" t="s">
        <v>244</v>
      </c>
      <c r="B3748" s="18" t="s">
        <v>213</v>
      </c>
      <c r="C3748" s="5">
        <v>1801</v>
      </c>
      <c r="E3748" s="1" t="s">
        <v>2</v>
      </c>
      <c r="F3748" s="18">
        <v>2173</v>
      </c>
      <c r="G3748" s="18">
        <v>41</v>
      </c>
      <c r="H3748" s="5">
        <v>77</v>
      </c>
      <c r="I3748" s="1">
        <v>113</v>
      </c>
      <c r="J3748" s="1">
        <v>247</v>
      </c>
      <c r="L3748" t="str">
        <f t="shared" si="58"/>
        <v>http://www.badatelna.eu/reprodukce/?fondId=1073&amp;zaznamId=1108959&amp;reproId=3780034</v>
      </c>
      <c r="M3748">
        <f>VLOOKUP(F3748,Sheet2!$B$1:$E$19,2,FALSE)</f>
        <v>1073</v>
      </c>
      <c r="N3748">
        <f>VLOOKUP(F3748,Sheet2!$B$1:$E$19,3,FALSE)</f>
        <v>1108959</v>
      </c>
      <c r="O3748">
        <f>IF(G3748="Not available","",VLOOKUP(F3748,Sheet2!$B$1:$E$19,4,FALSE)+(G3748-1))</f>
        <v>3780034</v>
      </c>
    </row>
    <row r="3749" spans="1:15" s="1" customFormat="1" ht="15" customHeight="1" x14ac:dyDescent="0.25">
      <c r="A3749" s="19" t="s">
        <v>244</v>
      </c>
      <c r="B3749" s="18" t="s">
        <v>370</v>
      </c>
      <c r="C3749" s="6" t="s">
        <v>2870</v>
      </c>
      <c r="E3749" s="1" t="s">
        <v>939</v>
      </c>
      <c r="F3749" s="18">
        <v>999</v>
      </c>
      <c r="G3749" s="18">
        <v>31</v>
      </c>
      <c r="H3749" s="5">
        <v>29</v>
      </c>
      <c r="I3749" s="1">
        <v>75</v>
      </c>
      <c r="J3749" s="1">
        <v>110</v>
      </c>
      <c r="L3749" t="str">
        <f t="shared" si="58"/>
        <v>http://www.badatelna.eu/reprodukce/?fondId=241&amp;zaznamId=1133739&amp;reproId=3885760</v>
      </c>
      <c r="M3749">
        <f>VLOOKUP(F3749,Sheet2!$B$1:$E$19,2,FALSE)</f>
        <v>241</v>
      </c>
      <c r="N3749">
        <f>VLOOKUP(F3749,Sheet2!$B$1:$E$19,3,FALSE)</f>
        <v>1133739</v>
      </c>
      <c r="O3749">
        <f>IF(G3749="Not available","",VLOOKUP(F3749,Sheet2!$B$1:$E$19,4,FALSE)+(G3749-1))</f>
        <v>3885760</v>
      </c>
    </row>
    <row r="3750" spans="1:15" s="1" customFormat="1" ht="15" customHeight="1" x14ac:dyDescent="0.25">
      <c r="A3750" s="18" t="s">
        <v>177</v>
      </c>
      <c r="B3750" s="18" t="s">
        <v>196</v>
      </c>
      <c r="C3750" s="5">
        <v>1858</v>
      </c>
      <c r="D3750" s="1" t="s">
        <v>58</v>
      </c>
      <c r="E3750" s="1" t="s">
        <v>2</v>
      </c>
      <c r="F3750" s="18">
        <v>2164</v>
      </c>
      <c r="G3750" s="18">
        <v>89</v>
      </c>
      <c r="H3750" s="5">
        <v>87</v>
      </c>
      <c r="I3750" s="1">
        <v>138</v>
      </c>
      <c r="J3750" s="3" t="s">
        <v>3271</v>
      </c>
      <c r="L3750" t="str">
        <f t="shared" si="58"/>
        <v>http://www.badatelna.eu/reprodukce/?fondId=1073&amp;zaznamId=1108951&amp;reproId=3778803</v>
      </c>
      <c r="M3750">
        <f>VLOOKUP(F3750,Sheet2!$B$1:$E$19,2,FALSE)</f>
        <v>1073</v>
      </c>
      <c r="N3750">
        <f>VLOOKUP(F3750,Sheet2!$B$1:$E$19,3,FALSE)</f>
        <v>1108951</v>
      </c>
      <c r="O3750">
        <f>IF(G3750="Not available","",VLOOKUP(F3750,Sheet2!$B$1:$E$19,4,FALSE)+(G3750-1))</f>
        <v>3778803</v>
      </c>
    </row>
    <row r="3751" spans="1:15" s="1" customFormat="1" ht="15" customHeight="1" x14ac:dyDescent="0.25">
      <c r="A3751" s="18" t="s">
        <v>177</v>
      </c>
      <c r="B3751" s="18" t="s">
        <v>1084</v>
      </c>
      <c r="C3751" s="5" t="s">
        <v>1588</v>
      </c>
      <c r="D3751" s="1" t="s">
        <v>1085</v>
      </c>
      <c r="E3751" s="1" t="s">
        <v>2</v>
      </c>
      <c r="F3751" s="18">
        <v>2165</v>
      </c>
      <c r="G3751" s="18">
        <v>33</v>
      </c>
      <c r="H3751" s="5">
        <v>30</v>
      </c>
      <c r="I3751" s="1">
        <v>91</v>
      </c>
      <c r="J3751" s="1" t="s">
        <v>3271</v>
      </c>
      <c r="K3751" s="4" t="s">
        <v>363</v>
      </c>
      <c r="L3751" t="str">
        <f t="shared" si="58"/>
        <v>http://www.badatelna.eu/reprodukce/?fondId=1073&amp;zaznamId=1108952&amp;reproId=3778894</v>
      </c>
      <c r="M3751">
        <f>VLOOKUP(F3751,Sheet2!$B$1:$E$19,2,FALSE)</f>
        <v>1073</v>
      </c>
      <c r="N3751">
        <f>VLOOKUP(F3751,Sheet2!$B$1:$E$19,3,FALSE)</f>
        <v>1108952</v>
      </c>
      <c r="O3751">
        <f>IF(G3751="Not available","",VLOOKUP(F3751,Sheet2!$B$1:$E$19,4,FALSE)+(G3751-1))</f>
        <v>3778894</v>
      </c>
    </row>
    <row r="3752" spans="1:15" s="1" customFormat="1" ht="15" customHeight="1" x14ac:dyDescent="0.25">
      <c r="A3752" s="18" t="s">
        <v>177</v>
      </c>
      <c r="B3752" s="18" t="s">
        <v>169</v>
      </c>
      <c r="C3752" s="6" t="s">
        <v>2998</v>
      </c>
      <c r="E3752" s="1" t="s">
        <v>2</v>
      </c>
      <c r="F3752" s="18">
        <v>2173</v>
      </c>
      <c r="G3752" s="18">
        <v>69</v>
      </c>
      <c r="H3752" s="14" t="s">
        <v>2997</v>
      </c>
      <c r="I3752" s="1">
        <v>114</v>
      </c>
      <c r="J3752" s="1">
        <v>248</v>
      </c>
      <c r="L3752" t="str">
        <f t="shared" si="58"/>
        <v>http://www.badatelna.eu/reprodukce/?fondId=1073&amp;zaznamId=1108959&amp;reproId=3780062</v>
      </c>
      <c r="M3752">
        <f>VLOOKUP(F3752,Sheet2!$B$1:$E$19,2,FALSE)</f>
        <v>1073</v>
      </c>
      <c r="N3752">
        <f>VLOOKUP(F3752,Sheet2!$B$1:$E$19,3,FALSE)</f>
        <v>1108959</v>
      </c>
      <c r="O3752">
        <f>IF(G3752="Not available","",VLOOKUP(F3752,Sheet2!$B$1:$E$19,4,FALSE)+(G3752-1))</f>
        <v>3780062</v>
      </c>
    </row>
    <row r="3753" spans="1:15" s="1" customFormat="1" ht="15" customHeight="1" x14ac:dyDescent="0.25">
      <c r="A3753" s="18" t="s">
        <v>177</v>
      </c>
      <c r="B3753" s="18" t="s">
        <v>434</v>
      </c>
      <c r="C3753" s="5">
        <v>1849</v>
      </c>
      <c r="D3753" s="4" t="s">
        <v>2887</v>
      </c>
      <c r="E3753" s="1" t="s">
        <v>2</v>
      </c>
      <c r="F3753" s="18">
        <v>2164</v>
      </c>
      <c r="G3753" s="18">
        <v>45</v>
      </c>
      <c r="H3753" s="6" t="s">
        <v>2886</v>
      </c>
      <c r="I3753" s="1">
        <v>138</v>
      </c>
      <c r="J3753" s="3" t="s">
        <v>3271</v>
      </c>
      <c r="L3753" t="str">
        <f t="shared" si="58"/>
        <v>http://www.badatelna.eu/reprodukce/?fondId=1073&amp;zaznamId=1108951&amp;reproId=3778759</v>
      </c>
      <c r="M3753">
        <f>VLOOKUP(F3753,Sheet2!$B$1:$E$19,2,FALSE)</f>
        <v>1073</v>
      </c>
      <c r="N3753">
        <f>VLOOKUP(F3753,Sheet2!$B$1:$E$19,3,FALSE)</f>
        <v>1108951</v>
      </c>
      <c r="O3753">
        <f>IF(G3753="Not available","",VLOOKUP(F3753,Sheet2!$B$1:$E$19,4,FALSE)+(G3753-1))</f>
        <v>3778759</v>
      </c>
    </row>
    <row r="3754" spans="1:15" s="1" customFormat="1" ht="15" customHeight="1" x14ac:dyDescent="0.25">
      <c r="A3754" s="18" t="s">
        <v>177</v>
      </c>
      <c r="B3754" s="18" t="s">
        <v>434</v>
      </c>
      <c r="C3754" s="5" t="s">
        <v>1589</v>
      </c>
      <c r="D3754" s="1" t="s">
        <v>1085</v>
      </c>
      <c r="E3754" s="1" t="s">
        <v>2</v>
      </c>
      <c r="F3754" s="18">
        <v>2165</v>
      </c>
      <c r="G3754" s="18">
        <v>35</v>
      </c>
      <c r="H3754" s="5">
        <v>32</v>
      </c>
      <c r="I3754" s="1">
        <v>91</v>
      </c>
      <c r="J3754" s="1" t="s">
        <v>3271</v>
      </c>
      <c r="L3754" t="str">
        <f t="shared" si="58"/>
        <v>http://www.badatelna.eu/reprodukce/?fondId=1073&amp;zaznamId=1108952&amp;reproId=3778896</v>
      </c>
      <c r="M3754">
        <f>VLOOKUP(F3754,Sheet2!$B$1:$E$19,2,FALSE)</f>
        <v>1073</v>
      </c>
      <c r="N3754">
        <f>VLOOKUP(F3754,Sheet2!$B$1:$E$19,3,FALSE)</f>
        <v>1108952</v>
      </c>
      <c r="O3754">
        <f>IF(G3754="Not available","",VLOOKUP(F3754,Sheet2!$B$1:$E$19,4,FALSE)+(G3754-1))</f>
        <v>3778896</v>
      </c>
    </row>
    <row r="3755" spans="1:15" s="1" customFormat="1" ht="15" customHeight="1" x14ac:dyDescent="0.25">
      <c r="A3755" s="18" t="s">
        <v>177</v>
      </c>
      <c r="B3755" s="18" t="s">
        <v>491</v>
      </c>
      <c r="C3755" s="5">
        <v>1839</v>
      </c>
      <c r="D3755" s="1" t="s">
        <v>489</v>
      </c>
      <c r="E3755" s="1" t="s">
        <v>2</v>
      </c>
      <c r="F3755" s="18">
        <v>2174</v>
      </c>
      <c r="G3755" s="18">
        <v>103</v>
      </c>
      <c r="H3755" s="6" t="s">
        <v>3172</v>
      </c>
      <c r="I3755" s="1">
        <v>199</v>
      </c>
      <c r="J3755" s="1">
        <v>234</v>
      </c>
      <c r="L3755" t="str">
        <f t="shared" si="58"/>
        <v>http://www.badatelna.eu/reprodukce/?fondId=1073&amp;zaznamId=1108960&amp;reproId=3780327</v>
      </c>
      <c r="M3755">
        <f>VLOOKUP(F3755,Sheet2!$B$1:$E$19,2,FALSE)</f>
        <v>1073</v>
      </c>
      <c r="N3755">
        <f>VLOOKUP(F3755,Sheet2!$B$1:$E$19,3,FALSE)</f>
        <v>1108960</v>
      </c>
      <c r="O3755">
        <f>IF(G3755="Not available","",VLOOKUP(F3755,Sheet2!$B$1:$E$19,4,FALSE)+(G3755-1))</f>
        <v>3780327</v>
      </c>
    </row>
    <row r="3756" spans="1:15" s="1" customFormat="1" ht="15" customHeight="1" x14ac:dyDescent="0.25">
      <c r="A3756" s="18" t="s">
        <v>177</v>
      </c>
      <c r="B3756" s="18" t="s">
        <v>24</v>
      </c>
      <c r="C3756" s="5">
        <v>1833</v>
      </c>
      <c r="D3756" s="1" t="s">
        <v>167</v>
      </c>
      <c r="E3756" s="1" t="s">
        <v>2</v>
      </c>
      <c r="F3756" s="18">
        <v>2174</v>
      </c>
      <c r="G3756" s="18">
        <v>70</v>
      </c>
      <c r="H3756" s="10" t="s">
        <v>3140</v>
      </c>
      <c r="I3756" s="1">
        <v>199</v>
      </c>
      <c r="J3756" s="1">
        <v>234</v>
      </c>
      <c r="L3756" t="str">
        <f t="shared" si="58"/>
        <v>http://www.badatelna.eu/reprodukce/?fondId=1073&amp;zaznamId=1108960&amp;reproId=3780294</v>
      </c>
      <c r="M3756">
        <f>VLOOKUP(F3756,Sheet2!$B$1:$E$19,2,FALSE)</f>
        <v>1073</v>
      </c>
      <c r="N3756">
        <f>VLOOKUP(F3756,Sheet2!$B$1:$E$19,3,FALSE)</f>
        <v>1108960</v>
      </c>
      <c r="O3756">
        <f>IF(G3756="Not available","",VLOOKUP(F3756,Sheet2!$B$1:$E$19,4,FALSE)+(G3756-1))</f>
        <v>3780294</v>
      </c>
    </row>
    <row r="3757" spans="1:15" s="1" customFormat="1" ht="15" customHeight="1" x14ac:dyDescent="0.25">
      <c r="A3757" s="18" t="s">
        <v>177</v>
      </c>
      <c r="B3757" s="18" t="s">
        <v>58</v>
      </c>
      <c r="C3757" s="5">
        <v>1807</v>
      </c>
      <c r="E3757" s="1" t="s">
        <v>2</v>
      </c>
      <c r="F3757" s="18">
        <v>2173</v>
      </c>
      <c r="G3757" s="18">
        <v>52</v>
      </c>
      <c r="H3757" s="5">
        <v>98</v>
      </c>
      <c r="I3757" s="1">
        <v>113</v>
      </c>
      <c r="J3757" s="1">
        <v>247</v>
      </c>
      <c r="L3757" t="str">
        <f t="shared" si="58"/>
        <v>http://www.badatelna.eu/reprodukce/?fondId=1073&amp;zaznamId=1108959&amp;reproId=3780045</v>
      </c>
      <c r="M3757">
        <f>VLOOKUP(F3757,Sheet2!$B$1:$E$19,2,FALSE)</f>
        <v>1073</v>
      </c>
      <c r="N3757">
        <f>VLOOKUP(F3757,Sheet2!$B$1:$E$19,3,FALSE)</f>
        <v>1108959</v>
      </c>
      <c r="O3757">
        <f>IF(G3757="Not available","",VLOOKUP(F3757,Sheet2!$B$1:$E$19,4,FALSE)+(G3757-1))</f>
        <v>3780045</v>
      </c>
    </row>
    <row r="3758" spans="1:15" s="1" customFormat="1" ht="15" customHeight="1" x14ac:dyDescent="0.25">
      <c r="A3758" s="18" t="s">
        <v>177</v>
      </c>
      <c r="B3758" s="18" t="s">
        <v>58</v>
      </c>
      <c r="C3758" s="5">
        <v>1813</v>
      </c>
      <c r="E3758" s="1" t="s">
        <v>2</v>
      </c>
      <c r="F3758" s="18">
        <v>2173</v>
      </c>
      <c r="G3758" s="18">
        <v>61</v>
      </c>
      <c r="H3758" s="5">
        <v>116</v>
      </c>
      <c r="I3758" s="1">
        <v>113</v>
      </c>
      <c r="J3758" s="1">
        <v>247</v>
      </c>
      <c r="L3758" t="str">
        <f t="shared" si="58"/>
        <v>http://www.badatelna.eu/reprodukce/?fondId=1073&amp;zaznamId=1108959&amp;reproId=3780054</v>
      </c>
      <c r="M3758">
        <f>VLOOKUP(F3758,Sheet2!$B$1:$E$19,2,FALSE)</f>
        <v>1073</v>
      </c>
      <c r="N3758">
        <f>VLOOKUP(F3758,Sheet2!$B$1:$E$19,3,FALSE)</f>
        <v>1108959</v>
      </c>
      <c r="O3758">
        <f>IF(G3758="Not available","",VLOOKUP(F3758,Sheet2!$B$1:$E$19,4,FALSE)+(G3758-1))</f>
        <v>3780054</v>
      </c>
    </row>
    <row r="3759" spans="1:15" s="1" customFormat="1" ht="15" customHeight="1" x14ac:dyDescent="0.25">
      <c r="A3759" s="18" t="s">
        <v>177</v>
      </c>
      <c r="B3759" s="18" t="s">
        <v>740</v>
      </c>
      <c r="C3759" s="5">
        <v>1837</v>
      </c>
      <c r="D3759" s="1" t="s">
        <v>489</v>
      </c>
      <c r="E3759" s="1" t="s">
        <v>2</v>
      </c>
      <c r="F3759" s="18">
        <v>2174</v>
      </c>
      <c r="G3759" s="18">
        <v>91</v>
      </c>
      <c r="H3759" s="6" t="s">
        <v>3157</v>
      </c>
      <c r="I3759" s="1">
        <v>199</v>
      </c>
      <c r="J3759" s="1">
        <v>234</v>
      </c>
      <c r="L3759" t="str">
        <f t="shared" si="58"/>
        <v>http://www.badatelna.eu/reprodukce/?fondId=1073&amp;zaznamId=1108960&amp;reproId=3780315</v>
      </c>
      <c r="M3759">
        <f>VLOOKUP(F3759,Sheet2!$B$1:$E$19,2,FALSE)</f>
        <v>1073</v>
      </c>
      <c r="N3759">
        <f>VLOOKUP(F3759,Sheet2!$B$1:$E$19,3,FALSE)</f>
        <v>1108960</v>
      </c>
      <c r="O3759">
        <f>IF(G3759="Not available","",VLOOKUP(F3759,Sheet2!$B$1:$E$19,4,FALSE)+(G3759-1))</f>
        <v>3780315</v>
      </c>
    </row>
    <row r="3760" spans="1:15" s="1" customFormat="1" ht="15" customHeight="1" x14ac:dyDescent="0.25">
      <c r="A3760" s="18" t="s">
        <v>177</v>
      </c>
      <c r="B3760" s="18" t="s">
        <v>108</v>
      </c>
      <c r="C3760" s="5">
        <v>1804</v>
      </c>
      <c r="E3760" s="1" t="s">
        <v>2</v>
      </c>
      <c r="F3760" s="18">
        <v>2173</v>
      </c>
      <c r="G3760" s="18">
        <v>48</v>
      </c>
      <c r="H3760" s="5">
        <v>90</v>
      </c>
      <c r="I3760" s="1">
        <v>113</v>
      </c>
      <c r="J3760" s="1">
        <v>247</v>
      </c>
      <c r="L3760" t="str">
        <f t="shared" si="58"/>
        <v>http://www.badatelna.eu/reprodukce/?fondId=1073&amp;zaznamId=1108959&amp;reproId=3780041</v>
      </c>
      <c r="M3760">
        <f>VLOOKUP(F3760,Sheet2!$B$1:$E$19,2,FALSE)</f>
        <v>1073</v>
      </c>
      <c r="N3760">
        <f>VLOOKUP(F3760,Sheet2!$B$1:$E$19,3,FALSE)</f>
        <v>1108959</v>
      </c>
      <c r="O3760">
        <f>IF(G3760="Not available","",VLOOKUP(F3760,Sheet2!$B$1:$E$19,4,FALSE)+(G3760-1))</f>
        <v>3780041</v>
      </c>
    </row>
    <row r="3761" spans="1:15" s="1" customFormat="1" ht="15" customHeight="1" x14ac:dyDescent="0.25">
      <c r="A3761" s="18" t="s">
        <v>177</v>
      </c>
      <c r="B3761" s="18" t="s">
        <v>76</v>
      </c>
      <c r="C3761" s="5" t="s">
        <v>1588</v>
      </c>
      <c r="D3761" s="1" t="s">
        <v>1085</v>
      </c>
      <c r="E3761" s="1" t="s">
        <v>2</v>
      </c>
      <c r="F3761" s="18">
        <v>2165</v>
      </c>
      <c r="G3761" s="18">
        <v>33</v>
      </c>
      <c r="H3761" s="5">
        <v>30</v>
      </c>
      <c r="I3761" s="1">
        <v>91</v>
      </c>
      <c r="J3761" s="1" t="s">
        <v>3271</v>
      </c>
      <c r="K3761" s="4" t="s">
        <v>363</v>
      </c>
      <c r="L3761" t="str">
        <f t="shared" si="58"/>
        <v>http://www.badatelna.eu/reprodukce/?fondId=1073&amp;zaznamId=1108952&amp;reproId=3778894</v>
      </c>
      <c r="M3761">
        <f>VLOOKUP(F3761,Sheet2!$B$1:$E$19,2,FALSE)</f>
        <v>1073</v>
      </c>
      <c r="N3761">
        <f>VLOOKUP(F3761,Sheet2!$B$1:$E$19,3,FALSE)</f>
        <v>1108952</v>
      </c>
      <c r="O3761">
        <f>IF(G3761="Not available","",VLOOKUP(F3761,Sheet2!$B$1:$E$19,4,FALSE)+(G3761-1))</f>
        <v>3778894</v>
      </c>
    </row>
    <row r="3762" spans="1:15" s="1" customFormat="1" ht="15" customHeight="1" x14ac:dyDescent="0.25">
      <c r="A3762" s="18" t="s">
        <v>114</v>
      </c>
      <c r="B3762" s="18" t="s">
        <v>58</v>
      </c>
      <c r="C3762" s="5">
        <v>1827</v>
      </c>
      <c r="E3762" s="1" t="s">
        <v>2</v>
      </c>
      <c r="F3762" s="18">
        <v>2173</v>
      </c>
      <c r="G3762" s="18">
        <v>80</v>
      </c>
      <c r="H3762" s="5">
        <v>152</v>
      </c>
      <c r="I3762" s="1">
        <v>114</v>
      </c>
      <c r="J3762" s="1">
        <v>248</v>
      </c>
      <c r="L3762" t="str">
        <f t="shared" si="58"/>
        <v>http://www.badatelna.eu/reprodukce/?fondId=1073&amp;zaznamId=1108959&amp;reproId=3780073</v>
      </c>
      <c r="M3762">
        <f>VLOOKUP(F3762,Sheet2!$B$1:$E$19,2,FALSE)</f>
        <v>1073</v>
      </c>
      <c r="N3762">
        <f>VLOOKUP(F3762,Sheet2!$B$1:$E$19,3,FALSE)</f>
        <v>1108959</v>
      </c>
      <c r="O3762">
        <f>IF(G3762="Not available","",VLOOKUP(F3762,Sheet2!$B$1:$E$19,4,FALSE)+(G3762-1))</f>
        <v>3780073</v>
      </c>
    </row>
    <row r="3763" spans="1:15" s="1" customFormat="1" ht="15" customHeight="1" x14ac:dyDescent="0.25">
      <c r="A3763" s="18" t="s">
        <v>1135</v>
      </c>
      <c r="B3763" s="18" t="s">
        <v>1043</v>
      </c>
      <c r="C3763" s="10" t="s">
        <v>2052</v>
      </c>
      <c r="D3763" s="3" t="s">
        <v>2633</v>
      </c>
      <c r="E3763" s="4" t="s">
        <v>2</v>
      </c>
      <c r="F3763" s="18">
        <v>2176</v>
      </c>
      <c r="G3763" s="18" t="s">
        <v>3271</v>
      </c>
      <c r="H3763" s="10" t="s">
        <v>1954</v>
      </c>
      <c r="I3763" s="3">
        <v>37</v>
      </c>
      <c r="J3763" s="3" t="s">
        <v>3271</v>
      </c>
      <c r="K3763" s="3"/>
      <c r="L3763" t="str">
        <f t="shared" si="58"/>
        <v/>
      </c>
      <c r="M3763">
        <f>VLOOKUP(F3763,Sheet2!$B$1:$E$19,2,FALSE)</f>
        <v>1073</v>
      </c>
      <c r="N3763">
        <f>VLOOKUP(F3763,Sheet2!$B$1:$E$19,3,FALSE)</f>
        <v>1108963</v>
      </c>
      <c r="O3763" t="str">
        <f>IF(G3763="Not available","",VLOOKUP(F3763,Sheet2!$B$1:$E$19,4,FALSE)+(G3763-1))</f>
        <v/>
      </c>
    </row>
    <row r="3764" spans="1:15" s="1" customFormat="1" ht="15" customHeight="1" x14ac:dyDescent="0.25">
      <c r="A3764" s="18" t="s">
        <v>1135</v>
      </c>
      <c r="B3764" s="18" t="s">
        <v>849</v>
      </c>
      <c r="C3764" s="5">
        <v>1886</v>
      </c>
      <c r="D3764" s="1" t="s">
        <v>484</v>
      </c>
      <c r="E3764" s="1" t="s">
        <v>2</v>
      </c>
      <c r="F3764" s="18">
        <v>2165</v>
      </c>
      <c r="G3764" s="18">
        <v>207</v>
      </c>
      <c r="H3764" s="5">
        <v>1</v>
      </c>
      <c r="I3764" s="1">
        <v>211</v>
      </c>
      <c r="J3764" s="1">
        <v>187</v>
      </c>
      <c r="L3764" t="str">
        <f t="shared" si="58"/>
        <v>http://www.badatelna.eu/reprodukce/?fondId=1073&amp;zaznamId=1108952&amp;reproId=3779068</v>
      </c>
      <c r="M3764">
        <f>VLOOKUP(F3764,Sheet2!$B$1:$E$19,2,FALSE)</f>
        <v>1073</v>
      </c>
      <c r="N3764">
        <f>VLOOKUP(F3764,Sheet2!$B$1:$E$19,3,FALSE)</f>
        <v>1108952</v>
      </c>
      <c r="O3764">
        <f>IF(G3764="Not available","",VLOOKUP(F3764,Sheet2!$B$1:$E$19,4,FALSE)+(G3764-1))</f>
        <v>3779068</v>
      </c>
    </row>
    <row r="3765" spans="1:15" s="1" customFormat="1" ht="15" customHeight="1" x14ac:dyDescent="0.25">
      <c r="A3765" s="18" t="s">
        <v>1135</v>
      </c>
      <c r="B3765" s="18" t="s">
        <v>2261</v>
      </c>
      <c r="C3765" s="10" t="s">
        <v>1285</v>
      </c>
      <c r="D3765" s="3" t="s">
        <v>2633</v>
      </c>
      <c r="E3765" s="4" t="s">
        <v>2</v>
      </c>
      <c r="F3765" s="18">
        <v>2176</v>
      </c>
      <c r="G3765" s="18" t="s">
        <v>3271</v>
      </c>
      <c r="H3765" s="10" t="s">
        <v>2230</v>
      </c>
      <c r="I3765" s="3">
        <v>37</v>
      </c>
      <c r="J3765" s="3" t="s">
        <v>3271</v>
      </c>
      <c r="K3765" s="3"/>
      <c r="L3765" t="str">
        <f t="shared" si="58"/>
        <v/>
      </c>
      <c r="M3765">
        <f>VLOOKUP(F3765,Sheet2!$B$1:$E$19,2,FALSE)</f>
        <v>1073</v>
      </c>
      <c r="N3765">
        <f>VLOOKUP(F3765,Sheet2!$B$1:$E$19,3,FALSE)</f>
        <v>1108963</v>
      </c>
      <c r="O3765" t="str">
        <f>IF(G3765="Not available","",VLOOKUP(F3765,Sheet2!$B$1:$E$19,4,FALSE)+(G3765-1))</f>
        <v/>
      </c>
    </row>
    <row r="3766" spans="1:15" s="1" customFormat="1" ht="15" customHeight="1" x14ac:dyDescent="0.25">
      <c r="A3766" s="18" t="s">
        <v>1135</v>
      </c>
      <c r="B3766" s="18" t="s">
        <v>789</v>
      </c>
      <c r="C3766" s="5">
        <v>1882</v>
      </c>
      <c r="D3766" s="1" t="s">
        <v>484</v>
      </c>
      <c r="E3766" s="1" t="s">
        <v>2</v>
      </c>
      <c r="F3766" s="18">
        <v>2165</v>
      </c>
      <c r="G3766" s="18">
        <v>179</v>
      </c>
      <c r="H3766" s="5">
        <v>3</v>
      </c>
      <c r="I3766" s="1">
        <v>183</v>
      </c>
      <c r="J3766" s="1">
        <v>160</v>
      </c>
      <c r="L3766" t="str">
        <f t="shared" si="58"/>
        <v>http://www.badatelna.eu/reprodukce/?fondId=1073&amp;zaznamId=1108952&amp;reproId=3779040</v>
      </c>
      <c r="M3766">
        <f>VLOOKUP(F3766,Sheet2!$B$1:$E$19,2,FALSE)</f>
        <v>1073</v>
      </c>
      <c r="N3766">
        <f>VLOOKUP(F3766,Sheet2!$B$1:$E$19,3,FALSE)</f>
        <v>1108952</v>
      </c>
      <c r="O3766">
        <f>IF(G3766="Not available","",VLOOKUP(F3766,Sheet2!$B$1:$E$19,4,FALSE)+(G3766-1))</f>
        <v>3779040</v>
      </c>
    </row>
    <row r="3767" spans="1:15" s="1" customFormat="1" ht="15" customHeight="1" x14ac:dyDescent="0.25">
      <c r="A3767" s="18" t="s">
        <v>1135</v>
      </c>
      <c r="B3767" s="18" t="s">
        <v>2645</v>
      </c>
      <c r="C3767" s="10" t="s">
        <v>2115</v>
      </c>
      <c r="D3767" s="3" t="s">
        <v>2646</v>
      </c>
      <c r="E3767" s="4" t="s">
        <v>2</v>
      </c>
      <c r="F3767" s="18">
        <v>2176</v>
      </c>
      <c r="G3767" s="18" t="s">
        <v>3271</v>
      </c>
      <c r="H3767" s="10" t="s">
        <v>2105</v>
      </c>
      <c r="I3767" s="3">
        <v>38</v>
      </c>
      <c r="J3767" s="3" t="s">
        <v>3271</v>
      </c>
      <c r="K3767" s="3"/>
      <c r="L3767" t="str">
        <f t="shared" si="58"/>
        <v/>
      </c>
      <c r="M3767">
        <f>VLOOKUP(F3767,Sheet2!$B$1:$E$19,2,FALSE)</f>
        <v>1073</v>
      </c>
      <c r="N3767">
        <f>VLOOKUP(F3767,Sheet2!$B$1:$E$19,3,FALSE)</f>
        <v>1108963</v>
      </c>
      <c r="O3767" t="str">
        <f>IF(G3767="Not available","",VLOOKUP(F3767,Sheet2!$B$1:$E$19,4,FALSE)+(G3767-1))</f>
        <v/>
      </c>
    </row>
    <row r="3768" spans="1:15" s="1" customFormat="1" ht="15" customHeight="1" x14ac:dyDescent="0.25">
      <c r="A3768" s="18" t="s">
        <v>1135</v>
      </c>
      <c r="B3768" s="18" t="s">
        <v>2168</v>
      </c>
      <c r="C3768" s="10" t="s">
        <v>2005</v>
      </c>
      <c r="D3768" s="3" t="s">
        <v>2633</v>
      </c>
      <c r="E3768" s="4" t="s">
        <v>2</v>
      </c>
      <c r="F3768" s="18">
        <v>2176</v>
      </c>
      <c r="G3768" s="18" t="s">
        <v>3271</v>
      </c>
      <c r="H3768" s="10" t="s">
        <v>2351</v>
      </c>
      <c r="I3768" s="3">
        <v>37</v>
      </c>
      <c r="J3768" s="3" t="s">
        <v>3271</v>
      </c>
      <c r="L3768" t="str">
        <f t="shared" si="58"/>
        <v/>
      </c>
      <c r="M3768">
        <f>VLOOKUP(F3768,Sheet2!$B$1:$E$19,2,FALSE)</f>
        <v>1073</v>
      </c>
      <c r="N3768">
        <f>VLOOKUP(F3768,Sheet2!$B$1:$E$19,3,FALSE)</f>
        <v>1108963</v>
      </c>
      <c r="O3768" t="str">
        <f>IF(G3768="Not available","",VLOOKUP(F3768,Sheet2!$B$1:$E$19,4,FALSE)+(G3768-1))</f>
        <v/>
      </c>
    </row>
    <row r="3769" spans="1:15" s="1" customFormat="1" ht="15" customHeight="1" x14ac:dyDescent="0.25">
      <c r="A3769" s="18" t="s">
        <v>1135</v>
      </c>
      <c r="B3769" s="18" t="s">
        <v>593</v>
      </c>
      <c r="C3769" s="10" t="s">
        <v>2015</v>
      </c>
      <c r="D3769" s="3" t="s">
        <v>2633</v>
      </c>
      <c r="E3769" s="4" t="s">
        <v>2</v>
      </c>
      <c r="F3769" s="18">
        <v>2176</v>
      </c>
      <c r="G3769" s="18" t="s">
        <v>3271</v>
      </c>
      <c r="H3769" s="10" t="s">
        <v>2230</v>
      </c>
      <c r="I3769" s="3">
        <v>37</v>
      </c>
      <c r="J3769" s="3" t="s">
        <v>3271</v>
      </c>
      <c r="K3769" s="3"/>
      <c r="L3769" t="str">
        <f t="shared" si="58"/>
        <v/>
      </c>
      <c r="M3769">
        <f>VLOOKUP(F3769,Sheet2!$B$1:$E$19,2,FALSE)</f>
        <v>1073</v>
      </c>
      <c r="N3769">
        <f>VLOOKUP(F3769,Sheet2!$B$1:$E$19,3,FALSE)</f>
        <v>1108963</v>
      </c>
      <c r="O3769" t="str">
        <f>IF(G3769="Not available","",VLOOKUP(F3769,Sheet2!$B$1:$E$19,4,FALSE)+(G3769-1))</f>
        <v/>
      </c>
    </row>
    <row r="3770" spans="1:15" s="1" customFormat="1" ht="15" customHeight="1" x14ac:dyDescent="0.25">
      <c r="A3770" s="18" t="s">
        <v>1135</v>
      </c>
      <c r="B3770" s="18" t="s">
        <v>924</v>
      </c>
      <c r="C3770" s="5">
        <v>1889</v>
      </c>
      <c r="D3770" s="1" t="s">
        <v>484</v>
      </c>
      <c r="E3770" s="1" t="s">
        <v>2</v>
      </c>
      <c r="F3770" s="18">
        <v>2165</v>
      </c>
      <c r="G3770" s="18">
        <v>221</v>
      </c>
      <c r="H3770" s="5">
        <v>1</v>
      </c>
      <c r="I3770" s="1">
        <v>225</v>
      </c>
      <c r="J3770" s="1">
        <v>201</v>
      </c>
      <c r="L3770" t="str">
        <f t="shared" si="58"/>
        <v>http://www.badatelna.eu/reprodukce/?fondId=1073&amp;zaznamId=1108952&amp;reproId=3779082</v>
      </c>
      <c r="M3770">
        <f>VLOOKUP(F3770,Sheet2!$B$1:$E$19,2,FALSE)</f>
        <v>1073</v>
      </c>
      <c r="N3770">
        <f>VLOOKUP(F3770,Sheet2!$B$1:$E$19,3,FALSE)</f>
        <v>1108952</v>
      </c>
      <c r="O3770">
        <f>IF(G3770="Not available","",VLOOKUP(F3770,Sheet2!$B$1:$E$19,4,FALSE)+(G3770-1))</f>
        <v>3779082</v>
      </c>
    </row>
    <row r="3771" spans="1:15" s="1" customFormat="1" ht="15" customHeight="1" x14ac:dyDescent="0.25">
      <c r="A3771" s="18" t="s">
        <v>1135</v>
      </c>
      <c r="B3771" s="18" t="s">
        <v>2196</v>
      </c>
      <c r="C3771" s="10" t="s">
        <v>2068</v>
      </c>
      <c r="D3771" s="3" t="s">
        <v>2633</v>
      </c>
      <c r="E3771" s="4" t="s">
        <v>2</v>
      </c>
      <c r="F3771" s="18">
        <v>2176</v>
      </c>
      <c r="G3771" s="18" t="s">
        <v>3271</v>
      </c>
      <c r="H3771" s="10" t="s">
        <v>2083</v>
      </c>
      <c r="I3771" s="3">
        <v>38</v>
      </c>
      <c r="J3771" s="3" t="s">
        <v>3271</v>
      </c>
      <c r="K3771" s="3"/>
      <c r="L3771" t="str">
        <f t="shared" si="58"/>
        <v/>
      </c>
      <c r="M3771">
        <f>VLOOKUP(F3771,Sheet2!$B$1:$E$19,2,FALSE)</f>
        <v>1073</v>
      </c>
      <c r="N3771">
        <f>VLOOKUP(F3771,Sheet2!$B$1:$E$19,3,FALSE)</f>
        <v>1108963</v>
      </c>
      <c r="O3771" t="str">
        <f>IF(G3771="Not available","",VLOOKUP(F3771,Sheet2!$B$1:$E$19,4,FALSE)+(G3771-1))</f>
        <v/>
      </c>
    </row>
    <row r="3772" spans="1:15" s="1" customFormat="1" ht="15" customHeight="1" x14ac:dyDescent="0.25">
      <c r="A3772" s="18" t="s">
        <v>2642</v>
      </c>
      <c r="B3772" s="18" t="s">
        <v>2643</v>
      </c>
      <c r="C3772" s="10" t="s">
        <v>2452</v>
      </c>
      <c r="D3772" s="3" t="s">
        <v>2644</v>
      </c>
      <c r="E3772" s="4" t="s">
        <v>2</v>
      </c>
      <c r="F3772" s="18">
        <v>2176</v>
      </c>
      <c r="G3772" s="18" t="s">
        <v>3271</v>
      </c>
      <c r="H3772" s="10" t="s">
        <v>2088</v>
      </c>
      <c r="I3772" s="3">
        <v>38</v>
      </c>
      <c r="J3772" s="3" t="s">
        <v>3271</v>
      </c>
      <c r="K3772" s="3"/>
      <c r="L3772" t="str">
        <f t="shared" si="58"/>
        <v/>
      </c>
      <c r="M3772">
        <f>VLOOKUP(F3772,Sheet2!$B$1:$E$19,2,FALSE)</f>
        <v>1073</v>
      </c>
      <c r="N3772">
        <f>VLOOKUP(F3772,Sheet2!$B$1:$E$19,3,FALSE)</f>
        <v>1108963</v>
      </c>
      <c r="O3772" t="str">
        <f>IF(G3772="Not available","",VLOOKUP(F3772,Sheet2!$B$1:$E$19,4,FALSE)+(G3772-1))</f>
        <v/>
      </c>
    </row>
    <row r="3773" spans="1:15" s="1" customFormat="1" ht="15" customHeight="1" x14ac:dyDescent="0.25">
      <c r="A3773" s="18" t="s">
        <v>408</v>
      </c>
      <c r="B3773" s="18" t="s">
        <v>3277</v>
      </c>
      <c r="C3773" s="10"/>
      <c r="D3773" s="3"/>
      <c r="E3773" s="4"/>
      <c r="F3773" s="18"/>
      <c r="G3773" s="18"/>
      <c r="H3773" s="10"/>
      <c r="I3773" s="3"/>
      <c r="J3773" s="3"/>
      <c r="K3773" s="3"/>
      <c r="L3773" t="e">
        <f t="shared" si="58"/>
        <v>#N/A</v>
      </c>
      <c r="M3773" t="e">
        <f>VLOOKUP(F3773,Sheet2!$B$1:$E$19,2,FALSE)</f>
        <v>#N/A</v>
      </c>
      <c r="N3773" t="e">
        <f>VLOOKUP(F3773,Sheet2!$B$1:$E$19,3,FALSE)</f>
        <v>#N/A</v>
      </c>
      <c r="O3773" t="e">
        <f>IF(G3773="Not available","",VLOOKUP(F3773,Sheet2!$B$1:$E$19,4,FALSE)+(G3773-1))</f>
        <v>#N/A</v>
      </c>
    </row>
    <row r="3774" spans="1:15" s="1" customFormat="1" ht="15" customHeight="1" x14ac:dyDescent="0.25">
      <c r="A3774" s="18" t="s">
        <v>1123</v>
      </c>
      <c r="B3774" s="18" t="s">
        <v>850</v>
      </c>
      <c r="C3774" s="14" t="s">
        <v>1987</v>
      </c>
      <c r="D3774" s="3" t="s">
        <v>2631</v>
      </c>
      <c r="E3774" s="4" t="s">
        <v>2</v>
      </c>
      <c r="F3774" s="18">
        <v>2176</v>
      </c>
      <c r="G3774" s="18" t="s">
        <v>3271</v>
      </c>
      <c r="H3774" s="10" t="s">
        <v>2632</v>
      </c>
      <c r="I3774" s="3">
        <v>37</v>
      </c>
      <c r="J3774" s="3" t="s">
        <v>3271</v>
      </c>
      <c r="K3774" s="3"/>
      <c r="L3774" t="str">
        <f t="shared" si="58"/>
        <v/>
      </c>
      <c r="M3774">
        <f>VLOOKUP(F3774,Sheet2!$B$1:$E$19,2,FALSE)</f>
        <v>1073</v>
      </c>
      <c r="N3774">
        <f>VLOOKUP(F3774,Sheet2!$B$1:$E$19,3,FALSE)</f>
        <v>1108963</v>
      </c>
      <c r="O3774" t="str">
        <f>IF(G3774="Not available","",VLOOKUP(F3774,Sheet2!$B$1:$E$19,4,FALSE)+(G3774-1))</f>
        <v/>
      </c>
    </row>
    <row r="3775" spans="1:15" s="1" customFormat="1" ht="15" customHeight="1" x14ac:dyDescent="0.25">
      <c r="A3775" s="18" t="s">
        <v>1123</v>
      </c>
      <c r="B3775" s="18" t="s">
        <v>1968</v>
      </c>
      <c r="C3775" s="10" t="s">
        <v>2043</v>
      </c>
      <c r="D3775" s="3" t="s">
        <v>2631</v>
      </c>
      <c r="E3775" s="4" t="s">
        <v>2</v>
      </c>
      <c r="F3775" s="18">
        <v>2176</v>
      </c>
      <c r="G3775" s="18" t="s">
        <v>3271</v>
      </c>
      <c r="H3775" s="10" t="s">
        <v>2038</v>
      </c>
      <c r="I3775" s="3">
        <v>37</v>
      </c>
      <c r="J3775" s="3" t="s">
        <v>3271</v>
      </c>
      <c r="K3775" s="3"/>
      <c r="L3775" t="str">
        <f t="shared" si="58"/>
        <v/>
      </c>
      <c r="M3775">
        <f>VLOOKUP(F3775,Sheet2!$B$1:$E$19,2,FALSE)</f>
        <v>1073</v>
      </c>
      <c r="N3775">
        <f>VLOOKUP(F3775,Sheet2!$B$1:$E$19,3,FALSE)</f>
        <v>1108963</v>
      </c>
      <c r="O3775" t="str">
        <f>IF(G3775="Not available","",VLOOKUP(F3775,Sheet2!$B$1:$E$19,4,FALSE)+(G3775-1))</f>
        <v/>
      </c>
    </row>
    <row r="3776" spans="1:15" s="1" customFormat="1" ht="15" customHeight="1" x14ac:dyDescent="0.25">
      <c r="A3776" s="18" t="s">
        <v>1123</v>
      </c>
      <c r="B3776" s="18" t="s">
        <v>1019</v>
      </c>
      <c r="C3776" s="10" t="s">
        <v>2074</v>
      </c>
      <c r="D3776" s="3" t="s">
        <v>2640</v>
      </c>
      <c r="E3776" s="4" t="s">
        <v>2</v>
      </c>
      <c r="F3776" s="18">
        <v>2176</v>
      </c>
      <c r="G3776" s="18" t="s">
        <v>3271</v>
      </c>
      <c r="H3776" s="10" t="s">
        <v>2051</v>
      </c>
      <c r="I3776" s="3">
        <v>38</v>
      </c>
      <c r="J3776" s="3" t="s">
        <v>3271</v>
      </c>
      <c r="K3776" s="3"/>
      <c r="L3776" t="str">
        <f t="shared" si="58"/>
        <v/>
      </c>
      <c r="M3776">
        <f>VLOOKUP(F3776,Sheet2!$B$1:$E$19,2,FALSE)</f>
        <v>1073</v>
      </c>
      <c r="N3776">
        <f>VLOOKUP(F3776,Sheet2!$B$1:$E$19,3,FALSE)</f>
        <v>1108963</v>
      </c>
      <c r="O3776" t="str">
        <f>IF(G3776="Not available","",VLOOKUP(F3776,Sheet2!$B$1:$E$19,4,FALSE)+(G3776-1))</f>
        <v/>
      </c>
    </row>
    <row r="3777" spans="1:15" s="1" customFormat="1" ht="15" customHeight="1" x14ac:dyDescent="0.25">
      <c r="A3777" s="18" t="s">
        <v>1123</v>
      </c>
      <c r="B3777" s="18" t="s">
        <v>1019</v>
      </c>
      <c r="C3777" s="5" t="s">
        <v>1786</v>
      </c>
      <c r="D3777" s="1" t="s">
        <v>12</v>
      </c>
      <c r="E3777" s="1" t="s">
        <v>2</v>
      </c>
      <c r="F3777" s="18">
        <v>2165</v>
      </c>
      <c r="G3777" s="18">
        <v>235</v>
      </c>
      <c r="H3777" s="5">
        <v>2</v>
      </c>
      <c r="I3777" s="1">
        <v>238</v>
      </c>
      <c r="J3777" s="1">
        <v>214</v>
      </c>
      <c r="L3777" t="str">
        <f t="shared" si="58"/>
        <v>http://www.badatelna.eu/reprodukce/?fondId=1073&amp;zaznamId=1108952&amp;reproId=3779096</v>
      </c>
      <c r="M3777">
        <f>VLOOKUP(F3777,Sheet2!$B$1:$E$19,2,FALSE)</f>
        <v>1073</v>
      </c>
      <c r="N3777">
        <f>VLOOKUP(F3777,Sheet2!$B$1:$E$19,3,FALSE)</f>
        <v>1108952</v>
      </c>
      <c r="O3777">
        <f>IF(G3777="Not available","",VLOOKUP(F3777,Sheet2!$B$1:$E$19,4,FALSE)+(G3777-1))</f>
        <v>3779096</v>
      </c>
    </row>
    <row r="3778" spans="1:15" s="1" customFormat="1" ht="15" customHeight="1" x14ac:dyDescent="0.25">
      <c r="A3778" s="18" t="s">
        <v>1123</v>
      </c>
      <c r="B3778" s="18" t="s">
        <v>769</v>
      </c>
      <c r="C3778" s="5">
        <v>1883</v>
      </c>
      <c r="D3778" s="1" t="s">
        <v>12</v>
      </c>
      <c r="E3778" s="1" t="s">
        <v>2</v>
      </c>
      <c r="F3778" s="18">
        <v>2165</v>
      </c>
      <c r="G3778" s="18">
        <v>187</v>
      </c>
      <c r="H3778" s="5">
        <v>3</v>
      </c>
      <c r="I3778" s="1">
        <v>191</v>
      </c>
      <c r="J3778" s="1">
        <v>168</v>
      </c>
      <c r="L3778" t="str">
        <f t="shared" si="58"/>
        <v>http://www.badatelna.eu/reprodukce/?fondId=1073&amp;zaznamId=1108952&amp;reproId=3779048</v>
      </c>
      <c r="M3778">
        <f>VLOOKUP(F3778,Sheet2!$B$1:$E$19,2,FALSE)</f>
        <v>1073</v>
      </c>
      <c r="N3778">
        <f>VLOOKUP(F3778,Sheet2!$B$1:$E$19,3,FALSE)</f>
        <v>1108952</v>
      </c>
      <c r="O3778">
        <f>IF(G3778="Not available","",VLOOKUP(F3778,Sheet2!$B$1:$E$19,4,FALSE)+(G3778-1))</f>
        <v>3779048</v>
      </c>
    </row>
    <row r="3779" spans="1:15" s="1" customFormat="1" ht="15" customHeight="1" x14ac:dyDescent="0.25">
      <c r="A3779" s="18" t="s">
        <v>1123</v>
      </c>
      <c r="B3779" s="18" t="s">
        <v>769</v>
      </c>
      <c r="C3779" s="10" t="s">
        <v>2036</v>
      </c>
      <c r="D3779" s="3" t="s">
        <v>2631</v>
      </c>
      <c r="E3779" s="4" t="s">
        <v>2</v>
      </c>
      <c r="F3779" s="18">
        <v>2176</v>
      </c>
      <c r="G3779" s="18" t="s">
        <v>3271</v>
      </c>
      <c r="H3779" s="10" t="s">
        <v>2080</v>
      </c>
      <c r="I3779" s="3">
        <v>37</v>
      </c>
      <c r="J3779" s="3" t="s">
        <v>3271</v>
      </c>
      <c r="K3779" s="3"/>
      <c r="L3779" t="str">
        <f t="shared" ref="L3779:L3842" si="59">IF(G3779="Not available","","http://www.badatelna.eu/reprodukce/?fondId="&amp;M3779&amp;"&amp;zaznamId="&amp;N3779&amp;"&amp;reproId="&amp;O3779)</f>
        <v/>
      </c>
      <c r="M3779">
        <f>VLOOKUP(F3779,Sheet2!$B$1:$E$19,2,FALSE)</f>
        <v>1073</v>
      </c>
      <c r="N3779">
        <f>VLOOKUP(F3779,Sheet2!$B$1:$E$19,3,FALSE)</f>
        <v>1108963</v>
      </c>
      <c r="O3779" t="str">
        <f>IF(G3779="Not available","",VLOOKUP(F3779,Sheet2!$B$1:$E$19,4,FALSE)+(G3779-1))</f>
        <v/>
      </c>
    </row>
    <row r="3780" spans="1:15" s="1" customFormat="1" ht="15" customHeight="1" x14ac:dyDescent="0.25">
      <c r="A3780" s="18" t="s">
        <v>1123</v>
      </c>
      <c r="B3780" s="18" t="s">
        <v>1051</v>
      </c>
      <c r="C3780" s="5">
        <v>1885</v>
      </c>
      <c r="D3780" s="1" t="s">
        <v>12</v>
      </c>
      <c r="E3780" s="1" t="s">
        <v>2</v>
      </c>
      <c r="F3780" s="18">
        <v>2165</v>
      </c>
      <c r="G3780" s="18">
        <v>202</v>
      </c>
      <c r="H3780" s="5">
        <v>4</v>
      </c>
      <c r="I3780" s="1">
        <v>204</v>
      </c>
      <c r="J3780" s="1">
        <v>187</v>
      </c>
      <c r="L3780" t="str">
        <f t="shared" si="59"/>
        <v>http://www.badatelna.eu/reprodukce/?fondId=1073&amp;zaznamId=1108952&amp;reproId=3779063</v>
      </c>
      <c r="M3780">
        <f>VLOOKUP(F3780,Sheet2!$B$1:$E$19,2,FALSE)</f>
        <v>1073</v>
      </c>
      <c r="N3780">
        <f>VLOOKUP(F3780,Sheet2!$B$1:$E$19,3,FALSE)</f>
        <v>1108952</v>
      </c>
      <c r="O3780">
        <f>IF(G3780="Not available","",VLOOKUP(F3780,Sheet2!$B$1:$E$19,4,FALSE)+(G3780-1))</f>
        <v>3779063</v>
      </c>
    </row>
    <row r="3781" spans="1:15" s="1" customFormat="1" ht="15" customHeight="1" x14ac:dyDescent="0.25">
      <c r="A3781" s="18" t="s">
        <v>1123</v>
      </c>
      <c r="B3781" s="18" t="s">
        <v>1008</v>
      </c>
      <c r="C3781" s="5">
        <v>1887</v>
      </c>
      <c r="D3781" s="1" t="s">
        <v>12</v>
      </c>
      <c r="E3781" s="1" t="s">
        <v>2</v>
      </c>
      <c r="F3781" s="18">
        <v>2165</v>
      </c>
      <c r="G3781" s="18">
        <v>213</v>
      </c>
      <c r="H3781" s="5">
        <v>2</v>
      </c>
      <c r="I3781" s="1">
        <v>216</v>
      </c>
      <c r="J3781" s="1">
        <v>192</v>
      </c>
      <c r="L3781" t="str">
        <f t="shared" si="59"/>
        <v>http://www.badatelna.eu/reprodukce/?fondId=1073&amp;zaznamId=1108952&amp;reproId=3779074</v>
      </c>
      <c r="M3781">
        <f>VLOOKUP(F3781,Sheet2!$B$1:$E$19,2,FALSE)</f>
        <v>1073</v>
      </c>
      <c r="N3781">
        <f>VLOOKUP(F3781,Sheet2!$B$1:$E$19,3,FALSE)</f>
        <v>1108952</v>
      </c>
      <c r="O3781">
        <f>IF(G3781="Not available","",VLOOKUP(F3781,Sheet2!$B$1:$E$19,4,FALSE)+(G3781-1))</f>
        <v>3779074</v>
      </c>
    </row>
    <row r="3782" spans="1:15" s="1" customFormat="1" ht="15" customHeight="1" x14ac:dyDescent="0.25">
      <c r="A3782" s="18" t="s">
        <v>1123</v>
      </c>
      <c r="B3782" s="18" t="s">
        <v>2228</v>
      </c>
      <c r="C3782" s="10" t="s">
        <v>2055</v>
      </c>
      <c r="D3782" s="3" t="s">
        <v>2631</v>
      </c>
      <c r="E3782" s="4" t="s">
        <v>2</v>
      </c>
      <c r="F3782" s="18">
        <v>2176</v>
      </c>
      <c r="G3782" s="18" t="s">
        <v>3271</v>
      </c>
      <c r="H3782" s="10" t="s">
        <v>1979</v>
      </c>
      <c r="I3782" s="3">
        <v>37</v>
      </c>
      <c r="J3782" s="3" t="s">
        <v>3271</v>
      </c>
      <c r="K3782" s="3"/>
      <c r="L3782" t="str">
        <f t="shared" si="59"/>
        <v/>
      </c>
      <c r="M3782">
        <f>VLOOKUP(F3782,Sheet2!$B$1:$E$19,2,FALSE)</f>
        <v>1073</v>
      </c>
      <c r="N3782">
        <f>VLOOKUP(F3782,Sheet2!$B$1:$E$19,3,FALSE)</f>
        <v>1108963</v>
      </c>
      <c r="O3782" t="str">
        <f>IF(G3782="Not available","",VLOOKUP(F3782,Sheet2!$B$1:$E$19,4,FALSE)+(G3782-1))</f>
        <v/>
      </c>
    </row>
    <row r="3783" spans="1:15" s="1" customFormat="1" ht="15" customHeight="1" x14ac:dyDescent="0.25">
      <c r="A3783" s="18" t="s">
        <v>1123</v>
      </c>
      <c r="B3783" s="18" t="s">
        <v>2143</v>
      </c>
      <c r="C3783" s="14" t="s">
        <v>2005</v>
      </c>
      <c r="D3783" s="3" t="s">
        <v>2631</v>
      </c>
      <c r="E3783" s="4" t="s">
        <v>2</v>
      </c>
      <c r="F3783" s="18">
        <v>2176</v>
      </c>
      <c r="G3783" s="18" t="s">
        <v>3271</v>
      </c>
      <c r="H3783" s="10" t="s">
        <v>2283</v>
      </c>
      <c r="I3783" s="3">
        <v>37</v>
      </c>
      <c r="J3783" s="3" t="s">
        <v>3271</v>
      </c>
      <c r="K3783" s="3"/>
      <c r="L3783" t="str">
        <f t="shared" si="59"/>
        <v/>
      </c>
      <c r="M3783">
        <f>VLOOKUP(F3783,Sheet2!$B$1:$E$19,2,FALSE)</f>
        <v>1073</v>
      </c>
      <c r="N3783">
        <f>VLOOKUP(F3783,Sheet2!$B$1:$E$19,3,FALSE)</f>
        <v>1108963</v>
      </c>
      <c r="O3783" t="str">
        <f>IF(G3783="Not available","",VLOOKUP(F3783,Sheet2!$B$1:$E$19,4,FALSE)+(G3783-1))</f>
        <v/>
      </c>
    </row>
    <row r="3784" spans="1:15" s="1" customFormat="1" ht="15" customHeight="1" x14ac:dyDescent="0.25">
      <c r="A3784" s="18" t="s">
        <v>1123</v>
      </c>
      <c r="B3784" s="18" t="s">
        <v>1078</v>
      </c>
      <c r="C3784" s="5">
        <v>1889</v>
      </c>
      <c r="D3784" s="1" t="s">
        <v>12</v>
      </c>
      <c r="E3784" s="1" t="s">
        <v>2</v>
      </c>
      <c r="F3784" s="18">
        <v>2165</v>
      </c>
      <c r="G3784" s="18">
        <v>222</v>
      </c>
      <c r="H3784" s="5">
        <v>2</v>
      </c>
      <c r="I3784" s="1">
        <v>225</v>
      </c>
      <c r="J3784" s="1">
        <v>201</v>
      </c>
      <c r="L3784" t="str">
        <f t="shared" si="59"/>
        <v>http://www.badatelna.eu/reprodukce/?fondId=1073&amp;zaznamId=1108952&amp;reproId=3779083</v>
      </c>
      <c r="M3784">
        <f>VLOOKUP(F3784,Sheet2!$B$1:$E$19,2,FALSE)</f>
        <v>1073</v>
      </c>
      <c r="N3784">
        <f>VLOOKUP(F3784,Sheet2!$B$1:$E$19,3,FALSE)</f>
        <v>1108952</v>
      </c>
      <c r="O3784">
        <f>IF(G3784="Not available","",VLOOKUP(F3784,Sheet2!$B$1:$E$19,4,FALSE)+(G3784-1))</f>
        <v>3779083</v>
      </c>
    </row>
    <row r="3785" spans="1:15" s="1" customFormat="1" ht="15" customHeight="1" x14ac:dyDescent="0.25">
      <c r="A3785" s="18" t="s">
        <v>1123</v>
      </c>
      <c r="B3785" s="18" t="s">
        <v>1078</v>
      </c>
      <c r="C3785" s="14" t="s">
        <v>2068</v>
      </c>
      <c r="D3785" s="3" t="s">
        <v>2640</v>
      </c>
      <c r="E3785" s="4" t="s">
        <v>2</v>
      </c>
      <c r="F3785" s="18">
        <v>2176</v>
      </c>
      <c r="G3785" s="18" t="s">
        <v>3271</v>
      </c>
      <c r="H3785" s="10" t="s">
        <v>1976</v>
      </c>
      <c r="I3785" s="3">
        <v>38</v>
      </c>
      <c r="J3785" s="3" t="s">
        <v>3271</v>
      </c>
      <c r="K3785" s="3"/>
      <c r="L3785" t="str">
        <f t="shared" si="59"/>
        <v/>
      </c>
      <c r="M3785">
        <f>VLOOKUP(F3785,Sheet2!$B$1:$E$19,2,FALSE)</f>
        <v>1073</v>
      </c>
      <c r="N3785">
        <f>VLOOKUP(F3785,Sheet2!$B$1:$E$19,3,FALSE)</f>
        <v>1108963</v>
      </c>
      <c r="O3785" t="str">
        <f>IF(G3785="Not available","",VLOOKUP(F3785,Sheet2!$B$1:$E$19,4,FALSE)+(G3785-1))</f>
        <v/>
      </c>
    </row>
    <row r="3786" spans="1:15" s="1" customFormat="1" ht="15" customHeight="1" x14ac:dyDescent="0.25">
      <c r="A3786" s="18" t="s">
        <v>1123</v>
      </c>
      <c r="B3786" s="18" t="s">
        <v>593</v>
      </c>
      <c r="C3786" s="10" t="s">
        <v>2026</v>
      </c>
      <c r="D3786" s="3" t="s">
        <v>2631</v>
      </c>
      <c r="E3786" s="4" t="s">
        <v>2</v>
      </c>
      <c r="F3786" s="18">
        <v>2176</v>
      </c>
      <c r="G3786" s="18" t="s">
        <v>3271</v>
      </c>
      <c r="H3786" s="10" t="s">
        <v>1981</v>
      </c>
      <c r="I3786" s="3">
        <v>37</v>
      </c>
      <c r="J3786" s="3" t="s">
        <v>3271</v>
      </c>
      <c r="K3786" s="3"/>
      <c r="L3786" t="str">
        <f t="shared" si="59"/>
        <v/>
      </c>
      <c r="M3786">
        <f>VLOOKUP(F3786,Sheet2!$B$1:$E$19,2,FALSE)</f>
        <v>1073</v>
      </c>
      <c r="N3786">
        <f>VLOOKUP(F3786,Sheet2!$B$1:$E$19,3,FALSE)</f>
        <v>1108963</v>
      </c>
      <c r="O3786" t="str">
        <f>IF(G3786="Not available","",VLOOKUP(F3786,Sheet2!$B$1:$E$19,4,FALSE)+(G3786-1))</f>
        <v/>
      </c>
    </row>
    <row r="3787" spans="1:15" s="1" customFormat="1" ht="15" customHeight="1" x14ac:dyDescent="0.25">
      <c r="A3787" s="18" t="s">
        <v>1123</v>
      </c>
      <c r="B3787" s="18" t="s">
        <v>593</v>
      </c>
      <c r="C3787" s="5" t="s">
        <v>1737</v>
      </c>
      <c r="D3787" s="1" t="s">
        <v>12</v>
      </c>
      <c r="E3787" s="1" t="s">
        <v>2</v>
      </c>
      <c r="F3787" s="18">
        <v>2165</v>
      </c>
      <c r="G3787" s="18">
        <v>167</v>
      </c>
      <c r="H3787" s="5">
        <v>3</v>
      </c>
      <c r="I3787" s="1">
        <v>171</v>
      </c>
      <c r="J3787" s="1">
        <v>149</v>
      </c>
      <c r="L3787" t="str">
        <f t="shared" si="59"/>
        <v>http://www.badatelna.eu/reprodukce/?fondId=1073&amp;zaznamId=1108952&amp;reproId=3779028</v>
      </c>
      <c r="M3787">
        <f>VLOOKUP(F3787,Sheet2!$B$1:$E$19,2,FALSE)</f>
        <v>1073</v>
      </c>
      <c r="N3787">
        <f>VLOOKUP(F3787,Sheet2!$B$1:$E$19,3,FALSE)</f>
        <v>1108952</v>
      </c>
      <c r="O3787">
        <f>IF(G3787="Not available","",VLOOKUP(F3787,Sheet2!$B$1:$E$19,4,FALSE)+(G3787-1))</f>
        <v>3779028</v>
      </c>
    </row>
    <row r="3788" spans="1:15" s="1" customFormat="1" ht="15" customHeight="1" x14ac:dyDescent="0.25">
      <c r="A3788" s="18" t="s">
        <v>900</v>
      </c>
      <c r="B3788" s="18" t="s">
        <v>503</v>
      </c>
      <c r="C3788" s="5">
        <v>1852</v>
      </c>
      <c r="D3788" s="1" t="s">
        <v>422</v>
      </c>
      <c r="E3788" s="1" t="s">
        <v>2</v>
      </c>
      <c r="F3788" s="18">
        <v>2164</v>
      </c>
      <c r="G3788" s="18">
        <v>81</v>
      </c>
      <c r="H3788" s="5">
        <v>79</v>
      </c>
      <c r="I3788" s="1">
        <v>138</v>
      </c>
      <c r="J3788" s="3" t="s">
        <v>3271</v>
      </c>
      <c r="L3788" t="str">
        <f t="shared" si="59"/>
        <v>http://www.badatelna.eu/reprodukce/?fondId=1073&amp;zaznamId=1108951&amp;reproId=3778795</v>
      </c>
      <c r="M3788">
        <f>VLOOKUP(F3788,Sheet2!$B$1:$E$19,2,FALSE)</f>
        <v>1073</v>
      </c>
      <c r="N3788">
        <f>VLOOKUP(F3788,Sheet2!$B$1:$E$19,3,FALSE)</f>
        <v>1108951</v>
      </c>
      <c r="O3788">
        <f>IF(G3788="Not available","",VLOOKUP(F3788,Sheet2!$B$1:$E$19,4,FALSE)+(G3788-1))</f>
        <v>3778795</v>
      </c>
    </row>
    <row r="3789" spans="1:15" s="1" customFormat="1" ht="15" customHeight="1" x14ac:dyDescent="0.25">
      <c r="A3789" s="18" t="s">
        <v>415</v>
      </c>
      <c r="B3789" s="18" t="s">
        <v>50</v>
      </c>
      <c r="C3789" s="5">
        <v>1816</v>
      </c>
      <c r="E3789" s="1" t="s">
        <v>2</v>
      </c>
      <c r="F3789" s="18">
        <v>2173</v>
      </c>
      <c r="G3789" s="18">
        <v>65</v>
      </c>
      <c r="H3789" s="5">
        <v>124</v>
      </c>
      <c r="I3789" s="1">
        <v>113</v>
      </c>
      <c r="J3789" s="1">
        <v>247</v>
      </c>
      <c r="L3789" t="str">
        <f t="shared" si="59"/>
        <v>http://www.badatelna.eu/reprodukce/?fondId=1073&amp;zaznamId=1108959&amp;reproId=3780058</v>
      </c>
      <c r="M3789">
        <f>VLOOKUP(F3789,Sheet2!$B$1:$E$19,2,FALSE)</f>
        <v>1073</v>
      </c>
      <c r="N3789">
        <f>VLOOKUP(F3789,Sheet2!$B$1:$E$19,3,FALSE)</f>
        <v>1108959</v>
      </c>
      <c r="O3789">
        <f>IF(G3789="Not available","",VLOOKUP(F3789,Sheet2!$B$1:$E$19,4,FALSE)+(G3789-1))</f>
        <v>3780058</v>
      </c>
    </row>
    <row r="3790" spans="1:15" s="1" customFormat="1" ht="15" customHeight="1" x14ac:dyDescent="0.25">
      <c r="A3790" s="18" t="s">
        <v>415</v>
      </c>
      <c r="B3790" s="18" t="s">
        <v>211</v>
      </c>
      <c r="C3790" s="6" t="s">
        <v>2998</v>
      </c>
      <c r="E3790" s="1" t="s">
        <v>2</v>
      </c>
      <c r="F3790" s="18">
        <v>2173</v>
      </c>
      <c r="G3790" s="18">
        <v>69</v>
      </c>
      <c r="H3790" s="14" t="s">
        <v>3002</v>
      </c>
      <c r="I3790" s="1">
        <v>114</v>
      </c>
      <c r="J3790" s="1">
        <v>248</v>
      </c>
      <c r="L3790" t="str">
        <f t="shared" si="59"/>
        <v>http://www.badatelna.eu/reprodukce/?fondId=1073&amp;zaznamId=1108959&amp;reproId=3780062</v>
      </c>
      <c r="M3790">
        <f>VLOOKUP(F3790,Sheet2!$B$1:$E$19,2,FALSE)</f>
        <v>1073</v>
      </c>
      <c r="N3790">
        <f>VLOOKUP(F3790,Sheet2!$B$1:$E$19,3,FALSE)</f>
        <v>1108959</v>
      </c>
      <c r="O3790">
        <f>IF(G3790="Not available","",VLOOKUP(F3790,Sheet2!$B$1:$E$19,4,FALSE)+(G3790-1))</f>
        <v>3780062</v>
      </c>
    </row>
    <row r="3791" spans="1:15" s="1" customFormat="1" ht="15" customHeight="1" x14ac:dyDescent="0.25">
      <c r="A3791" s="18" t="s">
        <v>415</v>
      </c>
      <c r="B3791" s="19" t="s">
        <v>3075</v>
      </c>
      <c r="C3791" s="5">
        <v>1786</v>
      </c>
      <c r="D3791" s="1" t="s">
        <v>49</v>
      </c>
      <c r="E3791" s="1" t="s">
        <v>2</v>
      </c>
      <c r="F3791" s="18">
        <v>2173</v>
      </c>
      <c r="G3791" s="18">
        <v>13</v>
      </c>
      <c r="H3791" s="5">
        <v>21</v>
      </c>
      <c r="I3791" s="1">
        <v>113</v>
      </c>
      <c r="J3791" s="1">
        <v>247</v>
      </c>
      <c r="L3791" t="str">
        <f t="shared" si="59"/>
        <v>http://www.badatelna.eu/reprodukce/?fondId=1073&amp;zaznamId=1108959&amp;reproId=3780006</v>
      </c>
      <c r="M3791">
        <f>VLOOKUP(F3791,Sheet2!$B$1:$E$19,2,FALSE)</f>
        <v>1073</v>
      </c>
      <c r="N3791">
        <f>VLOOKUP(F3791,Sheet2!$B$1:$E$19,3,FALSE)</f>
        <v>1108959</v>
      </c>
      <c r="O3791">
        <f>IF(G3791="Not available","",VLOOKUP(F3791,Sheet2!$B$1:$E$19,4,FALSE)+(G3791-1))</f>
        <v>3780006</v>
      </c>
    </row>
    <row r="3792" spans="1:15" s="1" customFormat="1" ht="15" customHeight="1" x14ac:dyDescent="0.25">
      <c r="A3792" s="18" t="s">
        <v>415</v>
      </c>
      <c r="B3792" s="18" t="s">
        <v>23</v>
      </c>
      <c r="C3792" s="5">
        <v>1818</v>
      </c>
      <c r="E3792" s="1" t="s">
        <v>2</v>
      </c>
      <c r="F3792" s="18">
        <v>2173</v>
      </c>
      <c r="G3792" s="18">
        <v>68</v>
      </c>
      <c r="H3792" s="5">
        <v>129</v>
      </c>
      <c r="I3792" s="1">
        <v>114</v>
      </c>
      <c r="J3792" s="1">
        <v>248</v>
      </c>
      <c r="L3792" t="str">
        <f t="shared" si="59"/>
        <v>http://www.badatelna.eu/reprodukce/?fondId=1073&amp;zaznamId=1108959&amp;reproId=3780061</v>
      </c>
      <c r="M3792">
        <f>VLOOKUP(F3792,Sheet2!$B$1:$E$19,2,FALSE)</f>
        <v>1073</v>
      </c>
      <c r="N3792">
        <f>VLOOKUP(F3792,Sheet2!$B$1:$E$19,3,FALSE)</f>
        <v>1108959</v>
      </c>
      <c r="O3792">
        <f>IF(G3792="Not available","",VLOOKUP(F3792,Sheet2!$B$1:$E$19,4,FALSE)+(G3792-1))</f>
        <v>3780061</v>
      </c>
    </row>
    <row r="3793" spans="1:15" s="1" customFormat="1" ht="15" customHeight="1" x14ac:dyDescent="0.25">
      <c r="A3793" s="19" t="s">
        <v>1160</v>
      </c>
      <c r="B3793" s="18" t="s">
        <v>602</v>
      </c>
      <c r="C3793" s="5">
        <v>1889</v>
      </c>
      <c r="D3793" s="1" t="s">
        <v>9</v>
      </c>
      <c r="E3793" s="1" t="s">
        <v>2</v>
      </c>
      <c r="F3793" s="18">
        <v>2165</v>
      </c>
      <c r="G3793" s="18">
        <v>223</v>
      </c>
      <c r="H3793" s="5">
        <v>3</v>
      </c>
      <c r="I3793" s="1">
        <v>225</v>
      </c>
      <c r="J3793" s="1">
        <v>201</v>
      </c>
      <c r="L3793" t="str">
        <f t="shared" si="59"/>
        <v>http://www.badatelna.eu/reprodukce/?fondId=1073&amp;zaznamId=1108952&amp;reproId=3779084</v>
      </c>
      <c r="M3793">
        <f>VLOOKUP(F3793,Sheet2!$B$1:$E$19,2,FALSE)</f>
        <v>1073</v>
      </c>
      <c r="N3793">
        <f>VLOOKUP(F3793,Sheet2!$B$1:$E$19,3,FALSE)</f>
        <v>1108952</v>
      </c>
      <c r="O3793">
        <f>IF(G3793="Not available","",VLOOKUP(F3793,Sheet2!$B$1:$E$19,4,FALSE)+(G3793-1))</f>
        <v>3779084</v>
      </c>
    </row>
    <row r="3794" spans="1:15" s="1" customFormat="1" ht="15" customHeight="1" x14ac:dyDescent="0.25">
      <c r="A3794" s="18" t="s">
        <v>1160</v>
      </c>
      <c r="B3794" s="18" t="s">
        <v>602</v>
      </c>
      <c r="C3794" s="10" t="s">
        <v>2068</v>
      </c>
      <c r="D3794" s="3" t="s">
        <v>2694</v>
      </c>
      <c r="E3794" s="4" t="s">
        <v>2</v>
      </c>
      <c r="F3794" s="18">
        <v>2176</v>
      </c>
      <c r="G3794" s="18" t="s">
        <v>3271</v>
      </c>
      <c r="H3794" s="10" t="s">
        <v>2080</v>
      </c>
      <c r="I3794" s="3">
        <v>41</v>
      </c>
      <c r="J3794" s="3" t="s">
        <v>3271</v>
      </c>
      <c r="K3794" s="3"/>
      <c r="L3794" t="str">
        <f t="shared" si="59"/>
        <v/>
      </c>
      <c r="M3794">
        <f>VLOOKUP(F3794,Sheet2!$B$1:$E$19,2,FALSE)</f>
        <v>1073</v>
      </c>
      <c r="N3794">
        <f>VLOOKUP(F3794,Sheet2!$B$1:$E$19,3,FALSE)</f>
        <v>1108963</v>
      </c>
      <c r="O3794" t="str">
        <f>IF(G3794="Not available","",VLOOKUP(F3794,Sheet2!$B$1:$E$19,4,FALSE)+(G3794-1))</f>
        <v/>
      </c>
    </row>
    <row r="3795" spans="1:15" s="1" customFormat="1" ht="15" customHeight="1" x14ac:dyDescent="0.25">
      <c r="A3795" s="18" t="s">
        <v>1160</v>
      </c>
      <c r="B3795" s="18" t="s">
        <v>2027</v>
      </c>
      <c r="C3795" s="10" t="s">
        <v>2052</v>
      </c>
      <c r="D3795" s="3" t="s">
        <v>2694</v>
      </c>
      <c r="E3795" s="4" t="s">
        <v>2</v>
      </c>
      <c r="F3795" s="18">
        <v>2176</v>
      </c>
      <c r="G3795" s="18" t="s">
        <v>3271</v>
      </c>
      <c r="H3795" s="10" t="s">
        <v>2083</v>
      </c>
      <c r="I3795" s="3">
        <v>41</v>
      </c>
      <c r="J3795" s="3" t="s">
        <v>3271</v>
      </c>
      <c r="K3795" s="3"/>
      <c r="L3795" t="str">
        <f t="shared" si="59"/>
        <v/>
      </c>
      <c r="M3795">
        <f>VLOOKUP(F3795,Sheet2!$B$1:$E$19,2,FALSE)</f>
        <v>1073</v>
      </c>
      <c r="N3795">
        <f>VLOOKUP(F3795,Sheet2!$B$1:$E$19,3,FALSE)</f>
        <v>1108963</v>
      </c>
      <c r="O3795" t="str">
        <f>IF(G3795="Not available","",VLOOKUP(F3795,Sheet2!$B$1:$E$19,4,FALSE)+(G3795-1))</f>
        <v/>
      </c>
    </row>
    <row r="3796" spans="1:15" s="1" customFormat="1" ht="15" customHeight="1" x14ac:dyDescent="0.25">
      <c r="A3796" s="18" t="s">
        <v>1160</v>
      </c>
      <c r="B3796" s="18" t="s">
        <v>847</v>
      </c>
      <c r="C3796" s="5">
        <v>1886</v>
      </c>
      <c r="D3796" s="1" t="s">
        <v>9</v>
      </c>
      <c r="E3796" s="1" t="s">
        <v>2</v>
      </c>
      <c r="F3796" s="18">
        <v>2165</v>
      </c>
      <c r="G3796" s="18">
        <v>207</v>
      </c>
      <c r="H3796" s="5">
        <v>1</v>
      </c>
      <c r="I3796" s="1">
        <v>211</v>
      </c>
      <c r="J3796" s="1">
        <v>187</v>
      </c>
      <c r="L3796" t="str">
        <f t="shared" si="59"/>
        <v>http://www.badatelna.eu/reprodukce/?fondId=1073&amp;zaznamId=1108952&amp;reproId=3779068</v>
      </c>
      <c r="M3796">
        <f>VLOOKUP(F3796,Sheet2!$B$1:$E$19,2,FALSE)</f>
        <v>1073</v>
      </c>
      <c r="N3796">
        <f>VLOOKUP(F3796,Sheet2!$B$1:$E$19,3,FALSE)</f>
        <v>1108952</v>
      </c>
      <c r="O3796">
        <f>IF(G3796="Not available","",VLOOKUP(F3796,Sheet2!$B$1:$E$19,4,FALSE)+(G3796-1))</f>
        <v>3779068</v>
      </c>
    </row>
    <row r="3797" spans="1:15" s="1" customFormat="1" ht="15" customHeight="1" x14ac:dyDescent="0.25">
      <c r="A3797" s="18" t="s">
        <v>1160</v>
      </c>
      <c r="B3797" s="18" t="s">
        <v>1226</v>
      </c>
      <c r="C3797" s="5" t="s">
        <v>1855</v>
      </c>
      <c r="D3797" s="1" t="s">
        <v>9</v>
      </c>
      <c r="E3797" s="1" t="s">
        <v>2</v>
      </c>
      <c r="F3797" s="18">
        <v>2165</v>
      </c>
      <c r="G3797" s="18">
        <v>255</v>
      </c>
      <c r="H3797" s="5">
        <v>2</v>
      </c>
      <c r="I3797" s="1">
        <v>253</v>
      </c>
      <c r="J3797" s="1">
        <v>229</v>
      </c>
      <c r="L3797" t="str">
        <f t="shared" si="59"/>
        <v>http://www.badatelna.eu/reprodukce/?fondId=1073&amp;zaznamId=1108952&amp;reproId=3779116</v>
      </c>
      <c r="M3797">
        <f>VLOOKUP(F3797,Sheet2!$B$1:$E$19,2,FALSE)</f>
        <v>1073</v>
      </c>
      <c r="N3797">
        <f>VLOOKUP(F3797,Sheet2!$B$1:$E$19,3,FALSE)</f>
        <v>1108952</v>
      </c>
      <c r="O3797">
        <f>IF(G3797="Not available","",VLOOKUP(F3797,Sheet2!$B$1:$E$19,4,FALSE)+(G3797-1))</f>
        <v>3779116</v>
      </c>
    </row>
    <row r="3798" spans="1:15" s="1" customFormat="1" ht="15" customHeight="1" x14ac:dyDescent="0.25">
      <c r="A3798" s="18" t="s">
        <v>1160</v>
      </c>
      <c r="B3798" s="18" t="s">
        <v>2077</v>
      </c>
      <c r="C3798" s="10" t="s">
        <v>1952</v>
      </c>
      <c r="D3798" s="3" t="s">
        <v>2694</v>
      </c>
      <c r="E3798" s="4" t="s">
        <v>2</v>
      </c>
      <c r="F3798" s="18">
        <v>2176</v>
      </c>
      <c r="G3798" s="18" t="s">
        <v>3271</v>
      </c>
      <c r="H3798" s="10" t="s">
        <v>1974</v>
      </c>
      <c r="I3798" s="3">
        <v>42</v>
      </c>
      <c r="J3798" s="3" t="s">
        <v>3271</v>
      </c>
      <c r="K3798" s="3"/>
      <c r="L3798" t="str">
        <f t="shared" si="59"/>
        <v/>
      </c>
      <c r="M3798">
        <f>VLOOKUP(F3798,Sheet2!$B$1:$E$19,2,FALSE)</f>
        <v>1073</v>
      </c>
      <c r="N3798">
        <f>VLOOKUP(F3798,Sheet2!$B$1:$E$19,3,FALSE)</f>
        <v>1108963</v>
      </c>
      <c r="O3798" t="str">
        <f>IF(G3798="Not available","",VLOOKUP(F3798,Sheet2!$B$1:$E$19,4,FALSE)+(G3798-1))</f>
        <v/>
      </c>
    </row>
    <row r="3799" spans="1:15" s="1" customFormat="1" ht="15" customHeight="1" x14ac:dyDescent="0.25">
      <c r="A3799" s="18" t="s">
        <v>1160</v>
      </c>
      <c r="B3799" s="18" t="s">
        <v>432</v>
      </c>
      <c r="C3799" s="5">
        <v>1884</v>
      </c>
      <c r="D3799" s="1" t="s">
        <v>9</v>
      </c>
      <c r="E3799" s="1" t="s">
        <v>2</v>
      </c>
      <c r="F3799" s="18">
        <v>2165</v>
      </c>
      <c r="G3799" s="18">
        <v>185</v>
      </c>
      <c r="H3799" s="5">
        <v>1</v>
      </c>
      <c r="I3799" s="1">
        <v>197</v>
      </c>
      <c r="J3799" s="1">
        <v>174</v>
      </c>
      <c r="L3799" t="str">
        <f t="shared" si="59"/>
        <v>http://www.badatelna.eu/reprodukce/?fondId=1073&amp;zaznamId=1108952&amp;reproId=3779046</v>
      </c>
      <c r="M3799">
        <f>VLOOKUP(F3799,Sheet2!$B$1:$E$19,2,FALSE)</f>
        <v>1073</v>
      </c>
      <c r="N3799">
        <f>VLOOKUP(F3799,Sheet2!$B$1:$E$19,3,FALSE)</f>
        <v>1108952</v>
      </c>
      <c r="O3799">
        <f>IF(G3799="Not available","",VLOOKUP(F3799,Sheet2!$B$1:$E$19,4,FALSE)+(G3799-1))</f>
        <v>3779046</v>
      </c>
    </row>
    <row r="3800" spans="1:15" s="1" customFormat="1" ht="15" customHeight="1" x14ac:dyDescent="0.25">
      <c r="A3800" s="18" t="s">
        <v>1160</v>
      </c>
      <c r="B3800" s="18" t="s">
        <v>432</v>
      </c>
      <c r="C3800" s="10" t="s">
        <v>2041</v>
      </c>
      <c r="D3800" s="3" t="s">
        <v>2694</v>
      </c>
      <c r="E3800" s="4" t="s">
        <v>2</v>
      </c>
      <c r="F3800" s="18">
        <v>2176</v>
      </c>
      <c r="G3800" s="18" t="s">
        <v>3271</v>
      </c>
      <c r="H3800" s="10" t="s">
        <v>2145</v>
      </c>
      <c r="I3800" s="3">
        <v>41</v>
      </c>
      <c r="J3800" s="3" t="s">
        <v>3271</v>
      </c>
      <c r="K3800" s="3"/>
      <c r="L3800" t="str">
        <f t="shared" si="59"/>
        <v/>
      </c>
      <c r="M3800">
        <f>VLOOKUP(F3800,Sheet2!$B$1:$E$19,2,FALSE)</f>
        <v>1073</v>
      </c>
      <c r="N3800">
        <f>VLOOKUP(F3800,Sheet2!$B$1:$E$19,3,FALSE)</f>
        <v>1108963</v>
      </c>
      <c r="O3800" t="str">
        <f>IF(G3800="Not available","",VLOOKUP(F3800,Sheet2!$B$1:$E$19,4,FALSE)+(G3800-1))</f>
        <v/>
      </c>
    </row>
    <row r="3801" spans="1:15" s="1" customFormat="1" ht="15" customHeight="1" x14ac:dyDescent="0.25">
      <c r="A3801" s="18" t="s">
        <v>1160</v>
      </c>
      <c r="B3801" s="18" t="s">
        <v>1033</v>
      </c>
      <c r="C3801" s="10" t="s">
        <v>1949</v>
      </c>
      <c r="D3801" s="3" t="s">
        <v>2694</v>
      </c>
      <c r="E3801" s="4" t="s">
        <v>2</v>
      </c>
      <c r="F3801" s="18">
        <v>2176</v>
      </c>
      <c r="G3801" s="18" t="s">
        <v>3271</v>
      </c>
      <c r="H3801" s="10" t="s">
        <v>2088</v>
      </c>
      <c r="I3801" s="3">
        <v>41</v>
      </c>
      <c r="J3801" s="3" t="s">
        <v>3271</v>
      </c>
      <c r="K3801" s="3"/>
      <c r="L3801" t="str">
        <f t="shared" si="59"/>
        <v/>
      </c>
      <c r="M3801">
        <f>VLOOKUP(F3801,Sheet2!$B$1:$E$19,2,FALSE)</f>
        <v>1073</v>
      </c>
      <c r="N3801">
        <f>VLOOKUP(F3801,Sheet2!$B$1:$E$19,3,FALSE)</f>
        <v>1108963</v>
      </c>
      <c r="O3801" t="str">
        <f>IF(G3801="Not available","",VLOOKUP(F3801,Sheet2!$B$1:$E$19,4,FALSE)+(G3801-1))</f>
        <v/>
      </c>
    </row>
    <row r="3802" spans="1:15" s="1" customFormat="1" ht="15" customHeight="1" x14ac:dyDescent="0.25">
      <c r="A3802" s="18" t="s">
        <v>2824</v>
      </c>
      <c r="B3802" s="18" t="s">
        <v>1171</v>
      </c>
      <c r="C3802" s="10" t="s">
        <v>2110</v>
      </c>
      <c r="D3802" s="3" t="s">
        <v>2728</v>
      </c>
      <c r="E3802" s="4" t="s">
        <v>2</v>
      </c>
      <c r="F3802" s="18">
        <v>2176</v>
      </c>
      <c r="G3802" s="18" t="s">
        <v>3271</v>
      </c>
      <c r="H3802" s="10" t="s">
        <v>2094</v>
      </c>
      <c r="I3802" s="3">
        <v>43</v>
      </c>
      <c r="J3802" s="3" t="s">
        <v>3271</v>
      </c>
      <c r="K3802" s="3"/>
      <c r="L3802" t="str">
        <f t="shared" si="59"/>
        <v/>
      </c>
      <c r="M3802">
        <f>VLOOKUP(F3802,Sheet2!$B$1:$E$19,2,FALSE)</f>
        <v>1073</v>
      </c>
      <c r="N3802">
        <f>VLOOKUP(F3802,Sheet2!$B$1:$E$19,3,FALSE)</f>
        <v>1108963</v>
      </c>
      <c r="O3802" t="str">
        <f>IF(G3802="Not available","",VLOOKUP(F3802,Sheet2!$B$1:$E$19,4,FALSE)+(G3802-1))</f>
        <v/>
      </c>
    </row>
    <row r="3803" spans="1:15" s="1" customFormat="1" ht="15" customHeight="1" x14ac:dyDescent="0.25">
      <c r="A3803" s="18" t="s">
        <v>2727</v>
      </c>
      <c r="B3803" s="18" t="s">
        <v>1175</v>
      </c>
      <c r="C3803" s="10" t="s">
        <v>2109</v>
      </c>
      <c r="D3803" s="3" t="s">
        <v>2728</v>
      </c>
      <c r="E3803" s="4" t="s">
        <v>2</v>
      </c>
      <c r="F3803" s="18">
        <v>2176</v>
      </c>
      <c r="G3803" s="18" t="s">
        <v>3271</v>
      </c>
      <c r="H3803" s="10" t="s">
        <v>2037</v>
      </c>
      <c r="I3803" s="3">
        <v>42</v>
      </c>
      <c r="J3803" s="3" t="s">
        <v>3271</v>
      </c>
      <c r="K3803" s="3"/>
      <c r="L3803" t="str">
        <f t="shared" si="59"/>
        <v/>
      </c>
      <c r="M3803">
        <f>VLOOKUP(F3803,Sheet2!$B$1:$E$19,2,FALSE)</f>
        <v>1073</v>
      </c>
      <c r="N3803">
        <f>VLOOKUP(F3803,Sheet2!$B$1:$E$19,3,FALSE)</f>
        <v>1108963</v>
      </c>
      <c r="O3803" t="str">
        <f>IF(G3803="Not available","",VLOOKUP(F3803,Sheet2!$B$1:$E$19,4,FALSE)+(G3803-1))</f>
        <v/>
      </c>
    </row>
    <row r="3804" spans="1:15" s="1" customFormat="1" ht="15" customHeight="1" x14ac:dyDescent="0.25">
      <c r="A3804" s="18" t="s">
        <v>523</v>
      </c>
      <c r="B3804" s="18" t="s">
        <v>3276</v>
      </c>
      <c r="C3804" s="10"/>
      <c r="D3804" s="3"/>
      <c r="E3804" s="4"/>
      <c r="F3804" s="18"/>
      <c r="G3804" s="18"/>
      <c r="H3804" s="10"/>
      <c r="I3804" s="3"/>
      <c r="J3804" s="3"/>
      <c r="K3804" s="3"/>
      <c r="L3804" t="e">
        <f t="shared" si="59"/>
        <v>#N/A</v>
      </c>
      <c r="M3804" t="e">
        <f>VLOOKUP(F3804,Sheet2!$B$1:$E$19,2,FALSE)</f>
        <v>#N/A</v>
      </c>
      <c r="N3804" t="e">
        <f>VLOOKUP(F3804,Sheet2!$B$1:$E$19,3,FALSE)</f>
        <v>#N/A</v>
      </c>
      <c r="O3804" t="e">
        <f>IF(G3804="Not available","",VLOOKUP(F3804,Sheet2!$B$1:$E$19,4,FALSE)+(G3804-1))</f>
        <v>#N/A</v>
      </c>
    </row>
    <row r="3805" spans="1:15" s="1" customFormat="1" ht="15" customHeight="1" x14ac:dyDescent="0.25">
      <c r="A3805" s="18" t="s">
        <v>1250</v>
      </c>
      <c r="B3805" s="18" t="s">
        <v>593</v>
      </c>
      <c r="C3805" s="10" t="s">
        <v>1957</v>
      </c>
      <c r="D3805" s="3" t="s">
        <v>2748</v>
      </c>
      <c r="E3805" s="4" t="s">
        <v>2</v>
      </c>
      <c r="F3805" s="18">
        <v>2176</v>
      </c>
      <c r="G3805" s="18" t="s">
        <v>3271</v>
      </c>
      <c r="H3805" s="10" t="s">
        <v>2230</v>
      </c>
      <c r="I3805" s="3">
        <v>44</v>
      </c>
      <c r="J3805" s="3" t="s">
        <v>3271</v>
      </c>
      <c r="K3805" s="3"/>
      <c r="L3805" t="str">
        <f t="shared" si="59"/>
        <v/>
      </c>
      <c r="M3805">
        <f>VLOOKUP(F3805,Sheet2!$B$1:$E$19,2,FALSE)</f>
        <v>1073</v>
      </c>
      <c r="N3805">
        <f>VLOOKUP(F3805,Sheet2!$B$1:$E$19,3,FALSE)</f>
        <v>1108963</v>
      </c>
      <c r="O3805" t="str">
        <f>IF(G3805="Not available","",VLOOKUP(F3805,Sheet2!$B$1:$E$19,4,FALSE)+(G3805-1))</f>
        <v/>
      </c>
    </row>
    <row r="3806" spans="1:15" s="1" customFormat="1" ht="15" customHeight="1" x14ac:dyDescent="0.25">
      <c r="A3806" s="18" t="s">
        <v>1250</v>
      </c>
      <c r="B3806" s="18" t="s">
        <v>593</v>
      </c>
      <c r="C3806" s="5" t="s">
        <v>1936</v>
      </c>
      <c r="D3806" s="1" t="s">
        <v>847</v>
      </c>
      <c r="E3806" s="1" t="s">
        <v>2</v>
      </c>
      <c r="F3806" s="18">
        <v>2165</v>
      </c>
      <c r="G3806" s="18">
        <v>283</v>
      </c>
      <c r="H3806" s="5">
        <v>3</v>
      </c>
      <c r="I3806" s="1">
        <v>285</v>
      </c>
      <c r="J3806" s="1">
        <v>259</v>
      </c>
      <c r="L3806" t="str">
        <f t="shared" si="59"/>
        <v>http://www.badatelna.eu/reprodukce/?fondId=1073&amp;zaznamId=1108952&amp;reproId=3779144</v>
      </c>
      <c r="M3806">
        <f>VLOOKUP(F3806,Sheet2!$B$1:$E$19,2,FALSE)</f>
        <v>1073</v>
      </c>
      <c r="N3806">
        <f>VLOOKUP(F3806,Sheet2!$B$1:$E$19,3,FALSE)</f>
        <v>1108952</v>
      </c>
      <c r="O3806">
        <f>IF(G3806="Not available","",VLOOKUP(F3806,Sheet2!$B$1:$E$19,4,FALSE)+(G3806-1))</f>
        <v>3779144</v>
      </c>
    </row>
    <row r="3807" spans="1:15" s="1" customFormat="1" ht="15" customHeight="1" x14ac:dyDescent="0.25">
      <c r="A3807" s="19" t="s">
        <v>3068</v>
      </c>
      <c r="B3807" s="18" t="s">
        <v>3067</v>
      </c>
      <c r="C3807" s="5">
        <v>1785</v>
      </c>
      <c r="D3807" s="4" t="s">
        <v>166</v>
      </c>
      <c r="E3807" s="1" t="s">
        <v>2</v>
      </c>
      <c r="F3807" s="18">
        <v>2173</v>
      </c>
      <c r="G3807" s="18">
        <v>9</v>
      </c>
      <c r="H3807" s="5">
        <v>13</v>
      </c>
      <c r="I3807" s="1">
        <v>115</v>
      </c>
      <c r="J3807" s="1">
        <v>259</v>
      </c>
      <c r="L3807" t="str">
        <f t="shared" si="59"/>
        <v>http://www.badatelna.eu/reprodukce/?fondId=1073&amp;zaznamId=1108959&amp;reproId=3780002</v>
      </c>
      <c r="M3807">
        <f>VLOOKUP(F3807,Sheet2!$B$1:$E$19,2,FALSE)</f>
        <v>1073</v>
      </c>
      <c r="N3807">
        <f>VLOOKUP(F3807,Sheet2!$B$1:$E$19,3,FALSE)</f>
        <v>1108959</v>
      </c>
      <c r="O3807">
        <f>IF(G3807="Not available","",VLOOKUP(F3807,Sheet2!$B$1:$E$19,4,FALSE)+(G3807-1))</f>
        <v>3780002</v>
      </c>
    </row>
    <row r="3808" spans="1:15" s="1" customFormat="1" ht="15" customHeight="1" x14ac:dyDescent="0.25">
      <c r="A3808" s="19" t="s">
        <v>3021</v>
      </c>
      <c r="B3808" s="18" t="s">
        <v>103</v>
      </c>
      <c r="C3808" s="5">
        <v>1812</v>
      </c>
      <c r="E3808" s="1" t="s">
        <v>2</v>
      </c>
      <c r="F3808" s="18">
        <v>2173</v>
      </c>
      <c r="G3808" s="18">
        <v>60</v>
      </c>
      <c r="H3808" s="6" t="s">
        <v>2926</v>
      </c>
      <c r="I3808" s="1">
        <v>116</v>
      </c>
      <c r="J3808" s="1">
        <v>253</v>
      </c>
      <c r="L3808" t="str">
        <f t="shared" si="59"/>
        <v>http://www.badatelna.eu/reprodukce/?fondId=1073&amp;zaznamId=1108959&amp;reproId=3780053</v>
      </c>
      <c r="M3808">
        <f>VLOOKUP(F3808,Sheet2!$B$1:$E$19,2,FALSE)</f>
        <v>1073</v>
      </c>
      <c r="N3808">
        <f>VLOOKUP(F3808,Sheet2!$B$1:$E$19,3,FALSE)</f>
        <v>1108959</v>
      </c>
      <c r="O3808">
        <f>IF(G3808="Not available","",VLOOKUP(F3808,Sheet2!$B$1:$E$19,4,FALSE)+(G3808-1))</f>
        <v>3780053</v>
      </c>
    </row>
    <row r="3809" spans="1:15" s="1" customFormat="1" ht="15" customHeight="1" x14ac:dyDescent="0.25">
      <c r="A3809" s="19" t="s">
        <v>2874</v>
      </c>
      <c r="B3809" s="18" t="s">
        <v>477</v>
      </c>
      <c r="C3809" s="5">
        <v>1860</v>
      </c>
      <c r="D3809" s="4" t="s">
        <v>2875</v>
      </c>
      <c r="E3809" s="1" t="s">
        <v>939</v>
      </c>
      <c r="F3809" s="18">
        <v>999</v>
      </c>
      <c r="G3809" s="18">
        <v>19</v>
      </c>
      <c r="H3809" s="5">
        <v>17</v>
      </c>
      <c r="I3809" s="1">
        <v>76</v>
      </c>
      <c r="J3809" s="1">
        <v>110</v>
      </c>
      <c r="L3809" t="str">
        <f t="shared" si="59"/>
        <v>http://www.badatelna.eu/reprodukce/?fondId=241&amp;zaznamId=1133739&amp;reproId=3885748</v>
      </c>
      <c r="M3809">
        <f>VLOOKUP(F3809,Sheet2!$B$1:$E$19,2,FALSE)</f>
        <v>241</v>
      </c>
      <c r="N3809">
        <f>VLOOKUP(F3809,Sheet2!$B$1:$E$19,3,FALSE)</f>
        <v>1133739</v>
      </c>
      <c r="O3809">
        <f>IF(G3809="Not available","",VLOOKUP(F3809,Sheet2!$B$1:$E$19,4,FALSE)+(G3809-1))</f>
        <v>3885748</v>
      </c>
    </row>
    <row r="3810" spans="1:15" s="1" customFormat="1" ht="15" customHeight="1" x14ac:dyDescent="0.25">
      <c r="A3810" s="18" t="s">
        <v>2736</v>
      </c>
      <c r="B3810" s="18" t="s">
        <v>2134</v>
      </c>
      <c r="C3810" s="10" t="s">
        <v>2015</v>
      </c>
      <c r="D3810" s="3" t="s">
        <v>2737</v>
      </c>
      <c r="E3810" s="4" t="s">
        <v>2</v>
      </c>
      <c r="F3810" s="18">
        <v>2176</v>
      </c>
      <c r="G3810" s="18" t="s">
        <v>3271</v>
      </c>
      <c r="H3810" s="10" t="s">
        <v>2738</v>
      </c>
      <c r="I3810" s="3">
        <v>44</v>
      </c>
      <c r="J3810" s="3" t="s">
        <v>3271</v>
      </c>
      <c r="K3810" s="3"/>
      <c r="L3810" t="str">
        <f t="shared" si="59"/>
        <v/>
      </c>
      <c r="M3810">
        <f>VLOOKUP(F3810,Sheet2!$B$1:$E$19,2,FALSE)</f>
        <v>1073</v>
      </c>
      <c r="N3810">
        <f>VLOOKUP(F3810,Sheet2!$B$1:$E$19,3,FALSE)</f>
        <v>1108963</v>
      </c>
      <c r="O3810" t="str">
        <f>IF(G3810="Not available","",VLOOKUP(F3810,Sheet2!$B$1:$E$19,4,FALSE)+(G3810-1))</f>
        <v/>
      </c>
    </row>
    <row r="3811" spans="1:15" s="1" customFormat="1" ht="15" customHeight="1" x14ac:dyDescent="0.25">
      <c r="A3811" s="18" t="s">
        <v>535</v>
      </c>
      <c r="B3811" s="18" t="s">
        <v>632</v>
      </c>
      <c r="C3811" s="5">
        <v>1856</v>
      </c>
      <c r="D3811" s="1" t="s">
        <v>21</v>
      </c>
      <c r="E3811" s="1" t="s">
        <v>2</v>
      </c>
      <c r="F3811" s="18">
        <v>2164</v>
      </c>
      <c r="G3811" s="18">
        <v>111</v>
      </c>
      <c r="H3811" s="5">
        <v>109</v>
      </c>
      <c r="I3811" s="1">
        <v>140</v>
      </c>
      <c r="J3811" s="3" t="s">
        <v>3271</v>
      </c>
      <c r="L3811" t="str">
        <f t="shared" si="59"/>
        <v>http://www.badatelna.eu/reprodukce/?fondId=1073&amp;zaznamId=1108951&amp;reproId=3778825</v>
      </c>
      <c r="M3811">
        <f>VLOOKUP(F3811,Sheet2!$B$1:$E$19,2,FALSE)</f>
        <v>1073</v>
      </c>
      <c r="N3811">
        <f>VLOOKUP(F3811,Sheet2!$B$1:$E$19,3,FALSE)</f>
        <v>1108951</v>
      </c>
      <c r="O3811">
        <f>IF(G3811="Not available","",VLOOKUP(F3811,Sheet2!$B$1:$E$19,4,FALSE)+(G3811-1))</f>
        <v>3778825</v>
      </c>
    </row>
    <row r="3812" spans="1:15" s="1" customFormat="1" ht="15" customHeight="1" x14ac:dyDescent="0.25">
      <c r="A3812" s="18" t="s">
        <v>535</v>
      </c>
      <c r="B3812" s="18" t="s">
        <v>439</v>
      </c>
      <c r="C3812" s="5">
        <v>1851</v>
      </c>
      <c r="D3812" s="1" t="s">
        <v>21</v>
      </c>
      <c r="E3812" s="1" t="s">
        <v>2</v>
      </c>
      <c r="F3812" s="18">
        <v>2164</v>
      </c>
      <c r="G3812" s="18">
        <v>73</v>
      </c>
      <c r="H3812" s="5">
        <v>71</v>
      </c>
      <c r="I3812" s="1">
        <v>139</v>
      </c>
      <c r="J3812" s="3" t="s">
        <v>3271</v>
      </c>
      <c r="L3812" t="str">
        <f t="shared" si="59"/>
        <v>http://www.badatelna.eu/reprodukce/?fondId=1073&amp;zaznamId=1108951&amp;reproId=3778787</v>
      </c>
      <c r="M3812">
        <f>VLOOKUP(F3812,Sheet2!$B$1:$E$19,2,FALSE)</f>
        <v>1073</v>
      </c>
      <c r="N3812">
        <f>VLOOKUP(F3812,Sheet2!$B$1:$E$19,3,FALSE)</f>
        <v>1108951</v>
      </c>
      <c r="O3812">
        <f>IF(G3812="Not available","",VLOOKUP(F3812,Sheet2!$B$1:$E$19,4,FALSE)+(G3812-1))</f>
        <v>3778787</v>
      </c>
    </row>
    <row r="3813" spans="1:15" s="1" customFormat="1" ht="15" customHeight="1" x14ac:dyDescent="0.25">
      <c r="A3813" s="18" t="s">
        <v>535</v>
      </c>
      <c r="B3813" s="18" t="s">
        <v>6</v>
      </c>
      <c r="C3813" s="5">
        <v>1793</v>
      </c>
      <c r="D3813" s="1" t="s">
        <v>50</v>
      </c>
      <c r="E3813" s="1" t="s">
        <v>2</v>
      </c>
      <c r="F3813" s="18">
        <v>2173</v>
      </c>
      <c r="G3813" s="18">
        <v>31</v>
      </c>
      <c r="H3813" s="5">
        <v>56</v>
      </c>
      <c r="I3813" s="1">
        <v>115</v>
      </c>
      <c r="J3813" s="1">
        <v>259</v>
      </c>
      <c r="L3813" t="str">
        <f t="shared" si="59"/>
        <v>http://www.badatelna.eu/reprodukce/?fondId=1073&amp;zaznamId=1108959&amp;reproId=3780024</v>
      </c>
      <c r="M3813">
        <f>VLOOKUP(F3813,Sheet2!$B$1:$E$19,2,FALSE)</f>
        <v>1073</v>
      </c>
      <c r="N3813">
        <f>VLOOKUP(F3813,Sheet2!$B$1:$E$19,3,FALSE)</f>
        <v>1108959</v>
      </c>
      <c r="O3813">
        <f>IF(G3813="Not available","",VLOOKUP(F3813,Sheet2!$B$1:$E$19,4,FALSE)+(G3813-1))</f>
        <v>3780024</v>
      </c>
    </row>
    <row r="3814" spans="1:15" s="1" customFormat="1" ht="15" customHeight="1" x14ac:dyDescent="0.25">
      <c r="A3814" s="18" t="s">
        <v>535</v>
      </c>
      <c r="B3814" s="18" t="s">
        <v>9</v>
      </c>
      <c r="C3814" s="5">
        <v>1840</v>
      </c>
      <c r="D3814" s="1" t="s">
        <v>21</v>
      </c>
      <c r="E3814" s="1" t="s">
        <v>2</v>
      </c>
      <c r="F3814" s="18">
        <v>2174</v>
      </c>
      <c r="G3814" s="18">
        <v>110</v>
      </c>
      <c r="H3814" s="6" t="s">
        <v>3178</v>
      </c>
      <c r="I3814" s="1">
        <v>202</v>
      </c>
      <c r="J3814" s="1">
        <v>237</v>
      </c>
      <c r="L3814" t="str">
        <f t="shared" si="59"/>
        <v>http://www.badatelna.eu/reprodukce/?fondId=1073&amp;zaznamId=1108960&amp;reproId=3780334</v>
      </c>
      <c r="M3814">
        <f>VLOOKUP(F3814,Sheet2!$B$1:$E$19,2,FALSE)</f>
        <v>1073</v>
      </c>
      <c r="N3814">
        <f>VLOOKUP(F3814,Sheet2!$B$1:$E$19,3,FALSE)</f>
        <v>1108960</v>
      </c>
      <c r="O3814">
        <f>IF(G3814="Not available","",VLOOKUP(F3814,Sheet2!$B$1:$E$19,4,FALSE)+(G3814-1))</f>
        <v>3780334</v>
      </c>
    </row>
    <row r="3815" spans="1:15" s="1" customFormat="1" ht="15" customHeight="1" x14ac:dyDescent="0.25">
      <c r="A3815" s="18" t="s">
        <v>535</v>
      </c>
      <c r="B3815" s="18" t="s">
        <v>822</v>
      </c>
      <c r="C3815" s="5">
        <v>1854</v>
      </c>
      <c r="D3815" s="1" t="s">
        <v>21</v>
      </c>
      <c r="E3815" s="1" t="s">
        <v>2</v>
      </c>
      <c r="F3815" s="18">
        <v>2164</v>
      </c>
      <c r="G3815" s="18">
        <v>100</v>
      </c>
      <c r="H3815" s="5">
        <v>98</v>
      </c>
      <c r="I3815" s="1">
        <v>139</v>
      </c>
      <c r="J3815" s="3" t="s">
        <v>3271</v>
      </c>
      <c r="L3815" t="str">
        <f t="shared" si="59"/>
        <v>http://www.badatelna.eu/reprodukce/?fondId=1073&amp;zaznamId=1108951&amp;reproId=3778814</v>
      </c>
      <c r="M3815">
        <f>VLOOKUP(F3815,Sheet2!$B$1:$E$19,2,FALSE)</f>
        <v>1073</v>
      </c>
      <c r="N3815">
        <f>VLOOKUP(F3815,Sheet2!$B$1:$E$19,3,FALSE)</f>
        <v>1108951</v>
      </c>
      <c r="O3815">
        <f>IF(G3815="Not available","",VLOOKUP(F3815,Sheet2!$B$1:$E$19,4,FALSE)+(G3815-1))</f>
        <v>3778814</v>
      </c>
    </row>
    <row r="3816" spans="1:15" s="1" customFormat="1" ht="15" customHeight="1" x14ac:dyDescent="0.25">
      <c r="A3816" s="18" t="s">
        <v>535</v>
      </c>
      <c r="B3816" s="18" t="s">
        <v>769</v>
      </c>
      <c r="C3816" s="5" t="s">
        <v>1631</v>
      </c>
      <c r="D3816" s="1" t="s">
        <v>434</v>
      </c>
      <c r="E3816" s="1" t="s">
        <v>2</v>
      </c>
      <c r="F3816" s="18">
        <v>2165</v>
      </c>
      <c r="G3816" s="18">
        <v>42</v>
      </c>
      <c r="H3816" s="5">
        <v>39</v>
      </c>
      <c r="I3816" s="1">
        <v>93</v>
      </c>
      <c r="J3816" s="1" t="s">
        <v>3271</v>
      </c>
      <c r="L3816" t="str">
        <f t="shared" si="59"/>
        <v>http://www.badatelna.eu/reprodukce/?fondId=1073&amp;zaznamId=1108952&amp;reproId=3778903</v>
      </c>
      <c r="M3816">
        <f>VLOOKUP(F3816,Sheet2!$B$1:$E$19,2,FALSE)</f>
        <v>1073</v>
      </c>
      <c r="N3816">
        <f>VLOOKUP(F3816,Sheet2!$B$1:$E$19,3,FALSE)</f>
        <v>1108952</v>
      </c>
      <c r="O3816">
        <f>IF(G3816="Not available","",VLOOKUP(F3816,Sheet2!$B$1:$E$19,4,FALSE)+(G3816-1))</f>
        <v>3778903</v>
      </c>
    </row>
    <row r="3817" spans="1:15" s="1" customFormat="1" ht="15" customHeight="1" x14ac:dyDescent="0.25">
      <c r="A3817" s="18" t="s">
        <v>535</v>
      </c>
      <c r="B3817" s="18" t="s">
        <v>904</v>
      </c>
      <c r="C3817" s="5">
        <v>1847</v>
      </c>
      <c r="D3817" s="1" t="s">
        <v>21</v>
      </c>
      <c r="E3817" s="1" t="s">
        <v>2</v>
      </c>
      <c r="F3817" s="18">
        <v>2164</v>
      </c>
      <c r="G3817" s="18">
        <v>21</v>
      </c>
      <c r="H3817" s="5">
        <v>19</v>
      </c>
      <c r="I3817" s="1">
        <v>139</v>
      </c>
      <c r="J3817" s="3" t="s">
        <v>3271</v>
      </c>
      <c r="L3817" t="str">
        <f t="shared" si="59"/>
        <v>http://www.badatelna.eu/reprodukce/?fondId=1073&amp;zaznamId=1108951&amp;reproId=3778735</v>
      </c>
      <c r="M3817">
        <f>VLOOKUP(F3817,Sheet2!$B$1:$E$19,2,FALSE)</f>
        <v>1073</v>
      </c>
      <c r="N3817">
        <f>VLOOKUP(F3817,Sheet2!$B$1:$E$19,3,FALSE)</f>
        <v>1108951</v>
      </c>
      <c r="O3817">
        <f>IF(G3817="Not available","",VLOOKUP(F3817,Sheet2!$B$1:$E$19,4,FALSE)+(G3817-1))</f>
        <v>3778735</v>
      </c>
    </row>
    <row r="3818" spans="1:15" s="1" customFormat="1" ht="15" customHeight="1" x14ac:dyDescent="0.25">
      <c r="A3818" s="18" t="s">
        <v>535</v>
      </c>
      <c r="B3818" s="18" t="s">
        <v>87</v>
      </c>
      <c r="C3818" s="5">
        <v>1846</v>
      </c>
      <c r="D3818" s="1" t="s">
        <v>21</v>
      </c>
      <c r="E3818" s="1" t="s">
        <v>2</v>
      </c>
      <c r="F3818" s="18">
        <v>2174</v>
      </c>
      <c r="G3818" s="18">
        <v>166</v>
      </c>
      <c r="H3818" s="6" t="s">
        <v>3228</v>
      </c>
      <c r="I3818" s="1">
        <v>203</v>
      </c>
      <c r="J3818" s="1">
        <v>238</v>
      </c>
      <c r="L3818" t="str">
        <f t="shared" si="59"/>
        <v>http://www.badatelna.eu/reprodukce/?fondId=1073&amp;zaznamId=1108960&amp;reproId=3780390</v>
      </c>
      <c r="M3818">
        <f>VLOOKUP(F3818,Sheet2!$B$1:$E$19,2,FALSE)</f>
        <v>1073</v>
      </c>
      <c r="N3818">
        <f>VLOOKUP(F3818,Sheet2!$B$1:$E$19,3,FALSE)</f>
        <v>1108960</v>
      </c>
      <c r="O3818">
        <f>IF(G3818="Not available","",VLOOKUP(F3818,Sheet2!$B$1:$E$19,4,FALSE)+(G3818-1))</f>
        <v>3780390</v>
      </c>
    </row>
    <row r="3819" spans="1:15" s="1" customFormat="1" ht="15" customHeight="1" x14ac:dyDescent="0.25">
      <c r="A3819" s="18" t="s">
        <v>535</v>
      </c>
      <c r="B3819" s="18" t="s">
        <v>436</v>
      </c>
      <c r="C3819" s="5">
        <v>1845</v>
      </c>
      <c r="D3819" s="1" t="s">
        <v>21</v>
      </c>
      <c r="E3819" s="1" t="s">
        <v>2</v>
      </c>
      <c r="F3819" s="18">
        <v>2174</v>
      </c>
      <c r="G3819" s="18">
        <v>155</v>
      </c>
      <c r="H3819" s="6" t="s">
        <v>3221</v>
      </c>
      <c r="I3819" s="1">
        <v>202</v>
      </c>
      <c r="J3819" s="1">
        <v>238</v>
      </c>
      <c r="L3819" t="str">
        <f t="shared" si="59"/>
        <v>http://www.badatelna.eu/reprodukce/?fondId=1073&amp;zaznamId=1108960&amp;reproId=3780379</v>
      </c>
      <c r="M3819">
        <f>VLOOKUP(F3819,Sheet2!$B$1:$E$19,2,FALSE)</f>
        <v>1073</v>
      </c>
      <c r="N3819">
        <f>VLOOKUP(F3819,Sheet2!$B$1:$E$19,3,FALSE)</f>
        <v>1108960</v>
      </c>
      <c r="O3819">
        <f>IF(G3819="Not available","",VLOOKUP(F3819,Sheet2!$B$1:$E$19,4,FALSE)+(G3819-1))</f>
        <v>3780379</v>
      </c>
    </row>
    <row r="3820" spans="1:15" s="1" customFormat="1" ht="15" customHeight="1" x14ac:dyDescent="0.25">
      <c r="A3820" s="18" t="s">
        <v>535</v>
      </c>
      <c r="B3820" s="18" t="s">
        <v>21</v>
      </c>
      <c r="C3820" s="5">
        <v>1804</v>
      </c>
      <c r="E3820" s="1" t="s">
        <v>2</v>
      </c>
      <c r="F3820" s="18">
        <v>2173</v>
      </c>
      <c r="G3820" s="18">
        <v>48</v>
      </c>
      <c r="H3820" s="5">
        <v>91</v>
      </c>
      <c r="I3820" s="1">
        <v>116</v>
      </c>
      <c r="J3820" s="1">
        <v>252</v>
      </c>
      <c r="L3820" t="str">
        <f t="shared" si="59"/>
        <v>http://www.badatelna.eu/reprodukce/?fondId=1073&amp;zaznamId=1108959&amp;reproId=3780041</v>
      </c>
      <c r="M3820">
        <f>VLOOKUP(F3820,Sheet2!$B$1:$E$19,2,FALSE)</f>
        <v>1073</v>
      </c>
      <c r="N3820">
        <f>VLOOKUP(F3820,Sheet2!$B$1:$E$19,3,FALSE)</f>
        <v>1108959</v>
      </c>
      <c r="O3820">
        <f>IF(G3820="Not available","",VLOOKUP(F3820,Sheet2!$B$1:$E$19,4,FALSE)+(G3820-1))</f>
        <v>3780041</v>
      </c>
    </row>
    <row r="3821" spans="1:15" s="1" customFormat="1" ht="15" customHeight="1" x14ac:dyDescent="0.25">
      <c r="A3821" s="18" t="s">
        <v>535</v>
      </c>
      <c r="B3821" s="18" t="s">
        <v>434</v>
      </c>
      <c r="C3821" s="5">
        <v>1841</v>
      </c>
      <c r="D3821" s="1" t="s">
        <v>21</v>
      </c>
      <c r="E3821" s="1" t="s">
        <v>2</v>
      </c>
      <c r="F3821" s="18">
        <v>2174</v>
      </c>
      <c r="G3821" s="18">
        <v>121</v>
      </c>
      <c r="H3821" s="6" t="s">
        <v>3189</v>
      </c>
      <c r="I3821" s="1">
        <v>202</v>
      </c>
      <c r="J3821" s="1">
        <v>238</v>
      </c>
      <c r="L3821" t="str">
        <f t="shared" si="59"/>
        <v>http://www.badatelna.eu/reprodukce/?fondId=1073&amp;zaznamId=1108960&amp;reproId=3780345</v>
      </c>
      <c r="M3821">
        <f>VLOOKUP(F3821,Sheet2!$B$1:$E$19,2,FALSE)</f>
        <v>1073</v>
      </c>
      <c r="N3821">
        <f>VLOOKUP(F3821,Sheet2!$B$1:$E$19,3,FALSE)</f>
        <v>1108960</v>
      </c>
      <c r="O3821">
        <f>IF(G3821="Not available","",VLOOKUP(F3821,Sheet2!$B$1:$E$19,4,FALSE)+(G3821-1))</f>
        <v>3780345</v>
      </c>
    </row>
    <row r="3822" spans="1:15" s="1" customFormat="1" ht="15" customHeight="1" x14ac:dyDescent="0.25">
      <c r="A3822" s="18" t="s">
        <v>535</v>
      </c>
      <c r="B3822" s="19" t="s">
        <v>3006</v>
      </c>
      <c r="C3822" s="5">
        <v>1801</v>
      </c>
      <c r="E3822" s="1" t="s">
        <v>2</v>
      </c>
      <c r="F3822" s="18">
        <v>2173</v>
      </c>
      <c r="G3822" s="18">
        <v>44</v>
      </c>
      <c r="H3822" s="5">
        <v>82</v>
      </c>
      <c r="I3822" s="1">
        <v>116</v>
      </c>
      <c r="J3822" s="1">
        <v>252</v>
      </c>
      <c r="L3822" t="str">
        <f t="shared" si="59"/>
        <v>http://www.badatelna.eu/reprodukce/?fondId=1073&amp;zaznamId=1108959&amp;reproId=3780037</v>
      </c>
      <c r="M3822">
        <f>VLOOKUP(F3822,Sheet2!$B$1:$E$19,2,FALSE)</f>
        <v>1073</v>
      </c>
      <c r="N3822">
        <f>VLOOKUP(F3822,Sheet2!$B$1:$E$19,3,FALSE)</f>
        <v>1108959</v>
      </c>
      <c r="O3822">
        <f>IF(G3822="Not available","",VLOOKUP(F3822,Sheet2!$B$1:$E$19,4,FALSE)+(G3822-1))</f>
        <v>3780037</v>
      </c>
    </row>
    <row r="3823" spans="1:15" s="1" customFormat="1" ht="15" customHeight="1" x14ac:dyDescent="0.25">
      <c r="A3823" s="18" t="s">
        <v>535</v>
      </c>
      <c r="B3823" s="18" t="s">
        <v>143</v>
      </c>
      <c r="C3823" s="5">
        <v>1843</v>
      </c>
      <c r="D3823" s="1" t="s">
        <v>21</v>
      </c>
      <c r="E3823" s="1" t="s">
        <v>2</v>
      </c>
      <c r="F3823" s="18">
        <v>2174</v>
      </c>
      <c r="G3823" s="18">
        <v>138</v>
      </c>
      <c r="H3823" s="6" t="s">
        <v>3207</v>
      </c>
      <c r="I3823" s="1">
        <v>202</v>
      </c>
      <c r="J3823" s="1">
        <v>238</v>
      </c>
      <c r="L3823" t="str">
        <f t="shared" si="59"/>
        <v>http://www.badatelna.eu/reprodukce/?fondId=1073&amp;zaznamId=1108960&amp;reproId=3780362</v>
      </c>
      <c r="M3823">
        <f>VLOOKUP(F3823,Sheet2!$B$1:$E$19,2,FALSE)</f>
        <v>1073</v>
      </c>
      <c r="N3823">
        <f>VLOOKUP(F3823,Sheet2!$B$1:$E$19,3,FALSE)</f>
        <v>1108960</v>
      </c>
      <c r="O3823">
        <f>IF(G3823="Not available","",VLOOKUP(F3823,Sheet2!$B$1:$E$19,4,FALSE)+(G3823-1))</f>
        <v>3780362</v>
      </c>
    </row>
    <row r="3824" spans="1:15" s="1" customFormat="1" ht="15" customHeight="1" x14ac:dyDescent="0.25">
      <c r="A3824" s="18" t="s">
        <v>535</v>
      </c>
      <c r="B3824" s="18" t="s">
        <v>44</v>
      </c>
      <c r="C3824" s="5">
        <v>1837</v>
      </c>
      <c r="D3824" s="1" t="s">
        <v>21</v>
      </c>
      <c r="E3824" s="1" t="s">
        <v>2</v>
      </c>
      <c r="F3824" s="18">
        <v>2174</v>
      </c>
      <c r="G3824" s="18">
        <v>90</v>
      </c>
      <c r="H3824" s="6" t="s">
        <v>3156</v>
      </c>
      <c r="I3824" s="1">
        <v>202</v>
      </c>
      <c r="J3824" s="1">
        <v>237</v>
      </c>
      <c r="L3824" t="str">
        <f t="shared" si="59"/>
        <v>http://www.badatelna.eu/reprodukce/?fondId=1073&amp;zaznamId=1108960&amp;reproId=3780314</v>
      </c>
      <c r="M3824">
        <f>VLOOKUP(F3824,Sheet2!$B$1:$E$19,2,FALSE)</f>
        <v>1073</v>
      </c>
      <c r="N3824">
        <f>VLOOKUP(F3824,Sheet2!$B$1:$E$19,3,FALSE)</f>
        <v>1108960</v>
      </c>
      <c r="O3824">
        <f>IF(G3824="Not available","",VLOOKUP(F3824,Sheet2!$B$1:$E$19,4,FALSE)+(G3824-1))</f>
        <v>3780314</v>
      </c>
    </row>
    <row r="3825" spans="1:15" s="1" customFormat="1" ht="15" customHeight="1" x14ac:dyDescent="0.25">
      <c r="A3825" s="18" t="s">
        <v>535</v>
      </c>
      <c r="B3825" s="18" t="s">
        <v>304</v>
      </c>
      <c r="C3825" s="5">
        <v>1838</v>
      </c>
      <c r="D3825" s="1" t="s">
        <v>21</v>
      </c>
      <c r="E3825" s="1" t="s">
        <v>2</v>
      </c>
      <c r="F3825" s="18">
        <v>2174</v>
      </c>
      <c r="G3825" s="18">
        <v>101</v>
      </c>
      <c r="H3825" s="6" t="s">
        <v>3170</v>
      </c>
      <c r="I3825" s="1">
        <v>202</v>
      </c>
      <c r="J3825" s="1">
        <v>237</v>
      </c>
      <c r="L3825" t="str">
        <f t="shared" si="59"/>
        <v>http://www.badatelna.eu/reprodukce/?fondId=1073&amp;zaznamId=1108960&amp;reproId=3780325</v>
      </c>
      <c r="M3825">
        <f>VLOOKUP(F3825,Sheet2!$B$1:$E$19,2,FALSE)</f>
        <v>1073</v>
      </c>
      <c r="N3825">
        <f>VLOOKUP(F3825,Sheet2!$B$1:$E$19,3,FALSE)</f>
        <v>1108960</v>
      </c>
      <c r="O3825">
        <f>IF(G3825="Not available","",VLOOKUP(F3825,Sheet2!$B$1:$E$19,4,FALSE)+(G3825-1))</f>
        <v>3780325</v>
      </c>
    </row>
    <row r="3826" spans="1:15" s="1" customFormat="1" ht="15" customHeight="1" x14ac:dyDescent="0.25">
      <c r="A3826" s="18" t="s">
        <v>535</v>
      </c>
      <c r="B3826" s="18" t="s">
        <v>909</v>
      </c>
      <c r="C3826" s="5">
        <v>1849</v>
      </c>
      <c r="D3826" s="1" t="s">
        <v>21</v>
      </c>
      <c r="E3826" s="1" t="s">
        <v>2</v>
      </c>
      <c r="F3826" s="18">
        <v>2164</v>
      </c>
      <c r="G3826" s="18">
        <v>64</v>
      </c>
      <c r="H3826" s="5">
        <v>62</v>
      </c>
      <c r="I3826" s="1">
        <v>139</v>
      </c>
      <c r="J3826" s="3" t="s">
        <v>3271</v>
      </c>
      <c r="L3826" t="str">
        <f t="shared" si="59"/>
        <v>http://www.badatelna.eu/reprodukce/?fondId=1073&amp;zaznamId=1108951&amp;reproId=3778778</v>
      </c>
      <c r="M3826">
        <f>VLOOKUP(F3826,Sheet2!$B$1:$E$19,2,FALSE)</f>
        <v>1073</v>
      </c>
      <c r="N3826">
        <f>VLOOKUP(F3826,Sheet2!$B$1:$E$19,3,FALSE)</f>
        <v>1108951</v>
      </c>
      <c r="O3826">
        <f>IF(G3826="Not available","",VLOOKUP(F3826,Sheet2!$B$1:$E$19,4,FALSE)+(G3826-1))</f>
        <v>3778778</v>
      </c>
    </row>
    <row r="3827" spans="1:15" s="1" customFormat="1" ht="15" customHeight="1" x14ac:dyDescent="0.25">
      <c r="A3827" s="18" t="s">
        <v>919</v>
      </c>
      <c r="B3827" s="18" t="s">
        <v>809</v>
      </c>
      <c r="C3827" s="5">
        <v>1852</v>
      </c>
      <c r="D3827" s="1" t="s">
        <v>21</v>
      </c>
      <c r="E3827" s="1" t="s">
        <v>2</v>
      </c>
      <c r="F3827" s="18">
        <v>2164</v>
      </c>
      <c r="G3827" s="18">
        <v>86</v>
      </c>
      <c r="H3827" s="5">
        <v>84</v>
      </c>
      <c r="I3827" s="1">
        <v>139</v>
      </c>
      <c r="J3827" s="3" t="s">
        <v>3271</v>
      </c>
      <c r="L3827" t="str">
        <f t="shared" si="59"/>
        <v>http://www.badatelna.eu/reprodukce/?fondId=1073&amp;zaznamId=1108951&amp;reproId=3778800</v>
      </c>
      <c r="M3827">
        <f>VLOOKUP(F3827,Sheet2!$B$1:$E$19,2,FALSE)</f>
        <v>1073</v>
      </c>
      <c r="N3827">
        <f>VLOOKUP(F3827,Sheet2!$B$1:$E$19,3,FALSE)</f>
        <v>1108951</v>
      </c>
      <c r="O3827">
        <f>IF(G3827="Not available","",VLOOKUP(F3827,Sheet2!$B$1:$E$19,4,FALSE)+(G3827-1))</f>
        <v>3778800</v>
      </c>
    </row>
    <row r="3828" spans="1:15" s="1" customFormat="1" ht="15" customHeight="1" x14ac:dyDescent="0.25">
      <c r="A3828" s="18" t="s">
        <v>970</v>
      </c>
      <c r="B3828" s="18" t="s">
        <v>482</v>
      </c>
      <c r="C3828" s="5" t="s">
        <v>1664</v>
      </c>
      <c r="D3828" s="1" t="s">
        <v>74</v>
      </c>
      <c r="E3828" s="1" t="s">
        <v>2</v>
      </c>
      <c r="F3828" s="18">
        <v>2165</v>
      </c>
      <c r="G3828" s="18">
        <v>75</v>
      </c>
      <c r="H3828" s="5">
        <v>72</v>
      </c>
      <c r="I3828" s="1">
        <v>93</v>
      </c>
      <c r="J3828" s="1" t="s">
        <v>3271</v>
      </c>
      <c r="L3828" t="str">
        <f t="shared" si="59"/>
        <v>http://www.badatelna.eu/reprodukce/?fondId=1073&amp;zaznamId=1108952&amp;reproId=3778936</v>
      </c>
      <c r="M3828">
        <f>VLOOKUP(F3828,Sheet2!$B$1:$E$19,2,FALSE)</f>
        <v>1073</v>
      </c>
      <c r="N3828">
        <f>VLOOKUP(F3828,Sheet2!$B$1:$E$19,3,FALSE)</f>
        <v>1108952</v>
      </c>
      <c r="O3828">
        <f>IF(G3828="Not available","",VLOOKUP(F3828,Sheet2!$B$1:$E$19,4,FALSE)+(G3828-1))</f>
        <v>3778936</v>
      </c>
    </row>
    <row r="3829" spans="1:15" s="1" customFormat="1" ht="15" customHeight="1" x14ac:dyDescent="0.25">
      <c r="A3829" s="18" t="s">
        <v>970</v>
      </c>
      <c r="B3829" s="18" t="s">
        <v>698</v>
      </c>
      <c r="C3829" s="5" t="s">
        <v>1607</v>
      </c>
      <c r="D3829" s="1" t="s">
        <v>1089</v>
      </c>
      <c r="E3829" s="1" t="s">
        <v>2</v>
      </c>
      <c r="F3829" s="18">
        <v>2165</v>
      </c>
      <c r="G3829" s="18">
        <v>14</v>
      </c>
      <c r="H3829" s="5">
        <v>11</v>
      </c>
      <c r="I3829" s="1">
        <v>92</v>
      </c>
      <c r="J3829" s="1" t="s">
        <v>3271</v>
      </c>
      <c r="L3829" t="str">
        <f t="shared" si="59"/>
        <v>http://www.badatelna.eu/reprodukce/?fondId=1073&amp;zaznamId=1108952&amp;reproId=3778875</v>
      </c>
      <c r="M3829">
        <f>VLOOKUP(F3829,Sheet2!$B$1:$E$19,2,FALSE)</f>
        <v>1073</v>
      </c>
      <c r="N3829">
        <f>VLOOKUP(F3829,Sheet2!$B$1:$E$19,3,FALSE)</f>
        <v>1108952</v>
      </c>
      <c r="O3829">
        <f>IF(G3829="Not available","",VLOOKUP(F3829,Sheet2!$B$1:$E$19,4,FALSE)+(G3829-1))</f>
        <v>3778875</v>
      </c>
    </row>
    <row r="3830" spans="1:15" s="1" customFormat="1" ht="15" customHeight="1" x14ac:dyDescent="0.25">
      <c r="A3830" s="18" t="s">
        <v>970</v>
      </c>
      <c r="B3830" s="19" t="s">
        <v>774</v>
      </c>
      <c r="C3830" s="5">
        <v>1864</v>
      </c>
      <c r="E3830" s="1" t="s">
        <v>939</v>
      </c>
      <c r="F3830" s="18">
        <v>999</v>
      </c>
      <c r="G3830" s="18">
        <v>45</v>
      </c>
      <c r="H3830" s="5">
        <v>43</v>
      </c>
      <c r="I3830" s="1">
        <v>76</v>
      </c>
      <c r="J3830" s="1">
        <v>110</v>
      </c>
      <c r="L3830" t="str">
        <f t="shared" si="59"/>
        <v>http://www.badatelna.eu/reprodukce/?fondId=241&amp;zaznamId=1133739&amp;reproId=3885774</v>
      </c>
      <c r="M3830">
        <f>VLOOKUP(F3830,Sheet2!$B$1:$E$19,2,FALSE)</f>
        <v>241</v>
      </c>
      <c r="N3830">
        <f>VLOOKUP(F3830,Sheet2!$B$1:$E$19,3,FALSE)</f>
        <v>1133739</v>
      </c>
      <c r="O3830">
        <f>IF(G3830="Not available","",VLOOKUP(F3830,Sheet2!$B$1:$E$19,4,FALSE)+(G3830-1))</f>
        <v>3885774</v>
      </c>
    </row>
    <row r="3831" spans="1:15" s="1" customFormat="1" ht="15" customHeight="1" x14ac:dyDescent="0.25">
      <c r="A3831" s="18" t="s">
        <v>970</v>
      </c>
      <c r="B3831" s="18" t="s">
        <v>885</v>
      </c>
      <c r="C3831" s="5" t="s">
        <v>1629</v>
      </c>
      <c r="D3831" s="1" t="s">
        <v>1089</v>
      </c>
      <c r="E3831" s="1" t="s">
        <v>2</v>
      </c>
      <c r="F3831" s="18">
        <v>2165</v>
      </c>
      <c r="G3831" s="18">
        <v>40</v>
      </c>
      <c r="H3831" s="5">
        <v>37</v>
      </c>
      <c r="I3831" s="1">
        <v>93</v>
      </c>
      <c r="J3831" s="1" t="s">
        <v>3271</v>
      </c>
      <c r="L3831" t="str">
        <f t="shared" si="59"/>
        <v>http://www.badatelna.eu/reprodukce/?fondId=1073&amp;zaznamId=1108952&amp;reproId=3778901</v>
      </c>
      <c r="M3831">
        <f>VLOOKUP(F3831,Sheet2!$B$1:$E$19,2,FALSE)</f>
        <v>1073</v>
      </c>
      <c r="N3831">
        <f>VLOOKUP(F3831,Sheet2!$B$1:$E$19,3,FALSE)</f>
        <v>1108952</v>
      </c>
      <c r="O3831">
        <f>IF(G3831="Not available","",VLOOKUP(F3831,Sheet2!$B$1:$E$19,4,FALSE)+(G3831-1))</f>
        <v>3778901</v>
      </c>
    </row>
    <row r="3832" spans="1:15" s="1" customFormat="1" ht="15" customHeight="1" x14ac:dyDescent="0.25">
      <c r="A3832" s="18" t="s">
        <v>970</v>
      </c>
      <c r="B3832" s="18" t="s">
        <v>948</v>
      </c>
      <c r="C3832" s="5" t="s">
        <v>1617</v>
      </c>
      <c r="D3832" s="1" t="s">
        <v>1092</v>
      </c>
      <c r="E3832" s="1" t="s">
        <v>2</v>
      </c>
      <c r="F3832" s="18">
        <v>2165</v>
      </c>
      <c r="G3832" s="18">
        <v>28</v>
      </c>
      <c r="H3832" s="5">
        <v>25</v>
      </c>
      <c r="I3832" s="1">
        <v>92</v>
      </c>
      <c r="J3832" s="1" t="s">
        <v>3271</v>
      </c>
      <c r="L3832" t="str">
        <f t="shared" si="59"/>
        <v>http://www.badatelna.eu/reprodukce/?fondId=1073&amp;zaznamId=1108952&amp;reproId=3778889</v>
      </c>
      <c r="M3832">
        <f>VLOOKUP(F3832,Sheet2!$B$1:$E$19,2,FALSE)</f>
        <v>1073</v>
      </c>
      <c r="N3832">
        <f>VLOOKUP(F3832,Sheet2!$B$1:$E$19,3,FALSE)</f>
        <v>1108952</v>
      </c>
      <c r="O3832">
        <f>IF(G3832="Not available","",VLOOKUP(F3832,Sheet2!$B$1:$E$19,4,FALSE)+(G3832-1))</f>
        <v>3778889</v>
      </c>
    </row>
    <row r="3833" spans="1:15" s="1" customFormat="1" ht="15" customHeight="1" x14ac:dyDescent="0.25">
      <c r="A3833" s="18" t="s">
        <v>970</v>
      </c>
      <c r="B3833" s="18" t="s">
        <v>34</v>
      </c>
      <c r="C3833" s="5">
        <v>1860</v>
      </c>
      <c r="E3833" s="1" t="s">
        <v>939</v>
      </c>
      <c r="F3833" s="18">
        <v>999</v>
      </c>
      <c r="G3833" s="18">
        <v>24</v>
      </c>
      <c r="H3833" s="5">
        <v>22</v>
      </c>
      <c r="I3833" s="1">
        <v>76</v>
      </c>
      <c r="J3833" s="1">
        <v>110</v>
      </c>
      <c r="L3833" t="str">
        <f t="shared" si="59"/>
        <v>http://www.badatelna.eu/reprodukce/?fondId=241&amp;zaznamId=1133739&amp;reproId=3885753</v>
      </c>
      <c r="M3833">
        <f>VLOOKUP(F3833,Sheet2!$B$1:$E$19,2,FALSE)</f>
        <v>241</v>
      </c>
      <c r="N3833">
        <f>VLOOKUP(F3833,Sheet2!$B$1:$E$19,3,FALSE)</f>
        <v>1133739</v>
      </c>
      <c r="O3833">
        <f>IF(G3833="Not available","",VLOOKUP(F3833,Sheet2!$B$1:$E$19,4,FALSE)+(G3833-1))</f>
        <v>3885753</v>
      </c>
    </row>
    <row r="3834" spans="1:15" s="1" customFormat="1" ht="15" customHeight="1" x14ac:dyDescent="0.25">
      <c r="A3834" s="18" t="s">
        <v>970</v>
      </c>
      <c r="B3834" s="18" t="s">
        <v>602</v>
      </c>
      <c r="C3834" s="5" t="s">
        <v>1649</v>
      </c>
      <c r="D3834" s="1" t="s">
        <v>1089</v>
      </c>
      <c r="E3834" s="1" t="s">
        <v>2</v>
      </c>
      <c r="F3834" s="18">
        <v>2165</v>
      </c>
      <c r="G3834" s="18">
        <v>57</v>
      </c>
      <c r="H3834" s="5">
        <v>54</v>
      </c>
      <c r="I3834" s="1">
        <v>93</v>
      </c>
      <c r="J3834" s="1" t="s">
        <v>3271</v>
      </c>
      <c r="L3834" t="str">
        <f t="shared" si="59"/>
        <v>http://www.badatelna.eu/reprodukce/?fondId=1073&amp;zaznamId=1108952&amp;reproId=3778918</v>
      </c>
      <c r="M3834">
        <f>VLOOKUP(F3834,Sheet2!$B$1:$E$19,2,FALSE)</f>
        <v>1073</v>
      </c>
      <c r="N3834">
        <f>VLOOKUP(F3834,Sheet2!$B$1:$E$19,3,FALSE)</f>
        <v>1108952</v>
      </c>
      <c r="O3834">
        <f>IF(G3834="Not available","",VLOOKUP(F3834,Sheet2!$B$1:$E$19,4,FALSE)+(G3834-1))</f>
        <v>3778918</v>
      </c>
    </row>
    <row r="3835" spans="1:15" s="1" customFormat="1" ht="15" customHeight="1" x14ac:dyDescent="0.25">
      <c r="A3835" s="18" t="s">
        <v>970</v>
      </c>
      <c r="B3835" s="18" t="s">
        <v>540</v>
      </c>
      <c r="C3835" s="5">
        <v>1866</v>
      </c>
      <c r="E3835" s="1" t="s">
        <v>939</v>
      </c>
      <c r="F3835" s="18">
        <v>999</v>
      </c>
      <c r="G3835" s="18">
        <v>59</v>
      </c>
      <c r="H3835" s="5">
        <v>57</v>
      </c>
      <c r="I3835" s="1">
        <v>77</v>
      </c>
      <c r="J3835" s="1">
        <v>112</v>
      </c>
      <c r="L3835" t="str">
        <f t="shared" si="59"/>
        <v>http://www.badatelna.eu/reprodukce/?fondId=241&amp;zaznamId=1133739&amp;reproId=3885788</v>
      </c>
      <c r="M3835">
        <f>VLOOKUP(F3835,Sheet2!$B$1:$E$19,2,FALSE)</f>
        <v>241</v>
      </c>
      <c r="N3835">
        <f>VLOOKUP(F3835,Sheet2!$B$1:$E$19,3,FALSE)</f>
        <v>1133739</v>
      </c>
      <c r="O3835">
        <f>IF(G3835="Not available","",VLOOKUP(F3835,Sheet2!$B$1:$E$19,4,FALSE)+(G3835-1))</f>
        <v>3885788</v>
      </c>
    </row>
    <row r="3836" spans="1:15" s="1" customFormat="1" ht="15" customHeight="1" x14ac:dyDescent="0.25">
      <c r="A3836" s="18" t="s">
        <v>970</v>
      </c>
      <c r="B3836" s="18" t="s">
        <v>2731</v>
      </c>
      <c r="C3836" s="10" t="s">
        <v>1987</v>
      </c>
      <c r="D3836" s="3" t="s">
        <v>2732</v>
      </c>
      <c r="E3836" s="4" t="s">
        <v>2</v>
      </c>
      <c r="F3836" s="18">
        <v>2176</v>
      </c>
      <c r="G3836" s="18" t="s">
        <v>3271</v>
      </c>
      <c r="H3836" s="10" t="s">
        <v>2733</v>
      </c>
      <c r="I3836" s="3">
        <v>44</v>
      </c>
      <c r="J3836" s="3" t="s">
        <v>3271</v>
      </c>
      <c r="L3836" t="str">
        <f t="shared" si="59"/>
        <v/>
      </c>
      <c r="M3836">
        <f>VLOOKUP(F3836,Sheet2!$B$1:$E$19,2,FALSE)</f>
        <v>1073</v>
      </c>
      <c r="N3836">
        <f>VLOOKUP(F3836,Sheet2!$B$1:$E$19,3,FALSE)</f>
        <v>1108963</v>
      </c>
      <c r="O3836" t="str">
        <f>IF(G3836="Not available","",VLOOKUP(F3836,Sheet2!$B$1:$E$19,4,FALSE)+(G3836-1))</f>
        <v/>
      </c>
    </row>
    <row r="3837" spans="1:15" s="1" customFormat="1" ht="15" customHeight="1" x14ac:dyDescent="0.25">
      <c r="A3837" s="18" t="s">
        <v>553</v>
      </c>
      <c r="B3837" s="18" t="s">
        <v>59</v>
      </c>
      <c r="C3837" s="5">
        <v>1802</v>
      </c>
      <c r="E3837" s="1" t="s">
        <v>2</v>
      </c>
      <c r="F3837" s="18">
        <v>2173</v>
      </c>
      <c r="G3837" s="18">
        <v>45</v>
      </c>
      <c r="H3837" s="5">
        <v>85</v>
      </c>
      <c r="I3837" s="1">
        <v>116</v>
      </c>
      <c r="J3837" s="1">
        <v>252</v>
      </c>
      <c r="L3837" t="str">
        <f t="shared" si="59"/>
        <v>http://www.badatelna.eu/reprodukce/?fondId=1073&amp;zaznamId=1108959&amp;reproId=3780038</v>
      </c>
      <c r="M3837">
        <f>VLOOKUP(F3837,Sheet2!$B$1:$E$19,2,FALSE)</f>
        <v>1073</v>
      </c>
      <c r="N3837">
        <f>VLOOKUP(F3837,Sheet2!$B$1:$E$19,3,FALSE)</f>
        <v>1108959</v>
      </c>
      <c r="O3837">
        <f>IF(G3837="Not available","",VLOOKUP(F3837,Sheet2!$B$1:$E$19,4,FALSE)+(G3837-1))</f>
        <v>3780038</v>
      </c>
    </row>
    <row r="3838" spans="1:15" s="1" customFormat="1" ht="15" customHeight="1" x14ac:dyDescent="0.25">
      <c r="A3838" s="18" t="s">
        <v>553</v>
      </c>
      <c r="B3838" s="18" t="s">
        <v>557</v>
      </c>
      <c r="C3838" s="5">
        <v>1811</v>
      </c>
      <c r="D3838" s="12" t="s">
        <v>44</v>
      </c>
      <c r="E3838" s="1" t="s">
        <v>2</v>
      </c>
      <c r="F3838" s="18">
        <v>2173</v>
      </c>
      <c r="G3838" s="18">
        <v>57</v>
      </c>
      <c r="H3838" s="5">
        <v>108</v>
      </c>
      <c r="I3838" s="1">
        <v>116</v>
      </c>
      <c r="J3838" s="1">
        <v>253</v>
      </c>
      <c r="L3838" t="str">
        <f t="shared" si="59"/>
        <v>http://www.badatelna.eu/reprodukce/?fondId=1073&amp;zaznamId=1108959&amp;reproId=3780050</v>
      </c>
      <c r="M3838">
        <f>VLOOKUP(F3838,Sheet2!$B$1:$E$19,2,FALSE)</f>
        <v>1073</v>
      </c>
      <c r="N3838">
        <f>VLOOKUP(F3838,Sheet2!$B$1:$E$19,3,FALSE)</f>
        <v>1108959</v>
      </c>
      <c r="O3838">
        <f>IF(G3838="Not available","",VLOOKUP(F3838,Sheet2!$B$1:$E$19,4,FALSE)+(G3838-1))</f>
        <v>3780050</v>
      </c>
    </row>
    <row r="3839" spans="1:15" s="1" customFormat="1" ht="15" customHeight="1" x14ac:dyDescent="0.25">
      <c r="A3839" s="18" t="s">
        <v>553</v>
      </c>
      <c r="B3839" s="18" t="s">
        <v>7</v>
      </c>
      <c r="C3839" s="5">
        <v>1808</v>
      </c>
      <c r="E3839" s="1" t="s">
        <v>2</v>
      </c>
      <c r="F3839" s="18">
        <v>2173</v>
      </c>
      <c r="G3839" s="18">
        <v>54</v>
      </c>
      <c r="H3839" s="14" t="s">
        <v>2979</v>
      </c>
      <c r="I3839" s="1">
        <v>116</v>
      </c>
      <c r="J3839" s="1">
        <v>252</v>
      </c>
      <c r="L3839" t="str">
        <f t="shared" si="59"/>
        <v>http://www.badatelna.eu/reprodukce/?fondId=1073&amp;zaznamId=1108959&amp;reproId=3780047</v>
      </c>
      <c r="M3839">
        <f>VLOOKUP(F3839,Sheet2!$B$1:$E$19,2,FALSE)</f>
        <v>1073</v>
      </c>
      <c r="N3839">
        <f>VLOOKUP(F3839,Sheet2!$B$1:$E$19,3,FALSE)</f>
        <v>1108959</v>
      </c>
      <c r="O3839">
        <f>IF(G3839="Not available","",VLOOKUP(F3839,Sheet2!$B$1:$E$19,4,FALSE)+(G3839-1))</f>
        <v>3780047</v>
      </c>
    </row>
    <row r="3840" spans="1:15" s="1" customFormat="1" ht="15" customHeight="1" x14ac:dyDescent="0.25">
      <c r="A3840" s="18" t="s">
        <v>553</v>
      </c>
      <c r="B3840" s="18" t="s">
        <v>21</v>
      </c>
      <c r="C3840" s="5">
        <v>1814</v>
      </c>
      <c r="E3840" s="1" t="s">
        <v>2</v>
      </c>
      <c r="F3840" s="18">
        <v>2173</v>
      </c>
      <c r="G3840" s="18">
        <v>62</v>
      </c>
      <c r="H3840" s="5">
        <v>119</v>
      </c>
      <c r="I3840" s="1">
        <v>116</v>
      </c>
      <c r="J3840" s="1">
        <v>253</v>
      </c>
      <c r="L3840" t="str">
        <f t="shared" si="59"/>
        <v>http://www.badatelna.eu/reprodukce/?fondId=1073&amp;zaznamId=1108959&amp;reproId=3780055</v>
      </c>
      <c r="M3840">
        <f>VLOOKUP(F3840,Sheet2!$B$1:$E$19,2,FALSE)</f>
        <v>1073</v>
      </c>
      <c r="N3840">
        <f>VLOOKUP(F3840,Sheet2!$B$1:$E$19,3,FALSE)</f>
        <v>1108959</v>
      </c>
      <c r="O3840">
        <f>IF(G3840="Not available","",VLOOKUP(F3840,Sheet2!$B$1:$E$19,4,FALSE)+(G3840-1))</f>
        <v>3780055</v>
      </c>
    </row>
    <row r="3841" spans="1:15" s="1" customFormat="1" ht="15" customHeight="1" x14ac:dyDescent="0.25">
      <c r="A3841" s="19" t="s">
        <v>3040</v>
      </c>
      <c r="B3841" s="18" t="s">
        <v>527</v>
      </c>
      <c r="C3841" s="5">
        <v>1789</v>
      </c>
      <c r="D3841" s="1" t="s">
        <v>528</v>
      </c>
      <c r="E3841" s="1" t="s">
        <v>2</v>
      </c>
      <c r="F3841" s="18">
        <v>2173</v>
      </c>
      <c r="G3841" s="18">
        <v>22</v>
      </c>
      <c r="H3841" s="5">
        <v>38</v>
      </c>
      <c r="I3841" s="1">
        <v>115</v>
      </c>
      <c r="J3841" s="1">
        <v>259</v>
      </c>
      <c r="L3841" t="str">
        <f t="shared" si="59"/>
        <v>http://www.badatelna.eu/reprodukce/?fondId=1073&amp;zaznamId=1108959&amp;reproId=3780015</v>
      </c>
      <c r="M3841">
        <f>VLOOKUP(F3841,Sheet2!$B$1:$E$19,2,FALSE)</f>
        <v>1073</v>
      </c>
      <c r="N3841">
        <f>VLOOKUP(F3841,Sheet2!$B$1:$E$19,3,FALSE)</f>
        <v>1108959</v>
      </c>
      <c r="O3841">
        <f>IF(G3841="Not available","",VLOOKUP(F3841,Sheet2!$B$1:$E$19,4,FALSE)+(G3841-1))</f>
        <v>3780015</v>
      </c>
    </row>
    <row r="3842" spans="1:15" s="1" customFormat="1" ht="15" customHeight="1" x14ac:dyDescent="0.25">
      <c r="A3842" s="19" t="s">
        <v>3039</v>
      </c>
      <c r="B3842" s="18" t="s">
        <v>50</v>
      </c>
      <c r="C3842" s="5">
        <v>1792</v>
      </c>
      <c r="D3842" s="4" t="s">
        <v>379</v>
      </c>
      <c r="E3842" s="1" t="s">
        <v>2</v>
      </c>
      <c r="F3842" s="18">
        <v>2173</v>
      </c>
      <c r="G3842" s="18">
        <v>27</v>
      </c>
      <c r="H3842" s="5">
        <v>48</v>
      </c>
      <c r="I3842" s="1">
        <v>115</v>
      </c>
      <c r="J3842" s="1">
        <v>259</v>
      </c>
      <c r="L3842" t="str">
        <f t="shared" si="59"/>
        <v>http://www.badatelna.eu/reprodukce/?fondId=1073&amp;zaznamId=1108959&amp;reproId=3780020</v>
      </c>
      <c r="M3842">
        <f>VLOOKUP(F3842,Sheet2!$B$1:$E$19,2,FALSE)</f>
        <v>1073</v>
      </c>
      <c r="N3842">
        <f>VLOOKUP(F3842,Sheet2!$B$1:$E$19,3,FALSE)</f>
        <v>1108959</v>
      </c>
      <c r="O3842">
        <f>IF(G3842="Not available","",VLOOKUP(F3842,Sheet2!$B$1:$E$19,4,FALSE)+(G3842-1))</f>
        <v>3780020</v>
      </c>
    </row>
    <row r="3843" spans="1:15" s="1" customFormat="1" ht="15" customHeight="1" x14ac:dyDescent="0.25">
      <c r="A3843" s="18" t="s">
        <v>529</v>
      </c>
      <c r="B3843" s="18" t="s">
        <v>455</v>
      </c>
      <c r="C3843" s="5">
        <v>1794</v>
      </c>
      <c r="D3843" s="1" t="s">
        <v>528</v>
      </c>
      <c r="E3843" s="1" t="s">
        <v>2</v>
      </c>
      <c r="F3843" s="18">
        <v>2173</v>
      </c>
      <c r="G3843" s="18">
        <v>31</v>
      </c>
      <c r="H3843" s="5">
        <v>57</v>
      </c>
      <c r="I3843" s="1">
        <v>115</v>
      </c>
      <c r="J3843" s="1">
        <v>259</v>
      </c>
      <c r="L3843" t="str">
        <f t="shared" ref="L3843:L3906" si="60">IF(G3843="Not available","","http://www.badatelna.eu/reprodukce/?fondId="&amp;M3843&amp;"&amp;zaznamId="&amp;N3843&amp;"&amp;reproId="&amp;O3843)</f>
        <v>http://www.badatelna.eu/reprodukce/?fondId=1073&amp;zaznamId=1108959&amp;reproId=3780024</v>
      </c>
      <c r="M3843">
        <f>VLOOKUP(F3843,Sheet2!$B$1:$E$19,2,FALSE)</f>
        <v>1073</v>
      </c>
      <c r="N3843">
        <f>VLOOKUP(F3843,Sheet2!$B$1:$E$19,3,FALSE)</f>
        <v>1108959</v>
      </c>
      <c r="O3843">
        <f>IF(G3843="Not available","",VLOOKUP(F3843,Sheet2!$B$1:$E$19,4,FALSE)+(G3843-1))</f>
        <v>3780024</v>
      </c>
    </row>
    <row r="3844" spans="1:15" s="1" customFormat="1" ht="15" customHeight="1" x14ac:dyDescent="0.25">
      <c r="A3844" s="18" t="s">
        <v>513</v>
      </c>
      <c r="B3844" s="18" t="s">
        <v>50</v>
      </c>
      <c r="C3844" s="5">
        <v>1790</v>
      </c>
      <c r="D3844" s="1" t="s">
        <v>58</v>
      </c>
      <c r="E3844" s="1" t="s">
        <v>2</v>
      </c>
      <c r="F3844" s="18">
        <v>2173</v>
      </c>
      <c r="G3844" s="18">
        <v>23</v>
      </c>
      <c r="H3844" s="5">
        <v>41</v>
      </c>
      <c r="I3844" s="1">
        <v>115</v>
      </c>
      <c r="J3844" s="1">
        <v>259</v>
      </c>
      <c r="L3844" t="str">
        <f t="shared" si="60"/>
        <v>http://www.badatelna.eu/reprodukce/?fondId=1073&amp;zaznamId=1108959&amp;reproId=3780016</v>
      </c>
      <c r="M3844">
        <f>VLOOKUP(F3844,Sheet2!$B$1:$E$19,2,FALSE)</f>
        <v>1073</v>
      </c>
      <c r="N3844">
        <f>VLOOKUP(F3844,Sheet2!$B$1:$E$19,3,FALSE)</f>
        <v>1108959</v>
      </c>
      <c r="O3844">
        <f>IF(G3844="Not available","",VLOOKUP(F3844,Sheet2!$B$1:$E$19,4,FALSE)+(G3844-1))</f>
        <v>3780016</v>
      </c>
    </row>
    <row r="3845" spans="1:15" s="1" customFormat="1" ht="15" customHeight="1" x14ac:dyDescent="0.25">
      <c r="A3845" s="18" t="s">
        <v>513</v>
      </c>
      <c r="B3845" s="18" t="s">
        <v>486</v>
      </c>
      <c r="C3845" s="5">
        <v>1835</v>
      </c>
      <c r="D3845" s="1" t="s">
        <v>21</v>
      </c>
      <c r="E3845" s="1" t="s">
        <v>2</v>
      </c>
      <c r="F3845" s="18">
        <v>2174</v>
      </c>
      <c r="G3845" s="18">
        <v>84</v>
      </c>
      <c r="H3845" s="6" t="s">
        <v>3150</v>
      </c>
      <c r="I3845" s="1">
        <v>202</v>
      </c>
      <c r="J3845" s="1">
        <v>237</v>
      </c>
      <c r="L3845" t="str">
        <f t="shared" si="60"/>
        <v>http://www.badatelna.eu/reprodukce/?fondId=1073&amp;zaznamId=1108960&amp;reproId=3780308</v>
      </c>
      <c r="M3845">
        <f>VLOOKUP(F3845,Sheet2!$B$1:$E$19,2,FALSE)</f>
        <v>1073</v>
      </c>
      <c r="N3845">
        <f>VLOOKUP(F3845,Sheet2!$B$1:$E$19,3,FALSE)</f>
        <v>1108960</v>
      </c>
      <c r="O3845">
        <f>IF(G3845="Not available","",VLOOKUP(F3845,Sheet2!$B$1:$E$19,4,FALSE)+(G3845-1))</f>
        <v>3780308</v>
      </c>
    </row>
    <row r="3846" spans="1:15" s="1" customFormat="1" ht="15" customHeight="1" x14ac:dyDescent="0.25">
      <c r="A3846" s="18" t="s">
        <v>513</v>
      </c>
      <c r="B3846" s="18" t="s">
        <v>74</v>
      </c>
      <c r="C3846" s="5">
        <v>1785</v>
      </c>
      <c r="D3846" s="1" t="s">
        <v>58</v>
      </c>
      <c r="E3846" s="1" t="s">
        <v>2</v>
      </c>
      <c r="F3846" s="18">
        <v>2173</v>
      </c>
      <c r="G3846" s="18">
        <v>10</v>
      </c>
      <c r="H3846" s="5">
        <v>15</v>
      </c>
      <c r="I3846" s="1">
        <v>115</v>
      </c>
      <c r="J3846" s="1">
        <v>259</v>
      </c>
      <c r="L3846" t="str">
        <f t="shared" si="60"/>
        <v>http://www.badatelna.eu/reprodukce/?fondId=1073&amp;zaznamId=1108959&amp;reproId=3780003</v>
      </c>
      <c r="M3846">
        <f>VLOOKUP(F3846,Sheet2!$B$1:$E$19,2,FALSE)</f>
        <v>1073</v>
      </c>
      <c r="N3846">
        <f>VLOOKUP(F3846,Sheet2!$B$1:$E$19,3,FALSE)</f>
        <v>1108959</v>
      </c>
      <c r="O3846">
        <f>IF(G3846="Not available","",VLOOKUP(F3846,Sheet2!$B$1:$E$19,4,FALSE)+(G3846-1))</f>
        <v>3780003</v>
      </c>
    </row>
    <row r="3847" spans="1:15" s="1" customFormat="1" ht="15" customHeight="1" x14ac:dyDescent="0.25">
      <c r="A3847" s="18" t="s">
        <v>513</v>
      </c>
      <c r="B3847" s="18" t="s">
        <v>524</v>
      </c>
      <c r="C3847" s="5">
        <v>1787</v>
      </c>
      <c r="D3847" s="1" t="s">
        <v>24</v>
      </c>
      <c r="E3847" s="1" t="s">
        <v>2</v>
      </c>
      <c r="F3847" s="18">
        <v>2173</v>
      </c>
      <c r="G3847" s="18">
        <v>15</v>
      </c>
      <c r="H3847" s="5">
        <v>24</v>
      </c>
      <c r="I3847" s="1">
        <v>115</v>
      </c>
      <c r="J3847" s="1">
        <v>259</v>
      </c>
      <c r="L3847" t="str">
        <f t="shared" si="60"/>
        <v>http://www.badatelna.eu/reprodukce/?fondId=1073&amp;zaznamId=1108959&amp;reproId=3780008</v>
      </c>
      <c r="M3847">
        <f>VLOOKUP(F3847,Sheet2!$B$1:$E$19,2,FALSE)</f>
        <v>1073</v>
      </c>
      <c r="N3847">
        <f>VLOOKUP(F3847,Sheet2!$B$1:$E$19,3,FALSE)</f>
        <v>1108959</v>
      </c>
      <c r="O3847">
        <f>IF(G3847="Not available","",VLOOKUP(F3847,Sheet2!$B$1:$E$19,4,FALSE)+(G3847-1))</f>
        <v>3780008</v>
      </c>
    </row>
    <row r="3848" spans="1:15" s="1" customFormat="1" ht="15" customHeight="1" x14ac:dyDescent="0.25">
      <c r="A3848" s="18" t="s">
        <v>513</v>
      </c>
      <c r="B3848" s="18" t="s">
        <v>64</v>
      </c>
      <c r="C3848" s="5">
        <v>1833</v>
      </c>
      <c r="D3848" s="1" t="s">
        <v>21</v>
      </c>
      <c r="E3848" s="1" t="s">
        <v>2</v>
      </c>
      <c r="F3848" s="18">
        <v>2174</v>
      </c>
      <c r="G3848" s="18">
        <v>72</v>
      </c>
      <c r="H3848" s="6" t="s">
        <v>3137</v>
      </c>
      <c r="I3848" s="1">
        <v>201</v>
      </c>
      <c r="J3848" s="1">
        <v>236</v>
      </c>
      <c r="L3848" t="str">
        <f t="shared" si="60"/>
        <v>http://www.badatelna.eu/reprodukce/?fondId=1073&amp;zaznamId=1108960&amp;reproId=3780296</v>
      </c>
      <c r="M3848">
        <f>VLOOKUP(F3848,Sheet2!$B$1:$E$19,2,FALSE)</f>
        <v>1073</v>
      </c>
      <c r="N3848">
        <f>VLOOKUP(F3848,Sheet2!$B$1:$E$19,3,FALSE)</f>
        <v>1108960</v>
      </c>
      <c r="O3848">
        <f>IF(G3848="Not available","",VLOOKUP(F3848,Sheet2!$B$1:$E$19,4,FALSE)+(G3848-1))</f>
        <v>3780296</v>
      </c>
    </row>
    <row r="3849" spans="1:15" s="1" customFormat="1" ht="15" customHeight="1" x14ac:dyDescent="0.25">
      <c r="A3849" s="18" t="s">
        <v>513</v>
      </c>
      <c r="B3849" s="18" t="s">
        <v>494</v>
      </c>
      <c r="C3849" s="5">
        <v>1842</v>
      </c>
      <c r="D3849" s="1" t="s">
        <v>712</v>
      </c>
      <c r="E3849" s="1" t="s">
        <v>2</v>
      </c>
      <c r="F3849" s="18">
        <v>2174</v>
      </c>
      <c r="G3849" s="18">
        <v>130</v>
      </c>
      <c r="H3849" s="6" t="s">
        <v>3191</v>
      </c>
      <c r="I3849" s="1">
        <v>202</v>
      </c>
      <c r="J3849" s="1">
        <v>238</v>
      </c>
      <c r="L3849" t="str">
        <f t="shared" si="60"/>
        <v>http://www.badatelna.eu/reprodukce/?fondId=1073&amp;zaznamId=1108960&amp;reproId=3780354</v>
      </c>
      <c r="M3849">
        <f>VLOOKUP(F3849,Sheet2!$B$1:$E$19,2,FALSE)</f>
        <v>1073</v>
      </c>
      <c r="N3849">
        <f>VLOOKUP(F3849,Sheet2!$B$1:$E$19,3,FALSE)</f>
        <v>1108960</v>
      </c>
      <c r="O3849">
        <f>IF(G3849="Not available","",VLOOKUP(F3849,Sheet2!$B$1:$E$19,4,FALSE)+(G3849-1))</f>
        <v>3780354</v>
      </c>
    </row>
    <row r="3850" spans="1:15" s="1" customFormat="1" ht="15" customHeight="1" x14ac:dyDescent="0.25">
      <c r="A3850" s="18" t="s">
        <v>513</v>
      </c>
      <c r="B3850" s="18" t="s">
        <v>696</v>
      </c>
      <c r="C3850" s="5">
        <v>1838</v>
      </c>
      <c r="D3850" s="1" t="s">
        <v>21</v>
      </c>
      <c r="E3850" s="1" t="s">
        <v>2</v>
      </c>
      <c r="F3850" s="18">
        <v>2174</v>
      </c>
      <c r="G3850" s="18">
        <v>100</v>
      </c>
      <c r="H3850" s="6" t="s">
        <v>3168</v>
      </c>
      <c r="I3850" s="1">
        <v>202</v>
      </c>
      <c r="J3850" s="1">
        <v>237</v>
      </c>
      <c r="L3850" t="str">
        <f t="shared" si="60"/>
        <v>http://www.badatelna.eu/reprodukce/?fondId=1073&amp;zaznamId=1108960&amp;reproId=3780324</v>
      </c>
      <c r="M3850">
        <f>VLOOKUP(F3850,Sheet2!$B$1:$E$19,2,FALSE)</f>
        <v>1073</v>
      </c>
      <c r="N3850">
        <f>VLOOKUP(F3850,Sheet2!$B$1:$E$19,3,FALSE)</f>
        <v>1108960</v>
      </c>
      <c r="O3850">
        <f>IF(G3850="Not available","",VLOOKUP(F3850,Sheet2!$B$1:$E$19,4,FALSE)+(G3850-1))</f>
        <v>3780324</v>
      </c>
    </row>
    <row r="3851" spans="1:15" s="1" customFormat="1" ht="15" customHeight="1" x14ac:dyDescent="0.25">
      <c r="A3851" s="18" t="s">
        <v>513</v>
      </c>
      <c r="B3851" s="18" t="s">
        <v>65</v>
      </c>
      <c r="C3851" s="5">
        <v>1833</v>
      </c>
      <c r="D3851" s="1" t="s">
        <v>21</v>
      </c>
      <c r="E3851" s="1" t="s">
        <v>2</v>
      </c>
      <c r="F3851" s="18">
        <v>2174</v>
      </c>
      <c r="G3851" s="18">
        <v>71</v>
      </c>
      <c r="H3851" s="6" t="s">
        <v>3139</v>
      </c>
      <c r="I3851" s="1">
        <v>201</v>
      </c>
      <c r="J3851" s="1">
        <v>236</v>
      </c>
      <c r="L3851" t="str">
        <f t="shared" si="60"/>
        <v>http://www.badatelna.eu/reprodukce/?fondId=1073&amp;zaznamId=1108960&amp;reproId=3780295</v>
      </c>
      <c r="M3851">
        <f>VLOOKUP(F3851,Sheet2!$B$1:$E$19,2,FALSE)</f>
        <v>1073</v>
      </c>
      <c r="N3851">
        <f>VLOOKUP(F3851,Sheet2!$B$1:$E$19,3,FALSE)</f>
        <v>1108960</v>
      </c>
      <c r="O3851">
        <f>IF(G3851="Not available","",VLOOKUP(F3851,Sheet2!$B$1:$E$19,4,FALSE)+(G3851-1))</f>
        <v>3780295</v>
      </c>
    </row>
    <row r="3852" spans="1:15" s="1" customFormat="1" ht="15" customHeight="1" x14ac:dyDescent="0.25">
      <c r="A3852" s="18" t="s">
        <v>513</v>
      </c>
      <c r="B3852" s="18" t="s">
        <v>526</v>
      </c>
      <c r="C3852" s="5">
        <v>1788</v>
      </c>
      <c r="D3852" s="1" t="s">
        <v>74</v>
      </c>
      <c r="E3852" s="1" t="s">
        <v>2</v>
      </c>
      <c r="F3852" s="18">
        <v>2173</v>
      </c>
      <c r="G3852" s="18">
        <v>19</v>
      </c>
      <c r="H3852" s="5">
        <v>32</v>
      </c>
      <c r="I3852" s="1">
        <v>115</v>
      </c>
      <c r="J3852" s="1">
        <v>259</v>
      </c>
      <c r="L3852" t="str">
        <f t="shared" si="60"/>
        <v>http://www.badatelna.eu/reprodukce/?fondId=1073&amp;zaznamId=1108959&amp;reproId=3780012</v>
      </c>
      <c r="M3852">
        <f>VLOOKUP(F3852,Sheet2!$B$1:$E$19,2,FALSE)</f>
        <v>1073</v>
      </c>
      <c r="N3852">
        <f>VLOOKUP(F3852,Sheet2!$B$1:$E$19,3,FALSE)</f>
        <v>1108959</v>
      </c>
      <c r="O3852">
        <f>IF(G3852="Not available","",VLOOKUP(F3852,Sheet2!$B$1:$E$19,4,FALSE)+(G3852-1))</f>
        <v>3780012</v>
      </c>
    </row>
    <row r="3853" spans="1:15" s="1" customFormat="1" ht="15" customHeight="1" x14ac:dyDescent="0.25">
      <c r="A3853" s="18" t="s">
        <v>513</v>
      </c>
      <c r="B3853" s="18" t="s">
        <v>472</v>
      </c>
      <c r="C3853" s="5">
        <v>1839</v>
      </c>
      <c r="D3853" s="1" t="s">
        <v>24</v>
      </c>
      <c r="E3853" s="1" t="s">
        <v>2</v>
      </c>
      <c r="F3853" s="18">
        <v>2174</v>
      </c>
      <c r="G3853" s="18">
        <v>103</v>
      </c>
      <c r="H3853" s="6" t="s">
        <v>3172</v>
      </c>
      <c r="I3853" s="1">
        <v>202</v>
      </c>
      <c r="J3853" s="1">
        <v>237</v>
      </c>
      <c r="L3853" t="str">
        <f t="shared" si="60"/>
        <v>http://www.badatelna.eu/reprodukce/?fondId=1073&amp;zaznamId=1108960&amp;reproId=3780327</v>
      </c>
      <c r="M3853">
        <f>VLOOKUP(F3853,Sheet2!$B$1:$E$19,2,FALSE)</f>
        <v>1073</v>
      </c>
      <c r="N3853">
        <f>VLOOKUP(F3853,Sheet2!$B$1:$E$19,3,FALSE)</f>
        <v>1108960</v>
      </c>
      <c r="O3853">
        <f>IF(G3853="Not available","",VLOOKUP(F3853,Sheet2!$B$1:$E$19,4,FALSE)+(G3853-1))</f>
        <v>3780327</v>
      </c>
    </row>
    <row r="3854" spans="1:15" s="1" customFormat="1" ht="15" customHeight="1" x14ac:dyDescent="0.25">
      <c r="A3854" s="18" t="s">
        <v>513</v>
      </c>
      <c r="B3854" s="18" t="s">
        <v>137</v>
      </c>
      <c r="C3854" s="5">
        <v>1845</v>
      </c>
      <c r="D3854" s="1" t="s">
        <v>24</v>
      </c>
      <c r="E3854" s="1" t="s">
        <v>2</v>
      </c>
      <c r="F3854" s="18">
        <v>2174</v>
      </c>
      <c r="G3854" s="18">
        <v>156</v>
      </c>
      <c r="H3854" s="6" t="s">
        <v>3227</v>
      </c>
      <c r="I3854" s="1">
        <v>202</v>
      </c>
      <c r="J3854" s="1">
        <v>238</v>
      </c>
      <c r="L3854" t="str">
        <f t="shared" si="60"/>
        <v>http://www.badatelna.eu/reprodukce/?fondId=1073&amp;zaznamId=1108960&amp;reproId=3780380</v>
      </c>
      <c r="M3854">
        <f>VLOOKUP(F3854,Sheet2!$B$1:$E$19,2,FALSE)</f>
        <v>1073</v>
      </c>
      <c r="N3854">
        <f>VLOOKUP(F3854,Sheet2!$B$1:$E$19,3,FALSE)</f>
        <v>1108960</v>
      </c>
      <c r="O3854">
        <f>IF(G3854="Not available","",VLOOKUP(F3854,Sheet2!$B$1:$E$19,4,FALSE)+(G3854-1))</f>
        <v>3780380</v>
      </c>
    </row>
    <row r="3855" spans="1:15" s="1" customFormat="1" ht="15" customHeight="1" x14ac:dyDescent="0.25">
      <c r="A3855" s="18" t="s">
        <v>513</v>
      </c>
      <c r="B3855" s="18" t="s">
        <v>21</v>
      </c>
      <c r="C3855" s="5">
        <v>1791</v>
      </c>
      <c r="D3855" s="1" t="s">
        <v>58</v>
      </c>
      <c r="E3855" s="1" t="s">
        <v>2</v>
      </c>
      <c r="F3855" s="18">
        <v>2173</v>
      </c>
      <c r="G3855" s="18">
        <v>26</v>
      </c>
      <c r="H3855" s="5">
        <v>46</v>
      </c>
      <c r="I3855" s="1">
        <v>115</v>
      </c>
      <c r="J3855" s="1">
        <v>259</v>
      </c>
      <c r="L3855" t="str">
        <f t="shared" si="60"/>
        <v>http://www.badatelna.eu/reprodukce/?fondId=1073&amp;zaznamId=1108959&amp;reproId=3780019</v>
      </c>
      <c r="M3855">
        <f>VLOOKUP(F3855,Sheet2!$B$1:$E$19,2,FALSE)</f>
        <v>1073</v>
      </c>
      <c r="N3855">
        <f>VLOOKUP(F3855,Sheet2!$B$1:$E$19,3,FALSE)</f>
        <v>1108959</v>
      </c>
      <c r="O3855">
        <f>IF(G3855="Not available","",VLOOKUP(F3855,Sheet2!$B$1:$E$19,4,FALSE)+(G3855-1))</f>
        <v>3780019</v>
      </c>
    </row>
    <row r="3856" spans="1:15" s="1" customFormat="1" ht="15" customHeight="1" x14ac:dyDescent="0.25">
      <c r="A3856" s="18" t="s">
        <v>513</v>
      </c>
      <c r="B3856" s="18" t="s">
        <v>475</v>
      </c>
      <c r="C3856" s="5">
        <v>1843</v>
      </c>
      <c r="D3856" s="1" t="s">
        <v>21</v>
      </c>
      <c r="E3856" s="1" t="s">
        <v>2</v>
      </c>
      <c r="F3856" s="18">
        <v>2174</v>
      </c>
      <c r="G3856" s="18">
        <v>140</v>
      </c>
      <c r="H3856" s="6" t="s">
        <v>3205</v>
      </c>
      <c r="I3856" s="1">
        <v>202</v>
      </c>
      <c r="J3856" s="1">
        <v>238</v>
      </c>
      <c r="L3856" t="str">
        <f t="shared" si="60"/>
        <v>http://www.badatelna.eu/reprodukce/?fondId=1073&amp;zaznamId=1108960&amp;reproId=3780364</v>
      </c>
      <c r="M3856">
        <f>VLOOKUP(F3856,Sheet2!$B$1:$E$19,2,FALSE)</f>
        <v>1073</v>
      </c>
      <c r="N3856">
        <f>VLOOKUP(F3856,Sheet2!$B$1:$E$19,3,FALSE)</f>
        <v>1108960</v>
      </c>
      <c r="O3856">
        <f>IF(G3856="Not available","",VLOOKUP(F3856,Sheet2!$B$1:$E$19,4,FALSE)+(G3856-1))</f>
        <v>3780364</v>
      </c>
    </row>
    <row r="3857" spans="1:15" s="1" customFormat="1" ht="15" customHeight="1" x14ac:dyDescent="0.25">
      <c r="A3857" s="18" t="s">
        <v>513</v>
      </c>
      <c r="B3857" s="18" t="s">
        <v>58</v>
      </c>
      <c r="C3857" s="5">
        <v>1833</v>
      </c>
      <c r="D3857" s="1" t="s">
        <v>754</v>
      </c>
      <c r="E3857" s="1" t="s">
        <v>2</v>
      </c>
      <c r="F3857" s="18">
        <v>2174</v>
      </c>
      <c r="G3857" s="18">
        <v>70</v>
      </c>
      <c r="H3857" s="6" t="s">
        <v>3140</v>
      </c>
      <c r="I3857" s="1">
        <v>201</v>
      </c>
      <c r="J3857" s="1">
        <v>236</v>
      </c>
      <c r="L3857" t="str">
        <f t="shared" si="60"/>
        <v>http://www.badatelna.eu/reprodukce/?fondId=1073&amp;zaznamId=1108960&amp;reproId=3780294</v>
      </c>
      <c r="M3857">
        <f>VLOOKUP(F3857,Sheet2!$B$1:$E$19,2,FALSE)</f>
        <v>1073</v>
      </c>
      <c r="N3857">
        <f>VLOOKUP(F3857,Sheet2!$B$1:$E$19,3,FALSE)</f>
        <v>1108960</v>
      </c>
      <c r="O3857">
        <f>IF(G3857="Not available","",VLOOKUP(F3857,Sheet2!$B$1:$E$19,4,FALSE)+(G3857-1))</f>
        <v>3780294</v>
      </c>
    </row>
    <row r="3858" spans="1:15" s="1" customFormat="1" ht="15" customHeight="1" x14ac:dyDescent="0.25">
      <c r="A3858" s="18" t="s">
        <v>513</v>
      </c>
      <c r="B3858" s="18" t="s">
        <v>58</v>
      </c>
      <c r="C3858" s="5">
        <v>1842</v>
      </c>
      <c r="D3858" s="1" t="s">
        <v>21</v>
      </c>
      <c r="E3858" s="1" t="s">
        <v>2</v>
      </c>
      <c r="F3858" s="18">
        <v>2174</v>
      </c>
      <c r="G3858" s="18">
        <v>123</v>
      </c>
      <c r="H3858" s="6" t="s">
        <v>3199</v>
      </c>
      <c r="I3858" s="1">
        <v>202</v>
      </c>
      <c r="J3858" s="1">
        <v>238</v>
      </c>
      <c r="L3858" t="str">
        <f t="shared" si="60"/>
        <v>http://www.badatelna.eu/reprodukce/?fondId=1073&amp;zaznamId=1108960&amp;reproId=3780347</v>
      </c>
      <c r="M3858">
        <f>VLOOKUP(F3858,Sheet2!$B$1:$E$19,2,FALSE)</f>
        <v>1073</v>
      </c>
      <c r="N3858">
        <f>VLOOKUP(F3858,Sheet2!$B$1:$E$19,3,FALSE)</f>
        <v>1108960</v>
      </c>
      <c r="O3858">
        <f>IF(G3858="Not available","",VLOOKUP(F3858,Sheet2!$B$1:$E$19,4,FALSE)+(G3858-1))</f>
        <v>3780347</v>
      </c>
    </row>
    <row r="3859" spans="1:15" s="1" customFormat="1" ht="15" customHeight="1" x14ac:dyDescent="0.25">
      <c r="A3859" s="18" t="s">
        <v>513</v>
      </c>
      <c r="B3859" s="18" t="s">
        <v>620</v>
      </c>
      <c r="C3859" s="5">
        <v>1844</v>
      </c>
      <c r="D3859" s="1" t="s">
        <v>24</v>
      </c>
      <c r="E3859" s="1" t="s">
        <v>2</v>
      </c>
      <c r="F3859" s="18">
        <v>2174</v>
      </c>
      <c r="G3859" s="18">
        <v>145</v>
      </c>
      <c r="H3859" s="6" t="s">
        <v>3212</v>
      </c>
      <c r="I3859" s="1">
        <v>202</v>
      </c>
      <c r="J3859" s="1">
        <v>238</v>
      </c>
      <c r="L3859" t="str">
        <f t="shared" si="60"/>
        <v>http://www.badatelna.eu/reprodukce/?fondId=1073&amp;zaznamId=1108960&amp;reproId=3780369</v>
      </c>
      <c r="M3859">
        <f>VLOOKUP(F3859,Sheet2!$B$1:$E$19,2,FALSE)</f>
        <v>1073</v>
      </c>
      <c r="N3859">
        <f>VLOOKUP(F3859,Sheet2!$B$1:$E$19,3,FALSE)</f>
        <v>1108960</v>
      </c>
      <c r="O3859">
        <f>IF(G3859="Not available","",VLOOKUP(F3859,Sheet2!$B$1:$E$19,4,FALSE)+(G3859-1))</f>
        <v>3780369</v>
      </c>
    </row>
    <row r="3860" spans="1:15" s="1" customFormat="1" ht="15" customHeight="1" x14ac:dyDescent="0.25">
      <c r="A3860" s="18" t="s">
        <v>554</v>
      </c>
      <c r="B3860" s="18" t="s">
        <v>87</v>
      </c>
      <c r="C3860" s="5">
        <v>1822</v>
      </c>
      <c r="E3860" s="1" t="s">
        <v>2</v>
      </c>
      <c r="F3860" s="18">
        <v>2173</v>
      </c>
      <c r="G3860" s="18">
        <v>73</v>
      </c>
      <c r="H3860" s="5">
        <v>138</v>
      </c>
      <c r="I3860" s="1">
        <v>116</v>
      </c>
      <c r="J3860" s="1">
        <v>253</v>
      </c>
      <c r="L3860" t="str">
        <f t="shared" si="60"/>
        <v>http://www.badatelna.eu/reprodukce/?fondId=1073&amp;zaznamId=1108959&amp;reproId=3780066</v>
      </c>
      <c r="M3860">
        <f>VLOOKUP(F3860,Sheet2!$B$1:$E$19,2,FALSE)</f>
        <v>1073</v>
      </c>
      <c r="N3860">
        <f>VLOOKUP(F3860,Sheet2!$B$1:$E$19,3,FALSE)</f>
        <v>1108959</v>
      </c>
      <c r="O3860">
        <f>IF(G3860="Not available","",VLOOKUP(F3860,Sheet2!$B$1:$E$19,4,FALSE)+(G3860-1))</f>
        <v>3780066</v>
      </c>
    </row>
    <row r="3861" spans="1:15" s="1" customFormat="1" ht="15" customHeight="1" x14ac:dyDescent="0.25">
      <c r="A3861" s="18" t="s">
        <v>554</v>
      </c>
      <c r="B3861" s="18" t="s">
        <v>75</v>
      </c>
      <c r="C3861" s="5">
        <v>1823</v>
      </c>
      <c r="E3861" s="1" t="s">
        <v>2</v>
      </c>
      <c r="F3861" s="18">
        <v>2173</v>
      </c>
      <c r="G3861" s="18">
        <v>74</v>
      </c>
      <c r="H3861" s="5">
        <v>141</v>
      </c>
      <c r="I3861" s="1">
        <v>116</v>
      </c>
      <c r="J3861" s="1">
        <v>253</v>
      </c>
      <c r="L3861" t="str">
        <f t="shared" si="60"/>
        <v>http://www.badatelna.eu/reprodukce/?fondId=1073&amp;zaznamId=1108959&amp;reproId=3780067</v>
      </c>
      <c r="M3861">
        <f>VLOOKUP(F3861,Sheet2!$B$1:$E$19,2,FALSE)</f>
        <v>1073</v>
      </c>
      <c r="N3861">
        <f>VLOOKUP(F3861,Sheet2!$B$1:$E$19,3,FALSE)</f>
        <v>1108959</v>
      </c>
      <c r="O3861">
        <f>IF(G3861="Not available","",VLOOKUP(F3861,Sheet2!$B$1:$E$19,4,FALSE)+(G3861-1))</f>
        <v>3780067</v>
      </c>
    </row>
    <row r="3862" spans="1:15" s="1" customFormat="1" ht="15" customHeight="1" x14ac:dyDescent="0.25">
      <c r="A3862" s="18" t="s">
        <v>554</v>
      </c>
      <c r="B3862" s="18" t="s">
        <v>160</v>
      </c>
      <c r="C3862" s="5">
        <v>1824</v>
      </c>
      <c r="E3862" s="1" t="s">
        <v>2</v>
      </c>
      <c r="F3862" s="18">
        <v>2173</v>
      </c>
      <c r="G3862" s="18">
        <v>75</v>
      </c>
      <c r="H3862" s="5">
        <v>143</v>
      </c>
      <c r="I3862" s="1">
        <v>116</v>
      </c>
      <c r="J3862" s="1">
        <v>253</v>
      </c>
      <c r="L3862" t="str">
        <f t="shared" si="60"/>
        <v>http://www.badatelna.eu/reprodukce/?fondId=1073&amp;zaznamId=1108959&amp;reproId=3780068</v>
      </c>
      <c r="M3862">
        <f>VLOOKUP(F3862,Sheet2!$B$1:$E$19,2,FALSE)</f>
        <v>1073</v>
      </c>
      <c r="N3862">
        <f>VLOOKUP(F3862,Sheet2!$B$1:$E$19,3,FALSE)</f>
        <v>1108959</v>
      </c>
      <c r="O3862">
        <f>IF(G3862="Not available","",VLOOKUP(F3862,Sheet2!$B$1:$E$19,4,FALSE)+(G3862-1))</f>
        <v>3780068</v>
      </c>
    </row>
    <row r="3863" spans="1:15" s="1" customFormat="1" ht="15" customHeight="1" x14ac:dyDescent="0.25">
      <c r="A3863" s="18" t="s">
        <v>554</v>
      </c>
      <c r="B3863" s="19" t="s">
        <v>310</v>
      </c>
      <c r="C3863" s="5">
        <v>1826</v>
      </c>
      <c r="E3863" s="1" t="s">
        <v>2</v>
      </c>
      <c r="F3863" s="18">
        <v>2173</v>
      </c>
      <c r="G3863" s="18">
        <v>78</v>
      </c>
      <c r="H3863" s="5">
        <v>148</v>
      </c>
      <c r="I3863" s="1">
        <v>117</v>
      </c>
      <c r="J3863" s="1">
        <v>254</v>
      </c>
      <c r="L3863" t="str">
        <f t="shared" si="60"/>
        <v>http://www.badatelna.eu/reprodukce/?fondId=1073&amp;zaznamId=1108959&amp;reproId=3780071</v>
      </c>
      <c r="M3863">
        <f>VLOOKUP(F3863,Sheet2!$B$1:$E$19,2,FALSE)</f>
        <v>1073</v>
      </c>
      <c r="N3863">
        <f>VLOOKUP(F3863,Sheet2!$B$1:$E$19,3,FALSE)</f>
        <v>1108959</v>
      </c>
      <c r="O3863">
        <f>IF(G3863="Not available","",VLOOKUP(F3863,Sheet2!$B$1:$E$19,4,FALSE)+(G3863-1))</f>
        <v>3780071</v>
      </c>
    </row>
    <row r="3864" spans="1:15" s="1" customFormat="1" ht="15" customHeight="1" x14ac:dyDescent="0.25">
      <c r="A3864" s="18" t="s">
        <v>554</v>
      </c>
      <c r="B3864" s="18" t="s">
        <v>2360</v>
      </c>
      <c r="C3864" s="5">
        <v>1805</v>
      </c>
      <c r="E3864" s="1" t="s">
        <v>2</v>
      </c>
      <c r="F3864" s="18">
        <v>2173</v>
      </c>
      <c r="G3864" s="18">
        <v>50</v>
      </c>
      <c r="H3864" s="14" t="s">
        <v>3009</v>
      </c>
      <c r="I3864" s="1">
        <v>116</v>
      </c>
      <c r="J3864" s="1">
        <v>252</v>
      </c>
      <c r="L3864" t="str">
        <f t="shared" si="60"/>
        <v>http://www.badatelna.eu/reprodukce/?fondId=1073&amp;zaznamId=1108959&amp;reproId=3780043</v>
      </c>
      <c r="M3864">
        <f>VLOOKUP(F3864,Sheet2!$B$1:$E$19,2,FALSE)</f>
        <v>1073</v>
      </c>
      <c r="N3864">
        <f>VLOOKUP(F3864,Sheet2!$B$1:$E$19,3,FALSE)</f>
        <v>1108959</v>
      </c>
      <c r="O3864">
        <f>IF(G3864="Not available","",VLOOKUP(F3864,Sheet2!$B$1:$E$19,4,FALSE)+(G3864-1))</f>
        <v>3780043</v>
      </c>
    </row>
    <row r="3865" spans="1:15" s="1" customFormat="1" ht="15" customHeight="1" x14ac:dyDescent="0.25">
      <c r="A3865" s="18" t="s">
        <v>554</v>
      </c>
      <c r="B3865" s="18" t="s">
        <v>214</v>
      </c>
      <c r="C3865" s="5">
        <v>1830</v>
      </c>
      <c r="E3865" s="1" t="s">
        <v>2</v>
      </c>
      <c r="F3865" s="18">
        <v>2173</v>
      </c>
      <c r="G3865" s="18">
        <v>87</v>
      </c>
      <c r="H3865" s="5">
        <v>162</v>
      </c>
      <c r="I3865" s="1">
        <v>117</v>
      </c>
      <c r="J3865" s="1">
        <v>254</v>
      </c>
      <c r="L3865" t="str">
        <f t="shared" si="60"/>
        <v>http://www.badatelna.eu/reprodukce/?fondId=1073&amp;zaznamId=1108959&amp;reproId=3780080</v>
      </c>
      <c r="M3865">
        <f>VLOOKUP(F3865,Sheet2!$B$1:$E$19,2,FALSE)</f>
        <v>1073</v>
      </c>
      <c r="N3865">
        <f>VLOOKUP(F3865,Sheet2!$B$1:$E$19,3,FALSE)</f>
        <v>1108959</v>
      </c>
      <c r="O3865">
        <f>IF(G3865="Not available","",VLOOKUP(F3865,Sheet2!$B$1:$E$19,4,FALSE)+(G3865-1))</f>
        <v>3780080</v>
      </c>
    </row>
    <row r="3866" spans="1:15" s="1" customFormat="1" ht="15" customHeight="1" x14ac:dyDescent="0.25">
      <c r="A3866" s="18" t="s">
        <v>554</v>
      </c>
      <c r="B3866" s="18" t="s">
        <v>565</v>
      </c>
      <c r="C3866" s="5">
        <v>1825</v>
      </c>
      <c r="E3866" s="1" t="s">
        <v>2</v>
      </c>
      <c r="F3866" s="18">
        <v>2173</v>
      </c>
      <c r="G3866" s="18">
        <v>77</v>
      </c>
      <c r="H3866" s="5">
        <v>147</v>
      </c>
      <c r="I3866" s="1">
        <v>116</v>
      </c>
      <c r="J3866" s="1">
        <v>253</v>
      </c>
      <c r="L3866" t="str">
        <f t="shared" si="60"/>
        <v>http://www.badatelna.eu/reprodukce/?fondId=1073&amp;zaznamId=1108959&amp;reproId=3780070</v>
      </c>
      <c r="M3866">
        <f>VLOOKUP(F3866,Sheet2!$B$1:$E$19,2,FALSE)</f>
        <v>1073</v>
      </c>
      <c r="N3866">
        <f>VLOOKUP(F3866,Sheet2!$B$1:$E$19,3,FALSE)</f>
        <v>1108959</v>
      </c>
      <c r="O3866">
        <f>IF(G3866="Not available","",VLOOKUP(F3866,Sheet2!$B$1:$E$19,4,FALSE)+(G3866-1))</f>
        <v>3780070</v>
      </c>
    </row>
    <row r="3867" spans="1:15" s="1" customFormat="1" ht="15" customHeight="1" x14ac:dyDescent="0.25">
      <c r="A3867" s="18" t="s">
        <v>554</v>
      </c>
      <c r="B3867" s="18" t="s">
        <v>96</v>
      </c>
      <c r="C3867" s="5">
        <v>1827</v>
      </c>
      <c r="E3867" s="1" t="s">
        <v>2</v>
      </c>
      <c r="F3867" s="18">
        <v>2173</v>
      </c>
      <c r="G3867" s="18">
        <v>80</v>
      </c>
      <c r="H3867" s="5">
        <v>153</v>
      </c>
      <c r="I3867" s="1">
        <v>117</v>
      </c>
      <c r="J3867" s="1">
        <v>254</v>
      </c>
      <c r="L3867" t="str">
        <f t="shared" si="60"/>
        <v>http://www.badatelna.eu/reprodukce/?fondId=1073&amp;zaznamId=1108959&amp;reproId=3780073</v>
      </c>
      <c r="M3867">
        <f>VLOOKUP(F3867,Sheet2!$B$1:$E$19,2,FALSE)</f>
        <v>1073</v>
      </c>
      <c r="N3867">
        <f>VLOOKUP(F3867,Sheet2!$B$1:$E$19,3,FALSE)</f>
        <v>1108959</v>
      </c>
      <c r="O3867">
        <f>IF(G3867="Not available","",VLOOKUP(F3867,Sheet2!$B$1:$E$19,4,FALSE)+(G3867-1))</f>
        <v>3780073</v>
      </c>
    </row>
    <row r="3868" spans="1:15" s="1" customFormat="1" ht="15" customHeight="1" x14ac:dyDescent="0.25">
      <c r="A3868" s="18" t="s">
        <v>554</v>
      </c>
      <c r="B3868" s="18" t="s">
        <v>58</v>
      </c>
      <c r="C3868" s="5">
        <v>1826</v>
      </c>
      <c r="E3868" s="1" t="s">
        <v>2</v>
      </c>
      <c r="F3868" s="18">
        <v>2173</v>
      </c>
      <c r="G3868" s="18">
        <v>78</v>
      </c>
      <c r="H3868" s="5">
        <v>149</v>
      </c>
      <c r="I3868" s="1">
        <v>117</v>
      </c>
      <c r="J3868" s="1">
        <v>254</v>
      </c>
      <c r="L3868" t="str">
        <f t="shared" si="60"/>
        <v>http://www.badatelna.eu/reprodukce/?fondId=1073&amp;zaznamId=1108959&amp;reproId=3780071</v>
      </c>
      <c r="M3868">
        <f>VLOOKUP(F3868,Sheet2!$B$1:$E$19,2,FALSE)</f>
        <v>1073</v>
      </c>
      <c r="N3868">
        <f>VLOOKUP(F3868,Sheet2!$B$1:$E$19,3,FALSE)</f>
        <v>1108959</v>
      </c>
      <c r="O3868">
        <f>IF(G3868="Not available","",VLOOKUP(F3868,Sheet2!$B$1:$E$19,4,FALSE)+(G3868-1))</f>
        <v>3780071</v>
      </c>
    </row>
    <row r="3869" spans="1:15" s="1" customFormat="1" ht="15" customHeight="1" x14ac:dyDescent="0.25">
      <c r="A3869" s="18" t="s">
        <v>554</v>
      </c>
      <c r="B3869" s="18" t="s">
        <v>58</v>
      </c>
      <c r="C3869" s="5">
        <v>1829</v>
      </c>
      <c r="E3869" s="1" t="s">
        <v>2</v>
      </c>
      <c r="F3869" s="18">
        <v>2173</v>
      </c>
      <c r="G3869" s="18">
        <v>82</v>
      </c>
      <c r="H3869" s="5">
        <v>157</v>
      </c>
      <c r="I3869" s="1">
        <v>117</v>
      </c>
      <c r="J3869" s="1">
        <v>254</v>
      </c>
      <c r="L3869" t="str">
        <f t="shared" si="60"/>
        <v>http://www.badatelna.eu/reprodukce/?fondId=1073&amp;zaznamId=1108959&amp;reproId=3780075</v>
      </c>
      <c r="M3869">
        <f>VLOOKUP(F3869,Sheet2!$B$1:$E$19,2,FALSE)</f>
        <v>1073</v>
      </c>
      <c r="N3869">
        <f>VLOOKUP(F3869,Sheet2!$B$1:$E$19,3,FALSE)</f>
        <v>1108959</v>
      </c>
      <c r="O3869">
        <f>IF(G3869="Not available","",VLOOKUP(F3869,Sheet2!$B$1:$E$19,4,FALSE)+(G3869-1))</f>
        <v>3780075</v>
      </c>
    </row>
    <row r="3870" spans="1:15" s="1" customFormat="1" ht="15" customHeight="1" x14ac:dyDescent="0.25">
      <c r="A3870" s="18" t="s">
        <v>2739</v>
      </c>
      <c r="B3870" s="18" t="s">
        <v>2189</v>
      </c>
      <c r="C3870" s="10" t="s">
        <v>2015</v>
      </c>
      <c r="D3870" s="3" t="s">
        <v>2740</v>
      </c>
      <c r="E3870" s="4" t="s">
        <v>2</v>
      </c>
      <c r="F3870" s="18">
        <v>2176</v>
      </c>
      <c r="G3870" s="18" t="s">
        <v>3271</v>
      </c>
      <c r="H3870" s="10" t="s">
        <v>2735</v>
      </c>
      <c r="I3870" s="3">
        <v>44</v>
      </c>
      <c r="J3870" s="3" t="s">
        <v>3271</v>
      </c>
      <c r="L3870" t="str">
        <f t="shared" si="60"/>
        <v/>
      </c>
      <c r="M3870">
        <f>VLOOKUP(F3870,Sheet2!$B$1:$E$19,2,FALSE)</f>
        <v>1073</v>
      </c>
      <c r="N3870">
        <f>VLOOKUP(F3870,Sheet2!$B$1:$E$19,3,FALSE)</f>
        <v>1108963</v>
      </c>
      <c r="O3870" t="str">
        <f>IF(G3870="Not available","",VLOOKUP(F3870,Sheet2!$B$1:$E$19,4,FALSE)+(G3870-1))</f>
        <v/>
      </c>
    </row>
    <row r="3871" spans="1:15" s="1" customFormat="1" ht="15" customHeight="1" x14ac:dyDescent="0.25">
      <c r="A3871" s="18" t="s">
        <v>1097</v>
      </c>
      <c r="B3871" s="18" t="s">
        <v>1004</v>
      </c>
      <c r="C3871" s="5" t="s">
        <v>1662</v>
      </c>
      <c r="D3871" s="1" t="s">
        <v>93</v>
      </c>
      <c r="E3871" s="1" t="s">
        <v>2</v>
      </c>
      <c r="F3871" s="18">
        <v>2165</v>
      </c>
      <c r="G3871" s="18">
        <v>71</v>
      </c>
      <c r="H3871" s="5">
        <v>68</v>
      </c>
      <c r="I3871" s="1">
        <v>93</v>
      </c>
      <c r="J3871" s="1" t="s">
        <v>3271</v>
      </c>
      <c r="L3871" t="str">
        <f t="shared" si="60"/>
        <v>http://www.badatelna.eu/reprodukce/?fondId=1073&amp;zaznamId=1108952&amp;reproId=3778932</v>
      </c>
      <c r="M3871">
        <f>VLOOKUP(F3871,Sheet2!$B$1:$E$19,2,FALSE)</f>
        <v>1073</v>
      </c>
      <c r="N3871">
        <f>VLOOKUP(F3871,Sheet2!$B$1:$E$19,3,FALSE)</f>
        <v>1108952</v>
      </c>
      <c r="O3871">
        <f>IF(G3871="Not available","",VLOOKUP(F3871,Sheet2!$B$1:$E$19,4,FALSE)+(G3871-1))</f>
        <v>3778932</v>
      </c>
    </row>
    <row r="3872" spans="1:15" s="1" customFormat="1" ht="15" customHeight="1" x14ac:dyDescent="0.25">
      <c r="A3872" s="18" t="s">
        <v>1097</v>
      </c>
      <c r="B3872" s="18" t="s">
        <v>816</v>
      </c>
      <c r="C3872" s="5" t="s">
        <v>1643</v>
      </c>
      <c r="D3872" s="1" t="s">
        <v>93</v>
      </c>
      <c r="E3872" s="1" t="s">
        <v>2</v>
      </c>
      <c r="F3872" s="18">
        <v>2165</v>
      </c>
      <c r="G3872" s="18">
        <v>54</v>
      </c>
      <c r="H3872" s="5">
        <v>51</v>
      </c>
      <c r="I3872" s="1">
        <v>93</v>
      </c>
      <c r="J3872" s="1" t="s">
        <v>3271</v>
      </c>
      <c r="L3872" t="str">
        <f t="shared" si="60"/>
        <v>http://www.badatelna.eu/reprodukce/?fondId=1073&amp;zaznamId=1108952&amp;reproId=3778915</v>
      </c>
      <c r="M3872">
        <f>VLOOKUP(F3872,Sheet2!$B$1:$E$19,2,FALSE)</f>
        <v>1073</v>
      </c>
      <c r="N3872">
        <f>VLOOKUP(F3872,Sheet2!$B$1:$E$19,3,FALSE)</f>
        <v>1108952</v>
      </c>
      <c r="O3872">
        <f>IF(G3872="Not available","",VLOOKUP(F3872,Sheet2!$B$1:$E$19,4,FALSE)+(G3872-1))</f>
        <v>3778915</v>
      </c>
    </row>
    <row r="3873" spans="1:15" s="1" customFormat="1" ht="15" customHeight="1" x14ac:dyDescent="0.25">
      <c r="A3873" s="22" t="s">
        <v>1097</v>
      </c>
      <c r="B3873" s="18" t="s">
        <v>428</v>
      </c>
      <c r="C3873" s="5" t="s">
        <v>1644</v>
      </c>
      <c r="D3873" s="1" t="s">
        <v>93</v>
      </c>
      <c r="E3873" s="1" t="s">
        <v>2</v>
      </c>
      <c r="F3873" s="18">
        <v>2165</v>
      </c>
      <c r="G3873" s="18">
        <v>54</v>
      </c>
      <c r="H3873" s="5">
        <v>51</v>
      </c>
      <c r="I3873" s="1">
        <v>93</v>
      </c>
      <c r="J3873" s="1" t="s">
        <v>3271</v>
      </c>
      <c r="L3873" t="str">
        <f t="shared" si="60"/>
        <v>http://www.badatelna.eu/reprodukce/?fondId=1073&amp;zaznamId=1108952&amp;reproId=3778915</v>
      </c>
      <c r="M3873">
        <f>VLOOKUP(F3873,Sheet2!$B$1:$E$19,2,FALSE)</f>
        <v>1073</v>
      </c>
      <c r="N3873">
        <f>VLOOKUP(F3873,Sheet2!$B$1:$E$19,3,FALSE)</f>
        <v>1108952</v>
      </c>
      <c r="O3873">
        <f>IF(G3873="Not available","",VLOOKUP(F3873,Sheet2!$B$1:$E$19,4,FALSE)+(G3873-1))</f>
        <v>3778915</v>
      </c>
    </row>
    <row r="3874" spans="1:15" s="1" customFormat="1" ht="15" customHeight="1" x14ac:dyDescent="0.25">
      <c r="A3874" s="18" t="s">
        <v>1097</v>
      </c>
      <c r="B3874" s="18" t="s">
        <v>398</v>
      </c>
      <c r="C3874" s="5" t="s">
        <v>1440</v>
      </c>
      <c r="D3874" s="1" t="s">
        <v>93</v>
      </c>
      <c r="E3874" s="1" t="s">
        <v>2</v>
      </c>
      <c r="F3874" s="18">
        <v>2165</v>
      </c>
      <c r="G3874" s="18">
        <v>53</v>
      </c>
      <c r="H3874" s="5">
        <v>50</v>
      </c>
      <c r="I3874" s="1">
        <v>93</v>
      </c>
      <c r="J3874" s="1" t="s">
        <v>3271</v>
      </c>
      <c r="L3874" t="str">
        <f t="shared" si="60"/>
        <v>http://www.badatelna.eu/reprodukce/?fondId=1073&amp;zaznamId=1108952&amp;reproId=3778914</v>
      </c>
      <c r="M3874">
        <f>VLOOKUP(F3874,Sheet2!$B$1:$E$19,2,FALSE)</f>
        <v>1073</v>
      </c>
      <c r="N3874">
        <f>VLOOKUP(F3874,Sheet2!$B$1:$E$19,3,FALSE)</f>
        <v>1108952</v>
      </c>
      <c r="O3874">
        <f>IF(G3874="Not available","",VLOOKUP(F3874,Sheet2!$B$1:$E$19,4,FALSE)+(G3874-1))</f>
        <v>3778914</v>
      </c>
    </row>
    <row r="3875" spans="1:15" s="1" customFormat="1" ht="15" customHeight="1" x14ac:dyDescent="0.25">
      <c r="A3875" s="18" t="s">
        <v>516</v>
      </c>
      <c r="B3875" s="18" t="s">
        <v>92</v>
      </c>
      <c r="C3875" s="5">
        <v>1833</v>
      </c>
      <c r="D3875" s="1" t="s">
        <v>696</v>
      </c>
      <c r="E3875" s="1" t="s">
        <v>2</v>
      </c>
      <c r="F3875" s="18">
        <v>2174</v>
      </c>
      <c r="G3875" s="18">
        <v>145</v>
      </c>
      <c r="H3875" s="14" t="s">
        <v>3212</v>
      </c>
      <c r="I3875" s="1">
        <v>202</v>
      </c>
      <c r="J3875" s="1">
        <v>238</v>
      </c>
      <c r="L3875" t="str">
        <f t="shared" si="60"/>
        <v>http://www.badatelna.eu/reprodukce/?fondId=1073&amp;zaznamId=1108960&amp;reproId=3780369</v>
      </c>
      <c r="M3875">
        <f>VLOOKUP(F3875,Sheet2!$B$1:$E$19,2,FALSE)</f>
        <v>1073</v>
      </c>
      <c r="N3875">
        <f>VLOOKUP(F3875,Sheet2!$B$1:$E$19,3,FALSE)</f>
        <v>1108960</v>
      </c>
      <c r="O3875">
        <f>IF(G3875="Not available","",VLOOKUP(F3875,Sheet2!$B$1:$E$19,4,FALSE)+(G3875-1))</f>
        <v>3780369</v>
      </c>
    </row>
    <row r="3876" spans="1:15" s="1" customFormat="1" ht="15" customHeight="1" x14ac:dyDescent="0.25">
      <c r="A3876" s="18" t="s">
        <v>516</v>
      </c>
      <c r="B3876" s="18" t="s">
        <v>74</v>
      </c>
      <c r="C3876" s="5">
        <v>1827</v>
      </c>
      <c r="E3876" s="1" t="s">
        <v>2</v>
      </c>
      <c r="F3876" s="18">
        <v>2173</v>
      </c>
      <c r="G3876" s="18">
        <v>79</v>
      </c>
      <c r="H3876" s="5">
        <v>151</v>
      </c>
      <c r="I3876" s="1">
        <v>117</v>
      </c>
      <c r="J3876" s="1">
        <v>254</v>
      </c>
      <c r="L3876" t="str">
        <f t="shared" si="60"/>
        <v>http://www.badatelna.eu/reprodukce/?fondId=1073&amp;zaznamId=1108959&amp;reproId=3780072</v>
      </c>
      <c r="M3876">
        <f>VLOOKUP(F3876,Sheet2!$B$1:$E$19,2,FALSE)</f>
        <v>1073</v>
      </c>
      <c r="N3876">
        <f>VLOOKUP(F3876,Sheet2!$B$1:$E$19,3,FALSE)</f>
        <v>1108959</v>
      </c>
      <c r="O3876">
        <f>IF(G3876="Not available","",VLOOKUP(F3876,Sheet2!$B$1:$E$19,4,FALSE)+(G3876-1))</f>
        <v>3780072</v>
      </c>
    </row>
    <row r="3877" spans="1:15" s="1" customFormat="1" ht="15" customHeight="1" x14ac:dyDescent="0.25">
      <c r="A3877" s="18" t="s">
        <v>516</v>
      </c>
      <c r="B3877" s="18" t="s">
        <v>191</v>
      </c>
      <c r="C3877" s="5">
        <v>1858</v>
      </c>
      <c r="E3877" s="1" t="s">
        <v>939</v>
      </c>
      <c r="F3877" s="18">
        <v>999</v>
      </c>
      <c r="G3877" s="18">
        <v>9</v>
      </c>
      <c r="H3877" s="5">
        <v>7</v>
      </c>
      <c r="I3877" s="1">
        <v>76</v>
      </c>
      <c r="J3877" s="1">
        <v>110</v>
      </c>
      <c r="L3877" t="str">
        <f t="shared" si="60"/>
        <v>http://www.badatelna.eu/reprodukce/?fondId=241&amp;zaznamId=1133739&amp;reproId=3885738</v>
      </c>
      <c r="M3877">
        <f>VLOOKUP(F3877,Sheet2!$B$1:$E$19,2,FALSE)</f>
        <v>241</v>
      </c>
      <c r="N3877">
        <f>VLOOKUP(F3877,Sheet2!$B$1:$E$19,3,FALSE)</f>
        <v>1133739</v>
      </c>
      <c r="O3877">
        <f>IF(G3877="Not available","",VLOOKUP(F3877,Sheet2!$B$1:$E$19,4,FALSE)+(G3877-1))</f>
        <v>3885738</v>
      </c>
    </row>
    <row r="3878" spans="1:15" s="1" customFormat="1" ht="15" customHeight="1" x14ac:dyDescent="0.25">
      <c r="A3878" s="18" t="s">
        <v>516</v>
      </c>
      <c r="B3878" s="19" t="s">
        <v>59</v>
      </c>
      <c r="C3878" s="5">
        <v>1853</v>
      </c>
      <c r="D3878" s="1" t="s">
        <v>93</v>
      </c>
      <c r="E3878" s="1" t="s">
        <v>2</v>
      </c>
      <c r="F3878" s="18">
        <v>2164</v>
      </c>
      <c r="G3878" s="18">
        <v>87</v>
      </c>
      <c r="H3878" s="5">
        <v>85</v>
      </c>
      <c r="I3878" s="1">
        <v>139</v>
      </c>
      <c r="J3878" s="3" t="s">
        <v>3271</v>
      </c>
      <c r="L3878" t="str">
        <f t="shared" si="60"/>
        <v>http://www.badatelna.eu/reprodukce/?fondId=1073&amp;zaznamId=1108951&amp;reproId=3778801</v>
      </c>
      <c r="M3878">
        <f>VLOOKUP(F3878,Sheet2!$B$1:$E$19,2,FALSE)</f>
        <v>1073</v>
      </c>
      <c r="N3878">
        <f>VLOOKUP(F3878,Sheet2!$B$1:$E$19,3,FALSE)</f>
        <v>1108951</v>
      </c>
      <c r="O3878">
        <f>IF(G3878="Not available","",VLOOKUP(F3878,Sheet2!$B$1:$E$19,4,FALSE)+(G3878-1))</f>
        <v>3778801</v>
      </c>
    </row>
    <row r="3879" spans="1:15" s="1" customFormat="1" ht="15" customHeight="1" x14ac:dyDescent="0.25">
      <c r="A3879" s="18" t="s">
        <v>516</v>
      </c>
      <c r="B3879" s="18" t="s">
        <v>166</v>
      </c>
      <c r="C3879" s="5">
        <v>1838</v>
      </c>
      <c r="D3879" s="1" t="s">
        <v>696</v>
      </c>
      <c r="E3879" s="1" t="s">
        <v>2</v>
      </c>
      <c r="F3879" s="18">
        <v>2174</v>
      </c>
      <c r="G3879" s="18">
        <v>97</v>
      </c>
      <c r="H3879" s="6" t="s">
        <v>3167</v>
      </c>
      <c r="I3879" s="1">
        <v>202</v>
      </c>
      <c r="J3879" s="1">
        <v>237</v>
      </c>
      <c r="L3879" t="str">
        <f t="shared" si="60"/>
        <v>http://www.badatelna.eu/reprodukce/?fondId=1073&amp;zaznamId=1108960&amp;reproId=3780321</v>
      </c>
      <c r="M3879">
        <f>VLOOKUP(F3879,Sheet2!$B$1:$E$19,2,FALSE)</f>
        <v>1073</v>
      </c>
      <c r="N3879">
        <f>VLOOKUP(F3879,Sheet2!$B$1:$E$19,3,FALSE)</f>
        <v>1108960</v>
      </c>
      <c r="O3879">
        <f>IF(G3879="Not available","",VLOOKUP(F3879,Sheet2!$B$1:$E$19,4,FALSE)+(G3879-1))</f>
        <v>3780321</v>
      </c>
    </row>
    <row r="3880" spans="1:15" s="1" customFormat="1" ht="15" customHeight="1" x14ac:dyDescent="0.25">
      <c r="A3880" s="18" t="s">
        <v>516</v>
      </c>
      <c r="B3880" s="19" t="s">
        <v>3007</v>
      </c>
      <c r="C3880" s="5">
        <v>1807</v>
      </c>
      <c r="E3880" s="1" t="s">
        <v>2</v>
      </c>
      <c r="F3880" s="18">
        <v>2173</v>
      </c>
      <c r="G3880" s="18">
        <v>52</v>
      </c>
      <c r="H3880" s="14" t="s">
        <v>2958</v>
      </c>
      <c r="I3880" s="1">
        <v>116</v>
      </c>
      <c r="J3880" s="1">
        <v>252</v>
      </c>
      <c r="L3880" t="str">
        <f t="shared" si="60"/>
        <v>http://www.badatelna.eu/reprodukce/?fondId=1073&amp;zaznamId=1108959&amp;reproId=3780045</v>
      </c>
      <c r="M3880">
        <f>VLOOKUP(F3880,Sheet2!$B$1:$E$19,2,FALSE)</f>
        <v>1073</v>
      </c>
      <c r="N3880">
        <f>VLOOKUP(F3880,Sheet2!$B$1:$E$19,3,FALSE)</f>
        <v>1108959</v>
      </c>
      <c r="O3880">
        <f>IF(G3880="Not available","",VLOOKUP(F3880,Sheet2!$B$1:$E$19,4,FALSE)+(G3880-1))</f>
        <v>3780045</v>
      </c>
    </row>
    <row r="3881" spans="1:15" s="1" customFormat="1" ht="15" customHeight="1" x14ac:dyDescent="0.25">
      <c r="A3881" s="18" t="s">
        <v>516</v>
      </c>
      <c r="B3881" s="18" t="s">
        <v>495</v>
      </c>
      <c r="C3881" s="5">
        <v>1861</v>
      </c>
      <c r="E3881" s="1" t="s">
        <v>939</v>
      </c>
      <c r="F3881" s="18">
        <v>999</v>
      </c>
      <c r="G3881" s="18">
        <v>25</v>
      </c>
      <c r="H3881" s="5">
        <v>23</v>
      </c>
      <c r="I3881" s="1">
        <v>76</v>
      </c>
      <c r="J3881" s="1">
        <v>110</v>
      </c>
      <c r="L3881" t="str">
        <f t="shared" si="60"/>
        <v>http://www.badatelna.eu/reprodukce/?fondId=241&amp;zaznamId=1133739&amp;reproId=3885754</v>
      </c>
      <c r="M3881">
        <f>VLOOKUP(F3881,Sheet2!$B$1:$E$19,2,FALSE)</f>
        <v>241</v>
      </c>
      <c r="N3881">
        <f>VLOOKUP(F3881,Sheet2!$B$1:$E$19,3,FALSE)</f>
        <v>1133739</v>
      </c>
      <c r="O3881">
        <f>IF(G3881="Not available","",VLOOKUP(F3881,Sheet2!$B$1:$E$19,4,FALSE)+(G3881-1))</f>
        <v>3885754</v>
      </c>
    </row>
    <row r="3882" spans="1:15" s="1" customFormat="1" ht="15" customHeight="1" x14ac:dyDescent="0.25">
      <c r="A3882" s="18" t="s">
        <v>516</v>
      </c>
      <c r="B3882" s="18" t="s">
        <v>75</v>
      </c>
      <c r="C3882" s="5">
        <v>1791</v>
      </c>
      <c r="D3882" s="1" t="s">
        <v>132</v>
      </c>
      <c r="E3882" s="1" t="s">
        <v>2</v>
      </c>
      <c r="F3882" s="18">
        <v>2173</v>
      </c>
      <c r="G3882" s="18">
        <v>25</v>
      </c>
      <c r="H3882" s="5">
        <v>45</v>
      </c>
      <c r="I3882" s="1">
        <v>115</v>
      </c>
      <c r="J3882" s="1">
        <v>259</v>
      </c>
      <c r="L3882" t="str">
        <f t="shared" si="60"/>
        <v>http://www.badatelna.eu/reprodukce/?fondId=1073&amp;zaznamId=1108959&amp;reproId=3780018</v>
      </c>
      <c r="M3882">
        <f>VLOOKUP(F3882,Sheet2!$B$1:$E$19,2,FALSE)</f>
        <v>1073</v>
      </c>
      <c r="N3882">
        <f>VLOOKUP(F3882,Sheet2!$B$1:$E$19,3,FALSE)</f>
        <v>1108959</v>
      </c>
      <c r="O3882">
        <f>IF(G3882="Not available","",VLOOKUP(F3882,Sheet2!$B$1:$E$19,4,FALSE)+(G3882-1))</f>
        <v>3780018</v>
      </c>
    </row>
    <row r="3883" spans="1:15" s="1" customFormat="1" ht="15" customHeight="1" x14ac:dyDescent="0.25">
      <c r="A3883" s="18" t="s">
        <v>516</v>
      </c>
      <c r="B3883" s="18" t="s">
        <v>8</v>
      </c>
      <c r="C3883" s="5">
        <v>1834</v>
      </c>
      <c r="D3883" s="1" t="s">
        <v>715</v>
      </c>
      <c r="E3883" s="1" t="s">
        <v>2</v>
      </c>
      <c r="F3883" s="18">
        <v>2174</v>
      </c>
      <c r="G3883" s="18">
        <v>78</v>
      </c>
      <c r="H3883" s="6" t="s">
        <v>3144</v>
      </c>
      <c r="I3883" s="1">
        <v>202</v>
      </c>
      <c r="J3883" s="1">
        <v>237</v>
      </c>
      <c r="L3883" t="str">
        <f t="shared" si="60"/>
        <v>http://www.badatelna.eu/reprodukce/?fondId=1073&amp;zaznamId=1108960&amp;reproId=3780302</v>
      </c>
      <c r="M3883">
        <f>VLOOKUP(F3883,Sheet2!$B$1:$E$19,2,FALSE)</f>
        <v>1073</v>
      </c>
      <c r="N3883">
        <f>VLOOKUP(F3883,Sheet2!$B$1:$E$19,3,FALSE)</f>
        <v>1108960</v>
      </c>
      <c r="O3883">
        <f>IF(G3883="Not available","",VLOOKUP(F3883,Sheet2!$B$1:$E$19,4,FALSE)+(G3883-1))</f>
        <v>3780302</v>
      </c>
    </row>
    <row r="3884" spans="1:15" s="1" customFormat="1" ht="15" customHeight="1" x14ac:dyDescent="0.25">
      <c r="A3884" s="18" t="s">
        <v>516</v>
      </c>
      <c r="B3884" s="18" t="s">
        <v>914</v>
      </c>
      <c r="C3884" s="5">
        <v>1850</v>
      </c>
      <c r="D3884" s="1" t="s">
        <v>93</v>
      </c>
      <c r="E3884" s="1" t="s">
        <v>2</v>
      </c>
      <c r="F3884" s="18">
        <v>2164</v>
      </c>
      <c r="G3884" s="18">
        <v>71</v>
      </c>
      <c r="H3884" s="5">
        <v>69</v>
      </c>
      <c r="I3884" s="1">
        <v>139</v>
      </c>
      <c r="J3884" s="3" t="s">
        <v>3271</v>
      </c>
      <c r="L3884" t="str">
        <f t="shared" si="60"/>
        <v>http://www.badatelna.eu/reprodukce/?fondId=1073&amp;zaznamId=1108951&amp;reproId=3778785</v>
      </c>
      <c r="M3884">
        <f>VLOOKUP(F3884,Sheet2!$B$1:$E$19,2,FALSE)</f>
        <v>1073</v>
      </c>
      <c r="N3884">
        <f>VLOOKUP(F3884,Sheet2!$B$1:$E$19,3,FALSE)</f>
        <v>1108951</v>
      </c>
      <c r="O3884">
        <f>IF(G3884="Not available","",VLOOKUP(F3884,Sheet2!$B$1:$E$19,4,FALSE)+(G3884-1))</f>
        <v>3778785</v>
      </c>
    </row>
    <row r="3885" spans="1:15" s="1" customFormat="1" ht="15" customHeight="1" x14ac:dyDescent="0.25">
      <c r="A3885" s="18" t="s">
        <v>516</v>
      </c>
      <c r="B3885" s="18" t="s">
        <v>12</v>
      </c>
      <c r="C3885" s="5">
        <v>1836</v>
      </c>
      <c r="D3885" s="1" t="s">
        <v>696</v>
      </c>
      <c r="E3885" s="1" t="s">
        <v>2</v>
      </c>
      <c r="F3885" s="18">
        <v>2174</v>
      </c>
      <c r="G3885" s="18">
        <v>86</v>
      </c>
      <c r="H3885" s="6" t="s">
        <v>3153</v>
      </c>
      <c r="I3885" s="1">
        <v>202</v>
      </c>
      <c r="J3885" s="1">
        <v>237</v>
      </c>
      <c r="L3885" t="str">
        <f t="shared" si="60"/>
        <v>http://www.badatelna.eu/reprodukce/?fondId=1073&amp;zaznamId=1108960&amp;reproId=3780310</v>
      </c>
      <c r="M3885">
        <f>VLOOKUP(F3885,Sheet2!$B$1:$E$19,2,FALSE)</f>
        <v>1073</v>
      </c>
      <c r="N3885">
        <f>VLOOKUP(F3885,Sheet2!$B$1:$E$19,3,FALSE)</f>
        <v>1108960</v>
      </c>
      <c r="O3885">
        <f>IF(G3885="Not available","",VLOOKUP(F3885,Sheet2!$B$1:$E$19,4,FALSE)+(G3885-1))</f>
        <v>3780310</v>
      </c>
    </row>
    <row r="3886" spans="1:15" s="1" customFormat="1" ht="15" customHeight="1" x14ac:dyDescent="0.25">
      <c r="A3886" s="18" t="s">
        <v>516</v>
      </c>
      <c r="B3886" s="18" t="s">
        <v>12</v>
      </c>
      <c r="C3886" s="5">
        <v>1862</v>
      </c>
      <c r="E3886" s="1" t="s">
        <v>939</v>
      </c>
      <c r="F3886" s="18">
        <v>999</v>
      </c>
      <c r="G3886" s="18">
        <v>38</v>
      </c>
      <c r="H3886" s="5">
        <v>36</v>
      </c>
      <c r="I3886" s="1">
        <v>76</v>
      </c>
      <c r="J3886" s="1">
        <v>110</v>
      </c>
      <c r="L3886" t="str">
        <f t="shared" si="60"/>
        <v>http://www.badatelna.eu/reprodukce/?fondId=241&amp;zaznamId=1133739&amp;reproId=3885767</v>
      </c>
      <c r="M3886">
        <f>VLOOKUP(F3886,Sheet2!$B$1:$E$19,2,FALSE)</f>
        <v>241</v>
      </c>
      <c r="N3886">
        <f>VLOOKUP(F3886,Sheet2!$B$1:$E$19,3,FALSE)</f>
        <v>1133739</v>
      </c>
      <c r="O3886">
        <f>IF(G3886="Not available","",VLOOKUP(F3886,Sheet2!$B$1:$E$19,4,FALSE)+(G3886-1))</f>
        <v>3885767</v>
      </c>
    </row>
    <row r="3887" spans="1:15" s="1" customFormat="1" ht="15" customHeight="1" x14ac:dyDescent="0.25">
      <c r="A3887" s="18" t="s">
        <v>516</v>
      </c>
      <c r="B3887" s="18" t="s">
        <v>40</v>
      </c>
      <c r="C3887" s="5">
        <v>1786</v>
      </c>
      <c r="D3887" s="1" t="s">
        <v>517</v>
      </c>
      <c r="E3887" s="1" t="s">
        <v>2</v>
      </c>
      <c r="F3887" s="18">
        <v>2173</v>
      </c>
      <c r="G3887" s="18">
        <v>10</v>
      </c>
      <c r="H3887" s="5">
        <v>15</v>
      </c>
      <c r="I3887" s="1">
        <v>115</v>
      </c>
      <c r="J3887" s="1">
        <v>259</v>
      </c>
      <c r="L3887" t="str">
        <f t="shared" si="60"/>
        <v>http://www.badatelna.eu/reprodukce/?fondId=1073&amp;zaznamId=1108959&amp;reproId=3780003</v>
      </c>
      <c r="M3887">
        <f>VLOOKUP(F3887,Sheet2!$B$1:$E$19,2,FALSE)</f>
        <v>1073</v>
      </c>
      <c r="N3887">
        <f>VLOOKUP(F3887,Sheet2!$B$1:$E$19,3,FALSE)</f>
        <v>1108959</v>
      </c>
      <c r="O3887">
        <f>IF(G3887="Not available","",VLOOKUP(F3887,Sheet2!$B$1:$E$19,4,FALSE)+(G3887-1))</f>
        <v>3780003</v>
      </c>
    </row>
    <row r="3888" spans="1:15" s="1" customFormat="1" ht="15" customHeight="1" x14ac:dyDescent="0.25">
      <c r="A3888" s="18" t="s">
        <v>516</v>
      </c>
      <c r="B3888" s="18" t="s">
        <v>602</v>
      </c>
      <c r="C3888" s="5">
        <v>1862</v>
      </c>
      <c r="E3888" s="1" t="s">
        <v>939</v>
      </c>
      <c r="F3888" s="18">
        <v>999</v>
      </c>
      <c r="G3888" s="18">
        <v>39</v>
      </c>
      <c r="H3888" s="5">
        <v>37</v>
      </c>
      <c r="I3888" s="1">
        <v>76</v>
      </c>
      <c r="J3888" s="1">
        <v>110</v>
      </c>
      <c r="L3888" t="str">
        <f t="shared" si="60"/>
        <v>http://www.badatelna.eu/reprodukce/?fondId=241&amp;zaznamId=1133739&amp;reproId=3885768</v>
      </c>
      <c r="M3888">
        <f>VLOOKUP(F3888,Sheet2!$B$1:$E$19,2,FALSE)</f>
        <v>241</v>
      </c>
      <c r="N3888">
        <f>VLOOKUP(F3888,Sheet2!$B$1:$E$19,3,FALSE)</f>
        <v>1133739</v>
      </c>
      <c r="O3888">
        <f>IF(G3888="Not available","",VLOOKUP(F3888,Sheet2!$B$1:$E$19,4,FALSE)+(G3888-1))</f>
        <v>3885768</v>
      </c>
    </row>
    <row r="3889" spans="1:15" s="1" customFormat="1" ht="15" customHeight="1" x14ac:dyDescent="0.25">
      <c r="A3889" s="18" t="s">
        <v>516</v>
      </c>
      <c r="B3889" s="18" t="s">
        <v>233</v>
      </c>
      <c r="C3889" s="5">
        <v>1840</v>
      </c>
      <c r="D3889" s="1" t="s">
        <v>495</v>
      </c>
      <c r="E3889" s="1" t="s">
        <v>2</v>
      </c>
      <c r="F3889" s="18">
        <v>2174</v>
      </c>
      <c r="G3889" s="18">
        <v>110</v>
      </c>
      <c r="H3889" s="6" t="s">
        <v>3178</v>
      </c>
      <c r="I3889" s="1">
        <v>202</v>
      </c>
      <c r="J3889" s="1">
        <v>237</v>
      </c>
      <c r="L3889" t="str">
        <f t="shared" si="60"/>
        <v>http://www.badatelna.eu/reprodukce/?fondId=1073&amp;zaznamId=1108960&amp;reproId=3780334</v>
      </c>
      <c r="M3889">
        <f>VLOOKUP(F3889,Sheet2!$B$1:$E$19,2,FALSE)</f>
        <v>1073</v>
      </c>
      <c r="N3889">
        <f>VLOOKUP(F3889,Sheet2!$B$1:$E$19,3,FALSE)</f>
        <v>1108960</v>
      </c>
      <c r="O3889">
        <f>IF(G3889="Not available","",VLOOKUP(F3889,Sheet2!$B$1:$E$19,4,FALSE)+(G3889-1))</f>
        <v>3780334</v>
      </c>
    </row>
    <row r="3890" spans="1:15" s="1" customFormat="1" ht="15" customHeight="1" x14ac:dyDescent="0.25">
      <c r="A3890" s="18" t="s">
        <v>516</v>
      </c>
      <c r="B3890" s="18" t="s">
        <v>233</v>
      </c>
      <c r="C3890" s="5">
        <v>1855</v>
      </c>
      <c r="D3890" s="1" t="s">
        <v>93</v>
      </c>
      <c r="E3890" s="1" t="s">
        <v>2</v>
      </c>
      <c r="F3890" s="18">
        <v>2164</v>
      </c>
      <c r="G3890" s="18">
        <v>104</v>
      </c>
      <c r="H3890" s="5">
        <v>102</v>
      </c>
      <c r="I3890" s="1">
        <v>140</v>
      </c>
      <c r="J3890" s="3" t="s">
        <v>3271</v>
      </c>
      <c r="L3890" t="str">
        <f t="shared" si="60"/>
        <v>http://www.badatelna.eu/reprodukce/?fondId=1073&amp;zaznamId=1108951&amp;reproId=3778818</v>
      </c>
      <c r="M3890">
        <f>VLOOKUP(F3890,Sheet2!$B$1:$E$19,2,FALSE)</f>
        <v>1073</v>
      </c>
      <c r="N3890">
        <f>VLOOKUP(F3890,Sheet2!$B$1:$E$19,3,FALSE)</f>
        <v>1108951</v>
      </c>
      <c r="O3890">
        <f>IF(G3890="Not available","",VLOOKUP(F3890,Sheet2!$B$1:$E$19,4,FALSE)+(G3890-1))</f>
        <v>3778818</v>
      </c>
    </row>
    <row r="3891" spans="1:15" s="1" customFormat="1" ht="15" customHeight="1" x14ac:dyDescent="0.25">
      <c r="A3891" s="18" t="s">
        <v>516</v>
      </c>
      <c r="B3891" s="18" t="s">
        <v>209</v>
      </c>
      <c r="C3891" s="5">
        <v>1829</v>
      </c>
      <c r="E3891" s="1" t="s">
        <v>2</v>
      </c>
      <c r="F3891" s="18">
        <v>2173</v>
      </c>
      <c r="G3891" s="18">
        <v>83</v>
      </c>
      <c r="H3891" s="5">
        <v>157</v>
      </c>
      <c r="I3891" s="1">
        <v>117</v>
      </c>
      <c r="J3891" s="1">
        <v>254</v>
      </c>
      <c r="L3891" t="str">
        <f t="shared" si="60"/>
        <v>http://www.badatelna.eu/reprodukce/?fondId=1073&amp;zaznamId=1108959&amp;reproId=3780076</v>
      </c>
      <c r="M3891">
        <f>VLOOKUP(F3891,Sheet2!$B$1:$E$19,2,FALSE)</f>
        <v>1073</v>
      </c>
      <c r="N3891">
        <f>VLOOKUP(F3891,Sheet2!$B$1:$E$19,3,FALSE)</f>
        <v>1108959</v>
      </c>
      <c r="O3891">
        <f>IF(G3891="Not available","",VLOOKUP(F3891,Sheet2!$B$1:$E$19,4,FALSE)+(G3891-1))</f>
        <v>3780076</v>
      </c>
    </row>
    <row r="3892" spans="1:15" s="1" customFormat="1" ht="15" customHeight="1" x14ac:dyDescent="0.25">
      <c r="A3892" s="18" t="s">
        <v>516</v>
      </c>
      <c r="B3892" s="18" t="s">
        <v>115</v>
      </c>
      <c r="C3892" s="5">
        <v>1817</v>
      </c>
      <c r="E3892" s="1" t="s">
        <v>2</v>
      </c>
      <c r="F3892" s="18">
        <v>2173</v>
      </c>
      <c r="G3892" s="18">
        <v>66</v>
      </c>
      <c r="H3892" s="5">
        <v>126</v>
      </c>
      <c r="I3892" s="1">
        <v>116</v>
      </c>
      <c r="J3892" s="1">
        <v>253</v>
      </c>
      <c r="L3892" t="str">
        <f t="shared" si="60"/>
        <v>http://www.badatelna.eu/reprodukce/?fondId=1073&amp;zaznamId=1108959&amp;reproId=3780059</v>
      </c>
      <c r="M3892">
        <f>VLOOKUP(F3892,Sheet2!$B$1:$E$19,2,FALSE)</f>
        <v>1073</v>
      </c>
      <c r="N3892">
        <f>VLOOKUP(F3892,Sheet2!$B$1:$E$19,3,FALSE)</f>
        <v>1108959</v>
      </c>
      <c r="O3892">
        <f>IF(G3892="Not available","",VLOOKUP(F3892,Sheet2!$B$1:$E$19,4,FALSE)+(G3892-1))</f>
        <v>3780059</v>
      </c>
    </row>
    <row r="3893" spans="1:15" s="1" customFormat="1" ht="15" customHeight="1" x14ac:dyDescent="0.25">
      <c r="A3893" s="18" t="s">
        <v>516</v>
      </c>
      <c r="B3893" s="18" t="s">
        <v>432</v>
      </c>
      <c r="C3893" s="5">
        <v>1864</v>
      </c>
      <c r="E3893" s="1" t="s">
        <v>939</v>
      </c>
      <c r="F3893" s="18">
        <v>999</v>
      </c>
      <c r="G3893" s="18">
        <v>50</v>
      </c>
      <c r="H3893" s="5">
        <v>48</v>
      </c>
      <c r="I3893" s="1">
        <v>76</v>
      </c>
      <c r="J3893" s="1">
        <v>110</v>
      </c>
      <c r="L3893" t="str">
        <f t="shared" si="60"/>
        <v>http://www.badatelna.eu/reprodukce/?fondId=241&amp;zaznamId=1133739&amp;reproId=3885779</v>
      </c>
      <c r="M3893">
        <f>VLOOKUP(F3893,Sheet2!$B$1:$E$19,2,FALSE)</f>
        <v>241</v>
      </c>
      <c r="N3893">
        <f>VLOOKUP(F3893,Sheet2!$B$1:$E$19,3,FALSE)</f>
        <v>1133739</v>
      </c>
      <c r="O3893">
        <f>IF(G3893="Not available","",VLOOKUP(F3893,Sheet2!$B$1:$E$19,4,FALSE)+(G3893-1))</f>
        <v>3885779</v>
      </c>
    </row>
    <row r="3894" spans="1:15" s="1" customFormat="1" ht="15" customHeight="1" x14ac:dyDescent="0.25">
      <c r="A3894" s="18" t="s">
        <v>516</v>
      </c>
      <c r="B3894" s="18" t="s">
        <v>145</v>
      </c>
      <c r="C3894" s="5">
        <v>1857</v>
      </c>
      <c r="D3894" s="1" t="s">
        <v>93</v>
      </c>
      <c r="E3894" s="1" t="s">
        <v>2</v>
      </c>
      <c r="F3894" s="18">
        <v>2164</v>
      </c>
      <c r="G3894" s="18">
        <v>118</v>
      </c>
      <c r="H3894" s="5">
        <v>116</v>
      </c>
      <c r="I3894" s="1">
        <v>140</v>
      </c>
      <c r="J3894" s="3" t="s">
        <v>3271</v>
      </c>
      <c r="L3894" t="str">
        <f t="shared" si="60"/>
        <v>http://www.badatelna.eu/reprodukce/?fondId=1073&amp;zaznamId=1108951&amp;reproId=3778832</v>
      </c>
      <c r="M3894">
        <f>VLOOKUP(F3894,Sheet2!$B$1:$E$19,2,FALSE)</f>
        <v>1073</v>
      </c>
      <c r="N3894">
        <f>VLOOKUP(F3894,Sheet2!$B$1:$E$19,3,FALSE)</f>
        <v>1108951</v>
      </c>
      <c r="O3894">
        <f>IF(G3894="Not available","",VLOOKUP(F3894,Sheet2!$B$1:$E$19,4,FALSE)+(G3894-1))</f>
        <v>3778832</v>
      </c>
    </row>
    <row r="3895" spans="1:15" s="1" customFormat="1" ht="15" customHeight="1" x14ac:dyDescent="0.25">
      <c r="A3895" s="18" t="s">
        <v>516</v>
      </c>
      <c r="B3895" s="18" t="s">
        <v>24</v>
      </c>
      <c r="C3895" s="5">
        <v>1833</v>
      </c>
      <c r="D3895" s="1" t="s">
        <v>4</v>
      </c>
      <c r="E3895" s="1" t="s">
        <v>2</v>
      </c>
      <c r="F3895" s="18">
        <v>2174</v>
      </c>
      <c r="G3895" s="18">
        <v>70</v>
      </c>
      <c r="H3895" s="14" t="s">
        <v>3140</v>
      </c>
      <c r="I3895" s="1">
        <v>201</v>
      </c>
      <c r="J3895" s="1">
        <v>236</v>
      </c>
      <c r="L3895" t="str">
        <f t="shared" si="60"/>
        <v>http://www.badatelna.eu/reprodukce/?fondId=1073&amp;zaznamId=1108960&amp;reproId=3780294</v>
      </c>
      <c r="M3895">
        <f>VLOOKUP(F3895,Sheet2!$B$1:$E$19,2,FALSE)</f>
        <v>1073</v>
      </c>
      <c r="N3895">
        <f>VLOOKUP(F3895,Sheet2!$B$1:$E$19,3,FALSE)</f>
        <v>1108960</v>
      </c>
      <c r="O3895">
        <f>IF(G3895="Not available","",VLOOKUP(F3895,Sheet2!$B$1:$E$19,4,FALSE)+(G3895-1))</f>
        <v>3780294</v>
      </c>
    </row>
    <row r="3896" spans="1:15" s="1" customFormat="1" ht="15" customHeight="1" x14ac:dyDescent="0.25">
      <c r="A3896" s="18" t="s">
        <v>516</v>
      </c>
      <c r="B3896" s="18" t="s">
        <v>24</v>
      </c>
      <c r="C3896" s="10" t="s">
        <v>2005</v>
      </c>
      <c r="D3896" s="3" t="s">
        <v>2734</v>
      </c>
      <c r="E3896" s="4" t="s">
        <v>2</v>
      </c>
      <c r="F3896" s="18">
        <v>2176</v>
      </c>
      <c r="G3896" s="18" t="s">
        <v>3271</v>
      </c>
      <c r="H3896" s="10" t="s">
        <v>2735</v>
      </c>
      <c r="I3896" s="3">
        <v>44</v>
      </c>
      <c r="J3896" s="3" t="s">
        <v>3271</v>
      </c>
      <c r="K3896" s="3"/>
      <c r="L3896" t="str">
        <f t="shared" si="60"/>
        <v/>
      </c>
      <c r="M3896">
        <f>VLOOKUP(F3896,Sheet2!$B$1:$E$19,2,FALSE)</f>
        <v>1073</v>
      </c>
      <c r="N3896">
        <f>VLOOKUP(F3896,Sheet2!$B$1:$E$19,3,FALSE)</f>
        <v>1108963</v>
      </c>
      <c r="O3896" t="str">
        <f>IF(G3896="Not available","",VLOOKUP(F3896,Sheet2!$B$1:$E$19,4,FALSE)+(G3896-1))</f>
        <v/>
      </c>
    </row>
    <row r="3897" spans="1:15" s="1" customFormat="1" ht="15" customHeight="1" x14ac:dyDescent="0.25">
      <c r="A3897" s="18" t="s">
        <v>516</v>
      </c>
      <c r="B3897" s="18" t="s">
        <v>44</v>
      </c>
      <c r="C3897" s="5">
        <v>1859</v>
      </c>
      <c r="E3897" s="1" t="s">
        <v>939</v>
      </c>
      <c r="F3897" s="18">
        <v>999</v>
      </c>
      <c r="G3897" s="18">
        <v>17</v>
      </c>
      <c r="H3897" s="5">
        <v>15</v>
      </c>
      <c r="I3897" s="1">
        <v>76</v>
      </c>
      <c r="J3897" s="1">
        <v>110</v>
      </c>
      <c r="L3897" t="str">
        <f t="shared" si="60"/>
        <v>http://www.badatelna.eu/reprodukce/?fondId=241&amp;zaznamId=1133739&amp;reproId=3885746</v>
      </c>
      <c r="M3897">
        <f>VLOOKUP(F3897,Sheet2!$B$1:$E$19,2,FALSE)</f>
        <v>241</v>
      </c>
      <c r="N3897">
        <f>VLOOKUP(F3897,Sheet2!$B$1:$E$19,3,FALSE)</f>
        <v>1133739</v>
      </c>
      <c r="O3897">
        <f>IF(G3897="Not available","",VLOOKUP(F3897,Sheet2!$B$1:$E$19,4,FALSE)+(G3897-1))</f>
        <v>3885746</v>
      </c>
    </row>
    <row r="3898" spans="1:15" s="1" customFormat="1" ht="15" customHeight="1" x14ac:dyDescent="0.25">
      <c r="A3898" s="18" t="s">
        <v>516</v>
      </c>
      <c r="B3898" s="18" t="s">
        <v>23</v>
      </c>
      <c r="C3898" s="5">
        <v>1819</v>
      </c>
      <c r="E3898" s="1" t="s">
        <v>2</v>
      </c>
      <c r="F3898" s="18">
        <v>2173</v>
      </c>
      <c r="G3898" s="18">
        <v>69</v>
      </c>
      <c r="H3898" s="5">
        <v>131</v>
      </c>
      <c r="I3898" s="1">
        <v>116</v>
      </c>
      <c r="J3898" s="1">
        <v>253</v>
      </c>
      <c r="L3898" t="str">
        <f t="shared" si="60"/>
        <v>http://www.badatelna.eu/reprodukce/?fondId=1073&amp;zaznamId=1108959&amp;reproId=3780062</v>
      </c>
      <c r="M3898">
        <f>VLOOKUP(F3898,Sheet2!$B$1:$E$19,2,FALSE)</f>
        <v>1073</v>
      </c>
      <c r="N3898">
        <f>VLOOKUP(F3898,Sheet2!$B$1:$E$19,3,FALSE)</f>
        <v>1108959</v>
      </c>
      <c r="O3898">
        <f>IF(G3898="Not available","",VLOOKUP(F3898,Sheet2!$B$1:$E$19,4,FALSE)+(G3898-1))</f>
        <v>3780062</v>
      </c>
    </row>
    <row r="3899" spans="1:15" s="1" customFormat="1" ht="15" customHeight="1" x14ac:dyDescent="0.25">
      <c r="A3899" s="18" t="s">
        <v>516</v>
      </c>
      <c r="B3899" s="19" t="s">
        <v>892</v>
      </c>
      <c r="C3899" s="5">
        <v>1860</v>
      </c>
      <c r="D3899" s="4" t="s">
        <v>24</v>
      </c>
      <c r="E3899" s="1" t="s">
        <v>939</v>
      </c>
      <c r="F3899" s="18">
        <v>999</v>
      </c>
      <c r="G3899" s="18">
        <v>20</v>
      </c>
      <c r="H3899" s="5">
        <v>18</v>
      </c>
      <c r="I3899" s="1">
        <v>76</v>
      </c>
      <c r="J3899" s="1">
        <v>110</v>
      </c>
      <c r="L3899" t="str">
        <f t="shared" si="60"/>
        <v>http://www.badatelna.eu/reprodukce/?fondId=241&amp;zaznamId=1133739&amp;reproId=3885749</v>
      </c>
      <c r="M3899">
        <f>VLOOKUP(F3899,Sheet2!$B$1:$E$19,2,FALSE)</f>
        <v>241</v>
      </c>
      <c r="N3899">
        <f>VLOOKUP(F3899,Sheet2!$B$1:$E$19,3,FALSE)</f>
        <v>1133739</v>
      </c>
      <c r="O3899">
        <f>IF(G3899="Not available","",VLOOKUP(F3899,Sheet2!$B$1:$E$19,4,FALSE)+(G3899-1))</f>
        <v>3885749</v>
      </c>
    </row>
    <row r="3900" spans="1:15" s="1" customFormat="1" ht="15" customHeight="1" x14ac:dyDescent="0.25">
      <c r="A3900" s="18" t="s">
        <v>516</v>
      </c>
      <c r="B3900" s="19" t="s">
        <v>892</v>
      </c>
      <c r="C3900" s="5">
        <v>1861</v>
      </c>
      <c r="E3900" s="1" t="s">
        <v>939</v>
      </c>
      <c r="F3900" s="18">
        <v>999</v>
      </c>
      <c r="G3900" s="18">
        <v>26</v>
      </c>
      <c r="H3900" s="5">
        <v>24</v>
      </c>
      <c r="I3900" s="1">
        <v>76</v>
      </c>
      <c r="J3900" s="1">
        <v>110</v>
      </c>
      <c r="L3900" t="str">
        <f t="shared" si="60"/>
        <v>http://www.badatelna.eu/reprodukce/?fondId=241&amp;zaznamId=1133739&amp;reproId=3885755</v>
      </c>
      <c r="M3900">
        <f>VLOOKUP(F3900,Sheet2!$B$1:$E$19,2,FALSE)</f>
        <v>241</v>
      </c>
      <c r="N3900">
        <f>VLOOKUP(F3900,Sheet2!$B$1:$E$19,3,FALSE)</f>
        <v>1133739</v>
      </c>
      <c r="O3900">
        <f>IF(G3900="Not available","",VLOOKUP(F3900,Sheet2!$B$1:$E$19,4,FALSE)+(G3900-1))</f>
        <v>3885755</v>
      </c>
    </row>
    <row r="3901" spans="1:15" s="1" customFormat="1" ht="15" customHeight="1" x14ac:dyDescent="0.25">
      <c r="A3901" s="18" t="s">
        <v>516</v>
      </c>
      <c r="B3901" s="18" t="s">
        <v>93</v>
      </c>
      <c r="C3901" s="5">
        <v>1823</v>
      </c>
      <c r="E3901" s="1" t="s">
        <v>2</v>
      </c>
      <c r="F3901" s="18">
        <v>2173</v>
      </c>
      <c r="G3901" s="18">
        <v>73</v>
      </c>
      <c r="H3901" s="5">
        <v>139</v>
      </c>
      <c r="I3901" s="1">
        <v>116</v>
      </c>
      <c r="J3901" s="1">
        <v>253</v>
      </c>
      <c r="L3901" t="str">
        <f t="shared" si="60"/>
        <v>http://www.badatelna.eu/reprodukce/?fondId=1073&amp;zaznamId=1108959&amp;reproId=3780066</v>
      </c>
      <c r="M3901">
        <f>VLOOKUP(F3901,Sheet2!$B$1:$E$19,2,FALSE)</f>
        <v>1073</v>
      </c>
      <c r="N3901">
        <f>VLOOKUP(F3901,Sheet2!$B$1:$E$19,3,FALSE)</f>
        <v>1108959</v>
      </c>
      <c r="O3901">
        <f>IF(G3901="Not available","",VLOOKUP(F3901,Sheet2!$B$1:$E$19,4,FALSE)+(G3901-1))</f>
        <v>3780066</v>
      </c>
    </row>
    <row r="3902" spans="1:15" s="1" customFormat="1" ht="15" customHeight="1" x14ac:dyDescent="0.25">
      <c r="A3902" s="19" t="s">
        <v>3005</v>
      </c>
      <c r="B3902" s="18" t="s">
        <v>562</v>
      </c>
      <c r="C3902" s="5">
        <v>1818</v>
      </c>
      <c r="E3902" s="1" t="s">
        <v>2</v>
      </c>
      <c r="F3902" s="18">
        <v>2173</v>
      </c>
      <c r="G3902" s="18">
        <v>68</v>
      </c>
      <c r="H3902" s="5">
        <v>128</v>
      </c>
      <c r="I3902" s="1">
        <v>116</v>
      </c>
      <c r="J3902" s="1">
        <v>253</v>
      </c>
      <c r="L3902" t="str">
        <f t="shared" si="60"/>
        <v>http://www.badatelna.eu/reprodukce/?fondId=1073&amp;zaznamId=1108959&amp;reproId=3780061</v>
      </c>
      <c r="M3902">
        <f>VLOOKUP(F3902,Sheet2!$B$1:$E$19,2,FALSE)</f>
        <v>1073</v>
      </c>
      <c r="N3902">
        <f>VLOOKUP(F3902,Sheet2!$B$1:$E$19,3,FALSE)</f>
        <v>1108959</v>
      </c>
      <c r="O3902">
        <f>IF(G3902="Not available","",VLOOKUP(F3902,Sheet2!$B$1:$E$19,4,FALSE)+(G3902-1))</f>
        <v>3780061</v>
      </c>
    </row>
    <row r="3903" spans="1:15" s="1" customFormat="1" ht="15" customHeight="1" x14ac:dyDescent="0.25">
      <c r="A3903" s="19" t="s">
        <v>3005</v>
      </c>
      <c r="B3903" s="18" t="s">
        <v>137</v>
      </c>
      <c r="C3903" s="5">
        <v>1810</v>
      </c>
      <c r="E3903" s="1" t="s">
        <v>2</v>
      </c>
      <c r="F3903" s="18">
        <v>2173</v>
      </c>
      <c r="G3903" s="18">
        <v>56</v>
      </c>
      <c r="H3903" s="14" t="s">
        <v>2982</v>
      </c>
      <c r="I3903" s="1">
        <v>116</v>
      </c>
      <c r="J3903" s="1">
        <v>252</v>
      </c>
      <c r="L3903" t="str">
        <f t="shared" si="60"/>
        <v>http://www.badatelna.eu/reprodukce/?fondId=1073&amp;zaznamId=1108959&amp;reproId=3780049</v>
      </c>
      <c r="M3903">
        <f>VLOOKUP(F3903,Sheet2!$B$1:$E$19,2,FALSE)</f>
        <v>1073</v>
      </c>
      <c r="N3903">
        <f>VLOOKUP(F3903,Sheet2!$B$1:$E$19,3,FALSE)</f>
        <v>1108959</v>
      </c>
      <c r="O3903">
        <f>IF(G3903="Not available","",VLOOKUP(F3903,Sheet2!$B$1:$E$19,4,FALSE)+(G3903-1))</f>
        <v>3780049</v>
      </c>
    </row>
    <row r="3904" spans="1:15" s="1" customFormat="1" ht="15" customHeight="1" x14ac:dyDescent="0.25">
      <c r="A3904" s="19" t="s">
        <v>3005</v>
      </c>
      <c r="B3904" s="18" t="s">
        <v>56</v>
      </c>
      <c r="C3904" s="5">
        <v>1808</v>
      </c>
      <c r="E3904" s="1" t="s">
        <v>2</v>
      </c>
      <c r="F3904" s="18">
        <v>2173</v>
      </c>
      <c r="G3904" s="18">
        <v>53</v>
      </c>
      <c r="H3904" s="14" t="s">
        <v>2995</v>
      </c>
      <c r="I3904" s="1">
        <v>116</v>
      </c>
      <c r="J3904" s="1">
        <v>252</v>
      </c>
      <c r="L3904" t="str">
        <f t="shared" si="60"/>
        <v>http://www.badatelna.eu/reprodukce/?fondId=1073&amp;zaznamId=1108959&amp;reproId=3780046</v>
      </c>
      <c r="M3904">
        <f>VLOOKUP(F3904,Sheet2!$B$1:$E$19,2,FALSE)</f>
        <v>1073</v>
      </c>
      <c r="N3904">
        <f>VLOOKUP(F3904,Sheet2!$B$1:$E$19,3,FALSE)</f>
        <v>1108959</v>
      </c>
      <c r="O3904">
        <f>IF(G3904="Not available","",VLOOKUP(F3904,Sheet2!$B$1:$E$19,4,FALSE)+(G3904-1))</f>
        <v>3780046</v>
      </c>
    </row>
    <row r="3905" spans="1:15" s="1" customFormat="1" ht="15" customHeight="1" x14ac:dyDescent="0.25">
      <c r="A3905" s="19" t="s">
        <v>3005</v>
      </c>
      <c r="B3905" s="18" t="s">
        <v>559</v>
      </c>
      <c r="C3905" s="5">
        <v>1814</v>
      </c>
      <c r="E3905" s="1" t="s">
        <v>2</v>
      </c>
      <c r="F3905" s="18">
        <v>2173</v>
      </c>
      <c r="G3905" s="18">
        <v>62</v>
      </c>
      <c r="H3905" s="5">
        <v>119</v>
      </c>
      <c r="I3905" s="1">
        <v>116</v>
      </c>
      <c r="J3905" s="1">
        <v>253</v>
      </c>
      <c r="L3905" t="str">
        <f t="shared" si="60"/>
        <v>http://www.badatelna.eu/reprodukce/?fondId=1073&amp;zaznamId=1108959&amp;reproId=3780055</v>
      </c>
      <c r="M3905">
        <f>VLOOKUP(F3905,Sheet2!$B$1:$E$19,2,FALSE)</f>
        <v>1073</v>
      </c>
      <c r="N3905">
        <f>VLOOKUP(F3905,Sheet2!$B$1:$E$19,3,FALSE)</f>
        <v>1108959</v>
      </c>
      <c r="O3905">
        <f>IF(G3905="Not available","",VLOOKUP(F3905,Sheet2!$B$1:$E$19,4,FALSE)+(G3905-1))</f>
        <v>3780055</v>
      </c>
    </row>
    <row r="3906" spans="1:15" s="1" customFormat="1" ht="15" customHeight="1" x14ac:dyDescent="0.25">
      <c r="A3906" s="18" t="s">
        <v>531</v>
      </c>
      <c r="B3906" s="18" t="s">
        <v>738</v>
      </c>
      <c r="C3906" s="5">
        <v>1853</v>
      </c>
      <c r="D3906" s="1" t="s">
        <v>50</v>
      </c>
      <c r="E3906" s="1" t="s">
        <v>2</v>
      </c>
      <c r="F3906" s="18">
        <v>2164</v>
      </c>
      <c r="G3906" s="18">
        <v>88</v>
      </c>
      <c r="H3906" s="5">
        <v>86</v>
      </c>
      <c r="I3906" s="1">
        <v>139</v>
      </c>
      <c r="J3906" s="3" t="s">
        <v>3271</v>
      </c>
      <c r="L3906" t="str">
        <f t="shared" si="60"/>
        <v>http://www.badatelna.eu/reprodukce/?fondId=1073&amp;zaznamId=1108951&amp;reproId=3778802</v>
      </c>
      <c r="M3906">
        <f>VLOOKUP(F3906,Sheet2!$B$1:$E$19,2,FALSE)</f>
        <v>1073</v>
      </c>
      <c r="N3906">
        <f>VLOOKUP(F3906,Sheet2!$B$1:$E$19,3,FALSE)</f>
        <v>1108951</v>
      </c>
      <c r="O3906">
        <f>IF(G3906="Not available","",VLOOKUP(F3906,Sheet2!$B$1:$E$19,4,FALSE)+(G3906-1))</f>
        <v>3778802</v>
      </c>
    </row>
    <row r="3907" spans="1:15" s="1" customFormat="1" ht="15" customHeight="1" x14ac:dyDescent="0.25">
      <c r="A3907" s="18" t="s">
        <v>531</v>
      </c>
      <c r="B3907" s="18" t="s">
        <v>738</v>
      </c>
      <c r="C3907" s="5">
        <v>1854</v>
      </c>
      <c r="D3907" s="1" t="s">
        <v>495</v>
      </c>
      <c r="E3907" s="1" t="s">
        <v>2</v>
      </c>
      <c r="F3907" s="18">
        <v>2164</v>
      </c>
      <c r="G3907" s="18">
        <v>99</v>
      </c>
      <c r="H3907" s="5">
        <v>97</v>
      </c>
      <c r="I3907" s="1">
        <v>139</v>
      </c>
      <c r="J3907" s="3" t="s">
        <v>3271</v>
      </c>
      <c r="L3907" t="str">
        <f t="shared" ref="L3907:L3970" si="61">IF(G3907="Not available","","http://www.badatelna.eu/reprodukce/?fondId="&amp;M3907&amp;"&amp;zaznamId="&amp;N3907&amp;"&amp;reproId="&amp;O3907)</f>
        <v>http://www.badatelna.eu/reprodukce/?fondId=1073&amp;zaznamId=1108951&amp;reproId=3778813</v>
      </c>
      <c r="M3907">
        <f>VLOOKUP(F3907,Sheet2!$B$1:$E$19,2,FALSE)</f>
        <v>1073</v>
      </c>
      <c r="N3907">
        <f>VLOOKUP(F3907,Sheet2!$B$1:$E$19,3,FALSE)</f>
        <v>1108951</v>
      </c>
      <c r="O3907">
        <f>IF(G3907="Not available","",VLOOKUP(F3907,Sheet2!$B$1:$E$19,4,FALSE)+(G3907-1))</f>
        <v>3778813</v>
      </c>
    </row>
    <row r="3908" spans="1:15" s="1" customFormat="1" ht="15" customHeight="1" x14ac:dyDescent="0.25">
      <c r="A3908" s="18" t="s">
        <v>531</v>
      </c>
      <c r="B3908" s="18" t="s">
        <v>738</v>
      </c>
      <c r="C3908" s="5">
        <v>1864</v>
      </c>
      <c r="E3908" s="1" t="s">
        <v>939</v>
      </c>
      <c r="F3908" s="18">
        <v>999</v>
      </c>
      <c r="G3908" s="18">
        <v>47</v>
      </c>
      <c r="H3908" s="5">
        <v>45</v>
      </c>
      <c r="I3908" s="1">
        <v>76</v>
      </c>
      <c r="J3908" s="1">
        <v>110</v>
      </c>
      <c r="L3908" t="str">
        <f t="shared" si="61"/>
        <v>http://www.badatelna.eu/reprodukce/?fondId=241&amp;zaznamId=1133739&amp;reproId=3885776</v>
      </c>
      <c r="M3908">
        <f>VLOOKUP(F3908,Sheet2!$B$1:$E$19,2,FALSE)</f>
        <v>241</v>
      </c>
      <c r="N3908">
        <f>VLOOKUP(F3908,Sheet2!$B$1:$E$19,3,FALSE)</f>
        <v>1133739</v>
      </c>
      <c r="O3908">
        <f>IF(G3908="Not available","",VLOOKUP(F3908,Sheet2!$B$1:$E$19,4,FALSE)+(G3908-1))</f>
        <v>3885776</v>
      </c>
    </row>
    <row r="3909" spans="1:15" s="1" customFormat="1" ht="15" customHeight="1" x14ac:dyDescent="0.25">
      <c r="A3909" s="18" t="s">
        <v>531</v>
      </c>
      <c r="B3909" s="18" t="s">
        <v>967</v>
      </c>
      <c r="C3909" s="5">
        <v>1859</v>
      </c>
      <c r="E3909" s="1" t="s">
        <v>939</v>
      </c>
      <c r="F3909" s="18">
        <v>999</v>
      </c>
      <c r="G3909" s="18">
        <v>16</v>
      </c>
      <c r="H3909" s="5">
        <v>14</v>
      </c>
      <c r="I3909" s="1">
        <v>76</v>
      </c>
      <c r="J3909" s="1">
        <v>110</v>
      </c>
      <c r="L3909" t="str">
        <f t="shared" si="61"/>
        <v>http://www.badatelna.eu/reprodukce/?fondId=241&amp;zaznamId=1133739&amp;reproId=3885745</v>
      </c>
      <c r="M3909">
        <f>VLOOKUP(F3909,Sheet2!$B$1:$E$19,2,FALSE)</f>
        <v>241</v>
      </c>
      <c r="N3909">
        <f>VLOOKUP(F3909,Sheet2!$B$1:$E$19,3,FALSE)</f>
        <v>1133739</v>
      </c>
      <c r="O3909">
        <f>IF(G3909="Not available","",VLOOKUP(F3909,Sheet2!$B$1:$E$19,4,FALSE)+(G3909-1))</f>
        <v>3885745</v>
      </c>
    </row>
    <row r="3910" spans="1:15" s="1" customFormat="1" ht="15" customHeight="1" x14ac:dyDescent="0.25">
      <c r="A3910" s="18" t="s">
        <v>531</v>
      </c>
      <c r="B3910" s="18" t="s">
        <v>658</v>
      </c>
      <c r="C3910" s="5">
        <v>1851</v>
      </c>
      <c r="D3910" s="1" t="s">
        <v>495</v>
      </c>
      <c r="E3910" s="1" t="s">
        <v>2</v>
      </c>
      <c r="F3910" s="18">
        <v>2164</v>
      </c>
      <c r="G3910" s="18">
        <v>30</v>
      </c>
      <c r="H3910" s="5">
        <v>28</v>
      </c>
      <c r="I3910" s="1">
        <v>139</v>
      </c>
      <c r="J3910" s="3" t="s">
        <v>3271</v>
      </c>
      <c r="L3910" t="str">
        <f t="shared" si="61"/>
        <v>http://www.badatelna.eu/reprodukce/?fondId=1073&amp;zaznamId=1108951&amp;reproId=3778744</v>
      </c>
      <c r="M3910">
        <f>VLOOKUP(F3910,Sheet2!$B$1:$E$19,2,FALSE)</f>
        <v>1073</v>
      </c>
      <c r="N3910">
        <f>VLOOKUP(F3910,Sheet2!$B$1:$E$19,3,FALSE)</f>
        <v>1108951</v>
      </c>
      <c r="O3910">
        <f>IF(G3910="Not available","",VLOOKUP(F3910,Sheet2!$B$1:$E$19,4,FALSE)+(G3910-1))</f>
        <v>3778744</v>
      </c>
    </row>
    <row r="3911" spans="1:15" s="1" customFormat="1" ht="15" customHeight="1" x14ac:dyDescent="0.25">
      <c r="A3911" s="18" t="s">
        <v>531</v>
      </c>
      <c r="B3911" s="18" t="s">
        <v>122</v>
      </c>
      <c r="C3911" s="5">
        <v>1851</v>
      </c>
      <c r="D3911" s="1" t="s">
        <v>495</v>
      </c>
      <c r="E3911" s="1" t="s">
        <v>2</v>
      </c>
      <c r="F3911" s="18">
        <v>2164</v>
      </c>
      <c r="G3911" s="18">
        <v>77</v>
      </c>
      <c r="H3911" s="5">
        <v>75</v>
      </c>
      <c r="I3911" s="1">
        <v>139</v>
      </c>
      <c r="J3911" s="3" t="s">
        <v>3271</v>
      </c>
      <c r="L3911" t="str">
        <f t="shared" si="61"/>
        <v>http://www.badatelna.eu/reprodukce/?fondId=1073&amp;zaznamId=1108951&amp;reproId=3778791</v>
      </c>
      <c r="M3911">
        <f>VLOOKUP(F3911,Sheet2!$B$1:$E$19,2,FALSE)</f>
        <v>1073</v>
      </c>
      <c r="N3911">
        <f>VLOOKUP(F3911,Sheet2!$B$1:$E$19,3,FALSE)</f>
        <v>1108951</v>
      </c>
      <c r="O3911">
        <f>IF(G3911="Not available","",VLOOKUP(F3911,Sheet2!$B$1:$E$19,4,FALSE)+(G3911-1))</f>
        <v>3778791</v>
      </c>
    </row>
    <row r="3912" spans="1:15" s="1" customFormat="1" ht="15" customHeight="1" x14ac:dyDescent="0.25">
      <c r="A3912" s="18" t="s">
        <v>531</v>
      </c>
      <c r="B3912" s="18" t="s">
        <v>436</v>
      </c>
      <c r="C3912" s="5">
        <v>1855</v>
      </c>
      <c r="D3912" s="1" t="s">
        <v>44</v>
      </c>
      <c r="E3912" s="1" t="s">
        <v>2</v>
      </c>
      <c r="F3912" s="18">
        <v>2164</v>
      </c>
      <c r="G3912" s="18">
        <v>104</v>
      </c>
      <c r="H3912" s="5">
        <v>102</v>
      </c>
      <c r="I3912" s="1">
        <v>140</v>
      </c>
      <c r="J3912" s="3" t="s">
        <v>3271</v>
      </c>
      <c r="L3912" t="str">
        <f t="shared" si="61"/>
        <v>http://www.badatelna.eu/reprodukce/?fondId=1073&amp;zaznamId=1108951&amp;reproId=3778818</v>
      </c>
      <c r="M3912">
        <f>VLOOKUP(F3912,Sheet2!$B$1:$E$19,2,FALSE)</f>
        <v>1073</v>
      </c>
      <c r="N3912">
        <f>VLOOKUP(F3912,Sheet2!$B$1:$E$19,3,FALSE)</f>
        <v>1108951</v>
      </c>
      <c r="O3912">
        <f>IF(G3912="Not available","",VLOOKUP(F3912,Sheet2!$B$1:$E$19,4,FALSE)+(G3912-1))</f>
        <v>3778818</v>
      </c>
    </row>
    <row r="3913" spans="1:15" s="1" customFormat="1" ht="15" customHeight="1" x14ac:dyDescent="0.25">
      <c r="A3913" s="18" t="s">
        <v>531</v>
      </c>
      <c r="B3913" s="18" t="s">
        <v>436</v>
      </c>
      <c r="C3913" s="5">
        <v>1861</v>
      </c>
      <c r="E3913" s="1" t="s">
        <v>939</v>
      </c>
      <c r="F3913" s="18">
        <v>999</v>
      </c>
      <c r="G3913" s="18">
        <v>29</v>
      </c>
      <c r="H3913" s="5">
        <v>27</v>
      </c>
      <c r="I3913" s="1">
        <v>76</v>
      </c>
      <c r="J3913" s="1">
        <v>110</v>
      </c>
      <c r="L3913" t="str">
        <f t="shared" si="61"/>
        <v>http://www.badatelna.eu/reprodukce/?fondId=241&amp;zaznamId=1133739&amp;reproId=3885758</v>
      </c>
      <c r="M3913">
        <f>VLOOKUP(F3913,Sheet2!$B$1:$E$19,2,FALSE)</f>
        <v>241</v>
      </c>
      <c r="N3913">
        <f>VLOOKUP(F3913,Sheet2!$B$1:$E$19,3,FALSE)</f>
        <v>1133739</v>
      </c>
      <c r="O3913">
        <f>IF(G3913="Not available","",VLOOKUP(F3913,Sheet2!$B$1:$E$19,4,FALSE)+(G3913-1))</f>
        <v>3885758</v>
      </c>
    </row>
    <row r="3914" spans="1:15" s="1" customFormat="1" ht="15" customHeight="1" x14ac:dyDescent="0.25">
      <c r="A3914" s="18" t="s">
        <v>531</v>
      </c>
      <c r="B3914" s="18" t="s">
        <v>34</v>
      </c>
      <c r="C3914" s="5">
        <v>1798</v>
      </c>
      <c r="D3914" s="1" t="s">
        <v>233</v>
      </c>
      <c r="E3914" s="1" t="s">
        <v>2</v>
      </c>
      <c r="F3914" s="18">
        <v>2173</v>
      </c>
      <c r="G3914" s="18">
        <v>36</v>
      </c>
      <c r="H3914" s="14" t="s">
        <v>3010</v>
      </c>
      <c r="I3914" s="1">
        <v>116</v>
      </c>
      <c r="J3914" s="1">
        <v>252</v>
      </c>
      <c r="L3914" t="str">
        <f t="shared" si="61"/>
        <v>http://www.badatelna.eu/reprodukce/?fondId=1073&amp;zaznamId=1108959&amp;reproId=3780029</v>
      </c>
      <c r="M3914">
        <f>VLOOKUP(F3914,Sheet2!$B$1:$E$19,2,FALSE)</f>
        <v>1073</v>
      </c>
      <c r="N3914">
        <f>VLOOKUP(F3914,Sheet2!$B$1:$E$19,3,FALSE)</f>
        <v>1108959</v>
      </c>
      <c r="O3914">
        <f>IF(G3914="Not available","",VLOOKUP(F3914,Sheet2!$B$1:$E$19,4,FALSE)+(G3914-1))</f>
        <v>3780029</v>
      </c>
    </row>
    <row r="3915" spans="1:15" s="1" customFormat="1" ht="15" customHeight="1" x14ac:dyDescent="0.25">
      <c r="A3915" s="18" t="s">
        <v>531</v>
      </c>
      <c r="B3915" s="18" t="s">
        <v>12</v>
      </c>
      <c r="C3915" s="5">
        <v>1792</v>
      </c>
      <c r="D3915" s="1" t="s">
        <v>233</v>
      </c>
      <c r="E3915" s="1" t="s">
        <v>2</v>
      </c>
      <c r="F3915" s="18">
        <v>2173</v>
      </c>
      <c r="G3915" s="18">
        <v>26</v>
      </c>
      <c r="H3915" s="5">
        <v>46</v>
      </c>
      <c r="I3915" s="1">
        <v>115</v>
      </c>
      <c r="J3915" s="1">
        <v>259</v>
      </c>
      <c r="L3915" t="str">
        <f t="shared" si="61"/>
        <v>http://www.badatelna.eu/reprodukce/?fondId=1073&amp;zaznamId=1108959&amp;reproId=3780019</v>
      </c>
      <c r="M3915">
        <f>VLOOKUP(F3915,Sheet2!$B$1:$E$19,2,FALSE)</f>
        <v>1073</v>
      </c>
      <c r="N3915">
        <f>VLOOKUP(F3915,Sheet2!$B$1:$E$19,3,FALSE)</f>
        <v>1108959</v>
      </c>
      <c r="O3915">
        <f>IF(G3915="Not available","",VLOOKUP(F3915,Sheet2!$B$1:$E$19,4,FALSE)+(G3915-1))</f>
        <v>3780019</v>
      </c>
    </row>
    <row r="3916" spans="1:15" s="1" customFormat="1" ht="15" customHeight="1" x14ac:dyDescent="0.25">
      <c r="A3916" s="18" t="s">
        <v>531</v>
      </c>
      <c r="B3916" s="18" t="s">
        <v>12</v>
      </c>
      <c r="C3916" s="5">
        <v>1859</v>
      </c>
      <c r="E3916" s="1" t="s">
        <v>939</v>
      </c>
      <c r="F3916" s="18">
        <v>999</v>
      </c>
      <c r="G3916" s="18">
        <v>17</v>
      </c>
      <c r="H3916" s="5">
        <v>15</v>
      </c>
      <c r="I3916" s="1">
        <v>76</v>
      </c>
      <c r="J3916" s="1">
        <v>110</v>
      </c>
      <c r="L3916" t="str">
        <f t="shared" si="61"/>
        <v>http://www.badatelna.eu/reprodukce/?fondId=241&amp;zaznamId=1133739&amp;reproId=3885746</v>
      </c>
      <c r="M3916">
        <f>VLOOKUP(F3916,Sheet2!$B$1:$E$19,2,FALSE)</f>
        <v>241</v>
      </c>
      <c r="N3916">
        <f>VLOOKUP(F3916,Sheet2!$B$1:$E$19,3,FALSE)</f>
        <v>1133739</v>
      </c>
      <c r="O3916">
        <f>IF(G3916="Not available","",VLOOKUP(F3916,Sheet2!$B$1:$E$19,4,FALSE)+(G3916-1))</f>
        <v>3885746</v>
      </c>
    </row>
    <row r="3917" spans="1:15" s="1" customFormat="1" ht="15" customHeight="1" x14ac:dyDescent="0.25">
      <c r="A3917" s="18" t="s">
        <v>531</v>
      </c>
      <c r="B3917" s="18" t="s">
        <v>287</v>
      </c>
      <c r="C3917" s="5">
        <v>1857</v>
      </c>
      <c r="D3917" s="1" t="s">
        <v>495</v>
      </c>
      <c r="E3917" s="1" t="s">
        <v>2</v>
      </c>
      <c r="F3917" s="18">
        <v>2164</v>
      </c>
      <c r="G3917" s="18">
        <v>114</v>
      </c>
      <c r="H3917" s="5">
        <v>112</v>
      </c>
      <c r="I3917" s="1">
        <v>140</v>
      </c>
      <c r="J3917" s="3" t="s">
        <v>3271</v>
      </c>
      <c r="L3917" t="str">
        <f t="shared" si="61"/>
        <v>http://www.badatelna.eu/reprodukce/?fondId=1073&amp;zaznamId=1108951&amp;reproId=3778828</v>
      </c>
      <c r="M3917">
        <f>VLOOKUP(F3917,Sheet2!$B$1:$E$19,2,FALSE)</f>
        <v>1073</v>
      </c>
      <c r="N3917">
        <f>VLOOKUP(F3917,Sheet2!$B$1:$E$19,3,FALSE)</f>
        <v>1108951</v>
      </c>
      <c r="O3917">
        <f>IF(G3917="Not available","",VLOOKUP(F3917,Sheet2!$B$1:$E$19,4,FALSE)+(G3917-1))</f>
        <v>3778828</v>
      </c>
    </row>
    <row r="3918" spans="1:15" s="1" customFormat="1" ht="15" customHeight="1" x14ac:dyDescent="0.25">
      <c r="A3918" s="18" t="s">
        <v>531</v>
      </c>
      <c r="B3918" s="18" t="s">
        <v>503</v>
      </c>
      <c r="C3918" s="5">
        <v>1847</v>
      </c>
      <c r="D3918" s="1" t="s">
        <v>905</v>
      </c>
      <c r="E3918" s="1" t="s">
        <v>2</v>
      </c>
      <c r="F3918" s="18">
        <v>2164</v>
      </c>
      <c r="G3918" s="18">
        <v>23</v>
      </c>
      <c r="H3918" s="5">
        <v>21</v>
      </c>
      <c r="I3918" s="1">
        <v>139</v>
      </c>
      <c r="J3918" s="3" t="s">
        <v>3271</v>
      </c>
      <c r="L3918" t="str">
        <f t="shared" si="61"/>
        <v>http://www.badatelna.eu/reprodukce/?fondId=1073&amp;zaznamId=1108951&amp;reproId=3778737</v>
      </c>
      <c r="M3918">
        <f>VLOOKUP(F3918,Sheet2!$B$1:$E$19,2,FALSE)</f>
        <v>1073</v>
      </c>
      <c r="N3918">
        <f>VLOOKUP(F3918,Sheet2!$B$1:$E$19,3,FALSE)</f>
        <v>1108951</v>
      </c>
      <c r="O3918">
        <f>IF(G3918="Not available","",VLOOKUP(F3918,Sheet2!$B$1:$E$19,4,FALSE)+(G3918-1))</f>
        <v>3778737</v>
      </c>
    </row>
    <row r="3919" spans="1:15" s="1" customFormat="1" ht="15" customHeight="1" x14ac:dyDescent="0.25">
      <c r="A3919" s="18" t="s">
        <v>531</v>
      </c>
      <c r="B3919" s="18" t="s">
        <v>237</v>
      </c>
      <c r="C3919" s="5">
        <v>1837</v>
      </c>
      <c r="D3919" s="1" t="s">
        <v>428</v>
      </c>
      <c r="E3919" s="1" t="s">
        <v>2</v>
      </c>
      <c r="F3919" s="18">
        <v>2174</v>
      </c>
      <c r="G3919" s="18">
        <v>91</v>
      </c>
      <c r="H3919" s="6" t="s">
        <v>3157</v>
      </c>
      <c r="I3919" s="1">
        <v>202</v>
      </c>
      <c r="J3919" s="1">
        <v>237</v>
      </c>
      <c r="L3919" t="str">
        <f t="shared" si="61"/>
        <v>http://www.badatelna.eu/reprodukce/?fondId=1073&amp;zaznamId=1108960&amp;reproId=3780315</v>
      </c>
      <c r="M3919">
        <f>VLOOKUP(F3919,Sheet2!$B$1:$E$19,2,FALSE)</f>
        <v>1073</v>
      </c>
      <c r="N3919">
        <f>VLOOKUP(F3919,Sheet2!$B$1:$E$19,3,FALSE)</f>
        <v>1108960</v>
      </c>
      <c r="O3919">
        <f>IF(G3919="Not available","",VLOOKUP(F3919,Sheet2!$B$1:$E$19,4,FALSE)+(G3919-1))</f>
        <v>3780315</v>
      </c>
    </row>
    <row r="3920" spans="1:15" s="1" customFormat="1" ht="15" customHeight="1" x14ac:dyDescent="0.25">
      <c r="A3920" s="18" t="s">
        <v>531</v>
      </c>
      <c r="B3920" s="18" t="s">
        <v>233</v>
      </c>
      <c r="C3920" s="5">
        <v>1858</v>
      </c>
      <c r="D3920" s="1" t="s">
        <v>495</v>
      </c>
      <c r="E3920" s="1" t="s">
        <v>2</v>
      </c>
      <c r="F3920" s="18">
        <v>2164</v>
      </c>
      <c r="G3920" s="18">
        <v>121</v>
      </c>
      <c r="H3920" s="5">
        <v>119</v>
      </c>
      <c r="I3920" s="1">
        <v>140</v>
      </c>
      <c r="J3920" s="3" t="s">
        <v>3271</v>
      </c>
      <c r="L3920" t="str">
        <f t="shared" si="61"/>
        <v>http://www.badatelna.eu/reprodukce/?fondId=1073&amp;zaznamId=1108951&amp;reproId=3778835</v>
      </c>
      <c r="M3920">
        <f>VLOOKUP(F3920,Sheet2!$B$1:$E$19,2,FALSE)</f>
        <v>1073</v>
      </c>
      <c r="N3920">
        <f>VLOOKUP(F3920,Sheet2!$B$1:$E$19,3,FALSE)</f>
        <v>1108951</v>
      </c>
      <c r="O3920">
        <f>IF(G3920="Not available","",VLOOKUP(F3920,Sheet2!$B$1:$E$19,4,FALSE)+(G3920-1))</f>
        <v>3778835</v>
      </c>
    </row>
    <row r="3921" spans="1:15" s="1" customFormat="1" ht="15" customHeight="1" x14ac:dyDescent="0.25">
      <c r="A3921" s="18" t="s">
        <v>531</v>
      </c>
      <c r="B3921" s="18" t="s">
        <v>233</v>
      </c>
      <c r="C3921" s="5">
        <v>1858</v>
      </c>
      <c r="D3921" s="4" t="s">
        <v>495</v>
      </c>
      <c r="E3921" s="1" t="s">
        <v>939</v>
      </c>
      <c r="F3921" s="18">
        <v>999</v>
      </c>
      <c r="G3921" s="18">
        <v>3</v>
      </c>
      <c r="H3921" s="5">
        <v>1</v>
      </c>
      <c r="I3921" s="1">
        <v>76</v>
      </c>
      <c r="J3921" s="1">
        <v>110</v>
      </c>
      <c r="L3921" t="str">
        <f t="shared" si="61"/>
        <v>http://www.badatelna.eu/reprodukce/?fondId=241&amp;zaznamId=1133739&amp;reproId=3885732</v>
      </c>
      <c r="M3921">
        <f>VLOOKUP(F3921,Sheet2!$B$1:$E$19,2,FALSE)</f>
        <v>241</v>
      </c>
      <c r="N3921">
        <f>VLOOKUP(F3921,Sheet2!$B$1:$E$19,3,FALSE)</f>
        <v>1133739</v>
      </c>
      <c r="O3921">
        <f>IF(G3921="Not available","",VLOOKUP(F3921,Sheet2!$B$1:$E$19,4,FALSE)+(G3921-1))</f>
        <v>3885732</v>
      </c>
    </row>
    <row r="3922" spans="1:15" s="1" customFormat="1" ht="15" customHeight="1" x14ac:dyDescent="0.25">
      <c r="A3922" s="18" t="s">
        <v>531</v>
      </c>
      <c r="B3922" s="18" t="s">
        <v>233</v>
      </c>
      <c r="C3922" s="5">
        <v>1858</v>
      </c>
      <c r="D3922" s="4" t="s">
        <v>44</v>
      </c>
      <c r="E3922" s="1" t="s">
        <v>939</v>
      </c>
      <c r="F3922" s="18">
        <v>999</v>
      </c>
      <c r="G3922" s="18">
        <v>3</v>
      </c>
      <c r="H3922" s="5">
        <v>1</v>
      </c>
      <c r="I3922" s="1">
        <v>76</v>
      </c>
      <c r="J3922" s="1">
        <v>111</v>
      </c>
      <c r="L3922" t="str">
        <f t="shared" si="61"/>
        <v>http://www.badatelna.eu/reprodukce/?fondId=241&amp;zaznamId=1133739&amp;reproId=3885732</v>
      </c>
      <c r="M3922">
        <f>VLOOKUP(F3922,Sheet2!$B$1:$E$19,2,FALSE)</f>
        <v>241</v>
      </c>
      <c r="N3922">
        <f>VLOOKUP(F3922,Sheet2!$B$1:$E$19,3,FALSE)</f>
        <v>1133739</v>
      </c>
      <c r="O3922">
        <f>IF(G3922="Not available","",VLOOKUP(F3922,Sheet2!$B$1:$E$19,4,FALSE)+(G3922-1))</f>
        <v>3885732</v>
      </c>
    </row>
    <row r="3923" spans="1:15" s="1" customFormat="1" ht="15" customHeight="1" x14ac:dyDescent="0.25">
      <c r="A3923" s="18" t="s">
        <v>531</v>
      </c>
      <c r="B3923" s="18" t="s">
        <v>233</v>
      </c>
      <c r="C3923" s="5">
        <v>1858</v>
      </c>
      <c r="D3923" s="1" t="s">
        <v>44</v>
      </c>
      <c r="E3923" s="1" t="s">
        <v>2</v>
      </c>
      <c r="F3923" s="18">
        <v>2164</v>
      </c>
      <c r="G3923" s="18">
        <v>121</v>
      </c>
      <c r="H3923" s="5">
        <v>119</v>
      </c>
      <c r="I3923" s="1">
        <v>140</v>
      </c>
      <c r="J3923" s="3" t="s">
        <v>3271</v>
      </c>
      <c r="L3923" t="str">
        <f t="shared" si="61"/>
        <v>http://www.badatelna.eu/reprodukce/?fondId=1073&amp;zaznamId=1108951&amp;reproId=3778835</v>
      </c>
      <c r="M3923">
        <f>VLOOKUP(F3923,Sheet2!$B$1:$E$19,2,FALSE)</f>
        <v>1073</v>
      </c>
      <c r="N3923">
        <f>VLOOKUP(F3923,Sheet2!$B$1:$E$19,3,FALSE)</f>
        <v>1108951</v>
      </c>
      <c r="O3923">
        <f>IF(G3923="Not available","",VLOOKUP(F3923,Sheet2!$B$1:$E$19,4,FALSE)+(G3923-1))</f>
        <v>3778835</v>
      </c>
    </row>
    <row r="3924" spans="1:15" s="1" customFormat="1" ht="15" customHeight="1" x14ac:dyDescent="0.25">
      <c r="A3924" s="18" t="s">
        <v>531</v>
      </c>
      <c r="B3924" s="18" t="s">
        <v>569</v>
      </c>
      <c r="C3924" s="5">
        <v>1839</v>
      </c>
      <c r="D3924" s="1" t="s">
        <v>466</v>
      </c>
      <c r="E3924" s="1" t="s">
        <v>2</v>
      </c>
      <c r="F3924" s="18">
        <v>2174</v>
      </c>
      <c r="G3924" s="18">
        <v>104</v>
      </c>
      <c r="H3924" s="6" t="s">
        <v>3174</v>
      </c>
      <c r="I3924" s="1">
        <v>202</v>
      </c>
      <c r="J3924" s="1">
        <v>237</v>
      </c>
      <c r="L3924" t="str">
        <f t="shared" si="61"/>
        <v>http://www.badatelna.eu/reprodukce/?fondId=1073&amp;zaznamId=1108960&amp;reproId=3780328</v>
      </c>
      <c r="M3924">
        <f>VLOOKUP(F3924,Sheet2!$B$1:$E$19,2,FALSE)</f>
        <v>1073</v>
      </c>
      <c r="N3924">
        <f>VLOOKUP(F3924,Sheet2!$B$1:$E$19,3,FALSE)</f>
        <v>1108960</v>
      </c>
      <c r="O3924">
        <f>IF(G3924="Not available","",VLOOKUP(F3924,Sheet2!$B$1:$E$19,4,FALSE)+(G3924-1))</f>
        <v>3780328</v>
      </c>
    </row>
    <row r="3925" spans="1:15" s="1" customFormat="1" ht="15" customHeight="1" x14ac:dyDescent="0.25">
      <c r="A3925" s="18" t="s">
        <v>531</v>
      </c>
      <c r="B3925" s="18" t="s">
        <v>432</v>
      </c>
      <c r="C3925" s="5">
        <v>1858</v>
      </c>
      <c r="E3925" s="1" t="s">
        <v>939</v>
      </c>
      <c r="F3925" s="18">
        <v>999</v>
      </c>
      <c r="G3925" s="18">
        <v>8</v>
      </c>
      <c r="H3925" s="5">
        <v>6</v>
      </c>
      <c r="I3925" s="1">
        <v>76</v>
      </c>
      <c r="J3925" s="1">
        <v>110</v>
      </c>
      <c r="L3925" t="str">
        <f t="shared" si="61"/>
        <v>http://www.badatelna.eu/reprodukce/?fondId=241&amp;zaznamId=1133739&amp;reproId=3885737</v>
      </c>
      <c r="M3925">
        <f>VLOOKUP(F3925,Sheet2!$B$1:$E$19,2,FALSE)</f>
        <v>241</v>
      </c>
      <c r="N3925">
        <f>VLOOKUP(F3925,Sheet2!$B$1:$E$19,3,FALSE)</f>
        <v>1133739</v>
      </c>
      <c r="O3925">
        <f>IF(G3925="Not available","",VLOOKUP(F3925,Sheet2!$B$1:$E$19,4,FALSE)+(G3925-1))</f>
        <v>3885737</v>
      </c>
    </row>
    <row r="3926" spans="1:15" s="1" customFormat="1" ht="15" customHeight="1" x14ac:dyDescent="0.25">
      <c r="A3926" s="18" t="s">
        <v>531</v>
      </c>
      <c r="B3926" s="18" t="s">
        <v>544</v>
      </c>
      <c r="C3926" s="5">
        <v>1851</v>
      </c>
      <c r="D3926" s="1" t="s">
        <v>495</v>
      </c>
      <c r="E3926" s="1" t="s">
        <v>2</v>
      </c>
      <c r="F3926" s="18">
        <v>2164</v>
      </c>
      <c r="G3926" s="18">
        <v>64</v>
      </c>
      <c r="H3926" s="5">
        <v>62</v>
      </c>
      <c r="I3926" s="1">
        <v>139</v>
      </c>
      <c r="J3926" s="3" t="s">
        <v>3271</v>
      </c>
      <c r="L3926" t="str">
        <f t="shared" si="61"/>
        <v>http://www.badatelna.eu/reprodukce/?fondId=1073&amp;zaznamId=1108951&amp;reproId=3778778</v>
      </c>
      <c r="M3926">
        <f>VLOOKUP(F3926,Sheet2!$B$1:$E$19,2,FALSE)</f>
        <v>1073</v>
      </c>
      <c r="N3926">
        <f>VLOOKUP(F3926,Sheet2!$B$1:$E$19,3,FALSE)</f>
        <v>1108951</v>
      </c>
      <c r="O3926">
        <f>IF(G3926="Not available","",VLOOKUP(F3926,Sheet2!$B$1:$E$19,4,FALSE)+(G3926-1))</f>
        <v>3778778</v>
      </c>
    </row>
    <row r="3927" spans="1:15" s="1" customFormat="1" ht="15" customHeight="1" x14ac:dyDescent="0.25">
      <c r="A3927" s="18" t="s">
        <v>531</v>
      </c>
      <c r="B3927" s="18" t="s">
        <v>476</v>
      </c>
      <c r="C3927" s="5">
        <v>1837</v>
      </c>
      <c r="D3927" s="1" t="s">
        <v>34</v>
      </c>
      <c r="E3927" s="1" t="s">
        <v>2</v>
      </c>
      <c r="F3927" s="18">
        <v>2174</v>
      </c>
      <c r="G3927" s="18">
        <v>95</v>
      </c>
      <c r="H3927" s="6" t="s">
        <v>3163</v>
      </c>
      <c r="I3927" s="1">
        <v>202</v>
      </c>
      <c r="J3927" s="1">
        <v>237</v>
      </c>
      <c r="L3927" t="str">
        <f t="shared" si="61"/>
        <v>http://www.badatelna.eu/reprodukce/?fondId=1073&amp;zaznamId=1108960&amp;reproId=3780319</v>
      </c>
      <c r="M3927">
        <f>VLOOKUP(F3927,Sheet2!$B$1:$E$19,2,FALSE)</f>
        <v>1073</v>
      </c>
      <c r="N3927">
        <f>VLOOKUP(F3927,Sheet2!$B$1:$E$19,3,FALSE)</f>
        <v>1108960</v>
      </c>
      <c r="O3927">
        <f>IF(G3927="Not available","",VLOOKUP(F3927,Sheet2!$B$1:$E$19,4,FALSE)+(G3927-1))</f>
        <v>3780319</v>
      </c>
    </row>
    <row r="3928" spans="1:15" s="1" customFormat="1" ht="15" customHeight="1" x14ac:dyDescent="0.25">
      <c r="A3928" s="19" t="s">
        <v>531</v>
      </c>
      <c r="B3928" s="18" t="s">
        <v>44</v>
      </c>
      <c r="C3928" s="5">
        <v>1814</v>
      </c>
      <c r="D3928" s="4" t="s">
        <v>64</v>
      </c>
      <c r="E3928" s="1" t="s">
        <v>2</v>
      </c>
      <c r="F3928" s="18">
        <v>2173</v>
      </c>
      <c r="G3928" s="18">
        <v>62</v>
      </c>
      <c r="H3928" s="5">
        <v>118</v>
      </c>
      <c r="I3928" s="1">
        <v>116</v>
      </c>
      <c r="J3928" s="1">
        <v>253</v>
      </c>
      <c r="L3928" t="str">
        <f t="shared" si="61"/>
        <v>http://www.badatelna.eu/reprodukce/?fondId=1073&amp;zaznamId=1108959&amp;reproId=3780055</v>
      </c>
      <c r="M3928">
        <f>VLOOKUP(F3928,Sheet2!$B$1:$E$19,2,FALSE)</f>
        <v>1073</v>
      </c>
      <c r="N3928">
        <f>VLOOKUP(F3928,Sheet2!$B$1:$E$19,3,FALSE)</f>
        <v>1108959</v>
      </c>
      <c r="O3928">
        <f>IF(G3928="Not available","",VLOOKUP(F3928,Sheet2!$B$1:$E$19,4,FALSE)+(G3928-1))</f>
        <v>3780055</v>
      </c>
    </row>
    <row r="3929" spans="1:15" s="1" customFormat="1" ht="15" customHeight="1" x14ac:dyDescent="0.25">
      <c r="A3929" s="19" t="s">
        <v>531</v>
      </c>
      <c r="B3929" s="18" t="s">
        <v>23</v>
      </c>
      <c r="C3929" s="5">
        <v>1815</v>
      </c>
      <c r="D3929" s="4" t="s">
        <v>64</v>
      </c>
      <c r="E3929" s="1" t="s">
        <v>2</v>
      </c>
      <c r="F3929" s="18">
        <v>2173</v>
      </c>
      <c r="G3929" s="18">
        <v>64</v>
      </c>
      <c r="H3929" s="5">
        <v>122</v>
      </c>
      <c r="I3929" s="1">
        <v>116</v>
      </c>
      <c r="J3929" s="1">
        <v>253</v>
      </c>
      <c r="L3929" t="str">
        <f t="shared" si="61"/>
        <v>http://www.badatelna.eu/reprodukce/?fondId=1073&amp;zaznamId=1108959&amp;reproId=3780057</v>
      </c>
      <c r="M3929">
        <f>VLOOKUP(F3929,Sheet2!$B$1:$E$19,2,FALSE)</f>
        <v>1073</v>
      </c>
      <c r="N3929">
        <f>VLOOKUP(F3929,Sheet2!$B$1:$E$19,3,FALSE)</f>
        <v>1108959</v>
      </c>
      <c r="O3929">
        <f>IF(G3929="Not available","",VLOOKUP(F3929,Sheet2!$B$1:$E$19,4,FALSE)+(G3929-1))</f>
        <v>3780057</v>
      </c>
    </row>
    <row r="3930" spans="1:15" s="1" customFormat="1" ht="15" customHeight="1" x14ac:dyDescent="0.25">
      <c r="A3930" s="18" t="s">
        <v>781</v>
      </c>
      <c r="B3930" s="18" t="s">
        <v>233</v>
      </c>
      <c r="C3930" s="5">
        <v>1834</v>
      </c>
      <c r="D3930" s="1" t="s">
        <v>495</v>
      </c>
      <c r="E3930" s="1" t="s">
        <v>2</v>
      </c>
      <c r="F3930" s="18">
        <v>2174</v>
      </c>
      <c r="G3930" s="18">
        <v>170</v>
      </c>
      <c r="H3930" s="17" t="s">
        <v>3235</v>
      </c>
      <c r="I3930" s="1">
        <v>203</v>
      </c>
      <c r="J3930" s="1">
        <v>238</v>
      </c>
      <c r="L3930" t="str">
        <f t="shared" si="61"/>
        <v>http://www.badatelna.eu/reprodukce/?fondId=1073&amp;zaznamId=1108960&amp;reproId=3780394</v>
      </c>
      <c r="M3930">
        <f>VLOOKUP(F3930,Sheet2!$B$1:$E$19,2,FALSE)</f>
        <v>1073</v>
      </c>
      <c r="N3930">
        <f>VLOOKUP(F3930,Sheet2!$B$1:$E$19,3,FALSE)</f>
        <v>1108960</v>
      </c>
      <c r="O3930">
        <f>IF(G3930="Not available","",VLOOKUP(F3930,Sheet2!$B$1:$E$19,4,FALSE)+(G3930-1))</f>
        <v>3780394</v>
      </c>
    </row>
    <row r="3931" spans="1:15" s="1" customFormat="1" ht="15" customHeight="1" x14ac:dyDescent="0.25">
      <c r="A3931" s="18" t="s">
        <v>3358</v>
      </c>
      <c r="B3931" s="18" t="s">
        <v>50</v>
      </c>
      <c r="C3931" s="5">
        <v>1813</v>
      </c>
      <c r="D3931" s="4" t="s">
        <v>3359</v>
      </c>
      <c r="E3931" s="1" t="s">
        <v>2</v>
      </c>
      <c r="F3931" s="18">
        <v>2173</v>
      </c>
      <c r="G3931" s="18">
        <v>61</v>
      </c>
      <c r="H3931" s="5">
        <v>117</v>
      </c>
      <c r="I3931" s="1">
        <v>116</v>
      </c>
      <c r="J3931" s="1">
        <v>253</v>
      </c>
      <c r="L3931" t="str">
        <f t="shared" si="61"/>
        <v>http://www.badatelna.eu/reprodukce/?fondId=1073&amp;zaznamId=1108959&amp;reproId=3780054</v>
      </c>
      <c r="M3931">
        <f>VLOOKUP(F3931,Sheet2!$B$1:$E$19,2,FALSE)</f>
        <v>1073</v>
      </c>
      <c r="N3931">
        <f>VLOOKUP(F3931,Sheet2!$B$1:$E$19,3,FALSE)</f>
        <v>1108959</v>
      </c>
      <c r="O3931">
        <f>IF(G3931="Not available","",VLOOKUP(F3931,Sheet2!$B$1:$E$19,4,FALSE)+(G3931-1))</f>
        <v>3780054</v>
      </c>
    </row>
    <row r="3932" spans="1:15" s="1" customFormat="1" ht="15" customHeight="1" x14ac:dyDescent="0.25">
      <c r="A3932" s="18" t="s">
        <v>3358</v>
      </c>
      <c r="B3932" s="18" t="s">
        <v>92</v>
      </c>
      <c r="C3932" s="5">
        <v>1811</v>
      </c>
      <c r="D3932" s="4" t="s">
        <v>3359</v>
      </c>
      <c r="E3932" s="1" t="s">
        <v>2</v>
      </c>
      <c r="F3932" s="18">
        <v>2173</v>
      </c>
      <c r="G3932" s="18">
        <v>58</v>
      </c>
      <c r="H3932" s="5">
        <v>110</v>
      </c>
      <c r="I3932" s="1">
        <v>116</v>
      </c>
      <c r="J3932" s="1">
        <v>253</v>
      </c>
      <c r="L3932" t="str">
        <f t="shared" si="61"/>
        <v>http://www.badatelna.eu/reprodukce/?fondId=1073&amp;zaznamId=1108959&amp;reproId=3780051</v>
      </c>
      <c r="M3932">
        <f>VLOOKUP(F3932,Sheet2!$B$1:$E$19,2,FALSE)</f>
        <v>1073</v>
      </c>
      <c r="N3932">
        <f>VLOOKUP(F3932,Sheet2!$B$1:$E$19,3,FALSE)</f>
        <v>1108959</v>
      </c>
      <c r="O3932">
        <f>IF(G3932="Not available","",VLOOKUP(F3932,Sheet2!$B$1:$E$19,4,FALSE)+(G3932-1))</f>
        <v>3780051</v>
      </c>
    </row>
    <row r="3933" spans="1:15" s="1" customFormat="1" ht="15" customHeight="1" x14ac:dyDescent="0.25">
      <c r="A3933" s="18" t="s">
        <v>3358</v>
      </c>
      <c r="B3933" s="18" t="s">
        <v>136</v>
      </c>
      <c r="C3933" s="5">
        <v>1821</v>
      </c>
      <c r="D3933" s="4" t="s">
        <v>3359</v>
      </c>
      <c r="E3933" s="1" t="s">
        <v>2</v>
      </c>
      <c r="F3933" s="18">
        <v>2173</v>
      </c>
      <c r="G3933" s="18">
        <v>72</v>
      </c>
      <c r="H3933" s="5">
        <v>137</v>
      </c>
      <c r="I3933" s="1">
        <v>93</v>
      </c>
      <c r="J3933" s="1">
        <v>194</v>
      </c>
      <c r="L3933" t="str">
        <f t="shared" si="61"/>
        <v>http://www.badatelna.eu/reprodukce/?fondId=1073&amp;zaznamId=1108959&amp;reproId=3780065</v>
      </c>
      <c r="M3933">
        <f>VLOOKUP(F3933,Sheet2!$B$1:$E$19,2,FALSE)</f>
        <v>1073</v>
      </c>
      <c r="N3933">
        <f>VLOOKUP(F3933,Sheet2!$B$1:$E$19,3,FALSE)</f>
        <v>1108959</v>
      </c>
      <c r="O3933">
        <f>IF(G3933="Not available","",VLOOKUP(F3933,Sheet2!$B$1:$E$19,4,FALSE)+(G3933-1))</f>
        <v>3780065</v>
      </c>
    </row>
    <row r="3934" spans="1:15" s="1" customFormat="1" ht="15" customHeight="1" x14ac:dyDescent="0.25">
      <c r="A3934" s="18" t="s">
        <v>3358</v>
      </c>
      <c r="B3934" s="18" t="s">
        <v>87</v>
      </c>
      <c r="C3934" s="5">
        <v>1825</v>
      </c>
      <c r="D3934" s="4" t="s">
        <v>3362</v>
      </c>
      <c r="E3934" s="1" t="s">
        <v>2</v>
      </c>
      <c r="F3934" s="18">
        <v>2173</v>
      </c>
      <c r="G3934" s="18">
        <v>76</v>
      </c>
      <c r="H3934" s="5">
        <v>145</v>
      </c>
      <c r="I3934" s="1">
        <v>116</v>
      </c>
      <c r="J3934" s="1">
        <v>253</v>
      </c>
      <c r="L3934" t="str">
        <f t="shared" si="61"/>
        <v>http://www.badatelna.eu/reprodukce/?fondId=1073&amp;zaznamId=1108959&amp;reproId=3780069</v>
      </c>
      <c r="M3934">
        <f>VLOOKUP(F3934,Sheet2!$B$1:$E$19,2,FALSE)</f>
        <v>1073</v>
      </c>
      <c r="N3934">
        <f>VLOOKUP(F3934,Sheet2!$B$1:$E$19,3,FALSE)</f>
        <v>1108959</v>
      </c>
      <c r="O3934">
        <f>IF(G3934="Not available","",VLOOKUP(F3934,Sheet2!$B$1:$E$19,4,FALSE)+(G3934-1))</f>
        <v>3780069</v>
      </c>
    </row>
    <row r="3935" spans="1:15" s="1" customFormat="1" ht="15" customHeight="1" x14ac:dyDescent="0.25">
      <c r="A3935" s="18" t="s">
        <v>3358</v>
      </c>
      <c r="B3935" s="18" t="s">
        <v>123</v>
      </c>
      <c r="C3935" s="5">
        <v>1823</v>
      </c>
      <c r="D3935" s="4" t="s">
        <v>3362</v>
      </c>
      <c r="E3935" s="1" t="s">
        <v>2</v>
      </c>
      <c r="F3935" s="18">
        <v>2173</v>
      </c>
      <c r="G3935" s="18">
        <v>74</v>
      </c>
      <c r="H3935" s="5">
        <v>141</v>
      </c>
      <c r="I3935" s="1">
        <v>116</v>
      </c>
      <c r="J3935" s="1">
        <v>253</v>
      </c>
      <c r="L3935" t="str">
        <f t="shared" si="61"/>
        <v>http://www.badatelna.eu/reprodukce/?fondId=1073&amp;zaznamId=1108959&amp;reproId=3780067</v>
      </c>
      <c r="M3935">
        <f>VLOOKUP(F3935,Sheet2!$B$1:$E$19,2,FALSE)</f>
        <v>1073</v>
      </c>
      <c r="N3935">
        <f>VLOOKUP(F3935,Sheet2!$B$1:$E$19,3,FALSE)</f>
        <v>1108959</v>
      </c>
      <c r="O3935">
        <f>IF(G3935="Not available","",VLOOKUP(F3935,Sheet2!$B$1:$E$19,4,FALSE)+(G3935-1))</f>
        <v>3780067</v>
      </c>
    </row>
    <row r="3936" spans="1:15" s="1" customFormat="1" ht="15" customHeight="1" x14ac:dyDescent="0.25">
      <c r="A3936" s="18" t="s">
        <v>3358</v>
      </c>
      <c r="B3936" s="18" t="s">
        <v>567</v>
      </c>
      <c r="C3936" s="5">
        <v>1830</v>
      </c>
      <c r="D3936" s="4" t="s">
        <v>3362</v>
      </c>
      <c r="E3936" s="1" t="s">
        <v>2</v>
      </c>
      <c r="F3936" s="18">
        <v>2173</v>
      </c>
      <c r="G3936" s="18">
        <v>86</v>
      </c>
      <c r="H3936" s="5">
        <v>161</v>
      </c>
      <c r="I3936" s="1">
        <v>117</v>
      </c>
      <c r="J3936" s="1">
        <v>254</v>
      </c>
      <c r="L3936" t="str">
        <f t="shared" si="61"/>
        <v>http://www.badatelna.eu/reprodukce/?fondId=1073&amp;zaznamId=1108959&amp;reproId=3780079</v>
      </c>
      <c r="M3936">
        <f>VLOOKUP(F3936,Sheet2!$B$1:$E$19,2,FALSE)</f>
        <v>1073</v>
      </c>
      <c r="N3936">
        <f>VLOOKUP(F3936,Sheet2!$B$1:$E$19,3,FALSE)</f>
        <v>1108959</v>
      </c>
      <c r="O3936">
        <f>IF(G3936="Not available","",VLOOKUP(F3936,Sheet2!$B$1:$E$19,4,FALSE)+(G3936-1))</f>
        <v>3780079</v>
      </c>
    </row>
    <row r="3937" spans="1:15" s="1" customFormat="1" ht="15" customHeight="1" x14ac:dyDescent="0.25">
      <c r="A3937" s="18" t="s">
        <v>3358</v>
      </c>
      <c r="B3937" s="18" t="s">
        <v>194</v>
      </c>
      <c r="C3937" s="5">
        <v>1827</v>
      </c>
      <c r="D3937" s="4" t="s">
        <v>3362</v>
      </c>
      <c r="E3937" s="1" t="s">
        <v>2</v>
      </c>
      <c r="F3937" s="18">
        <v>2173</v>
      </c>
      <c r="G3937" s="18">
        <v>79</v>
      </c>
      <c r="H3937" s="5">
        <v>150</v>
      </c>
      <c r="I3937" s="1">
        <v>117</v>
      </c>
      <c r="J3937" s="1">
        <v>254</v>
      </c>
      <c r="L3937" t="str">
        <f t="shared" si="61"/>
        <v>http://www.badatelna.eu/reprodukce/?fondId=1073&amp;zaznamId=1108959&amp;reproId=3780072</v>
      </c>
      <c r="M3937">
        <f>VLOOKUP(F3937,Sheet2!$B$1:$E$19,2,FALSE)</f>
        <v>1073</v>
      </c>
      <c r="N3937">
        <f>VLOOKUP(F3937,Sheet2!$B$1:$E$19,3,FALSE)</f>
        <v>1108959</v>
      </c>
      <c r="O3937">
        <f>IF(G3937="Not available","",VLOOKUP(F3937,Sheet2!$B$1:$E$19,4,FALSE)+(G3937-1))</f>
        <v>3780072</v>
      </c>
    </row>
    <row r="3938" spans="1:15" s="1" customFormat="1" ht="15" customHeight="1" x14ac:dyDescent="0.25">
      <c r="A3938" s="18" t="s">
        <v>3358</v>
      </c>
      <c r="B3938" s="18" t="s">
        <v>75</v>
      </c>
      <c r="C3938" s="5">
        <v>1815</v>
      </c>
      <c r="D3938" s="4" t="s">
        <v>3360</v>
      </c>
      <c r="E3938" s="1" t="s">
        <v>2</v>
      </c>
      <c r="F3938" s="18">
        <v>2173</v>
      </c>
      <c r="G3938" s="18">
        <v>64</v>
      </c>
      <c r="H3938" s="5">
        <v>123</v>
      </c>
      <c r="I3938" s="1">
        <v>116</v>
      </c>
      <c r="J3938" s="1">
        <v>253</v>
      </c>
      <c r="L3938" t="str">
        <f t="shared" si="61"/>
        <v>http://www.badatelna.eu/reprodukce/?fondId=1073&amp;zaznamId=1108959&amp;reproId=3780057</v>
      </c>
      <c r="M3938">
        <f>VLOOKUP(F3938,Sheet2!$B$1:$E$19,2,FALSE)</f>
        <v>1073</v>
      </c>
      <c r="N3938">
        <f>VLOOKUP(F3938,Sheet2!$B$1:$E$19,3,FALSE)</f>
        <v>1108959</v>
      </c>
      <c r="O3938">
        <f>IF(G3938="Not available","",VLOOKUP(F3938,Sheet2!$B$1:$E$19,4,FALSE)+(G3938-1))</f>
        <v>3780057</v>
      </c>
    </row>
    <row r="3939" spans="1:15" s="1" customFormat="1" ht="15" customHeight="1" x14ac:dyDescent="0.25">
      <c r="A3939" s="18" t="s">
        <v>3358</v>
      </c>
      <c r="B3939" s="18" t="s">
        <v>137</v>
      </c>
      <c r="C3939" s="5">
        <v>1810</v>
      </c>
      <c r="D3939" s="4" t="s">
        <v>3359</v>
      </c>
      <c r="E3939" s="1" t="s">
        <v>2</v>
      </c>
      <c r="F3939" s="18">
        <v>2173</v>
      </c>
      <c r="G3939" s="18">
        <v>56</v>
      </c>
      <c r="H3939" s="14" t="s">
        <v>2980</v>
      </c>
      <c r="I3939" s="1">
        <v>116</v>
      </c>
      <c r="J3939" s="1">
        <v>252</v>
      </c>
      <c r="L3939" t="str">
        <f t="shared" si="61"/>
        <v>http://www.badatelna.eu/reprodukce/?fondId=1073&amp;zaznamId=1108959&amp;reproId=3780049</v>
      </c>
      <c r="M3939">
        <f>VLOOKUP(F3939,Sheet2!$B$1:$E$19,2,FALSE)</f>
        <v>1073</v>
      </c>
      <c r="N3939">
        <f>VLOOKUP(F3939,Sheet2!$B$1:$E$19,3,FALSE)</f>
        <v>1108959</v>
      </c>
      <c r="O3939">
        <f>IF(G3939="Not available","",VLOOKUP(F3939,Sheet2!$B$1:$E$19,4,FALSE)+(G3939-1))</f>
        <v>3780049</v>
      </c>
    </row>
    <row r="3940" spans="1:15" s="1" customFormat="1" ht="15" customHeight="1" x14ac:dyDescent="0.25">
      <c r="A3940" s="18" t="s">
        <v>3358</v>
      </c>
      <c r="B3940" s="18" t="s">
        <v>624</v>
      </c>
      <c r="C3940" s="5">
        <v>1832</v>
      </c>
      <c r="D3940" s="4" t="s">
        <v>3363</v>
      </c>
      <c r="E3940" s="1" t="s">
        <v>2</v>
      </c>
      <c r="F3940" s="18">
        <v>2174</v>
      </c>
      <c r="G3940" s="18">
        <v>67</v>
      </c>
      <c r="H3940" s="6" t="s">
        <v>3134</v>
      </c>
      <c r="I3940" s="1">
        <v>201</v>
      </c>
      <c r="J3940" s="1">
        <v>236</v>
      </c>
      <c r="L3940" t="str">
        <f t="shared" si="61"/>
        <v>http://www.badatelna.eu/reprodukce/?fondId=1073&amp;zaznamId=1108960&amp;reproId=3780291</v>
      </c>
      <c r="M3940">
        <f>VLOOKUP(F3940,Sheet2!$B$1:$E$19,2,FALSE)</f>
        <v>1073</v>
      </c>
      <c r="N3940">
        <f>VLOOKUP(F3940,Sheet2!$B$1:$E$19,3,FALSE)</f>
        <v>1108960</v>
      </c>
      <c r="O3940">
        <f>IF(G3940="Not available","",VLOOKUP(F3940,Sheet2!$B$1:$E$19,4,FALSE)+(G3940-1))</f>
        <v>3780291</v>
      </c>
    </row>
    <row r="3941" spans="1:15" s="1" customFormat="1" ht="15" customHeight="1" x14ac:dyDescent="0.25">
      <c r="A3941" s="18" t="s">
        <v>3358</v>
      </c>
      <c r="B3941" s="18" t="s">
        <v>18</v>
      </c>
      <c r="C3941" s="5">
        <v>1802</v>
      </c>
      <c r="D3941" s="4" t="s">
        <v>3361</v>
      </c>
      <c r="E3941" s="1" t="s">
        <v>2</v>
      </c>
      <c r="F3941" s="18">
        <v>2173</v>
      </c>
      <c r="G3941" s="18">
        <v>45</v>
      </c>
      <c r="H3941" s="5">
        <v>84</v>
      </c>
      <c r="I3941" s="1">
        <v>116</v>
      </c>
      <c r="J3941" s="1">
        <v>252</v>
      </c>
      <c r="L3941" t="str">
        <f t="shared" si="61"/>
        <v>http://www.badatelna.eu/reprodukce/?fondId=1073&amp;zaznamId=1108959&amp;reproId=3780038</v>
      </c>
      <c r="M3941">
        <f>VLOOKUP(F3941,Sheet2!$B$1:$E$19,2,FALSE)</f>
        <v>1073</v>
      </c>
      <c r="N3941">
        <f>VLOOKUP(F3941,Sheet2!$B$1:$E$19,3,FALSE)</f>
        <v>1108959</v>
      </c>
      <c r="O3941">
        <f>IF(G3941="Not available","",VLOOKUP(F3941,Sheet2!$B$1:$E$19,4,FALSE)+(G3941-1))</f>
        <v>3780038</v>
      </c>
    </row>
    <row r="3942" spans="1:15" s="1" customFormat="1" ht="15" customHeight="1" x14ac:dyDescent="0.25">
      <c r="A3942" s="18" t="s">
        <v>3358</v>
      </c>
      <c r="B3942" s="18" t="s">
        <v>44</v>
      </c>
      <c r="C3942" s="5">
        <v>1819</v>
      </c>
      <c r="D3942" s="4" t="s">
        <v>3359</v>
      </c>
      <c r="E3942" s="1" t="s">
        <v>2</v>
      </c>
      <c r="F3942" s="18">
        <v>2173</v>
      </c>
      <c r="G3942" s="18">
        <v>69</v>
      </c>
      <c r="H3942" s="5">
        <v>130</v>
      </c>
      <c r="I3942" s="1">
        <v>116</v>
      </c>
      <c r="J3942" s="1">
        <v>253</v>
      </c>
      <c r="L3942" t="str">
        <f t="shared" si="61"/>
        <v>http://www.badatelna.eu/reprodukce/?fondId=1073&amp;zaznamId=1108959&amp;reproId=3780062</v>
      </c>
      <c r="M3942">
        <f>VLOOKUP(F3942,Sheet2!$B$1:$E$19,2,FALSE)</f>
        <v>1073</v>
      </c>
      <c r="N3942">
        <f>VLOOKUP(F3942,Sheet2!$B$1:$E$19,3,FALSE)</f>
        <v>1108959</v>
      </c>
      <c r="O3942">
        <f>IF(G3942="Not available","",VLOOKUP(F3942,Sheet2!$B$1:$E$19,4,FALSE)+(G3942-1))</f>
        <v>3780062</v>
      </c>
    </row>
    <row r="3943" spans="1:15" s="1" customFormat="1" ht="15" customHeight="1" x14ac:dyDescent="0.25">
      <c r="A3943" s="18" t="s">
        <v>1269</v>
      </c>
      <c r="B3943" s="18" t="s">
        <v>1078</v>
      </c>
      <c r="C3943" s="14" t="s">
        <v>2244</v>
      </c>
      <c r="D3943" s="4" t="s">
        <v>432</v>
      </c>
      <c r="E3943" s="1" t="s">
        <v>2</v>
      </c>
      <c r="F3943" s="18">
        <v>2165</v>
      </c>
      <c r="G3943" s="18">
        <v>297</v>
      </c>
      <c r="H3943" s="5">
        <v>1</v>
      </c>
      <c r="I3943" s="1">
        <v>300</v>
      </c>
      <c r="J3943" s="1">
        <v>273</v>
      </c>
      <c r="L3943" t="str">
        <f t="shared" si="61"/>
        <v>http://www.badatelna.eu/reprodukce/?fondId=1073&amp;zaznamId=1108952&amp;reproId=3779158</v>
      </c>
      <c r="M3943">
        <f>VLOOKUP(F3943,Sheet2!$B$1:$E$19,2,FALSE)</f>
        <v>1073</v>
      </c>
      <c r="N3943">
        <f>VLOOKUP(F3943,Sheet2!$B$1:$E$19,3,FALSE)</f>
        <v>1108952</v>
      </c>
      <c r="O3943">
        <f>IF(G3943="Not available","",VLOOKUP(F3943,Sheet2!$B$1:$E$19,4,FALSE)+(G3943-1))</f>
        <v>3779158</v>
      </c>
    </row>
    <row r="3944" spans="1:15" s="1" customFormat="1" ht="15" customHeight="1" x14ac:dyDescent="0.25">
      <c r="A3944" s="18" t="s">
        <v>1269</v>
      </c>
      <c r="B3944" s="18" t="s">
        <v>593</v>
      </c>
      <c r="C3944" s="6" t="s">
        <v>2100</v>
      </c>
      <c r="D3944" s="4" t="s">
        <v>432</v>
      </c>
      <c r="E3944" s="1" t="s">
        <v>2</v>
      </c>
      <c r="F3944" s="18">
        <v>2165</v>
      </c>
      <c r="G3944" s="18">
        <v>308</v>
      </c>
      <c r="H3944" s="5">
        <v>1</v>
      </c>
      <c r="I3944" s="1">
        <v>311</v>
      </c>
      <c r="J3944" s="1">
        <v>284</v>
      </c>
      <c r="L3944" t="str">
        <f t="shared" si="61"/>
        <v>http://www.badatelna.eu/reprodukce/?fondId=1073&amp;zaznamId=1108952&amp;reproId=3779169</v>
      </c>
      <c r="M3944">
        <f>VLOOKUP(F3944,Sheet2!$B$1:$E$19,2,FALSE)</f>
        <v>1073</v>
      </c>
      <c r="N3944">
        <f>VLOOKUP(F3944,Sheet2!$B$1:$E$19,3,FALSE)</f>
        <v>1108952</v>
      </c>
      <c r="O3944">
        <f>IF(G3944="Not available","",VLOOKUP(F3944,Sheet2!$B$1:$E$19,4,FALSE)+(G3944-1))</f>
        <v>3779169</v>
      </c>
    </row>
    <row r="3945" spans="1:15" s="1" customFormat="1" ht="15" customHeight="1" x14ac:dyDescent="0.25">
      <c r="A3945" s="18" t="s">
        <v>2749</v>
      </c>
      <c r="B3945" s="18" t="s">
        <v>602</v>
      </c>
      <c r="C3945" s="10" t="s">
        <v>2102</v>
      </c>
      <c r="D3945" s="3" t="s">
        <v>2614</v>
      </c>
      <c r="E3945" s="4" t="s">
        <v>2</v>
      </c>
      <c r="F3945" s="18">
        <v>2176</v>
      </c>
      <c r="G3945" s="18" t="s">
        <v>3271</v>
      </c>
      <c r="H3945" s="10" t="s">
        <v>2142</v>
      </c>
      <c r="I3945" s="3">
        <v>44</v>
      </c>
      <c r="J3945" s="3" t="s">
        <v>3271</v>
      </c>
      <c r="K3945" s="3"/>
      <c r="L3945" t="str">
        <f t="shared" si="61"/>
        <v/>
      </c>
      <c r="M3945">
        <f>VLOOKUP(F3945,Sheet2!$B$1:$E$19,2,FALSE)</f>
        <v>1073</v>
      </c>
      <c r="N3945">
        <f>VLOOKUP(F3945,Sheet2!$B$1:$E$19,3,FALSE)</f>
        <v>1108963</v>
      </c>
      <c r="O3945" t="str">
        <f>IF(G3945="Not available","",VLOOKUP(F3945,Sheet2!$B$1:$E$19,4,FALSE)+(G3945-1))</f>
        <v/>
      </c>
    </row>
    <row r="3946" spans="1:15" s="1" customFormat="1" ht="15" customHeight="1" x14ac:dyDescent="0.25">
      <c r="A3946" s="18" t="s">
        <v>2749</v>
      </c>
      <c r="B3946" s="18" t="s">
        <v>1078</v>
      </c>
      <c r="C3946" s="10" t="s">
        <v>2244</v>
      </c>
      <c r="D3946" s="3" t="s">
        <v>2614</v>
      </c>
      <c r="E3946" s="4" t="s">
        <v>2</v>
      </c>
      <c r="F3946" s="18">
        <v>2176</v>
      </c>
      <c r="G3946" s="18" t="s">
        <v>3271</v>
      </c>
      <c r="H3946" s="10" t="s">
        <v>2075</v>
      </c>
      <c r="I3946" s="3">
        <v>44</v>
      </c>
      <c r="J3946" s="3" t="s">
        <v>3271</v>
      </c>
      <c r="K3946" s="3"/>
      <c r="L3946" t="str">
        <f t="shared" si="61"/>
        <v/>
      </c>
      <c r="M3946">
        <f>VLOOKUP(F3946,Sheet2!$B$1:$E$19,2,FALSE)</f>
        <v>1073</v>
      </c>
      <c r="N3946">
        <f>VLOOKUP(F3946,Sheet2!$B$1:$E$19,3,FALSE)</f>
        <v>1108963</v>
      </c>
      <c r="O3946" t="str">
        <f>IF(G3946="Not available","",VLOOKUP(F3946,Sheet2!$B$1:$E$19,4,FALSE)+(G3946-1))</f>
        <v/>
      </c>
    </row>
    <row r="3947" spans="1:15" s="1" customFormat="1" ht="15" customHeight="1" x14ac:dyDescent="0.25">
      <c r="A3947" s="18" t="s">
        <v>2749</v>
      </c>
      <c r="B3947" s="18" t="s">
        <v>593</v>
      </c>
      <c r="C3947" s="10" t="s">
        <v>2100</v>
      </c>
      <c r="D3947" s="3" t="s">
        <v>2614</v>
      </c>
      <c r="E3947" s="4" t="s">
        <v>2</v>
      </c>
      <c r="F3947" s="18">
        <v>2176</v>
      </c>
      <c r="G3947" s="18" t="s">
        <v>3271</v>
      </c>
      <c r="H3947" s="10" t="s">
        <v>2075</v>
      </c>
      <c r="I3947" s="3">
        <v>44</v>
      </c>
      <c r="J3947" s="3" t="s">
        <v>3271</v>
      </c>
      <c r="K3947" s="3"/>
      <c r="L3947" t="str">
        <f t="shared" si="61"/>
        <v/>
      </c>
      <c r="M3947">
        <f>VLOOKUP(F3947,Sheet2!$B$1:$E$19,2,FALSE)</f>
        <v>1073</v>
      </c>
      <c r="N3947">
        <f>VLOOKUP(F3947,Sheet2!$B$1:$E$19,3,FALSE)</f>
        <v>1108963</v>
      </c>
      <c r="O3947" t="str">
        <f>IF(G3947="Not available","",VLOOKUP(F3947,Sheet2!$B$1:$E$19,4,FALSE)+(G3947-1))</f>
        <v/>
      </c>
    </row>
    <row r="3948" spans="1:15" s="1" customFormat="1" ht="15" customHeight="1" x14ac:dyDescent="0.25">
      <c r="A3948" s="18" t="s">
        <v>1140</v>
      </c>
      <c r="B3948" s="18" t="s">
        <v>602</v>
      </c>
      <c r="C3948" s="10" t="s">
        <v>1285</v>
      </c>
      <c r="D3948" s="3" t="s">
        <v>2741</v>
      </c>
      <c r="E3948" s="4" t="s">
        <v>2</v>
      </c>
      <c r="F3948" s="18">
        <v>2176</v>
      </c>
      <c r="G3948" s="18" t="s">
        <v>3271</v>
      </c>
      <c r="H3948" s="10" t="s">
        <v>2222</v>
      </c>
      <c r="I3948" s="3">
        <v>44</v>
      </c>
      <c r="J3948" s="3" t="s">
        <v>3271</v>
      </c>
      <c r="K3948" s="3"/>
      <c r="L3948" t="str">
        <f t="shared" si="61"/>
        <v/>
      </c>
      <c r="M3948">
        <f>VLOOKUP(F3948,Sheet2!$B$1:$E$19,2,FALSE)</f>
        <v>1073</v>
      </c>
      <c r="N3948">
        <f>VLOOKUP(F3948,Sheet2!$B$1:$E$19,3,FALSE)</f>
        <v>1108963</v>
      </c>
      <c r="O3948" t="str">
        <f>IF(G3948="Not available","",VLOOKUP(F3948,Sheet2!$B$1:$E$19,4,FALSE)+(G3948-1))</f>
        <v/>
      </c>
    </row>
    <row r="3949" spans="1:15" s="1" customFormat="1" ht="15" customHeight="1" x14ac:dyDescent="0.25">
      <c r="A3949" s="18" t="s">
        <v>1140</v>
      </c>
      <c r="B3949" s="18" t="s">
        <v>602</v>
      </c>
      <c r="C3949" s="5">
        <v>1882</v>
      </c>
      <c r="D3949" s="1" t="s">
        <v>545</v>
      </c>
      <c r="E3949" s="1" t="s">
        <v>2</v>
      </c>
      <c r="F3949" s="18">
        <v>2165</v>
      </c>
      <c r="G3949" s="18">
        <v>180</v>
      </c>
      <c r="H3949" s="5">
        <v>4</v>
      </c>
      <c r="I3949" s="1">
        <v>183</v>
      </c>
      <c r="J3949" s="1">
        <v>160</v>
      </c>
      <c r="L3949" t="str">
        <f t="shared" si="61"/>
        <v>http://www.badatelna.eu/reprodukce/?fondId=1073&amp;zaznamId=1108952&amp;reproId=3779041</v>
      </c>
      <c r="M3949">
        <f>VLOOKUP(F3949,Sheet2!$B$1:$E$19,2,FALSE)</f>
        <v>1073</v>
      </c>
      <c r="N3949">
        <f>VLOOKUP(F3949,Sheet2!$B$1:$E$19,3,FALSE)</f>
        <v>1108952</v>
      </c>
      <c r="O3949">
        <f>IF(G3949="Not available","",VLOOKUP(F3949,Sheet2!$B$1:$E$19,4,FALSE)+(G3949-1))</f>
        <v>3779041</v>
      </c>
    </row>
    <row r="3950" spans="1:15" s="1" customFormat="1" ht="15" customHeight="1" x14ac:dyDescent="0.25">
      <c r="A3950" s="18" t="s">
        <v>770</v>
      </c>
      <c r="B3950" s="18" t="s">
        <v>548</v>
      </c>
      <c r="C3950" s="5">
        <v>1840</v>
      </c>
      <c r="D3950" s="1" t="s">
        <v>44</v>
      </c>
      <c r="E3950" s="1" t="s">
        <v>2</v>
      </c>
      <c r="F3950" s="18">
        <v>2174</v>
      </c>
      <c r="G3950" s="18">
        <v>112</v>
      </c>
      <c r="H3950" s="6" t="s">
        <v>3182</v>
      </c>
      <c r="I3950" s="1">
        <v>202</v>
      </c>
      <c r="J3950" s="1">
        <v>238</v>
      </c>
      <c r="L3950" t="str">
        <f t="shared" si="61"/>
        <v>http://www.badatelna.eu/reprodukce/?fondId=1073&amp;zaznamId=1108960&amp;reproId=3780336</v>
      </c>
      <c r="M3950">
        <f>VLOOKUP(F3950,Sheet2!$B$1:$E$19,2,FALSE)</f>
        <v>1073</v>
      </c>
      <c r="N3950">
        <f>VLOOKUP(F3950,Sheet2!$B$1:$E$19,3,FALSE)</f>
        <v>1108960</v>
      </c>
      <c r="O3950">
        <f>IF(G3950="Not available","",VLOOKUP(F3950,Sheet2!$B$1:$E$19,4,FALSE)+(G3950-1))</f>
        <v>3780336</v>
      </c>
    </row>
    <row r="3951" spans="1:15" s="1" customFormat="1" ht="15" customHeight="1" x14ac:dyDescent="0.25">
      <c r="A3951" s="18" t="s">
        <v>770</v>
      </c>
      <c r="B3951" s="18" t="s">
        <v>479</v>
      </c>
      <c r="C3951" s="5">
        <v>1844</v>
      </c>
      <c r="D3951" s="1" t="s">
        <v>44</v>
      </c>
      <c r="E3951" s="1" t="s">
        <v>2</v>
      </c>
      <c r="F3951" s="18">
        <v>2174</v>
      </c>
      <c r="G3951" s="18">
        <v>150</v>
      </c>
      <c r="H3951" s="6" t="s">
        <v>3217</v>
      </c>
      <c r="I3951" s="1">
        <v>202</v>
      </c>
      <c r="J3951" s="1">
        <v>238</v>
      </c>
      <c r="L3951" t="str">
        <f t="shared" si="61"/>
        <v>http://www.badatelna.eu/reprodukce/?fondId=1073&amp;zaznamId=1108960&amp;reproId=3780374</v>
      </c>
      <c r="M3951">
        <f>VLOOKUP(F3951,Sheet2!$B$1:$E$19,2,FALSE)</f>
        <v>1073</v>
      </c>
      <c r="N3951">
        <f>VLOOKUP(F3951,Sheet2!$B$1:$E$19,3,FALSE)</f>
        <v>1108960</v>
      </c>
      <c r="O3951">
        <f>IF(G3951="Not available","",VLOOKUP(F3951,Sheet2!$B$1:$E$19,4,FALSE)+(G3951-1))</f>
        <v>3780374</v>
      </c>
    </row>
    <row r="3952" spans="1:15" s="1" customFormat="1" ht="15" customHeight="1" x14ac:dyDescent="0.25">
      <c r="A3952" s="18" t="s">
        <v>928</v>
      </c>
      <c r="B3952" s="18" t="s">
        <v>12</v>
      </c>
      <c r="C3952" s="5">
        <v>1856</v>
      </c>
      <c r="D3952" s="1" t="s">
        <v>50</v>
      </c>
      <c r="E3952" s="1" t="s">
        <v>2</v>
      </c>
      <c r="F3952" s="18">
        <v>2164</v>
      </c>
      <c r="G3952" s="18">
        <v>108</v>
      </c>
      <c r="H3952" s="5">
        <v>106</v>
      </c>
      <c r="I3952" s="1">
        <v>140</v>
      </c>
      <c r="J3952" s="3" t="s">
        <v>3271</v>
      </c>
      <c r="L3952" t="str">
        <f t="shared" si="61"/>
        <v>http://www.badatelna.eu/reprodukce/?fondId=1073&amp;zaznamId=1108951&amp;reproId=3778822</v>
      </c>
      <c r="M3952">
        <f>VLOOKUP(F3952,Sheet2!$B$1:$E$19,2,FALSE)</f>
        <v>1073</v>
      </c>
      <c r="N3952">
        <f>VLOOKUP(F3952,Sheet2!$B$1:$E$19,3,FALSE)</f>
        <v>1108951</v>
      </c>
      <c r="O3952">
        <f>IF(G3952="Not available","",VLOOKUP(F3952,Sheet2!$B$1:$E$19,4,FALSE)+(G3952-1))</f>
        <v>3778822</v>
      </c>
    </row>
    <row r="3953" spans="1:15" s="1" customFormat="1" ht="15" customHeight="1" x14ac:dyDescent="0.25">
      <c r="A3953" s="18" t="s">
        <v>761</v>
      </c>
      <c r="B3953" s="18" t="s">
        <v>25</v>
      </c>
      <c r="C3953" s="5">
        <v>1838</v>
      </c>
      <c r="D3953" s="1" t="s">
        <v>44</v>
      </c>
      <c r="E3953" s="1" t="s">
        <v>2</v>
      </c>
      <c r="F3953" s="18">
        <v>2174</v>
      </c>
      <c r="G3953" s="18">
        <v>101</v>
      </c>
      <c r="H3953" s="6" t="s">
        <v>3170</v>
      </c>
      <c r="I3953" s="1">
        <v>202</v>
      </c>
      <c r="J3953" s="1">
        <v>237</v>
      </c>
      <c r="L3953" t="str">
        <f t="shared" si="61"/>
        <v>http://www.badatelna.eu/reprodukce/?fondId=1073&amp;zaznamId=1108960&amp;reproId=3780325</v>
      </c>
      <c r="M3953">
        <f>VLOOKUP(F3953,Sheet2!$B$1:$E$19,2,FALSE)</f>
        <v>1073</v>
      </c>
      <c r="N3953">
        <f>VLOOKUP(F3953,Sheet2!$B$1:$E$19,3,FALSE)</f>
        <v>1108960</v>
      </c>
      <c r="O3953">
        <f>IF(G3953="Not available","",VLOOKUP(F3953,Sheet2!$B$1:$E$19,4,FALSE)+(G3953-1))</f>
        <v>3780325</v>
      </c>
    </row>
    <row r="3954" spans="1:15" s="1" customFormat="1" ht="15" customHeight="1" x14ac:dyDescent="0.25">
      <c r="A3954" s="18" t="s">
        <v>922</v>
      </c>
      <c r="B3954" s="18" t="s">
        <v>477</v>
      </c>
      <c r="C3954" s="5">
        <v>1853</v>
      </c>
      <c r="D3954" s="1" t="s">
        <v>50</v>
      </c>
      <c r="E3954" s="1" t="s">
        <v>2</v>
      </c>
      <c r="F3954" s="18">
        <v>2164</v>
      </c>
      <c r="G3954" s="18">
        <v>92</v>
      </c>
      <c r="H3954" s="5">
        <v>90</v>
      </c>
      <c r="I3954" s="1">
        <v>139</v>
      </c>
      <c r="J3954" s="3" t="s">
        <v>3271</v>
      </c>
      <c r="L3954" t="str">
        <f t="shared" si="61"/>
        <v>http://www.badatelna.eu/reprodukce/?fondId=1073&amp;zaznamId=1108951&amp;reproId=3778806</v>
      </c>
      <c r="M3954">
        <f>VLOOKUP(F3954,Sheet2!$B$1:$E$19,2,FALSE)</f>
        <v>1073</v>
      </c>
      <c r="N3954">
        <f>VLOOKUP(F3954,Sheet2!$B$1:$E$19,3,FALSE)</f>
        <v>1108951</v>
      </c>
      <c r="O3954">
        <f>IF(G3954="Not available","",VLOOKUP(F3954,Sheet2!$B$1:$E$19,4,FALSE)+(G3954-1))</f>
        <v>3778806</v>
      </c>
    </row>
    <row r="3955" spans="1:15" s="1" customFormat="1" ht="15" customHeight="1" x14ac:dyDescent="0.25">
      <c r="A3955" s="18" t="s">
        <v>3011</v>
      </c>
      <c r="B3955" s="18" t="s">
        <v>11</v>
      </c>
      <c r="C3955" s="5">
        <v>1806</v>
      </c>
      <c r="E3955" s="1" t="s">
        <v>2</v>
      </c>
      <c r="F3955" s="18">
        <v>2173</v>
      </c>
      <c r="G3955" s="18">
        <v>51</v>
      </c>
      <c r="H3955" s="14" t="s">
        <v>3012</v>
      </c>
      <c r="I3955" s="1">
        <v>116</v>
      </c>
      <c r="J3955" s="1">
        <v>252</v>
      </c>
      <c r="L3955" t="str">
        <f t="shared" si="61"/>
        <v>http://www.badatelna.eu/reprodukce/?fondId=1073&amp;zaznamId=1108959&amp;reproId=3780044</v>
      </c>
      <c r="M3955">
        <f>VLOOKUP(F3955,Sheet2!$B$1:$E$19,2,FALSE)</f>
        <v>1073</v>
      </c>
      <c r="N3955">
        <f>VLOOKUP(F3955,Sheet2!$B$1:$E$19,3,FALSE)</f>
        <v>1108959</v>
      </c>
      <c r="O3955">
        <f>IF(G3955="Not available","",VLOOKUP(F3955,Sheet2!$B$1:$E$19,4,FALSE)+(G3955-1))</f>
        <v>3780044</v>
      </c>
    </row>
    <row r="3956" spans="1:15" s="1" customFormat="1" ht="15" customHeight="1" x14ac:dyDescent="0.25">
      <c r="A3956" s="18" t="s">
        <v>2743</v>
      </c>
      <c r="B3956" s="18" t="s">
        <v>1055</v>
      </c>
      <c r="C3956" s="10" t="s">
        <v>2036</v>
      </c>
      <c r="D3956" s="3" t="s">
        <v>2744</v>
      </c>
      <c r="E3956" s="4" t="s">
        <v>2</v>
      </c>
      <c r="F3956" s="18">
        <v>2176</v>
      </c>
      <c r="G3956" s="18" t="s">
        <v>3271</v>
      </c>
      <c r="H3956" s="10" t="s">
        <v>2470</v>
      </c>
      <c r="I3956" s="3">
        <v>44</v>
      </c>
      <c r="J3956" s="3" t="s">
        <v>3271</v>
      </c>
      <c r="K3956" s="3"/>
      <c r="L3956" t="str">
        <f t="shared" si="61"/>
        <v/>
      </c>
      <c r="M3956">
        <f>VLOOKUP(F3956,Sheet2!$B$1:$E$19,2,FALSE)</f>
        <v>1073</v>
      </c>
      <c r="N3956">
        <f>VLOOKUP(F3956,Sheet2!$B$1:$E$19,3,FALSE)</f>
        <v>1108963</v>
      </c>
      <c r="O3956" t="str">
        <f>IF(G3956="Not available","",VLOOKUP(F3956,Sheet2!$B$1:$E$19,4,FALSE)+(G3956-1))</f>
        <v/>
      </c>
    </row>
    <row r="3957" spans="1:15" s="1" customFormat="1" ht="15" customHeight="1" x14ac:dyDescent="0.25">
      <c r="A3957" s="18" t="s">
        <v>537</v>
      </c>
      <c r="B3957" s="18" t="s">
        <v>21</v>
      </c>
      <c r="C3957" s="5">
        <v>1798</v>
      </c>
      <c r="D3957" s="1" t="s">
        <v>95</v>
      </c>
      <c r="E3957" s="1" t="s">
        <v>2</v>
      </c>
      <c r="F3957" s="18">
        <v>2173</v>
      </c>
      <c r="G3957" s="18">
        <v>36</v>
      </c>
      <c r="H3957" s="5">
        <v>67</v>
      </c>
      <c r="I3957" s="1">
        <v>116</v>
      </c>
      <c r="J3957" s="1">
        <v>252</v>
      </c>
      <c r="L3957" t="str">
        <f t="shared" si="61"/>
        <v>http://www.badatelna.eu/reprodukce/?fondId=1073&amp;zaznamId=1108959&amp;reproId=3780029</v>
      </c>
      <c r="M3957">
        <f>VLOOKUP(F3957,Sheet2!$B$1:$E$19,2,FALSE)</f>
        <v>1073</v>
      </c>
      <c r="N3957">
        <f>VLOOKUP(F3957,Sheet2!$B$1:$E$19,3,FALSE)</f>
        <v>1108959</v>
      </c>
      <c r="O3957">
        <f>IF(G3957="Not available","",VLOOKUP(F3957,Sheet2!$B$1:$E$19,4,FALSE)+(G3957-1))</f>
        <v>3780029</v>
      </c>
    </row>
    <row r="3958" spans="1:15" s="1" customFormat="1" ht="15" customHeight="1" x14ac:dyDescent="0.25">
      <c r="A3958" s="19" t="s">
        <v>537</v>
      </c>
      <c r="B3958" s="18" t="s">
        <v>17</v>
      </c>
      <c r="C3958" s="5">
        <v>1797</v>
      </c>
      <c r="D3958" s="4" t="s">
        <v>2940</v>
      </c>
      <c r="E3958" s="1" t="s">
        <v>2</v>
      </c>
      <c r="F3958" s="18">
        <v>2173</v>
      </c>
      <c r="G3958" s="18">
        <v>35</v>
      </c>
      <c r="H3958" s="5">
        <v>65</v>
      </c>
      <c r="I3958" s="1">
        <v>116</v>
      </c>
      <c r="J3958" s="1">
        <v>252</v>
      </c>
      <c r="L3958" t="str">
        <f t="shared" si="61"/>
        <v>http://www.badatelna.eu/reprodukce/?fondId=1073&amp;zaznamId=1108959&amp;reproId=3780028</v>
      </c>
      <c r="M3958">
        <f>VLOOKUP(F3958,Sheet2!$B$1:$E$19,2,FALSE)</f>
        <v>1073</v>
      </c>
      <c r="N3958">
        <f>VLOOKUP(F3958,Sheet2!$B$1:$E$19,3,FALSE)</f>
        <v>1108959</v>
      </c>
      <c r="O3958">
        <f>IF(G3958="Not available","",VLOOKUP(F3958,Sheet2!$B$1:$E$19,4,FALSE)+(G3958-1))</f>
        <v>3780028</v>
      </c>
    </row>
    <row r="3959" spans="1:15" s="1" customFormat="1" ht="15" customHeight="1" x14ac:dyDescent="0.25">
      <c r="A3959" s="18" t="s">
        <v>555</v>
      </c>
      <c r="B3959" s="18" t="s">
        <v>637</v>
      </c>
      <c r="C3959" s="5">
        <v>1851</v>
      </c>
      <c r="D3959" s="1" t="s">
        <v>50</v>
      </c>
      <c r="E3959" s="1" t="s">
        <v>2</v>
      </c>
      <c r="F3959" s="18">
        <v>2164</v>
      </c>
      <c r="G3959" s="18">
        <v>73</v>
      </c>
      <c r="H3959" s="5">
        <v>71</v>
      </c>
      <c r="I3959" s="1">
        <v>139</v>
      </c>
      <c r="J3959" s="3" t="s">
        <v>3271</v>
      </c>
      <c r="L3959" t="str">
        <f t="shared" si="61"/>
        <v>http://www.badatelna.eu/reprodukce/?fondId=1073&amp;zaznamId=1108951&amp;reproId=3778787</v>
      </c>
      <c r="M3959">
        <f>VLOOKUP(F3959,Sheet2!$B$1:$E$19,2,FALSE)</f>
        <v>1073</v>
      </c>
      <c r="N3959">
        <f>VLOOKUP(F3959,Sheet2!$B$1:$E$19,3,FALSE)</f>
        <v>1108951</v>
      </c>
      <c r="O3959">
        <f>IF(G3959="Not available","",VLOOKUP(F3959,Sheet2!$B$1:$E$19,4,FALSE)+(G3959-1))</f>
        <v>3778787</v>
      </c>
    </row>
    <row r="3960" spans="1:15" s="1" customFormat="1" ht="15" customHeight="1" x14ac:dyDescent="0.25">
      <c r="A3960" s="18" t="s">
        <v>555</v>
      </c>
      <c r="B3960" s="18" t="s">
        <v>6</v>
      </c>
      <c r="C3960" s="5">
        <v>1823</v>
      </c>
      <c r="E3960" s="1" t="s">
        <v>2</v>
      </c>
      <c r="F3960" s="18">
        <v>2173</v>
      </c>
      <c r="G3960" s="18">
        <v>73</v>
      </c>
      <c r="H3960" s="5">
        <v>139</v>
      </c>
      <c r="I3960" s="1">
        <v>116</v>
      </c>
      <c r="J3960" s="1">
        <v>253</v>
      </c>
      <c r="L3960" t="str">
        <f t="shared" si="61"/>
        <v>http://www.badatelna.eu/reprodukce/?fondId=1073&amp;zaznamId=1108959&amp;reproId=3780066</v>
      </c>
      <c r="M3960">
        <f>VLOOKUP(F3960,Sheet2!$B$1:$E$19,2,FALSE)</f>
        <v>1073</v>
      </c>
      <c r="N3960">
        <f>VLOOKUP(F3960,Sheet2!$B$1:$E$19,3,FALSE)</f>
        <v>1108959</v>
      </c>
      <c r="O3960">
        <f>IF(G3960="Not available","",VLOOKUP(F3960,Sheet2!$B$1:$E$19,4,FALSE)+(G3960-1))</f>
        <v>3780066</v>
      </c>
    </row>
    <row r="3961" spans="1:15" s="1" customFormat="1" ht="15" customHeight="1" x14ac:dyDescent="0.25">
      <c r="A3961" s="18" t="s">
        <v>555</v>
      </c>
      <c r="B3961" s="18" t="s">
        <v>885</v>
      </c>
      <c r="C3961" s="5">
        <v>1847</v>
      </c>
      <c r="D3961" s="1" t="s">
        <v>44</v>
      </c>
      <c r="E3961" s="1" t="s">
        <v>2</v>
      </c>
      <c r="F3961" s="18">
        <v>2164</v>
      </c>
      <c r="G3961" s="18">
        <v>10</v>
      </c>
      <c r="H3961" s="5">
        <v>8</v>
      </c>
      <c r="I3961" s="1">
        <v>139</v>
      </c>
      <c r="J3961" s="3" t="s">
        <v>3271</v>
      </c>
      <c r="L3961" t="str">
        <f t="shared" si="61"/>
        <v>http://www.badatelna.eu/reprodukce/?fondId=1073&amp;zaznamId=1108951&amp;reproId=3778724</v>
      </c>
      <c r="M3961">
        <f>VLOOKUP(F3961,Sheet2!$B$1:$E$19,2,FALSE)</f>
        <v>1073</v>
      </c>
      <c r="N3961">
        <f>VLOOKUP(F3961,Sheet2!$B$1:$E$19,3,FALSE)</f>
        <v>1108951</v>
      </c>
      <c r="O3961">
        <f>IF(G3961="Not available","",VLOOKUP(F3961,Sheet2!$B$1:$E$19,4,FALSE)+(G3961-1))</f>
        <v>3778724</v>
      </c>
    </row>
    <row r="3962" spans="1:15" s="1" customFormat="1" ht="15" customHeight="1" x14ac:dyDescent="0.25">
      <c r="A3962" s="18" t="s">
        <v>555</v>
      </c>
      <c r="B3962" s="18" t="s">
        <v>1052</v>
      </c>
      <c r="C3962" s="10" t="s">
        <v>2052</v>
      </c>
      <c r="D3962" s="3" t="s">
        <v>2747</v>
      </c>
      <c r="E3962" s="4" t="s">
        <v>2</v>
      </c>
      <c r="F3962" s="18">
        <v>2176</v>
      </c>
      <c r="G3962" s="18" t="s">
        <v>3271</v>
      </c>
      <c r="H3962" s="10" t="s">
        <v>2075</v>
      </c>
      <c r="I3962" s="3">
        <v>44</v>
      </c>
      <c r="J3962" s="3" t="s">
        <v>3271</v>
      </c>
      <c r="K3962" s="3"/>
      <c r="L3962" t="str">
        <f t="shared" si="61"/>
        <v/>
      </c>
      <c r="M3962">
        <f>VLOOKUP(F3962,Sheet2!$B$1:$E$19,2,FALSE)</f>
        <v>1073</v>
      </c>
      <c r="N3962">
        <f>VLOOKUP(F3962,Sheet2!$B$1:$E$19,3,FALSE)</f>
        <v>1108963</v>
      </c>
      <c r="O3962" t="str">
        <f>IF(G3962="Not available","",VLOOKUP(F3962,Sheet2!$B$1:$E$19,4,FALSE)+(G3962-1))</f>
        <v/>
      </c>
    </row>
    <row r="3963" spans="1:15" s="1" customFormat="1" ht="15" customHeight="1" x14ac:dyDescent="0.25">
      <c r="A3963" s="18" t="s">
        <v>555</v>
      </c>
      <c r="B3963" s="18" t="s">
        <v>1052</v>
      </c>
      <c r="C3963" s="5">
        <v>1886</v>
      </c>
      <c r="D3963" s="1" t="s">
        <v>93</v>
      </c>
      <c r="E3963" s="1" t="s">
        <v>2</v>
      </c>
      <c r="F3963" s="18">
        <v>2165</v>
      </c>
      <c r="G3963" s="18">
        <v>207</v>
      </c>
      <c r="H3963" s="5">
        <v>1</v>
      </c>
      <c r="I3963" s="1">
        <v>211</v>
      </c>
      <c r="J3963" s="1">
        <v>187</v>
      </c>
      <c r="L3963" t="str">
        <f t="shared" si="61"/>
        <v>http://www.badatelna.eu/reprodukce/?fondId=1073&amp;zaznamId=1108952&amp;reproId=3779068</v>
      </c>
      <c r="M3963">
        <f>VLOOKUP(F3963,Sheet2!$B$1:$E$19,2,FALSE)</f>
        <v>1073</v>
      </c>
      <c r="N3963">
        <f>VLOOKUP(F3963,Sheet2!$B$1:$E$19,3,FALSE)</f>
        <v>1108952</v>
      </c>
      <c r="O3963">
        <f>IF(G3963="Not available","",VLOOKUP(F3963,Sheet2!$B$1:$E$19,4,FALSE)+(G3963-1))</f>
        <v>3779068</v>
      </c>
    </row>
    <row r="3964" spans="1:15" s="1" customFormat="1" ht="15" customHeight="1" x14ac:dyDescent="0.25">
      <c r="A3964" s="18" t="s">
        <v>555</v>
      </c>
      <c r="B3964" s="18" t="s">
        <v>212</v>
      </c>
      <c r="C3964" s="5">
        <v>1849</v>
      </c>
      <c r="D3964" s="1" t="s">
        <v>50</v>
      </c>
      <c r="E3964" s="1" t="s">
        <v>2</v>
      </c>
      <c r="F3964" s="18">
        <v>2164</v>
      </c>
      <c r="G3964" s="18">
        <v>42</v>
      </c>
      <c r="H3964" s="5">
        <v>40</v>
      </c>
      <c r="I3964" s="1">
        <v>139</v>
      </c>
      <c r="J3964" s="3" t="s">
        <v>3271</v>
      </c>
      <c r="L3964" t="str">
        <f t="shared" si="61"/>
        <v>http://www.badatelna.eu/reprodukce/?fondId=1073&amp;zaznamId=1108951&amp;reproId=3778756</v>
      </c>
      <c r="M3964">
        <f>VLOOKUP(F3964,Sheet2!$B$1:$E$19,2,FALSE)</f>
        <v>1073</v>
      </c>
      <c r="N3964">
        <f>VLOOKUP(F3964,Sheet2!$B$1:$E$19,3,FALSE)</f>
        <v>1108951</v>
      </c>
      <c r="O3964">
        <f>IF(G3964="Not available","",VLOOKUP(F3964,Sheet2!$B$1:$E$19,4,FALSE)+(G3964-1))</f>
        <v>3778756</v>
      </c>
    </row>
    <row r="3965" spans="1:15" s="1" customFormat="1" ht="15" customHeight="1" x14ac:dyDescent="0.25">
      <c r="A3965" s="18" t="s">
        <v>555</v>
      </c>
      <c r="B3965" s="18" t="s">
        <v>44</v>
      </c>
      <c r="C3965" s="5">
        <v>1802</v>
      </c>
      <c r="E3965" s="1" t="s">
        <v>2</v>
      </c>
      <c r="F3965" s="18">
        <v>2173</v>
      </c>
      <c r="G3965" s="18">
        <v>46</v>
      </c>
      <c r="H3965" s="5">
        <v>87</v>
      </c>
      <c r="I3965" s="1">
        <v>116</v>
      </c>
      <c r="J3965" s="1">
        <v>252</v>
      </c>
      <c r="L3965" t="str">
        <f t="shared" si="61"/>
        <v>http://www.badatelna.eu/reprodukce/?fondId=1073&amp;zaznamId=1108959&amp;reproId=3780039</v>
      </c>
      <c r="M3965">
        <f>VLOOKUP(F3965,Sheet2!$B$1:$E$19,2,FALSE)</f>
        <v>1073</v>
      </c>
      <c r="N3965">
        <f>VLOOKUP(F3965,Sheet2!$B$1:$E$19,3,FALSE)</f>
        <v>1108959</v>
      </c>
      <c r="O3965">
        <f>IF(G3965="Not available","",VLOOKUP(F3965,Sheet2!$B$1:$E$19,4,FALSE)+(G3965-1))</f>
        <v>3780039</v>
      </c>
    </row>
    <row r="3966" spans="1:15" s="1" customFormat="1" ht="15" customHeight="1" x14ac:dyDescent="0.25">
      <c r="A3966" s="18" t="s">
        <v>555</v>
      </c>
      <c r="B3966" s="18" t="s">
        <v>1055</v>
      </c>
      <c r="C3966" s="5">
        <v>1883</v>
      </c>
      <c r="D3966" s="1" t="s">
        <v>545</v>
      </c>
      <c r="E3966" s="1" t="s">
        <v>2</v>
      </c>
      <c r="F3966" s="18">
        <v>2165</v>
      </c>
      <c r="G3966" s="18">
        <v>188</v>
      </c>
      <c r="H3966" s="5">
        <v>4</v>
      </c>
      <c r="I3966" s="1">
        <v>191</v>
      </c>
      <c r="J3966" s="1">
        <v>168</v>
      </c>
      <c r="L3966" t="str">
        <f t="shared" si="61"/>
        <v>http://www.badatelna.eu/reprodukce/?fondId=1073&amp;zaznamId=1108952&amp;reproId=3779049</v>
      </c>
      <c r="M3966">
        <f>VLOOKUP(F3966,Sheet2!$B$1:$E$19,2,FALSE)</f>
        <v>1073</v>
      </c>
      <c r="N3966">
        <f>VLOOKUP(F3966,Sheet2!$B$1:$E$19,3,FALSE)</f>
        <v>1108952</v>
      </c>
      <c r="O3966">
        <f>IF(G3966="Not available","",VLOOKUP(F3966,Sheet2!$B$1:$E$19,4,FALSE)+(G3966-1))</f>
        <v>3779049</v>
      </c>
    </row>
    <row r="3967" spans="1:15" s="1" customFormat="1" ht="15" customHeight="1" x14ac:dyDescent="0.25">
      <c r="A3967" s="18" t="s">
        <v>555</v>
      </c>
      <c r="B3967" s="18" t="s">
        <v>911</v>
      </c>
      <c r="C3967" s="5">
        <v>1850</v>
      </c>
      <c r="D3967" s="1" t="s">
        <v>486</v>
      </c>
      <c r="E3967" s="1" t="s">
        <v>2</v>
      </c>
      <c r="F3967" s="18">
        <v>2164</v>
      </c>
      <c r="G3967" s="18">
        <v>67</v>
      </c>
      <c r="H3967" s="5">
        <v>65</v>
      </c>
      <c r="I3967" s="1">
        <v>139</v>
      </c>
      <c r="J3967" s="3" t="s">
        <v>3271</v>
      </c>
      <c r="L3967" t="str">
        <f t="shared" si="61"/>
        <v>http://www.badatelna.eu/reprodukce/?fondId=1073&amp;zaznamId=1108951&amp;reproId=3778781</v>
      </c>
      <c r="M3967">
        <f>VLOOKUP(F3967,Sheet2!$B$1:$E$19,2,FALSE)</f>
        <v>1073</v>
      </c>
      <c r="N3967">
        <f>VLOOKUP(F3967,Sheet2!$B$1:$E$19,3,FALSE)</f>
        <v>1108951</v>
      </c>
      <c r="O3967">
        <f>IF(G3967="Not available","",VLOOKUP(F3967,Sheet2!$B$1:$E$19,4,FALSE)+(G3967-1))</f>
        <v>3778781</v>
      </c>
    </row>
    <row r="3968" spans="1:15" s="1" customFormat="1" ht="15" customHeight="1" x14ac:dyDescent="0.25">
      <c r="A3968" s="18" t="s">
        <v>3041</v>
      </c>
      <c r="B3968" s="19" t="s">
        <v>3042</v>
      </c>
      <c r="C3968" s="5">
        <v>1792</v>
      </c>
      <c r="D3968" s="1" t="s">
        <v>166</v>
      </c>
      <c r="E3968" s="1" t="s">
        <v>2</v>
      </c>
      <c r="F3968" s="18">
        <v>2173</v>
      </c>
      <c r="G3968" s="18">
        <v>28</v>
      </c>
      <c r="H3968" s="5">
        <v>50</v>
      </c>
      <c r="I3968" s="1">
        <v>115</v>
      </c>
      <c r="J3968" s="1">
        <v>259</v>
      </c>
      <c r="L3968" t="str">
        <f t="shared" si="61"/>
        <v>http://www.badatelna.eu/reprodukce/?fondId=1073&amp;zaznamId=1108959&amp;reproId=3780021</v>
      </c>
      <c r="M3968">
        <f>VLOOKUP(F3968,Sheet2!$B$1:$E$19,2,FALSE)</f>
        <v>1073</v>
      </c>
      <c r="N3968">
        <f>VLOOKUP(F3968,Sheet2!$B$1:$E$19,3,FALSE)</f>
        <v>1108959</v>
      </c>
      <c r="O3968">
        <f>IF(G3968="Not available","",VLOOKUP(F3968,Sheet2!$B$1:$E$19,4,FALSE)+(G3968-1))</f>
        <v>3780021</v>
      </c>
    </row>
    <row r="3969" spans="1:15" s="1" customFormat="1" ht="15" customHeight="1" x14ac:dyDescent="0.25">
      <c r="A3969" s="18" t="s">
        <v>926</v>
      </c>
      <c r="B3969" s="18" t="s">
        <v>769</v>
      </c>
      <c r="C3969" s="5">
        <v>1854</v>
      </c>
      <c r="D3969" s="4" t="s">
        <v>2839</v>
      </c>
      <c r="E3969" s="1" t="s">
        <v>2</v>
      </c>
      <c r="F3969" s="18">
        <v>2164</v>
      </c>
      <c r="G3969" s="18">
        <v>96</v>
      </c>
      <c r="H3969" s="5">
        <v>94</v>
      </c>
      <c r="I3969" s="1">
        <v>139</v>
      </c>
      <c r="J3969" s="3" t="s">
        <v>3271</v>
      </c>
      <c r="L3969" t="str">
        <f t="shared" si="61"/>
        <v>http://www.badatelna.eu/reprodukce/?fondId=1073&amp;zaznamId=1108951&amp;reproId=3778810</v>
      </c>
      <c r="M3969">
        <f>VLOOKUP(F3969,Sheet2!$B$1:$E$19,2,FALSE)</f>
        <v>1073</v>
      </c>
      <c r="N3969">
        <f>VLOOKUP(F3969,Sheet2!$B$1:$E$19,3,FALSE)</f>
        <v>1108951</v>
      </c>
      <c r="O3969">
        <f>IF(G3969="Not available","",VLOOKUP(F3969,Sheet2!$B$1:$E$19,4,FALSE)+(G3969-1))</f>
        <v>3778810</v>
      </c>
    </row>
    <row r="3970" spans="1:15" s="1" customFormat="1" ht="15" customHeight="1" x14ac:dyDescent="0.25">
      <c r="A3970" s="18" t="s">
        <v>926</v>
      </c>
      <c r="B3970" s="18" t="s">
        <v>90</v>
      </c>
      <c r="C3970" s="5">
        <v>1857</v>
      </c>
      <c r="D3970" s="1" t="s">
        <v>58</v>
      </c>
      <c r="E3970" s="1" t="s">
        <v>2</v>
      </c>
      <c r="F3970" s="18">
        <v>2164</v>
      </c>
      <c r="G3970" s="18">
        <v>117</v>
      </c>
      <c r="H3970" s="5">
        <v>115</v>
      </c>
      <c r="I3970" s="1">
        <v>140</v>
      </c>
      <c r="J3970" s="3" t="s">
        <v>3271</v>
      </c>
      <c r="L3970" t="str">
        <f t="shared" si="61"/>
        <v>http://www.badatelna.eu/reprodukce/?fondId=1073&amp;zaznamId=1108951&amp;reproId=3778831</v>
      </c>
      <c r="M3970">
        <f>VLOOKUP(F3970,Sheet2!$B$1:$E$19,2,FALSE)</f>
        <v>1073</v>
      </c>
      <c r="N3970">
        <f>VLOOKUP(F3970,Sheet2!$B$1:$E$19,3,FALSE)</f>
        <v>1108951</v>
      </c>
      <c r="O3970">
        <f>IF(G3970="Not available","",VLOOKUP(F3970,Sheet2!$B$1:$E$19,4,FALSE)+(G3970-1))</f>
        <v>3778831</v>
      </c>
    </row>
    <row r="3971" spans="1:15" s="1" customFormat="1" ht="15" customHeight="1" x14ac:dyDescent="0.25">
      <c r="A3971" s="18" t="s">
        <v>972</v>
      </c>
      <c r="B3971" s="18" t="s">
        <v>50</v>
      </c>
      <c r="C3971" s="5">
        <v>1862</v>
      </c>
      <c r="E3971" s="1" t="s">
        <v>939</v>
      </c>
      <c r="F3971" s="18">
        <v>999</v>
      </c>
      <c r="G3971" s="18">
        <v>38</v>
      </c>
      <c r="H3971" s="5">
        <v>36</v>
      </c>
      <c r="I3971" s="1">
        <v>76</v>
      </c>
      <c r="J3971" s="1">
        <v>110</v>
      </c>
      <c r="L3971" t="str">
        <f t="shared" ref="L3971:L4034" si="62">IF(G3971="Not available","","http://www.badatelna.eu/reprodukce/?fondId="&amp;M3971&amp;"&amp;zaznamId="&amp;N3971&amp;"&amp;reproId="&amp;O3971)</f>
        <v>http://www.badatelna.eu/reprodukce/?fondId=241&amp;zaznamId=1133739&amp;reproId=3885767</v>
      </c>
      <c r="M3971">
        <f>VLOOKUP(F3971,Sheet2!$B$1:$E$19,2,FALSE)</f>
        <v>241</v>
      </c>
      <c r="N3971">
        <f>VLOOKUP(F3971,Sheet2!$B$1:$E$19,3,FALSE)</f>
        <v>1133739</v>
      </c>
      <c r="O3971">
        <f>IF(G3971="Not available","",VLOOKUP(F3971,Sheet2!$B$1:$E$19,4,FALSE)+(G3971-1))</f>
        <v>3885767</v>
      </c>
    </row>
    <row r="3972" spans="1:15" s="1" customFormat="1" ht="15" customHeight="1" x14ac:dyDescent="0.25">
      <c r="A3972" s="19" t="s">
        <v>3022</v>
      </c>
      <c r="B3972" s="18" t="s">
        <v>18</v>
      </c>
      <c r="C3972" s="5">
        <v>1813</v>
      </c>
      <c r="E3972" s="1" t="s">
        <v>2</v>
      </c>
      <c r="F3972" s="18">
        <v>2173</v>
      </c>
      <c r="G3972" s="18">
        <v>60</v>
      </c>
      <c r="H3972" s="5">
        <v>115</v>
      </c>
      <c r="I3972" s="1">
        <v>116</v>
      </c>
      <c r="J3972" s="1">
        <v>253</v>
      </c>
      <c r="L3972" t="str">
        <f t="shared" si="62"/>
        <v>http://www.badatelna.eu/reprodukce/?fondId=1073&amp;zaznamId=1108959&amp;reproId=3780053</v>
      </c>
      <c r="M3972">
        <f>VLOOKUP(F3972,Sheet2!$B$1:$E$19,2,FALSE)</f>
        <v>1073</v>
      </c>
      <c r="N3972">
        <f>VLOOKUP(F3972,Sheet2!$B$1:$E$19,3,FALSE)</f>
        <v>1108959</v>
      </c>
      <c r="O3972">
        <f>IF(G3972="Not available","",VLOOKUP(F3972,Sheet2!$B$1:$E$19,4,FALSE)+(G3972-1))</f>
        <v>3780053</v>
      </c>
    </row>
    <row r="3973" spans="1:15" s="1" customFormat="1" ht="15" customHeight="1" x14ac:dyDescent="0.25">
      <c r="A3973" s="18" t="s">
        <v>927</v>
      </c>
      <c r="B3973" s="18" t="s">
        <v>138</v>
      </c>
      <c r="C3973" s="5">
        <v>1851</v>
      </c>
      <c r="D3973" s="4" t="s">
        <v>2839</v>
      </c>
      <c r="E3973" s="1" t="s">
        <v>2</v>
      </c>
      <c r="F3973" s="18">
        <v>2164</v>
      </c>
      <c r="G3973" s="18">
        <v>78</v>
      </c>
      <c r="H3973" s="5">
        <v>76</v>
      </c>
      <c r="I3973" s="1">
        <v>139</v>
      </c>
      <c r="J3973" s="3" t="s">
        <v>3271</v>
      </c>
      <c r="L3973" t="str">
        <f t="shared" si="62"/>
        <v>http://www.badatelna.eu/reprodukce/?fondId=1073&amp;zaznamId=1108951&amp;reproId=3778792</v>
      </c>
      <c r="M3973">
        <f>VLOOKUP(F3973,Sheet2!$B$1:$E$19,2,FALSE)</f>
        <v>1073</v>
      </c>
      <c r="N3973">
        <f>VLOOKUP(F3973,Sheet2!$B$1:$E$19,3,FALSE)</f>
        <v>1108951</v>
      </c>
      <c r="O3973">
        <f>IF(G3973="Not available","",VLOOKUP(F3973,Sheet2!$B$1:$E$19,4,FALSE)+(G3973-1))</f>
        <v>3778792</v>
      </c>
    </row>
    <row r="3974" spans="1:15" s="1" customFormat="1" ht="15" customHeight="1" x14ac:dyDescent="0.25">
      <c r="A3974" s="19" t="s">
        <v>3038</v>
      </c>
      <c r="B3974" s="19" t="s">
        <v>182</v>
      </c>
      <c r="C3974" s="5">
        <v>1784</v>
      </c>
      <c r="D3974" s="4" t="s">
        <v>50</v>
      </c>
      <c r="E3974" s="1" t="s">
        <v>2</v>
      </c>
      <c r="F3974" s="18">
        <v>2173</v>
      </c>
      <c r="G3974" s="18">
        <v>3</v>
      </c>
      <c r="H3974" s="5">
        <v>1</v>
      </c>
      <c r="I3974" s="1">
        <v>115</v>
      </c>
      <c r="J3974" s="1">
        <v>259</v>
      </c>
      <c r="L3974" t="str">
        <f t="shared" si="62"/>
        <v>http://www.badatelna.eu/reprodukce/?fondId=1073&amp;zaznamId=1108959&amp;reproId=3779996</v>
      </c>
      <c r="M3974">
        <f>VLOOKUP(F3974,Sheet2!$B$1:$E$19,2,FALSE)</f>
        <v>1073</v>
      </c>
      <c r="N3974">
        <f>VLOOKUP(F3974,Sheet2!$B$1:$E$19,3,FALSE)</f>
        <v>1108959</v>
      </c>
      <c r="O3974">
        <f>IF(G3974="Not available","",VLOOKUP(F3974,Sheet2!$B$1:$E$19,4,FALSE)+(G3974-1))</f>
        <v>3779996</v>
      </c>
    </row>
    <row r="3975" spans="1:15" s="1" customFormat="1" ht="15" customHeight="1" x14ac:dyDescent="0.25">
      <c r="A3975" s="18" t="s">
        <v>533</v>
      </c>
      <c r="B3975" s="18" t="s">
        <v>557</v>
      </c>
      <c r="C3975" s="5">
        <v>1811</v>
      </c>
      <c r="E3975" s="1" t="s">
        <v>2</v>
      </c>
      <c r="F3975" s="18">
        <v>2173</v>
      </c>
      <c r="G3975" s="18">
        <v>57</v>
      </c>
      <c r="H3975" s="5">
        <v>109</v>
      </c>
      <c r="I3975" s="1">
        <v>116</v>
      </c>
      <c r="J3975" s="1">
        <v>253</v>
      </c>
      <c r="L3975" t="str">
        <f t="shared" si="62"/>
        <v>http://www.badatelna.eu/reprodukce/?fondId=1073&amp;zaznamId=1108959&amp;reproId=3780050</v>
      </c>
      <c r="M3975">
        <f>VLOOKUP(F3975,Sheet2!$B$1:$E$19,2,FALSE)</f>
        <v>1073</v>
      </c>
      <c r="N3975">
        <f>VLOOKUP(F3975,Sheet2!$B$1:$E$19,3,FALSE)</f>
        <v>1108959</v>
      </c>
      <c r="O3975">
        <f>IF(G3975="Not available","",VLOOKUP(F3975,Sheet2!$B$1:$E$19,4,FALSE)+(G3975-1))</f>
        <v>3780050</v>
      </c>
    </row>
    <row r="3976" spans="1:15" s="1" customFormat="1" ht="15" customHeight="1" x14ac:dyDescent="0.25">
      <c r="A3976" s="18" t="s">
        <v>533</v>
      </c>
      <c r="B3976" s="18" t="s">
        <v>34</v>
      </c>
      <c r="C3976" s="5">
        <v>1809</v>
      </c>
      <c r="E3976" s="1" t="s">
        <v>2</v>
      </c>
      <c r="F3976" s="18">
        <v>2173</v>
      </c>
      <c r="G3976" s="18">
        <v>55</v>
      </c>
      <c r="H3976" s="14" t="s">
        <v>3013</v>
      </c>
      <c r="I3976" s="1">
        <v>116</v>
      </c>
      <c r="J3976" s="1">
        <v>252</v>
      </c>
      <c r="L3976" t="str">
        <f t="shared" si="62"/>
        <v>http://www.badatelna.eu/reprodukce/?fondId=1073&amp;zaznamId=1108959&amp;reproId=3780048</v>
      </c>
      <c r="M3976">
        <f>VLOOKUP(F3976,Sheet2!$B$1:$E$19,2,FALSE)</f>
        <v>1073</v>
      </c>
      <c r="N3976">
        <f>VLOOKUP(F3976,Sheet2!$B$1:$E$19,3,FALSE)</f>
        <v>1108959</v>
      </c>
      <c r="O3976">
        <f>IF(G3976="Not available","",VLOOKUP(F3976,Sheet2!$B$1:$E$19,4,FALSE)+(G3976-1))</f>
        <v>3780048</v>
      </c>
    </row>
    <row r="3977" spans="1:15" s="1" customFormat="1" ht="15" customHeight="1" x14ac:dyDescent="0.25">
      <c r="A3977" s="18" t="s">
        <v>533</v>
      </c>
      <c r="B3977" s="18" t="s">
        <v>561</v>
      </c>
      <c r="C3977" s="5">
        <v>1815</v>
      </c>
      <c r="E3977" s="1" t="s">
        <v>2</v>
      </c>
      <c r="F3977" s="18">
        <v>2173</v>
      </c>
      <c r="G3977" s="18">
        <v>64</v>
      </c>
      <c r="H3977" s="5">
        <v>123</v>
      </c>
      <c r="I3977" s="1">
        <v>116</v>
      </c>
      <c r="J3977" s="1">
        <v>253</v>
      </c>
      <c r="L3977" t="str">
        <f t="shared" si="62"/>
        <v>http://www.badatelna.eu/reprodukce/?fondId=1073&amp;zaznamId=1108959&amp;reproId=3780057</v>
      </c>
      <c r="M3977">
        <f>VLOOKUP(F3977,Sheet2!$B$1:$E$19,2,FALSE)</f>
        <v>1073</v>
      </c>
      <c r="N3977">
        <f>VLOOKUP(F3977,Sheet2!$B$1:$E$19,3,FALSE)</f>
        <v>1108959</v>
      </c>
      <c r="O3977">
        <f>IF(G3977="Not available","",VLOOKUP(F3977,Sheet2!$B$1:$E$19,4,FALSE)+(G3977-1))</f>
        <v>3780057</v>
      </c>
    </row>
    <row r="3978" spans="1:15" s="1" customFormat="1" ht="15" customHeight="1" x14ac:dyDescent="0.25">
      <c r="A3978" s="18" t="s">
        <v>533</v>
      </c>
      <c r="B3978" s="18" t="s">
        <v>40</v>
      </c>
      <c r="C3978" s="5">
        <v>1815</v>
      </c>
      <c r="E3978" s="1" t="s">
        <v>2</v>
      </c>
      <c r="F3978" s="18">
        <v>2173</v>
      </c>
      <c r="G3978" s="18">
        <v>64</v>
      </c>
      <c r="H3978" s="5">
        <v>122</v>
      </c>
      <c r="I3978" s="1">
        <v>116</v>
      </c>
      <c r="J3978" s="1">
        <v>253</v>
      </c>
      <c r="L3978" t="str">
        <f t="shared" si="62"/>
        <v>http://www.badatelna.eu/reprodukce/?fondId=1073&amp;zaznamId=1108959&amp;reproId=3780057</v>
      </c>
      <c r="M3978">
        <f>VLOOKUP(F3978,Sheet2!$B$1:$E$19,2,FALSE)</f>
        <v>1073</v>
      </c>
      <c r="N3978">
        <f>VLOOKUP(F3978,Sheet2!$B$1:$E$19,3,FALSE)</f>
        <v>1108959</v>
      </c>
      <c r="O3978">
        <f>IF(G3978="Not available","",VLOOKUP(F3978,Sheet2!$B$1:$E$19,4,FALSE)+(G3978-1))</f>
        <v>3780057</v>
      </c>
    </row>
    <row r="3979" spans="1:15" s="1" customFormat="1" ht="15" customHeight="1" x14ac:dyDescent="0.25">
      <c r="A3979" s="18" t="s">
        <v>533</v>
      </c>
      <c r="B3979" s="18" t="s">
        <v>120</v>
      </c>
      <c r="C3979" s="5">
        <v>1809</v>
      </c>
      <c r="E3979" s="1" t="s">
        <v>2</v>
      </c>
      <c r="F3979" s="18">
        <v>2173</v>
      </c>
      <c r="G3979" s="18">
        <v>56</v>
      </c>
      <c r="H3979" s="14" t="s">
        <v>2982</v>
      </c>
      <c r="I3979" s="1">
        <v>116</v>
      </c>
      <c r="J3979" s="1">
        <v>252</v>
      </c>
      <c r="L3979" t="str">
        <f t="shared" si="62"/>
        <v>http://www.badatelna.eu/reprodukce/?fondId=1073&amp;zaznamId=1108959&amp;reproId=3780049</v>
      </c>
      <c r="M3979">
        <f>VLOOKUP(F3979,Sheet2!$B$1:$E$19,2,FALSE)</f>
        <v>1073</v>
      </c>
      <c r="N3979">
        <f>VLOOKUP(F3979,Sheet2!$B$1:$E$19,3,FALSE)</f>
        <v>1108959</v>
      </c>
      <c r="O3979">
        <f>IF(G3979="Not available","",VLOOKUP(F3979,Sheet2!$B$1:$E$19,4,FALSE)+(G3979-1))</f>
        <v>3780049</v>
      </c>
    </row>
    <row r="3980" spans="1:15" s="1" customFormat="1" ht="15" customHeight="1" x14ac:dyDescent="0.25">
      <c r="A3980" s="18" t="s">
        <v>533</v>
      </c>
      <c r="B3980" s="18" t="s">
        <v>26</v>
      </c>
      <c r="C3980" s="5">
        <v>1793</v>
      </c>
      <c r="D3980" s="1" t="s">
        <v>17</v>
      </c>
      <c r="E3980" s="1" t="s">
        <v>2</v>
      </c>
      <c r="F3980" s="18">
        <v>2173</v>
      </c>
      <c r="G3980" s="18">
        <v>30</v>
      </c>
      <c r="H3980" s="5">
        <v>54</v>
      </c>
      <c r="I3980" s="1">
        <v>115</v>
      </c>
      <c r="J3980" s="1">
        <v>259</v>
      </c>
      <c r="L3980" t="str">
        <f t="shared" si="62"/>
        <v>http://www.badatelna.eu/reprodukce/?fondId=1073&amp;zaznamId=1108959&amp;reproId=3780023</v>
      </c>
      <c r="M3980">
        <f>VLOOKUP(F3980,Sheet2!$B$1:$E$19,2,FALSE)</f>
        <v>1073</v>
      </c>
      <c r="N3980">
        <f>VLOOKUP(F3980,Sheet2!$B$1:$E$19,3,FALSE)</f>
        <v>1108959</v>
      </c>
      <c r="O3980">
        <f>IF(G3980="Not available","",VLOOKUP(F3980,Sheet2!$B$1:$E$19,4,FALSE)+(G3980-1))</f>
        <v>3780023</v>
      </c>
    </row>
    <row r="3981" spans="1:15" s="1" customFormat="1" ht="15" customHeight="1" x14ac:dyDescent="0.25">
      <c r="A3981" s="18" t="s">
        <v>533</v>
      </c>
      <c r="B3981" s="18" t="s">
        <v>56</v>
      </c>
      <c r="C3981" s="5">
        <v>1823</v>
      </c>
      <c r="E3981" s="1" t="s">
        <v>2</v>
      </c>
      <c r="F3981" s="18">
        <v>2173</v>
      </c>
      <c r="G3981" s="18">
        <v>75</v>
      </c>
      <c r="H3981" s="5">
        <v>142</v>
      </c>
      <c r="I3981" s="1">
        <v>116</v>
      </c>
      <c r="J3981" s="1">
        <v>253</v>
      </c>
      <c r="L3981" t="str">
        <f t="shared" si="62"/>
        <v>http://www.badatelna.eu/reprodukce/?fondId=1073&amp;zaznamId=1108959&amp;reproId=3780068</v>
      </c>
      <c r="M3981">
        <f>VLOOKUP(F3981,Sheet2!$B$1:$E$19,2,FALSE)</f>
        <v>1073</v>
      </c>
      <c r="N3981">
        <f>VLOOKUP(F3981,Sheet2!$B$1:$E$19,3,FALSE)</f>
        <v>1108959</v>
      </c>
      <c r="O3981">
        <f>IF(G3981="Not available","",VLOOKUP(F3981,Sheet2!$B$1:$E$19,4,FALSE)+(G3981-1))</f>
        <v>3780068</v>
      </c>
    </row>
    <row r="3982" spans="1:15" s="1" customFormat="1" ht="15" customHeight="1" x14ac:dyDescent="0.25">
      <c r="A3982" s="18" t="s">
        <v>533</v>
      </c>
      <c r="B3982" s="18" t="s">
        <v>49</v>
      </c>
      <c r="C3982" s="5">
        <v>1830</v>
      </c>
      <c r="E3982" s="1" t="s">
        <v>2</v>
      </c>
      <c r="F3982" s="18">
        <v>2173</v>
      </c>
      <c r="G3982" s="18">
        <v>84</v>
      </c>
      <c r="H3982" s="5">
        <v>158</v>
      </c>
      <c r="I3982" s="1">
        <v>117</v>
      </c>
      <c r="J3982" s="1">
        <v>254</v>
      </c>
      <c r="L3982" t="str">
        <f t="shared" si="62"/>
        <v>http://www.badatelna.eu/reprodukce/?fondId=1073&amp;zaznamId=1108959&amp;reproId=3780077</v>
      </c>
      <c r="M3982">
        <f>VLOOKUP(F3982,Sheet2!$B$1:$E$19,2,FALSE)</f>
        <v>1073</v>
      </c>
      <c r="N3982">
        <f>VLOOKUP(F3982,Sheet2!$B$1:$E$19,3,FALSE)</f>
        <v>1108959</v>
      </c>
      <c r="O3982">
        <f>IF(G3982="Not available","",VLOOKUP(F3982,Sheet2!$B$1:$E$19,4,FALSE)+(G3982-1))</f>
        <v>3780077</v>
      </c>
    </row>
    <row r="3983" spans="1:15" s="1" customFormat="1" ht="15" customHeight="1" x14ac:dyDescent="0.25">
      <c r="A3983" s="18" t="s">
        <v>533</v>
      </c>
      <c r="B3983" s="18" t="s">
        <v>1176</v>
      </c>
      <c r="C3983" s="5">
        <v>1815</v>
      </c>
      <c r="D3983" s="4" t="s">
        <v>566</v>
      </c>
      <c r="E3983" s="1" t="s">
        <v>2</v>
      </c>
      <c r="F3983" s="18">
        <v>2173</v>
      </c>
      <c r="G3983" s="18">
        <v>66</v>
      </c>
      <c r="H3983" s="5">
        <v>127</v>
      </c>
      <c r="I3983" s="1">
        <v>116</v>
      </c>
      <c r="J3983" s="1">
        <v>253</v>
      </c>
      <c r="L3983" t="str">
        <f t="shared" si="62"/>
        <v>http://www.badatelna.eu/reprodukce/?fondId=1073&amp;zaznamId=1108959&amp;reproId=3780059</v>
      </c>
      <c r="M3983">
        <f>VLOOKUP(F3983,Sheet2!$B$1:$E$19,2,FALSE)</f>
        <v>1073</v>
      </c>
      <c r="N3983">
        <f>VLOOKUP(F3983,Sheet2!$B$1:$E$19,3,FALSE)</f>
        <v>1108959</v>
      </c>
      <c r="O3983">
        <f>IF(G3983="Not available","",VLOOKUP(F3983,Sheet2!$B$1:$E$19,4,FALSE)+(G3983-1))</f>
        <v>3780059</v>
      </c>
    </row>
    <row r="3984" spans="1:15" s="1" customFormat="1" ht="15" customHeight="1" x14ac:dyDescent="0.25">
      <c r="A3984" s="18" t="s">
        <v>533</v>
      </c>
      <c r="B3984" s="18" t="s">
        <v>7</v>
      </c>
      <c r="C3984" s="5">
        <v>1817</v>
      </c>
      <c r="D3984" s="4" t="s">
        <v>93</v>
      </c>
      <c r="E3984" s="1" t="s">
        <v>2</v>
      </c>
      <c r="F3984" s="18">
        <v>2173</v>
      </c>
      <c r="G3984" s="18">
        <v>66</v>
      </c>
      <c r="H3984" s="5">
        <v>127</v>
      </c>
      <c r="I3984" s="1">
        <v>116</v>
      </c>
      <c r="J3984" s="1">
        <v>253</v>
      </c>
      <c r="L3984" t="str">
        <f t="shared" si="62"/>
        <v>http://www.badatelna.eu/reprodukce/?fondId=1073&amp;zaznamId=1108959&amp;reproId=3780059</v>
      </c>
      <c r="M3984">
        <f>VLOOKUP(F3984,Sheet2!$B$1:$E$19,2,FALSE)</f>
        <v>1073</v>
      </c>
      <c r="N3984">
        <f>VLOOKUP(F3984,Sheet2!$B$1:$E$19,3,FALSE)</f>
        <v>1108959</v>
      </c>
      <c r="O3984">
        <f>IF(G3984="Not available","",VLOOKUP(F3984,Sheet2!$B$1:$E$19,4,FALSE)+(G3984-1))</f>
        <v>3780059</v>
      </c>
    </row>
    <row r="3985" spans="1:15" s="1" customFormat="1" ht="15" customHeight="1" x14ac:dyDescent="0.25">
      <c r="A3985" s="18" t="s">
        <v>533</v>
      </c>
      <c r="B3985" s="18" t="s">
        <v>19</v>
      </c>
      <c r="C3985" s="5">
        <v>1798</v>
      </c>
      <c r="E3985" s="1" t="s">
        <v>2</v>
      </c>
      <c r="F3985" s="18">
        <v>2173</v>
      </c>
      <c r="G3985" s="18">
        <v>40</v>
      </c>
      <c r="H3985" s="5">
        <v>74</v>
      </c>
      <c r="I3985" s="1">
        <v>116</v>
      </c>
      <c r="J3985" s="1">
        <v>252</v>
      </c>
      <c r="L3985" t="str">
        <f t="shared" si="62"/>
        <v>http://www.badatelna.eu/reprodukce/?fondId=1073&amp;zaznamId=1108959&amp;reproId=3780033</v>
      </c>
      <c r="M3985">
        <f>VLOOKUP(F3985,Sheet2!$B$1:$E$19,2,FALSE)</f>
        <v>1073</v>
      </c>
      <c r="N3985">
        <f>VLOOKUP(F3985,Sheet2!$B$1:$E$19,3,FALSE)</f>
        <v>1108959</v>
      </c>
      <c r="O3985">
        <f>IF(G3985="Not available","",VLOOKUP(F3985,Sheet2!$B$1:$E$19,4,FALSE)+(G3985-1))</f>
        <v>3780033</v>
      </c>
    </row>
    <row r="3986" spans="1:15" s="1" customFormat="1" ht="15" customHeight="1" x14ac:dyDescent="0.25">
      <c r="A3986" s="18" t="s">
        <v>533</v>
      </c>
      <c r="B3986" s="18" t="s">
        <v>21</v>
      </c>
      <c r="C3986" s="5">
        <v>1801</v>
      </c>
      <c r="E3986" s="1" t="s">
        <v>2</v>
      </c>
      <c r="F3986" s="18">
        <v>2173</v>
      </c>
      <c r="G3986" s="18">
        <v>44</v>
      </c>
      <c r="H3986" s="5">
        <v>82</v>
      </c>
      <c r="I3986" s="1">
        <v>116</v>
      </c>
      <c r="J3986" s="1">
        <v>252</v>
      </c>
      <c r="L3986" t="str">
        <f t="shared" si="62"/>
        <v>http://www.badatelna.eu/reprodukce/?fondId=1073&amp;zaznamId=1108959&amp;reproId=3780037</v>
      </c>
      <c r="M3986">
        <f>VLOOKUP(F3986,Sheet2!$B$1:$E$19,2,FALSE)</f>
        <v>1073</v>
      </c>
      <c r="N3986">
        <f>VLOOKUP(F3986,Sheet2!$B$1:$E$19,3,FALSE)</f>
        <v>1108959</v>
      </c>
      <c r="O3986">
        <f>IF(G3986="Not available","",VLOOKUP(F3986,Sheet2!$B$1:$E$19,4,FALSE)+(G3986-1))</f>
        <v>3780037</v>
      </c>
    </row>
    <row r="3987" spans="1:15" s="1" customFormat="1" ht="15" customHeight="1" x14ac:dyDescent="0.25">
      <c r="A3987" s="18" t="s">
        <v>533</v>
      </c>
      <c r="B3987" s="18" t="s">
        <v>21</v>
      </c>
      <c r="C3987" s="5">
        <v>1828</v>
      </c>
      <c r="E3987" s="1" t="s">
        <v>2</v>
      </c>
      <c r="F3987" s="18">
        <v>2173</v>
      </c>
      <c r="G3987" s="18">
        <v>81</v>
      </c>
      <c r="H3987" s="5">
        <v>154</v>
      </c>
      <c r="I3987" s="1">
        <v>117</v>
      </c>
      <c r="J3987" s="1">
        <v>254</v>
      </c>
      <c r="L3987" t="str">
        <f t="shared" si="62"/>
        <v>http://www.badatelna.eu/reprodukce/?fondId=1073&amp;zaznamId=1108959&amp;reproId=3780074</v>
      </c>
      <c r="M3987">
        <f>VLOOKUP(F3987,Sheet2!$B$1:$E$19,2,FALSE)</f>
        <v>1073</v>
      </c>
      <c r="N3987">
        <f>VLOOKUP(F3987,Sheet2!$B$1:$E$19,3,FALSE)</f>
        <v>1108959</v>
      </c>
      <c r="O3987">
        <f>IF(G3987="Not available","",VLOOKUP(F3987,Sheet2!$B$1:$E$19,4,FALSE)+(G3987-1))</f>
        <v>3780074</v>
      </c>
    </row>
    <row r="3988" spans="1:15" s="1" customFormat="1" ht="15" customHeight="1" x14ac:dyDescent="0.25">
      <c r="A3988" s="18" t="s">
        <v>533</v>
      </c>
      <c r="B3988" s="18" t="s">
        <v>3014</v>
      </c>
      <c r="C3988" s="5">
        <v>1809</v>
      </c>
      <c r="E3988" s="1" t="s">
        <v>2</v>
      </c>
      <c r="F3988" s="18">
        <v>2173</v>
      </c>
      <c r="G3988" s="18">
        <v>56</v>
      </c>
      <c r="H3988" s="14" t="s">
        <v>2982</v>
      </c>
      <c r="I3988" s="1">
        <v>116</v>
      </c>
      <c r="J3988" s="1">
        <v>252</v>
      </c>
      <c r="L3988" t="str">
        <f t="shared" si="62"/>
        <v>http://www.badatelna.eu/reprodukce/?fondId=1073&amp;zaznamId=1108959&amp;reproId=3780049</v>
      </c>
      <c r="M3988">
        <f>VLOOKUP(F3988,Sheet2!$B$1:$E$19,2,FALSE)</f>
        <v>1073</v>
      </c>
      <c r="N3988">
        <f>VLOOKUP(F3988,Sheet2!$B$1:$E$19,3,FALSE)</f>
        <v>1108959</v>
      </c>
      <c r="O3988">
        <f>IF(G3988="Not available","",VLOOKUP(F3988,Sheet2!$B$1:$E$19,4,FALSE)+(G3988-1))</f>
        <v>3780049</v>
      </c>
    </row>
    <row r="3989" spans="1:15" s="1" customFormat="1" ht="15" customHeight="1" x14ac:dyDescent="0.25">
      <c r="A3989" s="19" t="s">
        <v>533</v>
      </c>
      <c r="B3989" s="18" t="s">
        <v>536</v>
      </c>
      <c r="C3989" s="5">
        <v>1796</v>
      </c>
      <c r="D3989" s="1" t="s">
        <v>50</v>
      </c>
      <c r="E3989" s="1" t="s">
        <v>2</v>
      </c>
      <c r="F3989" s="18">
        <v>2173</v>
      </c>
      <c r="G3989" s="18">
        <v>34</v>
      </c>
      <c r="H3989" s="5">
        <v>62</v>
      </c>
      <c r="I3989" s="1">
        <v>115</v>
      </c>
      <c r="J3989" s="1">
        <v>259</v>
      </c>
      <c r="L3989" t="str">
        <f t="shared" si="62"/>
        <v>http://www.badatelna.eu/reprodukce/?fondId=1073&amp;zaznamId=1108959&amp;reproId=3780027</v>
      </c>
      <c r="M3989">
        <f>VLOOKUP(F3989,Sheet2!$B$1:$E$19,2,FALSE)</f>
        <v>1073</v>
      </c>
      <c r="N3989">
        <f>VLOOKUP(F3989,Sheet2!$B$1:$E$19,3,FALSE)</f>
        <v>1108959</v>
      </c>
      <c r="O3989">
        <f>IF(G3989="Not available","",VLOOKUP(F3989,Sheet2!$B$1:$E$19,4,FALSE)+(G3989-1))</f>
        <v>3780027</v>
      </c>
    </row>
    <row r="3990" spans="1:15" s="1" customFormat="1" ht="15" customHeight="1" x14ac:dyDescent="0.25">
      <c r="A3990" s="18" t="s">
        <v>533</v>
      </c>
      <c r="B3990" s="18" t="s">
        <v>96</v>
      </c>
      <c r="C3990" s="5">
        <v>1803</v>
      </c>
      <c r="E3990" s="1" t="s">
        <v>2</v>
      </c>
      <c r="F3990" s="18">
        <v>2173</v>
      </c>
      <c r="G3990" s="18">
        <v>47</v>
      </c>
      <c r="H3990" s="5">
        <v>88</v>
      </c>
      <c r="I3990" s="1">
        <v>116</v>
      </c>
      <c r="J3990" s="1">
        <v>252</v>
      </c>
      <c r="L3990" t="str">
        <f t="shared" si="62"/>
        <v>http://www.badatelna.eu/reprodukce/?fondId=1073&amp;zaznamId=1108959&amp;reproId=3780040</v>
      </c>
      <c r="M3990">
        <f>VLOOKUP(F3990,Sheet2!$B$1:$E$19,2,FALSE)</f>
        <v>1073</v>
      </c>
      <c r="N3990">
        <f>VLOOKUP(F3990,Sheet2!$B$1:$E$19,3,FALSE)</f>
        <v>1108959</v>
      </c>
      <c r="O3990">
        <f>IF(G3990="Not available","",VLOOKUP(F3990,Sheet2!$B$1:$E$19,4,FALSE)+(G3990-1))</f>
        <v>3780040</v>
      </c>
    </row>
    <row r="3991" spans="1:15" s="1" customFormat="1" ht="15" customHeight="1" x14ac:dyDescent="0.25">
      <c r="A3991" s="18" t="s">
        <v>533</v>
      </c>
      <c r="B3991" s="18" t="s">
        <v>17</v>
      </c>
      <c r="C3991" s="5">
        <v>1822</v>
      </c>
      <c r="E3991" s="1" t="s">
        <v>2</v>
      </c>
      <c r="F3991" s="18">
        <v>2173</v>
      </c>
      <c r="G3991" s="18">
        <v>73</v>
      </c>
      <c r="H3991" s="5">
        <v>138</v>
      </c>
      <c r="I3991" s="1">
        <v>116</v>
      </c>
      <c r="J3991" s="1">
        <v>253</v>
      </c>
      <c r="L3991" t="str">
        <f t="shared" si="62"/>
        <v>http://www.badatelna.eu/reprodukce/?fondId=1073&amp;zaznamId=1108959&amp;reproId=3780066</v>
      </c>
      <c r="M3991">
        <f>VLOOKUP(F3991,Sheet2!$B$1:$E$19,2,FALSE)</f>
        <v>1073</v>
      </c>
      <c r="N3991">
        <f>VLOOKUP(F3991,Sheet2!$B$1:$E$19,3,FALSE)</f>
        <v>1108959</v>
      </c>
      <c r="O3991">
        <f>IF(G3991="Not available","",VLOOKUP(F3991,Sheet2!$B$1:$E$19,4,FALSE)+(G3991-1))</f>
        <v>3780066</v>
      </c>
    </row>
    <row r="3992" spans="1:15" s="1" customFormat="1" ht="15" customHeight="1" x14ac:dyDescent="0.25">
      <c r="A3992" s="18" t="s">
        <v>533</v>
      </c>
      <c r="B3992" s="18" t="s">
        <v>23</v>
      </c>
      <c r="C3992" s="5">
        <v>1812</v>
      </c>
      <c r="E3992" s="1" t="s">
        <v>2</v>
      </c>
      <c r="F3992" s="18">
        <v>2173</v>
      </c>
      <c r="G3992" s="18">
        <v>60</v>
      </c>
      <c r="H3992" s="5">
        <v>114</v>
      </c>
      <c r="I3992" s="1">
        <v>116</v>
      </c>
      <c r="J3992" s="1">
        <v>253</v>
      </c>
      <c r="L3992" t="str">
        <f t="shared" si="62"/>
        <v>http://www.badatelna.eu/reprodukce/?fondId=1073&amp;zaznamId=1108959&amp;reproId=3780053</v>
      </c>
      <c r="M3992">
        <f>VLOOKUP(F3992,Sheet2!$B$1:$E$19,2,FALSE)</f>
        <v>1073</v>
      </c>
      <c r="N3992">
        <f>VLOOKUP(F3992,Sheet2!$B$1:$E$19,3,FALSE)</f>
        <v>1108959</v>
      </c>
      <c r="O3992">
        <f>IF(G3992="Not available","",VLOOKUP(F3992,Sheet2!$B$1:$E$19,4,FALSE)+(G3992-1))</f>
        <v>3780053</v>
      </c>
    </row>
    <row r="3993" spans="1:15" s="1" customFormat="1" ht="15" customHeight="1" x14ac:dyDescent="0.25">
      <c r="A3993" s="18" t="s">
        <v>530</v>
      </c>
      <c r="B3993" s="18" t="s">
        <v>50</v>
      </c>
      <c r="C3993" s="5">
        <v>1837</v>
      </c>
      <c r="D3993" s="1" t="s">
        <v>93</v>
      </c>
      <c r="E3993" s="1" t="s">
        <v>2</v>
      </c>
      <c r="F3993" s="18">
        <v>2174</v>
      </c>
      <c r="G3993" s="18">
        <v>92</v>
      </c>
      <c r="H3993" s="6" t="s">
        <v>3160</v>
      </c>
      <c r="I3993" s="1">
        <v>202</v>
      </c>
      <c r="J3993" s="1">
        <v>237</v>
      </c>
      <c r="L3993" t="str">
        <f t="shared" si="62"/>
        <v>http://www.badatelna.eu/reprodukce/?fondId=1073&amp;zaznamId=1108960&amp;reproId=3780316</v>
      </c>
      <c r="M3993">
        <f>VLOOKUP(F3993,Sheet2!$B$1:$E$19,2,FALSE)</f>
        <v>1073</v>
      </c>
      <c r="N3993">
        <f>VLOOKUP(F3993,Sheet2!$B$1:$E$19,3,FALSE)</f>
        <v>1108960</v>
      </c>
      <c r="O3993">
        <f>IF(G3993="Not available","",VLOOKUP(F3993,Sheet2!$B$1:$E$19,4,FALSE)+(G3993-1))</f>
        <v>3780316</v>
      </c>
    </row>
    <row r="3994" spans="1:15" s="1" customFormat="1" ht="15" customHeight="1" x14ac:dyDescent="0.25">
      <c r="A3994" s="18" t="s">
        <v>530</v>
      </c>
      <c r="B3994" s="18" t="s">
        <v>486</v>
      </c>
      <c r="C3994" s="5">
        <v>1842</v>
      </c>
      <c r="D3994" s="1" t="s">
        <v>93</v>
      </c>
      <c r="E3994" s="1" t="s">
        <v>2</v>
      </c>
      <c r="F3994" s="18">
        <v>2174</v>
      </c>
      <c r="G3994" s="18">
        <v>125</v>
      </c>
      <c r="H3994" s="6" t="s">
        <v>3197</v>
      </c>
      <c r="I3994" s="1">
        <v>202</v>
      </c>
      <c r="J3994" s="1">
        <v>238</v>
      </c>
      <c r="L3994" t="str">
        <f t="shared" si="62"/>
        <v>http://www.badatelna.eu/reprodukce/?fondId=1073&amp;zaznamId=1108960&amp;reproId=3780349</v>
      </c>
      <c r="M3994">
        <f>VLOOKUP(F3994,Sheet2!$B$1:$E$19,2,FALSE)</f>
        <v>1073</v>
      </c>
      <c r="N3994">
        <f>VLOOKUP(F3994,Sheet2!$B$1:$E$19,3,FALSE)</f>
        <v>1108960</v>
      </c>
      <c r="O3994">
        <f>IF(G3994="Not available","",VLOOKUP(F3994,Sheet2!$B$1:$E$19,4,FALSE)+(G3994-1))</f>
        <v>3780349</v>
      </c>
    </row>
    <row r="3995" spans="1:15" s="1" customFormat="1" ht="15" customHeight="1" x14ac:dyDescent="0.25">
      <c r="A3995" s="18" t="s">
        <v>530</v>
      </c>
      <c r="B3995" s="18" t="s">
        <v>632</v>
      </c>
      <c r="C3995" s="5">
        <v>1853</v>
      </c>
      <c r="D3995" s="1" t="s">
        <v>8</v>
      </c>
      <c r="E3995" s="1" t="s">
        <v>2</v>
      </c>
      <c r="F3995" s="18">
        <v>2164</v>
      </c>
      <c r="G3995" s="18">
        <v>91</v>
      </c>
      <c r="H3995" s="5">
        <v>89</v>
      </c>
      <c r="I3995" s="1">
        <v>139</v>
      </c>
      <c r="J3995" s="3" t="s">
        <v>3271</v>
      </c>
      <c r="L3995" t="str">
        <f t="shared" si="62"/>
        <v>http://www.badatelna.eu/reprodukce/?fondId=1073&amp;zaznamId=1108951&amp;reproId=3778805</v>
      </c>
      <c r="M3995">
        <f>VLOOKUP(F3995,Sheet2!$B$1:$E$19,2,FALSE)</f>
        <v>1073</v>
      </c>
      <c r="N3995">
        <f>VLOOKUP(F3995,Sheet2!$B$1:$E$19,3,FALSE)</f>
        <v>1108951</v>
      </c>
      <c r="O3995">
        <f>IF(G3995="Not available","",VLOOKUP(F3995,Sheet2!$B$1:$E$19,4,FALSE)+(G3995-1))</f>
        <v>3778805</v>
      </c>
    </row>
    <row r="3996" spans="1:15" s="1" customFormat="1" ht="15" customHeight="1" x14ac:dyDescent="0.25">
      <c r="A3996" s="18" t="s">
        <v>530</v>
      </c>
      <c r="B3996" s="18" t="s">
        <v>74</v>
      </c>
      <c r="C3996" s="5">
        <v>1825</v>
      </c>
      <c r="E3996" s="1" t="s">
        <v>2</v>
      </c>
      <c r="F3996" s="18">
        <v>2173</v>
      </c>
      <c r="G3996" s="18">
        <v>77</v>
      </c>
      <c r="H3996" s="5">
        <v>146</v>
      </c>
      <c r="I3996" s="1">
        <v>116</v>
      </c>
      <c r="J3996" s="1">
        <v>253</v>
      </c>
      <c r="L3996" t="str">
        <f t="shared" si="62"/>
        <v>http://www.badatelna.eu/reprodukce/?fondId=1073&amp;zaznamId=1108959&amp;reproId=3780070</v>
      </c>
      <c r="M3996">
        <f>VLOOKUP(F3996,Sheet2!$B$1:$E$19,2,FALSE)</f>
        <v>1073</v>
      </c>
      <c r="N3996">
        <f>VLOOKUP(F3996,Sheet2!$B$1:$E$19,3,FALSE)</f>
        <v>1108959</v>
      </c>
      <c r="O3996">
        <f>IF(G3996="Not available","",VLOOKUP(F3996,Sheet2!$B$1:$E$19,4,FALSE)+(G3996-1))</f>
        <v>3780070</v>
      </c>
    </row>
    <row r="3997" spans="1:15" s="1" customFormat="1" ht="15" customHeight="1" x14ac:dyDescent="0.25">
      <c r="A3997" s="18" t="s">
        <v>530</v>
      </c>
      <c r="B3997" s="18" t="s">
        <v>753</v>
      </c>
      <c r="C3997" s="5">
        <v>1832</v>
      </c>
      <c r="D3997" s="1" t="s">
        <v>143</v>
      </c>
      <c r="E3997" s="1" t="s">
        <v>2</v>
      </c>
      <c r="F3997" s="18">
        <v>2174</v>
      </c>
      <c r="G3997" s="18">
        <v>68</v>
      </c>
      <c r="H3997" s="6" t="s">
        <v>3112</v>
      </c>
      <c r="I3997" s="1">
        <v>201</v>
      </c>
      <c r="J3997" s="1">
        <v>236</v>
      </c>
      <c r="L3997" t="str">
        <f t="shared" si="62"/>
        <v>http://www.badatelna.eu/reprodukce/?fondId=1073&amp;zaznamId=1108960&amp;reproId=3780292</v>
      </c>
      <c r="M3997">
        <f>VLOOKUP(F3997,Sheet2!$B$1:$E$19,2,FALSE)</f>
        <v>1073</v>
      </c>
      <c r="N3997">
        <f>VLOOKUP(F3997,Sheet2!$B$1:$E$19,3,FALSE)</f>
        <v>1108960</v>
      </c>
      <c r="O3997">
        <f>IF(G3997="Not available","",VLOOKUP(F3997,Sheet2!$B$1:$E$19,4,FALSE)+(G3997-1))</f>
        <v>3780292</v>
      </c>
    </row>
    <row r="3998" spans="1:15" s="1" customFormat="1" ht="15" customHeight="1" x14ac:dyDescent="0.25">
      <c r="A3998" s="18" t="s">
        <v>530</v>
      </c>
      <c r="B3998" s="18" t="s">
        <v>985</v>
      </c>
      <c r="C3998" s="5" t="s">
        <v>1827</v>
      </c>
      <c r="D3998" s="1" t="s">
        <v>201</v>
      </c>
      <c r="E3998" s="1" t="s">
        <v>2</v>
      </c>
      <c r="F3998" s="18">
        <v>2165</v>
      </c>
      <c r="G3998" s="18">
        <v>247</v>
      </c>
      <c r="H3998" s="5">
        <v>1</v>
      </c>
      <c r="I3998" s="1">
        <v>251</v>
      </c>
      <c r="J3998" s="1">
        <v>227</v>
      </c>
      <c r="L3998" t="str">
        <f t="shared" si="62"/>
        <v>http://www.badatelna.eu/reprodukce/?fondId=1073&amp;zaznamId=1108952&amp;reproId=3779108</v>
      </c>
      <c r="M3998">
        <f>VLOOKUP(F3998,Sheet2!$B$1:$E$19,2,FALSE)</f>
        <v>1073</v>
      </c>
      <c r="N3998">
        <f>VLOOKUP(F3998,Sheet2!$B$1:$E$19,3,FALSE)</f>
        <v>1108952</v>
      </c>
      <c r="O3998">
        <f>IF(G3998="Not available","",VLOOKUP(F3998,Sheet2!$B$1:$E$19,4,FALSE)+(G3998-1))</f>
        <v>3779108</v>
      </c>
    </row>
    <row r="3999" spans="1:15" s="1" customFormat="1" ht="15" customHeight="1" x14ac:dyDescent="0.25">
      <c r="A3999" s="18" t="s">
        <v>530</v>
      </c>
      <c r="B3999" s="18" t="s">
        <v>2154</v>
      </c>
      <c r="C3999" s="10" t="s">
        <v>2081</v>
      </c>
      <c r="D3999" s="3" t="s">
        <v>2746</v>
      </c>
      <c r="E3999" s="4" t="s">
        <v>2</v>
      </c>
      <c r="F3999" s="18">
        <v>2176</v>
      </c>
      <c r="G3999" s="18" t="s">
        <v>3271</v>
      </c>
      <c r="H3999" s="10" t="s">
        <v>2145</v>
      </c>
      <c r="I3999" s="3">
        <v>44</v>
      </c>
      <c r="J3999" s="3" t="s">
        <v>3271</v>
      </c>
      <c r="K3999" s="3"/>
      <c r="L3999" t="str">
        <f t="shared" si="62"/>
        <v/>
      </c>
      <c r="M3999">
        <f>VLOOKUP(F3999,Sheet2!$B$1:$E$19,2,FALSE)</f>
        <v>1073</v>
      </c>
      <c r="N3999">
        <f>VLOOKUP(F3999,Sheet2!$B$1:$E$19,3,FALSE)</f>
        <v>1108963</v>
      </c>
      <c r="O3999" t="str">
        <f>IF(G3999="Not available","",VLOOKUP(F3999,Sheet2!$B$1:$E$19,4,FALSE)+(G3999-1))</f>
        <v/>
      </c>
    </row>
    <row r="4000" spans="1:15" s="1" customFormat="1" ht="15" customHeight="1" x14ac:dyDescent="0.25">
      <c r="A4000" s="18" t="s">
        <v>530</v>
      </c>
      <c r="B4000" s="18" t="s">
        <v>2096</v>
      </c>
      <c r="C4000" s="10" t="s">
        <v>2087</v>
      </c>
      <c r="D4000" s="3" t="s">
        <v>2746</v>
      </c>
      <c r="E4000" s="4" t="s">
        <v>2</v>
      </c>
      <c r="F4000" s="18">
        <v>2176</v>
      </c>
      <c r="G4000" s="18" t="s">
        <v>3271</v>
      </c>
      <c r="H4000" s="10" t="s">
        <v>1955</v>
      </c>
      <c r="I4000" s="3">
        <v>44</v>
      </c>
      <c r="J4000" s="3" t="s">
        <v>3271</v>
      </c>
      <c r="K4000" s="3"/>
      <c r="L4000" t="str">
        <f t="shared" si="62"/>
        <v/>
      </c>
      <c r="M4000">
        <f>VLOOKUP(F4000,Sheet2!$B$1:$E$19,2,FALSE)</f>
        <v>1073</v>
      </c>
      <c r="N4000">
        <f>VLOOKUP(F4000,Sheet2!$B$1:$E$19,3,FALSE)</f>
        <v>1108963</v>
      </c>
      <c r="O4000" t="str">
        <f>IF(G4000="Not available","",VLOOKUP(F4000,Sheet2!$B$1:$E$19,4,FALSE)+(G4000-1))</f>
        <v/>
      </c>
    </row>
    <row r="4001" spans="1:15" s="1" customFormat="1" ht="15" customHeight="1" x14ac:dyDescent="0.25">
      <c r="A4001" s="18" t="s">
        <v>530</v>
      </c>
      <c r="B4001" s="18" t="s">
        <v>897</v>
      </c>
      <c r="C4001" s="5" t="s">
        <v>1619</v>
      </c>
      <c r="D4001" s="1" t="s">
        <v>50</v>
      </c>
      <c r="E4001" s="1" t="s">
        <v>2</v>
      </c>
      <c r="F4001" s="18">
        <v>2165</v>
      </c>
      <c r="G4001" s="18">
        <v>32</v>
      </c>
      <c r="H4001" s="5">
        <v>29</v>
      </c>
      <c r="I4001" s="1">
        <v>92</v>
      </c>
      <c r="J4001" s="1" t="s">
        <v>3271</v>
      </c>
      <c r="L4001" t="str">
        <f t="shared" si="62"/>
        <v>http://www.badatelna.eu/reprodukce/?fondId=1073&amp;zaznamId=1108952&amp;reproId=3778893</v>
      </c>
      <c r="M4001">
        <f>VLOOKUP(F4001,Sheet2!$B$1:$E$19,2,FALSE)</f>
        <v>1073</v>
      </c>
      <c r="N4001">
        <f>VLOOKUP(F4001,Sheet2!$B$1:$E$19,3,FALSE)</f>
        <v>1108952</v>
      </c>
      <c r="O4001">
        <f>IF(G4001="Not available","",VLOOKUP(F4001,Sheet2!$B$1:$E$19,4,FALSE)+(G4001-1))</f>
        <v>3778893</v>
      </c>
    </row>
    <row r="4002" spans="1:15" s="1" customFormat="1" ht="15" customHeight="1" x14ac:dyDescent="0.25">
      <c r="A4002" s="18" t="s">
        <v>530</v>
      </c>
      <c r="B4002" s="18" t="s">
        <v>547</v>
      </c>
      <c r="C4002" s="5">
        <v>1855</v>
      </c>
      <c r="D4002" s="1" t="s">
        <v>548</v>
      </c>
      <c r="E4002" s="1" t="s">
        <v>2</v>
      </c>
      <c r="F4002" s="18">
        <v>2164</v>
      </c>
      <c r="G4002" s="18">
        <v>103</v>
      </c>
      <c r="H4002" s="5">
        <v>101</v>
      </c>
      <c r="I4002" s="1">
        <v>140</v>
      </c>
      <c r="J4002" s="3" t="s">
        <v>3271</v>
      </c>
      <c r="L4002" t="str">
        <f t="shared" si="62"/>
        <v>http://www.badatelna.eu/reprodukce/?fondId=1073&amp;zaznamId=1108951&amp;reproId=3778817</v>
      </c>
      <c r="M4002">
        <f>VLOOKUP(F4002,Sheet2!$B$1:$E$19,2,FALSE)</f>
        <v>1073</v>
      </c>
      <c r="N4002">
        <f>VLOOKUP(F4002,Sheet2!$B$1:$E$19,3,FALSE)</f>
        <v>1108951</v>
      </c>
      <c r="O4002">
        <f>IF(G4002="Not available","",VLOOKUP(F4002,Sheet2!$B$1:$E$19,4,FALSE)+(G4002-1))</f>
        <v>3778817</v>
      </c>
    </row>
    <row r="4003" spans="1:15" s="1" customFormat="1" ht="15" customHeight="1" x14ac:dyDescent="0.25">
      <c r="A4003" s="18" t="s">
        <v>530</v>
      </c>
      <c r="B4003" s="18" t="s">
        <v>1005</v>
      </c>
      <c r="C4003" s="5">
        <v>1885</v>
      </c>
      <c r="D4003" s="1" t="s">
        <v>201</v>
      </c>
      <c r="E4003" s="1" t="s">
        <v>2</v>
      </c>
      <c r="F4003" s="18">
        <v>2165</v>
      </c>
      <c r="G4003" s="18">
        <v>199</v>
      </c>
      <c r="H4003" s="5">
        <v>1</v>
      </c>
      <c r="I4003" s="1">
        <v>204</v>
      </c>
      <c r="J4003" s="1">
        <v>187</v>
      </c>
      <c r="L4003" t="str">
        <f t="shared" si="62"/>
        <v>http://www.badatelna.eu/reprodukce/?fondId=1073&amp;zaznamId=1108952&amp;reproId=3779060</v>
      </c>
      <c r="M4003">
        <f>VLOOKUP(F4003,Sheet2!$B$1:$E$19,2,FALSE)</f>
        <v>1073</v>
      </c>
      <c r="N4003">
        <f>VLOOKUP(F4003,Sheet2!$B$1:$E$19,3,FALSE)</f>
        <v>1108952</v>
      </c>
      <c r="O4003">
        <f>IF(G4003="Not available","",VLOOKUP(F4003,Sheet2!$B$1:$E$19,4,FALSE)+(G4003-1))</f>
        <v>3779060</v>
      </c>
    </row>
    <row r="4004" spans="1:15" s="1" customFormat="1" ht="15" customHeight="1" x14ac:dyDescent="0.25">
      <c r="A4004" s="18" t="s">
        <v>530</v>
      </c>
      <c r="B4004" s="18" t="s">
        <v>439</v>
      </c>
      <c r="C4004" s="5">
        <v>1846</v>
      </c>
      <c r="D4004" s="1" t="s">
        <v>143</v>
      </c>
      <c r="E4004" s="1" t="s">
        <v>2</v>
      </c>
      <c r="F4004" s="18">
        <v>2174</v>
      </c>
      <c r="G4004" s="18">
        <v>165</v>
      </c>
      <c r="H4004" s="6" t="s">
        <v>3233</v>
      </c>
      <c r="I4004" s="1">
        <v>203</v>
      </c>
      <c r="J4004" s="1">
        <v>238</v>
      </c>
      <c r="L4004" t="str">
        <f t="shared" si="62"/>
        <v>http://www.badatelna.eu/reprodukce/?fondId=1073&amp;zaznamId=1108960&amp;reproId=3780389</v>
      </c>
      <c r="M4004">
        <f>VLOOKUP(F4004,Sheet2!$B$1:$E$19,2,FALSE)</f>
        <v>1073</v>
      </c>
      <c r="N4004">
        <f>VLOOKUP(F4004,Sheet2!$B$1:$E$19,3,FALSE)</f>
        <v>1108960</v>
      </c>
      <c r="O4004">
        <f>IF(G4004="Not available","",VLOOKUP(F4004,Sheet2!$B$1:$E$19,4,FALSE)+(G4004-1))</f>
        <v>3780389</v>
      </c>
    </row>
    <row r="4005" spans="1:15" s="1" customFormat="1" ht="15" customHeight="1" x14ac:dyDescent="0.25">
      <c r="A4005" s="18" t="s">
        <v>530</v>
      </c>
      <c r="B4005" s="18" t="s">
        <v>546</v>
      </c>
      <c r="C4005" s="5">
        <v>1837</v>
      </c>
      <c r="D4005" s="1" t="s">
        <v>428</v>
      </c>
      <c r="E4005" s="1" t="s">
        <v>2</v>
      </c>
      <c r="F4005" s="18">
        <v>2174</v>
      </c>
      <c r="G4005" s="18">
        <v>94</v>
      </c>
      <c r="H4005" s="6" t="s">
        <v>3162</v>
      </c>
      <c r="I4005" s="1">
        <v>202</v>
      </c>
      <c r="J4005" s="1">
        <v>237</v>
      </c>
      <c r="L4005" t="str">
        <f t="shared" si="62"/>
        <v>http://www.badatelna.eu/reprodukce/?fondId=1073&amp;zaznamId=1108960&amp;reproId=3780318</v>
      </c>
      <c r="M4005">
        <f>VLOOKUP(F4005,Sheet2!$B$1:$E$19,2,FALSE)</f>
        <v>1073</v>
      </c>
      <c r="N4005">
        <f>VLOOKUP(F4005,Sheet2!$B$1:$E$19,3,FALSE)</f>
        <v>1108960</v>
      </c>
      <c r="O4005">
        <f>IF(G4005="Not available","",VLOOKUP(F4005,Sheet2!$B$1:$E$19,4,FALSE)+(G4005-1))</f>
        <v>3780318</v>
      </c>
    </row>
    <row r="4006" spans="1:15" s="1" customFormat="1" ht="15" customHeight="1" x14ac:dyDescent="0.25">
      <c r="A4006" s="18" t="s">
        <v>530</v>
      </c>
      <c r="B4006" s="18" t="s">
        <v>546</v>
      </c>
      <c r="C4006" s="5" t="s">
        <v>1401</v>
      </c>
      <c r="D4006" s="1" t="s">
        <v>50</v>
      </c>
      <c r="E4006" s="1" t="s">
        <v>2</v>
      </c>
      <c r="F4006" s="18">
        <v>2165</v>
      </c>
      <c r="G4006" s="18">
        <v>21</v>
      </c>
      <c r="H4006" s="5">
        <v>18</v>
      </c>
      <c r="I4006" s="1">
        <v>92</v>
      </c>
      <c r="J4006" s="1" t="s">
        <v>3271</v>
      </c>
      <c r="L4006" t="str">
        <f t="shared" si="62"/>
        <v>http://www.badatelna.eu/reprodukce/?fondId=1073&amp;zaznamId=1108952&amp;reproId=3778882</v>
      </c>
      <c r="M4006">
        <f>VLOOKUP(F4006,Sheet2!$B$1:$E$19,2,FALSE)</f>
        <v>1073</v>
      </c>
      <c r="N4006">
        <f>VLOOKUP(F4006,Sheet2!$B$1:$E$19,3,FALSE)</f>
        <v>1108952</v>
      </c>
      <c r="O4006">
        <f>IF(G4006="Not available","",VLOOKUP(F4006,Sheet2!$B$1:$E$19,4,FALSE)+(G4006-1))</f>
        <v>3778882</v>
      </c>
    </row>
    <row r="4007" spans="1:15" s="1" customFormat="1" ht="15" customHeight="1" x14ac:dyDescent="0.25">
      <c r="A4007" s="18" t="s">
        <v>530</v>
      </c>
      <c r="B4007" s="18" t="s">
        <v>562</v>
      </c>
      <c r="C4007" s="5">
        <v>1835</v>
      </c>
      <c r="D4007" s="1" t="s">
        <v>12</v>
      </c>
      <c r="E4007" s="1" t="s">
        <v>2</v>
      </c>
      <c r="F4007" s="18">
        <v>2174</v>
      </c>
      <c r="G4007" s="18">
        <v>82</v>
      </c>
      <c r="H4007" s="6" t="s">
        <v>3149</v>
      </c>
      <c r="I4007" s="1">
        <v>202</v>
      </c>
      <c r="J4007" s="1">
        <v>237</v>
      </c>
      <c r="L4007" t="str">
        <f t="shared" si="62"/>
        <v>http://www.badatelna.eu/reprodukce/?fondId=1073&amp;zaznamId=1108960&amp;reproId=3780306</v>
      </c>
      <c r="M4007">
        <f>VLOOKUP(F4007,Sheet2!$B$1:$E$19,2,FALSE)</f>
        <v>1073</v>
      </c>
      <c r="N4007">
        <f>VLOOKUP(F4007,Sheet2!$B$1:$E$19,3,FALSE)</f>
        <v>1108960</v>
      </c>
      <c r="O4007">
        <f>IF(G4007="Not available","",VLOOKUP(F4007,Sheet2!$B$1:$E$19,4,FALSE)+(G4007-1))</f>
        <v>3780306</v>
      </c>
    </row>
    <row r="4008" spans="1:15" s="1" customFormat="1" ht="15" customHeight="1" x14ac:dyDescent="0.25">
      <c r="A4008" s="18" t="s">
        <v>530</v>
      </c>
      <c r="B4008" s="18" t="s">
        <v>191</v>
      </c>
      <c r="C4008" s="5">
        <v>1832</v>
      </c>
      <c r="E4008" s="1" t="s">
        <v>2</v>
      </c>
      <c r="F4008" s="18">
        <v>2174</v>
      </c>
      <c r="G4008" s="18">
        <v>70</v>
      </c>
      <c r="H4008" s="6" t="s">
        <v>3135</v>
      </c>
      <c r="I4008" s="1">
        <v>201</v>
      </c>
      <c r="J4008" s="1">
        <v>236</v>
      </c>
      <c r="L4008" t="str">
        <f t="shared" si="62"/>
        <v>http://www.badatelna.eu/reprodukce/?fondId=1073&amp;zaznamId=1108960&amp;reproId=3780294</v>
      </c>
      <c r="M4008">
        <f>VLOOKUP(F4008,Sheet2!$B$1:$E$19,2,FALSE)</f>
        <v>1073</v>
      </c>
      <c r="N4008">
        <f>VLOOKUP(F4008,Sheet2!$B$1:$E$19,3,FALSE)</f>
        <v>1108960</v>
      </c>
      <c r="O4008">
        <f>IF(G4008="Not available","",VLOOKUP(F4008,Sheet2!$B$1:$E$19,4,FALSE)+(G4008-1))</f>
        <v>3780294</v>
      </c>
    </row>
    <row r="4009" spans="1:15" s="1" customFormat="1" ht="15" customHeight="1" x14ac:dyDescent="0.25">
      <c r="A4009" s="18" t="s">
        <v>530</v>
      </c>
      <c r="B4009" s="18" t="s">
        <v>757</v>
      </c>
      <c r="C4009" s="5">
        <v>1834</v>
      </c>
      <c r="D4009" s="1" t="s">
        <v>143</v>
      </c>
      <c r="E4009" s="1" t="s">
        <v>2</v>
      </c>
      <c r="F4009" s="18">
        <v>2174</v>
      </c>
      <c r="G4009" s="18">
        <v>78</v>
      </c>
      <c r="H4009" s="6" t="s">
        <v>3144</v>
      </c>
      <c r="I4009" s="1">
        <v>202</v>
      </c>
      <c r="J4009" s="1">
        <v>237</v>
      </c>
      <c r="L4009" t="str">
        <f t="shared" si="62"/>
        <v>http://www.badatelna.eu/reprodukce/?fondId=1073&amp;zaznamId=1108960&amp;reproId=3780302</v>
      </c>
      <c r="M4009">
        <f>VLOOKUP(F4009,Sheet2!$B$1:$E$19,2,FALSE)</f>
        <v>1073</v>
      </c>
      <c r="N4009">
        <f>VLOOKUP(F4009,Sheet2!$B$1:$E$19,3,FALSE)</f>
        <v>1108960</v>
      </c>
      <c r="O4009">
        <f>IF(G4009="Not available","",VLOOKUP(F4009,Sheet2!$B$1:$E$19,4,FALSE)+(G4009-1))</f>
        <v>3780302</v>
      </c>
    </row>
    <row r="4010" spans="1:15" s="1" customFormat="1" ht="15" customHeight="1" x14ac:dyDescent="0.25">
      <c r="A4010" s="18" t="s">
        <v>530</v>
      </c>
      <c r="B4010" s="18" t="s">
        <v>87</v>
      </c>
      <c r="C4010" s="5">
        <v>1790</v>
      </c>
      <c r="D4010" s="1" t="s">
        <v>17</v>
      </c>
      <c r="E4010" s="1" t="s">
        <v>2</v>
      </c>
      <c r="F4010" s="18">
        <v>2173</v>
      </c>
      <c r="G4010" s="18">
        <v>22</v>
      </c>
      <c r="H4010" s="5">
        <v>39</v>
      </c>
      <c r="I4010" s="1">
        <v>115</v>
      </c>
      <c r="J4010" s="1">
        <v>259</v>
      </c>
      <c r="L4010" t="str">
        <f t="shared" si="62"/>
        <v>http://www.badatelna.eu/reprodukce/?fondId=1073&amp;zaznamId=1108959&amp;reproId=3780015</v>
      </c>
      <c r="M4010">
        <f>VLOOKUP(F4010,Sheet2!$B$1:$E$19,2,FALSE)</f>
        <v>1073</v>
      </c>
      <c r="N4010">
        <f>VLOOKUP(F4010,Sheet2!$B$1:$E$19,3,FALSE)</f>
        <v>1108959</v>
      </c>
      <c r="O4010">
        <f>IF(G4010="Not available","",VLOOKUP(F4010,Sheet2!$B$1:$E$19,4,FALSE)+(G4010-1))</f>
        <v>3780015</v>
      </c>
    </row>
    <row r="4011" spans="1:15" s="1" customFormat="1" ht="15" customHeight="1" x14ac:dyDescent="0.25">
      <c r="A4011" s="18" t="s">
        <v>530</v>
      </c>
      <c r="B4011" s="18" t="s">
        <v>87</v>
      </c>
      <c r="C4011" s="5">
        <v>1847</v>
      </c>
      <c r="D4011" s="1" t="s">
        <v>8</v>
      </c>
      <c r="E4011" s="1" t="s">
        <v>2</v>
      </c>
      <c r="F4011" s="18">
        <v>2164</v>
      </c>
      <c r="G4011" s="18">
        <v>7</v>
      </c>
      <c r="H4011" s="5">
        <v>5</v>
      </c>
      <c r="I4011" s="1">
        <v>139</v>
      </c>
      <c r="J4011" s="3" t="s">
        <v>3271</v>
      </c>
      <c r="L4011" t="str">
        <f t="shared" si="62"/>
        <v>http://www.badatelna.eu/reprodukce/?fondId=1073&amp;zaznamId=1108951&amp;reproId=3778721</v>
      </c>
      <c r="M4011">
        <f>VLOOKUP(F4011,Sheet2!$B$1:$E$19,2,FALSE)</f>
        <v>1073</v>
      </c>
      <c r="N4011">
        <f>VLOOKUP(F4011,Sheet2!$B$1:$E$19,3,FALSE)</f>
        <v>1108951</v>
      </c>
      <c r="O4011">
        <f>IF(G4011="Not available","",VLOOKUP(F4011,Sheet2!$B$1:$E$19,4,FALSE)+(G4011-1))</f>
        <v>3778721</v>
      </c>
    </row>
    <row r="4012" spans="1:15" s="1" customFormat="1" ht="15" customHeight="1" x14ac:dyDescent="0.25">
      <c r="A4012" s="18" t="s">
        <v>530</v>
      </c>
      <c r="B4012" s="18" t="s">
        <v>889</v>
      </c>
      <c r="C4012" s="5">
        <v>1849</v>
      </c>
      <c r="D4012" s="1" t="s">
        <v>8</v>
      </c>
      <c r="E4012" s="1" t="s">
        <v>2</v>
      </c>
      <c r="F4012" s="18">
        <v>2164</v>
      </c>
      <c r="G4012" s="18">
        <v>42</v>
      </c>
      <c r="H4012" s="5">
        <v>40</v>
      </c>
      <c r="I4012" s="1">
        <v>139</v>
      </c>
      <c r="J4012" s="3" t="s">
        <v>3271</v>
      </c>
      <c r="L4012" t="str">
        <f t="shared" si="62"/>
        <v>http://www.badatelna.eu/reprodukce/?fondId=1073&amp;zaznamId=1108951&amp;reproId=3778756</v>
      </c>
      <c r="M4012">
        <f>VLOOKUP(F4012,Sheet2!$B$1:$E$19,2,FALSE)</f>
        <v>1073</v>
      </c>
      <c r="N4012">
        <f>VLOOKUP(F4012,Sheet2!$B$1:$E$19,3,FALSE)</f>
        <v>1108951</v>
      </c>
      <c r="O4012">
        <f>IF(G4012="Not available","",VLOOKUP(F4012,Sheet2!$B$1:$E$19,4,FALSE)+(G4012-1))</f>
        <v>3778756</v>
      </c>
    </row>
    <row r="4013" spans="1:15" s="1" customFormat="1" ht="15" customHeight="1" x14ac:dyDescent="0.25">
      <c r="A4013" s="18" t="s">
        <v>530</v>
      </c>
      <c r="B4013" s="18" t="s">
        <v>1209</v>
      </c>
      <c r="C4013" s="5" t="s">
        <v>1875</v>
      </c>
      <c r="D4013" s="1" t="s">
        <v>201</v>
      </c>
      <c r="E4013" s="1" t="s">
        <v>2</v>
      </c>
      <c r="F4013" s="18">
        <v>2165</v>
      </c>
      <c r="G4013" s="18">
        <v>260</v>
      </c>
      <c r="H4013" s="5">
        <v>1</v>
      </c>
      <c r="I4013" s="1">
        <v>266</v>
      </c>
      <c r="J4013" s="1">
        <v>240</v>
      </c>
      <c r="L4013" t="str">
        <f t="shared" si="62"/>
        <v>http://www.badatelna.eu/reprodukce/?fondId=1073&amp;zaznamId=1108952&amp;reproId=3779121</v>
      </c>
      <c r="M4013">
        <f>VLOOKUP(F4013,Sheet2!$B$1:$E$19,2,FALSE)</f>
        <v>1073</v>
      </c>
      <c r="N4013">
        <f>VLOOKUP(F4013,Sheet2!$B$1:$E$19,3,FALSE)</f>
        <v>1108952</v>
      </c>
      <c r="O4013">
        <f>IF(G4013="Not available","",VLOOKUP(F4013,Sheet2!$B$1:$E$19,4,FALSE)+(G4013-1))</f>
        <v>3779121</v>
      </c>
    </row>
    <row r="4014" spans="1:15" s="1" customFormat="1" ht="15" customHeight="1" x14ac:dyDescent="0.25">
      <c r="A4014" s="18" t="s">
        <v>530</v>
      </c>
      <c r="B4014" s="18" t="s">
        <v>201</v>
      </c>
      <c r="C4014" s="5">
        <v>1850</v>
      </c>
      <c r="D4014" s="1" t="s">
        <v>34</v>
      </c>
      <c r="E4014" s="1" t="s">
        <v>2</v>
      </c>
      <c r="F4014" s="18">
        <v>2164</v>
      </c>
      <c r="G4014" s="18">
        <v>69</v>
      </c>
      <c r="H4014" s="5">
        <v>67</v>
      </c>
      <c r="I4014" s="1">
        <v>139</v>
      </c>
      <c r="J4014" s="3" t="s">
        <v>3271</v>
      </c>
      <c r="L4014" t="str">
        <f t="shared" si="62"/>
        <v>http://www.badatelna.eu/reprodukce/?fondId=1073&amp;zaznamId=1108951&amp;reproId=3778783</v>
      </c>
      <c r="M4014">
        <f>VLOOKUP(F4014,Sheet2!$B$1:$E$19,2,FALSE)</f>
        <v>1073</v>
      </c>
      <c r="N4014">
        <f>VLOOKUP(F4014,Sheet2!$B$1:$E$19,3,FALSE)</f>
        <v>1108951</v>
      </c>
      <c r="O4014">
        <f>IF(G4014="Not available","",VLOOKUP(F4014,Sheet2!$B$1:$E$19,4,FALSE)+(G4014-1))</f>
        <v>3778783</v>
      </c>
    </row>
    <row r="4015" spans="1:15" s="1" customFormat="1" ht="15" customHeight="1" x14ac:dyDescent="0.25">
      <c r="A4015" s="18" t="s">
        <v>530</v>
      </c>
      <c r="B4015" s="18" t="s">
        <v>201</v>
      </c>
      <c r="C4015" s="5">
        <v>1851</v>
      </c>
      <c r="D4015" s="1" t="s">
        <v>40</v>
      </c>
      <c r="E4015" s="1" t="s">
        <v>2</v>
      </c>
      <c r="F4015" s="18">
        <v>2164</v>
      </c>
      <c r="G4015" s="18">
        <v>72</v>
      </c>
      <c r="H4015" s="5">
        <v>70</v>
      </c>
      <c r="I4015" s="1">
        <v>139</v>
      </c>
      <c r="J4015" s="3" t="s">
        <v>3271</v>
      </c>
      <c r="L4015" t="str">
        <f t="shared" si="62"/>
        <v>http://www.badatelna.eu/reprodukce/?fondId=1073&amp;zaznamId=1108951&amp;reproId=3778786</v>
      </c>
      <c r="M4015">
        <f>VLOOKUP(F4015,Sheet2!$B$1:$E$19,2,FALSE)</f>
        <v>1073</v>
      </c>
      <c r="N4015">
        <f>VLOOKUP(F4015,Sheet2!$B$1:$E$19,3,FALSE)</f>
        <v>1108951</v>
      </c>
      <c r="O4015">
        <f>IF(G4015="Not available","",VLOOKUP(F4015,Sheet2!$B$1:$E$19,4,FALSE)+(G4015-1))</f>
        <v>3778786</v>
      </c>
    </row>
    <row r="4016" spans="1:15" s="1" customFormat="1" ht="15" customHeight="1" x14ac:dyDescent="0.25">
      <c r="A4016" s="18" t="s">
        <v>530</v>
      </c>
      <c r="B4016" s="18" t="s">
        <v>494</v>
      </c>
      <c r="C4016" s="5">
        <v>1840</v>
      </c>
      <c r="D4016" s="1" t="s">
        <v>93</v>
      </c>
      <c r="E4016" s="1" t="s">
        <v>2</v>
      </c>
      <c r="F4016" s="18">
        <v>2174</v>
      </c>
      <c r="G4016" s="18">
        <v>111</v>
      </c>
      <c r="H4016" s="16" t="s">
        <v>3181</v>
      </c>
      <c r="I4016" s="1">
        <v>202</v>
      </c>
      <c r="J4016" s="1">
        <v>237</v>
      </c>
      <c r="L4016" t="str">
        <f t="shared" si="62"/>
        <v>http://www.badatelna.eu/reprodukce/?fondId=1073&amp;zaznamId=1108960&amp;reproId=3780335</v>
      </c>
      <c r="M4016">
        <f>VLOOKUP(F4016,Sheet2!$B$1:$E$19,2,FALSE)</f>
        <v>1073</v>
      </c>
      <c r="N4016">
        <f>VLOOKUP(F4016,Sheet2!$B$1:$E$19,3,FALSE)</f>
        <v>1108960</v>
      </c>
      <c r="O4016">
        <f>IF(G4016="Not available","",VLOOKUP(F4016,Sheet2!$B$1:$E$19,4,FALSE)+(G4016-1))</f>
        <v>3780335</v>
      </c>
    </row>
    <row r="4017" spans="1:15" s="1" customFormat="1" ht="15" customHeight="1" x14ac:dyDescent="0.25">
      <c r="A4017" s="18" t="s">
        <v>530</v>
      </c>
      <c r="B4017" s="18" t="s">
        <v>1052</v>
      </c>
      <c r="C4017" s="5">
        <v>1862</v>
      </c>
      <c r="D4017" s="4" t="s">
        <v>304</v>
      </c>
      <c r="E4017" s="1" t="s">
        <v>939</v>
      </c>
      <c r="F4017" s="18">
        <v>999</v>
      </c>
      <c r="G4017" s="18">
        <v>36</v>
      </c>
      <c r="H4017" s="5">
        <v>34</v>
      </c>
      <c r="I4017" s="1">
        <v>76</v>
      </c>
      <c r="J4017" s="1">
        <v>110</v>
      </c>
      <c r="L4017" t="str">
        <f t="shared" si="62"/>
        <v>http://www.badatelna.eu/reprodukce/?fondId=241&amp;zaznamId=1133739&amp;reproId=3885765</v>
      </c>
      <c r="M4017">
        <f>VLOOKUP(F4017,Sheet2!$B$1:$E$19,2,FALSE)</f>
        <v>241</v>
      </c>
      <c r="N4017">
        <f>VLOOKUP(F4017,Sheet2!$B$1:$E$19,3,FALSE)</f>
        <v>1133739</v>
      </c>
      <c r="O4017">
        <f>IF(G4017="Not available","",VLOOKUP(F4017,Sheet2!$B$1:$E$19,4,FALSE)+(G4017-1))</f>
        <v>3885765</v>
      </c>
    </row>
    <row r="4018" spans="1:15" s="1" customFormat="1" ht="15" customHeight="1" x14ac:dyDescent="0.25">
      <c r="A4018" s="18" t="s">
        <v>530</v>
      </c>
      <c r="B4018" s="18" t="s">
        <v>1102</v>
      </c>
      <c r="C4018" s="5" t="s">
        <v>1661</v>
      </c>
      <c r="D4018" s="4" t="s">
        <v>2840</v>
      </c>
      <c r="E4018" s="1" t="s">
        <v>2</v>
      </c>
      <c r="F4018" s="18">
        <v>2165</v>
      </c>
      <c r="G4018" s="18">
        <v>70</v>
      </c>
      <c r="H4018" s="5">
        <v>67</v>
      </c>
      <c r="I4018" s="1">
        <v>93</v>
      </c>
      <c r="J4018" s="1" t="s">
        <v>3271</v>
      </c>
      <c r="L4018" t="str">
        <f t="shared" si="62"/>
        <v>http://www.badatelna.eu/reprodukce/?fondId=1073&amp;zaznamId=1108952&amp;reproId=3778931</v>
      </c>
      <c r="M4018">
        <f>VLOOKUP(F4018,Sheet2!$B$1:$E$19,2,FALSE)</f>
        <v>1073</v>
      </c>
      <c r="N4018">
        <f>VLOOKUP(F4018,Sheet2!$B$1:$E$19,3,FALSE)</f>
        <v>1108952</v>
      </c>
      <c r="O4018">
        <f>IF(G4018="Not available","",VLOOKUP(F4018,Sheet2!$B$1:$E$19,4,FALSE)+(G4018-1))</f>
        <v>3778931</v>
      </c>
    </row>
    <row r="4019" spans="1:15" s="1" customFormat="1" ht="15" customHeight="1" x14ac:dyDescent="0.25">
      <c r="A4019" s="18" t="s">
        <v>530</v>
      </c>
      <c r="B4019" s="18" t="s">
        <v>2876</v>
      </c>
      <c r="C4019" s="5">
        <v>1860</v>
      </c>
      <c r="D4019" s="4" t="s">
        <v>8</v>
      </c>
      <c r="E4019" s="1" t="s">
        <v>939</v>
      </c>
      <c r="F4019" s="18">
        <v>999</v>
      </c>
      <c r="G4019" s="18">
        <v>13</v>
      </c>
      <c r="H4019" s="5">
        <v>21</v>
      </c>
      <c r="I4019" s="1">
        <v>76</v>
      </c>
      <c r="J4019" s="1">
        <v>110</v>
      </c>
      <c r="L4019" t="str">
        <f t="shared" si="62"/>
        <v>http://www.badatelna.eu/reprodukce/?fondId=241&amp;zaznamId=1133739&amp;reproId=3885742</v>
      </c>
      <c r="M4019">
        <f>VLOOKUP(F4019,Sheet2!$B$1:$E$19,2,FALSE)</f>
        <v>241</v>
      </c>
      <c r="N4019">
        <f>VLOOKUP(F4019,Sheet2!$B$1:$E$19,3,FALSE)</f>
        <v>1133739</v>
      </c>
      <c r="O4019">
        <f>IF(G4019="Not available","",VLOOKUP(F4019,Sheet2!$B$1:$E$19,4,FALSE)+(G4019-1))</f>
        <v>3885742</v>
      </c>
    </row>
    <row r="4020" spans="1:15" s="1" customFormat="1" ht="15" customHeight="1" x14ac:dyDescent="0.25">
      <c r="A4020" s="18" t="s">
        <v>530</v>
      </c>
      <c r="B4020" s="18" t="s">
        <v>34</v>
      </c>
      <c r="C4020" s="5">
        <v>1791</v>
      </c>
      <c r="D4020" s="1" t="s">
        <v>50</v>
      </c>
      <c r="E4020" s="1" t="s">
        <v>2</v>
      </c>
      <c r="F4020" s="18">
        <v>2173</v>
      </c>
      <c r="G4020" s="18">
        <v>25</v>
      </c>
      <c r="H4020" s="5">
        <v>44</v>
      </c>
      <c r="I4020" s="1">
        <v>115</v>
      </c>
      <c r="J4020" s="1">
        <v>259</v>
      </c>
      <c r="L4020" t="str">
        <f t="shared" si="62"/>
        <v>http://www.badatelna.eu/reprodukce/?fondId=1073&amp;zaznamId=1108959&amp;reproId=3780018</v>
      </c>
      <c r="M4020">
        <f>VLOOKUP(F4020,Sheet2!$B$1:$E$19,2,FALSE)</f>
        <v>1073</v>
      </c>
      <c r="N4020">
        <f>VLOOKUP(F4020,Sheet2!$B$1:$E$19,3,FALSE)</f>
        <v>1108959</v>
      </c>
      <c r="O4020">
        <f>IF(G4020="Not available","",VLOOKUP(F4020,Sheet2!$B$1:$E$19,4,FALSE)+(G4020-1))</f>
        <v>3780018</v>
      </c>
    </row>
    <row r="4021" spans="1:15" s="1" customFormat="1" ht="15" customHeight="1" x14ac:dyDescent="0.25">
      <c r="A4021" s="18" t="s">
        <v>530</v>
      </c>
      <c r="B4021" s="18" t="s">
        <v>34</v>
      </c>
      <c r="C4021" s="5">
        <v>1860</v>
      </c>
      <c r="E4021" s="1" t="s">
        <v>939</v>
      </c>
      <c r="F4021" s="18">
        <v>999</v>
      </c>
      <c r="G4021" s="18">
        <v>23</v>
      </c>
      <c r="H4021" s="5">
        <v>21</v>
      </c>
      <c r="I4021" s="1">
        <v>76</v>
      </c>
      <c r="J4021" s="1">
        <v>110</v>
      </c>
      <c r="L4021" t="str">
        <f t="shared" si="62"/>
        <v>http://www.badatelna.eu/reprodukce/?fondId=241&amp;zaznamId=1133739&amp;reproId=3885752</v>
      </c>
      <c r="M4021">
        <f>VLOOKUP(F4021,Sheet2!$B$1:$E$19,2,FALSE)</f>
        <v>241</v>
      </c>
      <c r="N4021">
        <f>VLOOKUP(F4021,Sheet2!$B$1:$E$19,3,FALSE)</f>
        <v>1133739</v>
      </c>
      <c r="O4021">
        <f>IF(G4021="Not available","",VLOOKUP(F4021,Sheet2!$B$1:$E$19,4,FALSE)+(G4021-1))</f>
        <v>3885752</v>
      </c>
    </row>
    <row r="4022" spans="1:15" s="1" customFormat="1" ht="15" customHeight="1" x14ac:dyDescent="0.25">
      <c r="A4022" s="18" t="s">
        <v>530</v>
      </c>
      <c r="B4022" s="18" t="s">
        <v>809</v>
      </c>
      <c r="C4022" s="5">
        <v>1857</v>
      </c>
      <c r="D4022" s="1" t="s">
        <v>931</v>
      </c>
      <c r="E4022" s="1" t="s">
        <v>2</v>
      </c>
      <c r="F4022" s="18">
        <v>2164</v>
      </c>
      <c r="G4022" s="18">
        <v>118</v>
      </c>
      <c r="H4022" s="5">
        <v>116</v>
      </c>
      <c r="I4022" s="1">
        <v>140</v>
      </c>
      <c r="J4022" s="3" t="s">
        <v>3271</v>
      </c>
      <c r="L4022" t="str">
        <f t="shared" si="62"/>
        <v>http://www.badatelna.eu/reprodukce/?fondId=1073&amp;zaznamId=1108951&amp;reproId=3778832</v>
      </c>
      <c r="M4022">
        <f>VLOOKUP(F4022,Sheet2!$B$1:$E$19,2,FALSE)</f>
        <v>1073</v>
      </c>
      <c r="N4022">
        <f>VLOOKUP(F4022,Sheet2!$B$1:$E$19,3,FALSE)</f>
        <v>1108951</v>
      </c>
      <c r="O4022">
        <f>IF(G4022="Not available","",VLOOKUP(F4022,Sheet2!$B$1:$E$19,4,FALSE)+(G4022-1))</f>
        <v>3778832</v>
      </c>
    </row>
    <row r="4023" spans="1:15" s="1" customFormat="1" ht="15" customHeight="1" x14ac:dyDescent="0.25">
      <c r="A4023" s="18" t="s">
        <v>530</v>
      </c>
      <c r="B4023" s="18" t="s">
        <v>12</v>
      </c>
      <c r="C4023" s="5">
        <v>1796</v>
      </c>
      <c r="D4023" s="1" t="s">
        <v>17</v>
      </c>
      <c r="E4023" s="1" t="s">
        <v>2</v>
      </c>
      <c r="F4023" s="18">
        <v>2173</v>
      </c>
      <c r="G4023" s="18">
        <v>34</v>
      </c>
      <c r="H4023" s="5">
        <v>63</v>
      </c>
      <c r="I4023" s="1">
        <v>115</v>
      </c>
      <c r="J4023" s="1">
        <v>259</v>
      </c>
      <c r="L4023" t="str">
        <f t="shared" si="62"/>
        <v>http://www.badatelna.eu/reprodukce/?fondId=1073&amp;zaznamId=1108959&amp;reproId=3780027</v>
      </c>
      <c r="M4023">
        <f>VLOOKUP(F4023,Sheet2!$B$1:$E$19,2,FALSE)</f>
        <v>1073</v>
      </c>
      <c r="N4023">
        <f>VLOOKUP(F4023,Sheet2!$B$1:$E$19,3,FALSE)</f>
        <v>1108959</v>
      </c>
      <c r="O4023">
        <f>IF(G4023="Not available","",VLOOKUP(F4023,Sheet2!$B$1:$E$19,4,FALSE)+(G4023-1))</f>
        <v>3780027</v>
      </c>
    </row>
    <row r="4024" spans="1:15" s="1" customFormat="1" ht="15" customHeight="1" x14ac:dyDescent="0.25">
      <c r="A4024" s="18" t="s">
        <v>530</v>
      </c>
      <c r="B4024" s="18" t="s">
        <v>12</v>
      </c>
      <c r="C4024" s="5">
        <v>1803</v>
      </c>
      <c r="E4024" s="1" t="s">
        <v>2</v>
      </c>
      <c r="F4024" s="18">
        <v>2173</v>
      </c>
      <c r="G4024" s="18">
        <v>47</v>
      </c>
      <c r="H4024" s="5">
        <v>89</v>
      </c>
      <c r="I4024" s="1">
        <v>116</v>
      </c>
      <c r="J4024" s="1">
        <v>252</v>
      </c>
      <c r="L4024" t="str">
        <f t="shared" si="62"/>
        <v>http://www.badatelna.eu/reprodukce/?fondId=1073&amp;zaznamId=1108959&amp;reproId=3780040</v>
      </c>
      <c r="M4024">
        <f>VLOOKUP(F4024,Sheet2!$B$1:$E$19,2,FALSE)</f>
        <v>1073</v>
      </c>
      <c r="N4024">
        <f>VLOOKUP(F4024,Sheet2!$B$1:$E$19,3,FALSE)</f>
        <v>1108959</v>
      </c>
      <c r="O4024">
        <f>IF(G4024="Not available","",VLOOKUP(F4024,Sheet2!$B$1:$E$19,4,FALSE)+(G4024-1))</f>
        <v>3780040</v>
      </c>
    </row>
    <row r="4025" spans="1:15" s="1" customFormat="1" ht="15" customHeight="1" x14ac:dyDescent="0.25">
      <c r="A4025" s="18" t="s">
        <v>530</v>
      </c>
      <c r="B4025" s="18" t="s">
        <v>12</v>
      </c>
      <c r="C4025" s="5">
        <v>1856</v>
      </c>
      <c r="D4025" s="1" t="s">
        <v>8</v>
      </c>
      <c r="E4025" s="1" t="s">
        <v>2</v>
      </c>
      <c r="F4025" s="18">
        <v>2164</v>
      </c>
      <c r="G4025" s="18">
        <v>109</v>
      </c>
      <c r="H4025" s="5">
        <v>107</v>
      </c>
      <c r="I4025" s="1">
        <v>140</v>
      </c>
      <c r="J4025" s="3" t="s">
        <v>3271</v>
      </c>
      <c r="L4025" t="str">
        <f t="shared" si="62"/>
        <v>http://www.badatelna.eu/reprodukce/?fondId=1073&amp;zaznamId=1108951&amp;reproId=3778823</v>
      </c>
      <c r="M4025">
        <f>VLOOKUP(F4025,Sheet2!$B$1:$E$19,2,FALSE)</f>
        <v>1073</v>
      </c>
      <c r="N4025">
        <f>VLOOKUP(F4025,Sheet2!$B$1:$E$19,3,FALSE)</f>
        <v>1108951</v>
      </c>
      <c r="O4025">
        <f>IF(G4025="Not available","",VLOOKUP(F4025,Sheet2!$B$1:$E$19,4,FALSE)+(G4025-1))</f>
        <v>3778823</v>
      </c>
    </row>
    <row r="4026" spans="1:15" s="1" customFormat="1" ht="15" customHeight="1" x14ac:dyDescent="0.25">
      <c r="A4026" s="18" t="s">
        <v>530</v>
      </c>
      <c r="B4026" s="18" t="s">
        <v>26</v>
      </c>
      <c r="C4026" s="5">
        <v>1839</v>
      </c>
      <c r="D4026" s="1" t="s">
        <v>12</v>
      </c>
      <c r="E4026" s="1" t="s">
        <v>2</v>
      </c>
      <c r="F4026" s="18">
        <v>2174</v>
      </c>
      <c r="G4026" s="18">
        <v>105</v>
      </c>
      <c r="H4026" s="6" t="s">
        <v>3171</v>
      </c>
      <c r="I4026" s="1">
        <v>202</v>
      </c>
      <c r="J4026" s="1">
        <v>237</v>
      </c>
      <c r="L4026" t="str">
        <f t="shared" si="62"/>
        <v>http://www.badatelna.eu/reprodukce/?fondId=1073&amp;zaznamId=1108960&amp;reproId=3780329</v>
      </c>
      <c r="M4026">
        <f>VLOOKUP(F4026,Sheet2!$B$1:$E$19,2,FALSE)</f>
        <v>1073</v>
      </c>
      <c r="N4026">
        <f>VLOOKUP(F4026,Sheet2!$B$1:$E$19,3,FALSE)</f>
        <v>1108960</v>
      </c>
      <c r="O4026">
        <f>IF(G4026="Not available","",VLOOKUP(F4026,Sheet2!$B$1:$E$19,4,FALSE)+(G4026-1))</f>
        <v>3780329</v>
      </c>
    </row>
    <row r="4027" spans="1:15" s="1" customFormat="1" ht="15" customHeight="1" x14ac:dyDescent="0.25">
      <c r="A4027" s="18" t="s">
        <v>530</v>
      </c>
      <c r="B4027" s="18" t="s">
        <v>26</v>
      </c>
      <c r="C4027" s="5">
        <v>1856</v>
      </c>
      <c r="D4027" s="1" t="s">
        <v>777</v>
      </c>
      <c r="E4027" s="1" t="s">
        <v>2</v>
      </c>
      <c r="F4027" s="18">
        <v>2164</v>
      </c>
      <c r="G4027" s="18">
        <v>110</v>
      </c>
      <c r="H4027" s="5">
        <v>108</v>
      </c>
      <c r="I4027" s="1">
        <v>140</v>
      </c>
      <c r="J4027" s="3" t="s">
        <v>3271</v>
      </c>
      <c r="L4027" t="str">
        <f t="shared" si="62"/>
        <v>http://www.badatelna.eu/reprodukce/?fondId=1073&amp;zaznamId=1108951&amp;reproId=3778824</v>
      </c>
      <c r="M4027">
        <f>VLOOKUP(F4027,Sheet2!$B$1:$E$19,2,FALSE)</f>
        <v>1073</v>
      </c>
      <c r="N4027">
        <f>VLOOKUP(F4027,Sheet2!$B$1:$E$19,3,FALSE)</f>
        <v>1108951</v>
      </c>
      <c r="O4027">
        <f>IF(G4027="Not available","",VLOOKUP(F4027,Sheet2!$B$1:$E$19,4,FALSE)+(G4027-1))</f>
        <v>3778824</v>
      </c>
    </row>
    <row r="4028" spans="1:15" s="1" customFormat="1" ht="15" customHeight="1" x14ac:dyDescent="0.25">
      <c r="A4028" s="18" t="s">
        <v>530</v>
      </c>
      <c r="B4028" s="18" t="s">
        <v>287</v>
      </c>
      <c r="C4028" s="5">
        <v>1851</v>
      </c>
      <c r="D4028" s="1" t="s">
        <v>8</v>
      </c>
      <c r="E4028" s="1" t="s">
        <v>2</v>
      </c>
      <c r="F4028" s="18">
        <v>2164</v>
      </c>
      <c r="G4028" s="18">
        <v>76</v>
      </c>
      <c r="H4028" s="5">
        <v>74</v>
      </c>
      <c r="I4028" s="1">
        <v>139</v>
      </c>
      <c r="J4028" s="3" t="s">
        <v>3271</v>
      </c>
      <c r="L4028" t="str">
        <f t="shared" si="62"/>
        <v>http://www.badatelna.eu/reprodukce/?fondId=1073&amp;zaznamId=1108951&amp;reproId=3778790</v>
      </c>
      <c r="M4028">
        <f>VLOOKUP(F4028,Sheet2!$B$1:$E$19,2,FALSE)</f>
        <v>1073</v>
      </c>
      <c r="N4028">
        <f>VLOOKUP(F4028,Sheet2!$B$1:$E$19,3,FALSE)</f>
        <v>1108951</v>
      </c>
      <c r="O4028">
        <f>IF(G4028="Not available","",VLOOKUP(F4028,Sheet2!$B$1:$E$19,4,FALSE)+(G4028-1))</f>
        <v>3778790</v>
      </c>
    </row>
    <row r="4029" spans="1:15" s="1" customFormat="1" ht="15" customHeight="1" x14ac:dyDescent="0.25">
      <c r="A4029" s="18" t="s">
        <v>530</v>
      </c>
      <c r="B4029" s="18" t="s">
        <v>137</v>
      </c>
      <c r="C4029" s="5">
        <v>1838</v>
      </c>
      <c r="D4029" s="1" t="s">
        <v>143</v>
      </c>
      <c r="E4029" s="1" t="s">
        <v>2</v>
      </c>
      <c r="F4029" s="18">
        <v>2174</v>
      </c>
      <c r="G4029" s="18">
        <v>100</v>
      </c>
      <c r="H4029" s="6" t="s">
        <v>3168</v>
      </c>
      <c r="I4029" s="1">
        <v>202</v>
      </c>
      <c r="J4029" s="1">
        <v>237</v>
      </c>
      <c r="L4029" t="str">
        <f t="shared" si="62"/>
        <v>http://www.badatelna.eu/reprodukce/?fondId=1073&amp;zaznamId=1108960&amp;reproId=3780324</v>
      </c>
      <c r="M4029">
        <f>VLOOKUP(F4029,Sheet2!$B$1:$E$19,2,FALSE)</f>
        <v>1073</v>
      </c>
      <c r="N4029">
        <f>VLOOKUP(F4029,Sheet2!$B$1:$E$19,3,FALSE)</f>
        <v>1108960</v>
      </c>
      <c r="O4029">
        <f>IF(G4029="Not available","",VLOOKUP(F4029,Sheet2!$B$1:$E$19,4,FALSE)+(G4029-1))</f>
        <v>3780324</v>
      </c>
    </row>
    <row r="4030" spans="1:15" s="1" customFormat="1" ht="15" customHeight="1" x14ac:dyDescent="0.25">
      <c r="A4030" s="19" t="s">
        <v>530</v>
      </c>
      <c r="B4030" s="18" t="s">
        <v>437</v>
      </c>
      <c r="C4030" s="5">
        <v>1840</v>
      </c>
      <c r="D4030" s="1" t="s">
        <v>143</v>
      </c>
      <c r="E4030" s="1" t="s">
        <v>2</v>
      </c>
      <c r="F4030" s="18">
        <v>2174</v>
      </c>
      <c r="G4030" s="18">
        <v>113</v>
      </c>
      <c r="H4030" s="6" t="s">
        <v>3179</v>
      </c>
      <c r="I4030" s="1">
        <v>202</v>
      </c>
      <c r="J4030" s="1">
        <v>238</v>
      </c>
      <c r="L4030" t="str">
        <f t="shared" si="62"/>
        <v>http://www.badatelna.eu/reprodukce/?fondId=1073&amp;zaznamId=1108960&amp;reproId=3780337</v>
      </c>
      <c r="M4030">
        <f>VLOOKUP(F4030,Sheet2!$B$1:$E$19,2,FALSE)</f>
        <v>1073</v>
      </c>
      <c r="N4030">
        <f>VLOOKUP(F4030,Sheet2!$B$1:$E$19,3,FALSE)</f>
        <v>1108960</v>
      </c>
      <c r="O4030">
        <f>IF(G4030="Not available","",VLOOKUP(F4030,Sheet2!$B$1:$E$19,4,FALSE)+(G4030-1))</f>
        <v>3780337</v>
      </c>
    </row>
    <row r="4031" spans="1:15" s="1" customFormat="1" ht="15" customHeight="1" x14ac:dyDescent="0.25">
      <c r="A4031" s="18" t="s">
        <v>530</v>
      </c>
      <c r="B4031" s="18" t="s">
        <v>602</v>
      </c>
      <c r="C4031" s="5">
        <v>1859</v>
      </c>
      <c r="E4031" s="1" t="s">
        <v>939</v>
      </c>
      <c r="F4031" s="18">
        <v>999</v>
      </c>
      <c r="G4031" s="18">
        <v>12</v>
      </c>
      <c r="H4031" s="5">
        <v>10</v>
      </c>
      <c r="I4031" s="1">
        <v>76</v>
      </c>
      <c r="J4031" s="1">
        <v>110</v>
      </c>
      <c r="L4031" t="str">
        <f t="shared" si="62"/>
        <v>http://www.badatelna.eu/reprodukce/?fondId=241&amp;zaznamId=1133739&amp;reproId=3885741</v>
      </c>
      <c r="M4031">
        <f>VLOOKUP(F4031,Sheet2!$B$1:$E$19,2,FALSE)</f>
        <v>241</v>
      </c>
      <c r="N4031">
        <f>VLOOKUP(F4031,Sheet2!$B$1:$E$19,3,FALSE)</f>
        <v>1133739</v>
      </c>
      <c r="O4031">
        <f>IF(G4031="Not available","",VLOOKUP(F4031,Sheet2!$B$1:$E$19,4,FALSE)+(G4031-1))</f>
        <v>3885741</v>
      </c>
    </row>
    <row r="4032" spans="1:15" s="1" customFormat="1" ht="15" customHeight="1" x14ac:dyDescent="0.25">
      <c r="A4032" s="18" t="s">
        <v>530</v>
      </c>
      <c r="B4032" s="18" t="s">
        <v>2745</v>
      </c>
      <c r="C4032" s="10" t="s">
        <v>2043</v>
      </c>
      <c r="D4032" s="3" t="s">
        <v>2746</v>
      </c>
      <c r="E4032" s="4" t="s">
        <v>2</v>
      </c>
      <c r="F4032" s="18">
        <v>2176</v>
      </c>
      <c r="G4032" s="18" t="s">
        <v>3271</v>
      </c>
      <c r="H4032" s="10" t="s">
        <v>1971</v>
      </c>
      <c r="I4032" s="3">
        <v>44</v>
      </c>
      <c r="J4032" s="3" t="s">
        <v>3271</v>
      </c>
      <c r="K4032" s="3"/>
      <c r="L4032" t="str">
        <f t="shared" si="62"/>
        <v/>
      </c>
      <c r="M4032">
        <f>VLOOKUP(F4032,Sheet2!$B$1:$E$19,2,FALSE)</f>
        <v>1073</v>
      </c>
      <c r="N4032">
        <f>VLOOKUP(F4032,Sheet2!$B$1:$E$19,3,FALSE)</f>
        <v>1108963</v>
      </c>
      <c r="O4032" t="str">
        <f>IF(G4032="Not available","",VLOOKUP(F4032,Sheet2!$B$1:$E$19,4,FALSE)+(G4032-1))</f>
        <v/>
      </c>
    </row>
    <row r="4033" spans="1:15" s="1" customFormat="1" ht="15" customHeight="1" x14ac:dyDescent="0.25">
      <c r="A4033" s="18" t="s">
        <v>530</v>
      </c>
      <c r="B4033" s="18" t="s">
        <v>172</v>
      </c>
      <c r="C4033" s="5">
        <v>1855</v>
      </c>
      <c r="D4033" s="1" t="s">
        <v>40</v>
      </c>
      <c r="E4033" s="1" t="s">
        <v>2</v>
      </c>
      <c r="F4033" s="18">
        <v>2164</v>
      </c>
      <c r="G4033" s="18">
        <v>101</v>
      </c>
      <c r="H4033" s="5">
        <v>99</v>
      </c>
      <c r="I4033" s="1">
        <v>139</v>
      </c>
      <c r="J4033" s="3" t="s">
        <v>3271</v>
      </c>
      <c r="L4033" t="str">
        <f t="shared" si="62"/>
        <v>http://www.badatelna.eu/reprodukce/?fondId=1073&amp;zaznamId=1108951&amp;reproId=3778815</v>
      </c>
      <c r="M4033">
        <f>VLOOKUP(F4033,Sheet2!$B$1:$E$19,2,FALSE)</f>
        <v>1073</v>
      </c>
      <c r="N4033">
        <f>VLOOKUP(F4033,Sheet2!$B$1:$E$19,3,FALSE)</f>
        <v>1108951</v>
      </c>
      <c r="O4033">
        <f>IF(G4033="Not available","",VLOOKUP(F4033,Sheet2!$B$1:$E$19,4,FALSE)+(G4033-1))</f>
        <v>3778815</v>
      </c>
    </row>
    <row r="4034" spans="1:15" s="1" customFormat="1" ht="15" customHeight="1" x14ac:dyDescent="0.25">
      <c r="A4034" s="18" t="s">
        <v>530</v>
      </c>
      <c r="B4034" s="18" t="s">
        <v>479</v>
      </c>
      <c r="C4034" s="5">
        <v>1845</v>
      </c>
      <c r="D4034" s="1" t="s">
        <v>51</v>
      </c>
      <c r="E4034" s="1" t="s">
        <v>2</v>
      </c>
      <c r="F4034" s="18">
        <v>2174</v>
      </c>
      <c r="G4034" s="18">
        <v>157</v>
      </c>
      <c r="H4034" s="6" t="s">
        <v>3222</v>
      </c>
      <c r="I4034" s="1">
        <v>202</v>
      </c>
      <c r="J4034" s="1">
        <v>238</v>
      </c>
      <c r="L4034" t="str">
        <f t="shared" si="62"/>
        <v>http://www.badatelna.eu/reprodukce/?fondId=1073&amp;zaznamId=1108960&amp;reproId=3780381</v>
      </c>
      <c r="M4034">
        <f>VLOOKUP(F4034,Sheet2!$B$1:$E$19,2,FALSE)</f>
        <v>1073</v>
      </c>
      <c r="N4034">
        <f>VLOOKUP(F4034,Sheet2!$B$1:$E$19,3,FALSE)</f>
        <v>1108960</v>
      </c>
      <c r="O4034">
        <f>IF(G4034="Not available","",VLOOKUP(F4034,Sheet2!$B$1:$E$19,4,FALSE)+(G4034-1))</f>
        <v>3780381</v>
      </c>
    </row>
    <row r="4035" spans="1:15" s="1" customFormat="1" ht="15" customHeight="1" x14ac:dyDescent="0.25">
      <c r="A4035" s="18" t="s">
        <v>530</v>
      </c>
      <c r="B4035" s="18" t="s">
        <v>653</v>
      </c>
      <c r="C4035" s="5">
        <v>1836</v>
      </c>
      <c r="D4035" s="1" t="s">
        <v>143</v>
      </c>
      <c r="E4035" s="1" t="s">
        <v>2</v>
      </c>
      <c r="F4035" s="18">
        <v>2174</v>
      </c>
      <c r="G4035" s="18">
        <v>88</v>
      </c>
      <c r="H4035" s="6" t="s">
        <v>3155</v>
      </c>
      <c r="I4035" s="1">
        <v>202</v>
      </c>
      <c r="J4035" s="1">
        <v>237</v>
      </c>
      <c r="L4035" t="str">
        <f t="shared" ref="L4035:L4098" si="63">IF(G4035="Not available","","http://www.badatelna.eu/reprodukce/?fondId="&amp;M4035&amp;"&amp;zaznamId="&amp;N4035&amp;"&amp;reproId="&amp;O4035)</f>
        <v>http://www.badatelna.eu/reprodukce/?fondId=1073&amp;zaznamId=1108960&amp;reproId=3780312</v>
      </c>
      <c r="M4035">
        <f>VLOOKUP(F4035,Sheet2!$B$1:$E$19,2,FALSE)</f>
        <v>1073</v>
      </c>
      <c r="N4035">
        <f>VLOOKUP(F4035,Sheet2!$B$1:$E$19,3,FALSE)</f>
        <v>1108960</v>
      </c>
      <c r="O4035">
        <f>IF(G4035="Not available","",VLOOKUP(F4035,Sheet2!$B$1:$E$19,4,FALSE)+(G4035-1))</f>
        <v>3780312</v>
      </c>
    </row>
    <row r="4036" spans="1:15" s="1" customFormat="1" ht="15" customHeight="1" x14ac:dyDescent="0.25">
      <c r="A4036" s="18" t="s">
        <v>530</v>
      </c>
      <c r="B4036" s="18" t="s">
        <v>624</v>
      </c>
      <c r="C4036" s="5">
        <v>1844</v>
      </c>
      <c r="D4036" s="1" t="s">
        <v>143</v>
      </c>
      <c r="E4036" s="1" t="s">
        <v>2</v>
      </c>
      <c r="F4036" s="18">
        <v>2174</v>
      </c>
      <c r="G4036" s="18">
        <v>143</v>
      </c>
      <c r="H4036" s="6" t="s">
        <v>3210</v>
      </c>
      <c r="I4036" s="1">
        <v>202</v>
      </c>
      <c r="J4036" s="1">
        <v>238</v>
      </c>
      <c r="L4036" t="str">
        <f t="shared" si="63"/>
        <v>http://www.badatelna.eu/reprodukce/?fondId=1073&amp;zaznamId=1108960&amp;reproId=3780367</v>
      </c>
      <c r="M4036">
        <f>VLOOKUP(F4036,Sheet2!$B$1:$E$19,2,FALSE)</f>
        <v>1073</v>
      </c>
      <c r="N4036">
        <f>VLOOKUP(F4036,Sheet2!$B$1:$E$19,3,FALSE)</f>
        <v>1108960</v>
      </c>
      <c r="O4036">
        <f>IF(G4036="Not available","",VLOOKUP(F4036,Sheet2!$B$1:$E$19,4,FALSE)+(G4036-1))</f>
        <v>3780367</v>
      </c>
    </row>
    <row r="4037" spans="1:15" s="1" customFormat="1" ht="15" customHeight="1" x14ac:dyDescent="0.25">
      <c r="A4037" s="18" t="s">
        <v>530</v>
      </c>
      <c r="B4037" s="18" t="s">
        <v>624</v>
      </c>
      <c r="C4037" s="5">
        <v>1845</v>
      </c>
      <c r="D4037" s="1" t="s">
        <v>776</v>
      </c>
      <c r="E4037" s="1" t="s">
        <v>2</v>
      </c>
      <c r="F4037" s="18">
        <v>2174</v>
      </c>
      <c r="G4037" s="18">
        <v>156</v>
      </c>
      <c r="H4037" s="6" t="s">
        <v>3227</v>
      </c>
      <c r="I4037" s="1">
        <v>202</v>
      </c>
      <c r="J4037" s="1">
        <v>238</v>
      </c>
      <c r="L4037" t="str">
        <f t="shared" si="63"/>
        <v>http://www.badatelna.eu/reprodukce/?fondId=1073&amp;zaznamId=1108960&amp;reproId=3780380</v>
      </c>
      <c r="M4037">
        <f>VLOOKUP(F4037,Sheet2!$B$1:$E$19,2,FALSE)</f>
        <v>1073</v>
      </c>
      <c r="N4037">
        <f>VLOOKUP(F4037,Sheet2!$B$1:$E$19,3,FALSE)</f>
        <v>1108960</v>
      </c>
      <c r="O4037">
        <f>IF(G4037="Not available","",VLOOKUP(F4037,Sheet2!$B$1:$E$19,4,FALSE)+(G4037-1))</f>
        <v>3780380</v>
      </c>
    </row>
    <row r="4038" spans="1:15" s="1" customFormat="1" ht="15" customHeight="1" x14ac:dyDescent="0.25">
      <c r="A4038" s="18" t="s">
        <v>530</v>
      </c>
      <c r="B4038" s="18" t="s">
        <v>624</v>
      </c>
      <c r="C4038" s="5">
        <v>1845</v>
      </c>
      <c r="D4038" s="1" t="s">
        <v>777</v>
      </c>
      <c r="E4038" s="1" t="s">
        <v>2</v>
      </c>
      <c r="F4038" s="18">
        <v>2174</v>
      </c>
      <c r="G4038" s="18">
        <v>157</v>
      </c>
      <c r="H4038" s="6" t="s">
        <v>3222</v>
      </c>
      <c r="I4038" s="1">
        <v>203</v>
      </c>
      <c r="J4038" s="1">
        <v>238</v>
      </c>
      <c r="L4038" t="str">
        <f t="shared" si="63"/>
        <v>http://www.badatelna.eu/reprodukce/?fondId=1073&amp;zaznamId=1108960&amp;reproId=3780381</v>
      </c>
      <c r="M4038">
        <f>VLOOKUP(F4038,Sheet2!$B$1:$E$19,2,FALSE)</f>
        <v>1073</v>
      </c>
      <c r="N4038">
        <f>VLOOKUP(F4038,Sheet2!$B$1:$E$19,3,FALSE)</f>
        <v>1108960</v>
      </c>
      <c r="O4038">
        <f>IF(G4038="Not available","",VLOOKUP(F4038,Sheet2!$B$1:$E$19,4,FALSE)+(G4038-1))</f>
        <v>3780381</v>
      </c>
    </row>
    <row r="4039" spans="1:15" s="1" customFormat="1" ht="15" customHeight="1" x14ac:dyDescent="0.25">
      <c r="A4039" s="18" t="s">
        <v>530</v>
      </c>
      <c r="B4039" s="18" t="s">
        <v>233</v>
      </c>
      <c r="C4039" s="5">
        <v>1841</v>
      </c>
      <c r="D4039" s="1" t="s">
        <v>428</v>
      </c>
      <c r="E4039" s="1" t="s">
        <v>2</v>
      </c>
      <c r="F4039" s="18">
        <v>2174</v>
      </c>
      <c r="G4039" s="18">
        <v>120</v>
      </c>
      <c r="H4039" s="6" t="s">
        <v>3183</v>
      </c>
      <c r="I4039" s="1">
        <v>202</v>
      </c>
      <c r="J4039" s="1">
        <v>238</v>
      </c>
      <c r="L4039" t="str">
        <f t="shared" si="63"/>
        <v>http://www.badatelna.eu/reprodukce/?fondId=1073&amp;zaznamId=1108960&amp;reproId=3780344</v>
      </c>
      <c r="M4039">
        <f>VLOOKUP(F4039,Sheet2!$B$1:$E$19,2,FALSE)</f>
        <v>1073</v>
      </c>
      <c r="N4039">
        <f>VLOOKUP(F4039,Sheet2!$B$1:$E$19,3,FALSE)</f>
        <v>1108960</v>
      </c>
      <c r="O4039">
        <f>IF(G4039="Not available","",VLOOKUP(F4039,Sheet2!$B$1:$E$19,4,FALSE)+(G4039-1))</f>
        <v>3780344</v>
      </c>
    </row>
    <row r="4040" spans="1:15" s="1" customFormat="1" ht="15" customHeight="1" x14ac:dyDescent="0.25">
      <c r="A4040" s="18" t="s">
        <v>530</v>
      </c>
      <c r="B4040" s="18" t="s">
        <v>233</v>
      </c>
      <c r="C4040" s="10" t="s">
        <v>2093</v>
      </c>
      <c r="D4040" s="3" t="s">
        <v>2746</v>
      </c>
      <c r="E4040" s="4" t="s">
        <v>2</v>
      </c>
      <c r="F4040" s="18">
        <v>2176</v>
      </c>
      <c r="G4040" s="18" t="s">
        <v>3271</v>
      </c>
      <c r="H4040" s="10" t="s">
        <v>2142</v>
      </c>
      <c r="I4040" s="3">
        <v>44</v>
      </c>
      <c r="J4040" s="3" t="s">
        <v>3271</v>
      </c>
      <c r="K4040" s="3"/>
      <c r="L4040" t="str">
        <f t="shared" si="63"/>
        <v/>
      </c>
      <c r="M4040">
        <f>VLOOKUP(F4040,Sheet2!$B$1:$E$19,2,FALSE)</f>
        <v>1073</v>
      </c>
      <c r="N4040">
        <f>VLOOKUP(F4040,Sheet2!$B$1:$E$19,3,FALSE)</f>
        <v>1108963</v>
      </c>
      <c r="O4040" t="str">
        <f>IF(G4040="Not available","",VLOOKUP(F4040,Sheet2!$B$1:$E$19,4,FALSE)+(G4040-1))</f>
        <v/>
      </c>
    </row>
    <row r="4041" spans="1:15" s="1" customFormat="1" ht="15" customHeight="1" x14ac:dyDescent="0.25">
      <c r="A4041" s="18" t="s">
        <v>530</v>
      </c>
      <c r="B4041" s="18" t="s">
        <v>233</v>
      </c>
      <c r="C4041" s="5" t="s">
        <v>1918</v>
      </c>
      <c r="D4041" s="1" t="s">
        <v>201</v>
      </c>
      <c r="E4041" s="1" t="s">
        <v>2</v>
      </c>
      <c r="F4041" s="18">
        <v>2165</v>
      </c>
      <c r="G4041" s="18">
        <v>275</v>
      </c>
      <c r="H4041" s="5">
        <v>1</v>
      </c>
      <c r="I4041" s="1">
        <v>278</v>
      </c>
      <c r="J4041" s="1">
        <v>252</v>
      </c>
      <c r="L4041" t="str">
        <f t="shared" si="63"/>
        <v>http://www.badatelna.eu/reprodukce/?fondId=1073&amp;zaznamId=1108952&amp;reproId=3779136</v>
      </c>
      <c r="M4041">
        <f>VLOOKUP(F4041,Sheet2!$B$1:$E$19,2,FALSE)</f>
        <v>1073</v>
      </c>
      <c r="N4041">
        <f>VLOOKUP(F4041,Sheet2!$B$1:$E$19,3,FALSE)</f>
        <v>1108952</v>
      </c>
      <c r="O4041">
        <f>IF(G4041="Not available","",VLOOKUP(F4041,Sheet2!$B$1:$E$19,4,FALSE)+(G4041-1))</f>
        <v>3779136</v>
      </c>
    </row>
    <row r="4042" spans="1:15" s="1" customFormat="1" ht="15" customHeight="1" x14ac:dyDescent="0.25">
      <c r="A4042" s="18" t="s">
        <v>530</v>
      </c>
      <c r="B4042" s="18" t="s">
        <v>668</v>
      </c>
      <c r="C4042" s="5">
        <v>1856</v>
      </c>
      <c r="D4042" s="1" t="s">
        <v>777</v>
      </c>
      <c r="E4042" s="1" t="s">
        <v>2</v>
      </c>
      <c r="F4042" s="18">
        <v>2164</v>
      </c>
      <c r="G4042" s="18">
        <v>110</v>
      </c>
      <c r="H4042" s="5">
        <v>108</v>
      </c>
      <c r="I4042" s="1">
        <v>140</v>
      </c>
      <c r="J4042" s="3" t="s">
        <v>3271</v>
      </c>
      <c r="L4042" t="str">
        <f t="shared" si="63"/>
        <v>http://www.badatelna.eu/reprodukce/?fondId=1073&amp;zaznamId=1108951&amp;reproId=3778824</v>
      </c>
      <c r="M4042">
        <f>VLOOKUP(F4042,Sheet2!$B$1:$E$19,2,FALSE)</f>
        <v>1073</v>
      </c>
      <c r="N4042">
        <f>VLOOKUP(F4042,Sheet2!$B$1:$E$19,3,FALSE)</f>
        <v>1108951</v>
      </c>
      <c r="O4042">
        <f>IF(G4042="Not available","",VLOOKUP(F4042,Sheet2!$B$1:$E$19,4,FALSE)+(G4042-1))</f>
        <v>3778824</v>
      </c>
    </row>
    <row r="4043" spans="1:15" s="1" customFormat="1" ht="15" customHeight="1" x14ac:dyDescent="0.25">
      <c r="A4043" s="18" t="s">
        <v>530</v>
      </c>
      <c r="B4043" s="18" t="s">
        <v>310</v>
      </c>
      <c r="C4043" s="5">
        <v>1857</v>
      </c>
      <c r="D4043" s="1" t="s">
        <v>51</v>
      </c>
      <c r="E4043" s="1" t="s">
        <v>2</v>
      </c>
      <c r="F4043" s="18">
        <v>2164</v>
      </c>
      <c r="G4043" s="18">
        <v>117</v>
      </c>
      <c r="H4043" s="5">
        <v>115</v>
      </c>
      <c r="I4043" s="1">
        <v>140</v>
      </c>
      <c r="J4043" s="3" t="s">
        <v>3271</v>
      </c>
      <c r="L4043" t="str">
        <f t="shared" si="63"/>
        <v>http://www.badatelna.eu/reprodukce/?fondId=1073&amp;zaznamId=1108951&amp;reproId=3778831</v>
      </c>
      <c r="M4043">
        <f>VLOOKUP(F4043,Sheet2!$B$1:$E$19,2,FALSE)</f>
        <v>1073</v>
      </c>
      <c r="N4043">
        <f>VLOOKUP(F4043,Sheet2!$B$1:$E$19,3,FALSE)</f>
        <v>1108951</v>
      </c>
      <c r="O4043">
        <f>IF(G4043="Not available","",VLOOKUP(F4043,Sheet2!$B$1:$E$19,4,FALSE)+(G4043-1))</f>
        <v>3778831</v>
      </c>
    </row>
    <row r="4044" spans="1:15" s="1" customFormat="1" ht="15" customHeight="1" x14ac:dyDescent="0.25">
      <c r="A4044" s="18" t="s">
        <v>530</v>
      </c>
      <c r="B4044" s="18" t="s">
        <v>21</v>
      </c>
      <c r="C4044" s="5">
        <v>1820</v>
      </c>
      <c r="E4044" s="1" t="s">
        <v>2</v>
      </c>
      <c r="F4044" s="18">
        <v>2173</v>
      </c>
      <c r="G4044" s="18">
        <v>70</v>
      </c>
      <c r="H4044" s="5">
        <v>133</v>
      </c>
      <c r="I4044" s="1">
        <v>116</v>
      </c>
      <c r="J4044" s="1">
        <v>253</v>
      </c>
      <c r="L4044" t="str">
        <f t="shared" si="63"/>
        <v>http://www.badatelna.eu/reprodukce/?fondId=1073&amp;zaznamId=1108959&amp;reproId=3780063</v>
      </c>
      <c r="M4044">
        <f>VLOOKUP(F4044,Sheet2!$B$1:$E$19,2,FALSE)</f>
        <v>1073</v>
      </c>
      <c r="N4044">
        <f>VLOOKUP(F4044,Sheet2!$B$1:$E$19,3,FALSE)</f>
        <v>1108959</v>
      </c>
      <c r="O4044">
        <f>IF(G4044="Not available","",VLOOKUP(F4044,Sheet2!$B$1:$E$19,4,FALSE)+(G4044-1))</f>
        <v>3780063</v>
      </c>
    </row>
    <row r="4045" spans="1:15" s="1" customFormat="1" ht="15" customHeight="1" x14ac:dyDescent="0.25">
      <c r="A4045" s="18" t="s">
        <v>530</v>
      </c>
      <c r="B4045" s="18" t="s">
        <v>489</v>
      </c>
      <c r="C4045" s="5">
        <v>1846</v>
      </c>
      <c r="D4045" s="1" t="s">
        <v>51</v>
      </c>
      <c r="E4045" s="1" t="s">
        <v>2</v>
      </c>
      <c r="F4045" s="18">
        <v>2174</v>
      </c>
      <c r="G4045" s="18">
        <v>167</v>
      </c>
      <c r="H4045" s="6" t="s">
        <v>3234</v>
      </c>
      <c r="I4045" s="1">
        <v>203</v>
      </c>
      <c r="J4045" s="1">
        <v>238</v>
      </c>
      <c r="L4045" t="str">
        <f t="shared" si="63"/>
        <v>http://www.badatelna.eu/reprodukce/?fondId=1073&amp;zaznamId=1108960&amp;reproId=3780391</v>
      </c>
      <c r="M4045">
        <f>VLOOKUP(F4045,Sheet2!$B$1:$E$19,2,FALSE)</f>
        <v>1073</v>
      </c>
      <c r="N4045">
        <f>VLOOKUP(F4045,Sheet2!$B$1:$E$19,3,FALSE)</f>
        <v>1108960</v>
      </c>
      <c r="O4045">
        <f>IF(G4045="Not available","",VLOOKUP(F4045,Sheet2!$B$1:$E$19,4,FALSE)+(G4045-1))</f>
        <v>3780391</v>
      </c>
    </row>
    <row r="4046" spans="1:15" s="1" customFormat="1" ht="15" customHeight="1" x14ac:dyDescent="0.25">
      <c r="A4046" s="18" t="s">
        <v>530</v>
      </c>
      <c r="B4046" s="18" t="s">
        <v>182</v>
      </c>
      <c r="C4046" s="5">
        <v>1841</v>
      </c>
      <c r="D4046" s="1" t="s">
        <v>26</v>
      </c>
      <c r="E4046" s="1" t="s">
        <v>2</v>
      </c>
      <c r="F4046" s="18">
        <v>2174</v>
      </c>
      <c r="G4046" s="18">
        <v>121</v>
      </c>
      <c r="H4046" s="6" t="s">
        <v>3189</v>
      </c>
      <c r="I4046" s="1">
        <v>202</v>
      </c>
      <c r="J4046" s="1">
        <v>238</v>
      </c>
      <c r="L4046" t="str">
        <f t="shared" si="63"/>
        <v>http://www.badatelna.eu/reprodukce/?fondId=1073&amp;zaznamId=1108960&amp;reproId=3780345</v>
      </c>
      <c r="M4046">
        <f>VLOOKUP(F4046,Sheet2!$B$1:$E$19,2,FALSE)</f>
        <v>1073</v>
      </c>
      <c r="N4046">
        <f>VLOOKUP(F4046,Sheet2!$B$1:$E$19,3,FALSE)</f>
        <v>1108960</v>
      </c>
      <c r="O4046">
        <f>IF(G4046="Not available","",VLOOKUP(F4046,Sheet2!$B$1:$E$19,4,FALSE)+(G4046-1))</f>
        <v>3780345</v>
      </c>
    </row>
    <row r="4047" spans="1:15" s="1" customFormat="1" ht="15" customHeight="1" x14ac:dyDescent="0.25">
      <c r="A4047" s="18" t="s">
        <v>530</v>
      </c>
      <c r="B4047" s="18" t="s">
        <v>422</v>
      </c>
      <c r="C4047" s="5">
        <v>1843</v>
      </c>
      <c r="D4047" s="1" t="s">
        <v>93</v>
      </c>
      <c r="E4047" s="1" t="s">
        <v>2</v>
      </c>
      <c r="F4047" s="18">
        <v>2174</v>
      </c>
      <c r="G4047" s="18">
        <v>136</v>
      </c>
      <c r="H4047" s="6" t="s">
        <v>3202</v>
      </c>
      <c r="I4047" s="1">
        <v>202</v>
      </c>
      <c r="J4047" s="1">
        <v>238</v>
      </c>
      <c r="L4047" t="str">
        <f t="shared" si="63"/>
        <v>http://www.badatelna.eu/reprodukce/?fondId=1073&amp;zaznamId=1108960&amp;reproId=3780360</v>
      </c>
      <c r="M4047">
        <f>VLOOKUP(F4047,Sheet2!$B$1:$E$19,2,FALSE)</f>
        <v>1073</v>
      </c>
      <c r="N4047">
        <f>VLOOKUP(F4047,Sheet2!$B$1:$E$19,3,FALSE)</f>
        <v>1108960</v>
      </c>
      <c r="O4047">
        <f>IF(G4047="Not available","",VLOOKUP(F4047,Sheet2!$B$1:$E$19,4,FALSE)+(G4047-1))</f>
        <v>3780360</v>
      </c>
    </row>
    <row r="4048" spans="1:15" s="1" customFormat="1" ht="15" customHeight="1" x14ac:dyDescent="0.25">
      <c r="A4048" s="18" t="s">
        <v>530</v>
      </c>
      <c r="B4048" s="18" t="s">
        <v>13</v>
      </c>
      <c r="C4048" s="5">
        <v>1825</v>
      </c>
      <c r="E4048" s="1" t="s">
        <v>2</v>
      </c>
      <c r="F4048" s="18">
        <v>2173</v>
      </c>
      <c r="G4048" s="18">
        <v>77</v>
      </c>
      <c r="H4048" s="5">
        <v>147</v>
      </c>
      <c r="I4048" s="1">
        <v>116</v>
      </c>
      <c r="J4048" s="1">
        <v>253</v>
      </c>
      <c r="L4048" t="str">
        <f t="shared" si="63"/>
        <v>http://www.badatelna.eu/reprodukce/?fondId=1073&amp;zaznamId=1108959&amp;reproId=3780070</v>
      </c>
      <c r="M4048">
        <f>VLOOKUP(F4048,Sheet2!$B$1:$E$19,2,FALSE)</f>
        <v>1073</v>
      </c>
      <c r="N4048">
        <f>VLOOKUP(F4048,Sheet2!$B$1:$E$19,3,FALSE)</f>
        <v>1108959</v>
      </c>
      <c r="O4048">
        <f>IF(G4048="Not available","",VLOOKUP(F4048,Sheet2!$B$1:$E$19,4,FALSE)+(G4048-1))</f>
        <v>3780070</v>
      </c>
    </row>
    <row r="4049" spans="1:15" s="1" customFormat="1" ht="15" customHeight="1" x14ac:dyDescent="0.25">
      <c r="A4049" s="18" t="s">
        <v>530</v>
      </c>
      <c r="B4049" s="18" t="s">
        <v>100</v>
      </c>
      <c r="C4049" s="5">
        <v>1851</v>
      </c>
      <c r="D4049" s="1" t="s">
        <v>40</v>
      </c>
      <c r="E4049" s="1" t="s">
        <v>2</v>
      </c>
      <c r="F4049" s="18">
        <v>2164</v>
      </c>
      <c r="G4049" s="18">
        <v>80</v>
      </c>
      <c r="H4049" s="5">
        <v>78</v>
      </c>
      <c r="I4049" s="1">
        <v>139</v>
      </c>
      <c r="J4049" s="3" t="s">
        <v>3271</v>
      </c>
      <c r="L4049" t="str">
        <f t="shared" si="63"/>
        <v>http://www.badatelna.eu/reprodukce/?fondId=1073&amp;zaznamId=1108951&amp;reproId=3778794</v>
      </c>
      <c r="M4049">
        <f>VLOOKUP(F4049,Sheet2!$B$1:$E$19,2,FALSE)</f>
        <v>1073</v>
      </c>
      <c r="N4049">
        <f>VLOOKUP(F4049,Sheet2!$B$1:$E$19,3,FALSE)</f>
        <v>1108951</v>
      </c>
      <c r="O4049">
        <f>IF(G4049="Not available","",VLOOKUP(F4049,Sheet2!$B$1:$E$19,4,FALSE)+(G4049-1))</f>
        <v>3778794</v>
      </c>
    </row>
    <row r="4050" spans="1:15" s="1" customFormat="1" ht="15" customHeight="1" x14ac:dyDescent="0.25">
      <c r="A4050" s="18" t="s">
        <v>530</v>
      </c>
      <c r="B4050" s="18" t="s">
        <v>1121</v>
      </c>
      <c r="C4050" s="10" t="s">
        <v>2036</v>
      </c>
      <c r="D4050" s="3" t="s">
        <v>2742</v>
      </c>
      <c r="E4050" s="4" t="s">
        <v>2</v>
      </c>
      <c r="F4050" s="18">
        <v>2176</v>
      </c>
      <c r="G4050" s="18" t="s">
        <v>3271</v>
      </c>
      <c r="H4050" s="10" t="s">
        <v>2086</v>
      </c>
      <c r="I4050" s="3">
        <v>44</v>
      </c>
      <c r="J4050" s="3" t="s">
        <v>3271</v>
      </c>
      <c r="K4050" s="3"/>
      <c r="L4050" t="str">
        <f t="shared" si="63"/>
        <v/>
      </c>
      <c r="M4050">
        <f>VLOOKUP(F4050,Sheet2!$B$1:$E$19,2,FALSE)</f>
        <v>1073</v>
      </c>
      <c r="N4050">
        <f>VLOOKUP(F4050,Sheet2!$B$1:$E$19,3,FALSE)</f>
        <v>1108963</v>
      </c>
      <c r="O4050" t="str">
        <f>IF(G4050="Not available","",VLOOKUP(F4050,Sheet2!$B$1:$E$19,4,FALSE)+(G4050-1))</f>
        <v/>
      </c>
    </row>
    <row r="4051" spans="1:15" s="1" customFormat="1" ht="15" customHeight="1" x14ac:dyDescent="0.25">
      <c r="A4051" s="18" t="s">
        <v>530</v>
      </c>
      <c r="B4051" s="18" t="s">
        <v>1121</v>
      </c>
      <c r="C4051" s="5">
        <v>1883</v>
      </c>
      <c r="D4051" s="1" t="s">
        <v>1154</v>
      </c>
      <c r="E4051" s="1" t="s">
        <v>2</v>
      </c>
      <c r="F4051" s="18">
        <v>2165</v>
      </c>
      <c r="G4051" s="18">
        <v>187</v>
      </c>
      <c r="H4051" s="5">
        <v>3</v>
      </c>
      <c r="I4051" s="1">
        <v>191</v>
      </c>
      <c r="J4051" s="1">
        <v>168</v>
      </c>
      <c r="L4051" t="str">
        <f t="shared" si="63"/>
        <v>http://www.badatelna.eu/reprodukce/?fondId=1073&amp;zaznamId=1108952&amp;reproId=3779048</v>
      </c>
      <c r="M4051">
        <f>VLOOKUP(F4051,Sheet2!$B$1:$E$19,2,FALSE)</f>
        <v>1073</v>
      </c>
      <c r="N4051">
        <f>VLOOKUP(F4051,Sheet2!$B$1:$E$19,3,FALSE)</f>
        <v>1108952</v>
      </c>
      <c r="O4051">
        <f>IF(G4051="Not available","",VLOOKUP(F4051,Sheet2!$B$1:$E$19,4,FALSE)+(G4051-1))</f>
        <v>3779048</v>
      </c>
    </row>
    <row r="4052" spans="1:15" s="1" customFormat="1" ht="15" customHeight="1" x14ac:dyDescent="0.25">
      <c r="A4052" s="18" t="s">
        <v>530</v>
      </c>
      <c r="B4052" s="18" t="s">
        <v>143</v>
      </c>
      <c r="C4052" s="5">
        <v>1806</v>
      </c>
      <c r="E4052" s="1" t="s">
        <v>2</v>
      </c>
      <c r="F4052" s="18">
        <v>2173</v>
      </c>
      <c r="G4052" s="18">
        <v>51</v>
      </c>
      <c r="H4052" s="14" t="s">
        <v>3015</v>
      </c>
      <c r="I4052" s="1">
        <v>116</v>
      </c>
      <c r="J4052" s="1">
        <v>252</v>
      </c>
      <c r="L4052" t="str">
        <f t="shared" si="63"/>
        <v>http://www.badatelna.eu/reprodukce/?fondId=1073&amp;zaznamId=1108959&amp;reproId=3780044</v>
      </c>
      <c r="M4052">
        <f>VLOOKUP(F4052,Sheet2!$B$1:$E$19,2,FALSE)</f>
        <v>1073</v>
      </c>
      <c r="N4052">
        <f>VLOOKUP(F4052,Sheet2!$B$1:$E$19,3,FALSE)</f>
        <v>1108959</v>
      </c>
      <c r="O4052">
        <f>IF(G4052="Not available","",VLOOKUP(F4052,Sheet2!$B$1:$E$19,4,FALSE)+(G4052-1))</f>
        <v>3780044</v>
      </c>
    </row>
    <row r="4053" spans="1:15" s="1" customFormat="1" ht="15" customHeight="1" x14ac:dyDescent="0.25">
      <c r="A4053" s="18" t="s">
        <v>530</v>
      </c>
      <c r="B4053" s="18" t="s">
        <v>143</v>
      </c>
      <c r="C4053" s="5">
        <v>1853</v>
      </c>
      <c r="D4053" s="1" t="s">
        <v>548</v>
      </c>
      <c r="E4053" s="1" t="s">
        <v>2</v>
      </c>
      <c r="F4053" s="18">
        <v>2164</v>
      </c>
      <c r="G4053" s="18">
        <v>89</v>
      </c>
      <c r="H4053" s="5">
        <v>87</v>
      </c>
      <c r="I4053" s="1">
        <v>139</v>
      </c>
      <c r="J4053" s="3" t="s">
        <v>3271</v>
      </c>
      <c r="L4053" t="str">
        <f t="shared" si="63"/>
        <v>http://www.badatelna.eu/reprodukce/?fondId=1073&amp;zaznamId=1108951&amp;reproId=3778803</v>
      </c>
      <c r="M4053">
        <f>VLOOKUP(F4053,Sheet2!$B$1:$E$19,2,FALSE)</f>
        <v>1073</v>
      </c>
      <c r="N4053">
        <f>VLOOKUP(F4053,Sheet2!$B$1:$E$19,3,FALSE)</f>
        <v>1108951</v>
      </c>
      <c r="O4053">
        <f>IF(G4053="Not available","",VLOOKUP(F4053,Sheet2!$B$1:$E$19,4,FALSE)+(G4053-1))</f>
        <v>3778803</v>
      </c>
    </row>
    <row r="4054" spans="1:15" s="1" customFormat="1" ht="15" customHeight="1" x14ac:dyDescent="0.25">
      <c r="A4054" s="18" t="s">
        <v>530</v>
      </c>
      <c r="B4054" s="18" t="s">
        <v>536</v>
      </c>
      <c r="C4054" s="5">
        <v>1850</v>
      </c>
      <c r="D4054" s="1" t="s">
        <v>155</v>
      </c>
      <c r="E4054" s="1" t="s">
        <v>2</v>
      </c>
      <c r="F4054" s="18">
        <v>2164</v>
      </c>
      <c r="G4054" s="18">
        <v>71</v>
      </c>
      <c r="H4054" s="5">
        <v>69</v>
      </c>
      <c r="I4054" s="1">
        <v>139</v>
      </c>
      <c r="J4054" s="3" t="s">
        <v>3271</v>
      </c>
      <c r="L4054" t="str">
        <f t="shared" si="63"/>
        <v>http://www.badatelna.eu/reprodukce/?fondId=1073&amp;zaznamId=1108951&amp;reproId=3778785</v>
      </c>
      <c r="M4054">
        <f>VLOOKUP(F4054,Sheet2!$B$1:$E$19,2,FALSE)</f>
        <v>1073</v>
      </c>
      <c r="N4054">
        <f>VLOOKUP(F4054,Sheet2!$B$1:$E$19,3,FALSE)</f>
        <v>1108951</v>
      </c>
      <c r="O4054">
        <f>IF(G4054="Not available","",VLOOKUP(F4054,Sheet2!$B$1:$E$19,4,FALSE)+(G4054-1))</f>
        <v>3778785</v>
      </c>
    </row>
    <row r="4055" spans="1:15" s="1" customFormat="1" ht="15" customHeight="1" x14ac:dyDescent="0.25">
      <c r="A4055" s="18" t="s">
        <v>530</v>
      </c>
      <c r="B4055" s="18" t="s">
        <v>398</v>
      </c>
      <c r="C4055" s="5" t="s">
        <v>1604</v>
      </c>
      <c r="D4055" s="1" t="s">
        <v>50</v>
      </c>
      <c r="E4055" s="1" t="s">
        <v>2</v>
      </c>
      <c r="F4055" s="18">
        <v>2165</v>
      </c>
      <c r="G4055" s="18">
        <v>11</v>
      </c>
      <c r="H4055" s="5">
        <v>8</v>
      </c>
      <c r="I4055" s="1">
        <v>92</v>
      </c>
      <c r="J4055" s="1" t="s">
        <v>3271</v>
      </c>
      <c r="L4055" t="str">
        <f t="shared" si="63"/>
        <v>http://www.badatelna.eu/reprodukce/?fondId=1073&amp;zaznamId=1108952&amp;reproId=3778872</v>
      </c>
      <c r="M4055">
        <f>VLOOKUP(F4055,Sheet2!$B$1:$E$19,2,FALSE)</f>
        <v>1073</v>
      </c>
      <c r="N4055">
        <f>VLOOKUP(F4055,Sheet2!$B$1:$E$19,3,FALSE)</f>
        <v>1108952</v>
      </c>
      <c r="O4055">
        <f>IF(G4055="Not available","",VLOOKUP(F4055,Sheet2!$B$1:$E$19,4,FALSE)+(G4055-1))</f>
        <v>3778872</v>
      </c>
    </row>
    <row r="4056" spans="1:15" s="1" customFormat="1" ht="15" customHeight="1" x14ac:dyDescent="0.25">
      <c r="A4056" s="18" t="s">
        <v>530</v>
      </c>
      <c r="B4056" s="18" t="s">
        <v>949</v>
      </c>
      <c r="C4056" s="5">
        <v>1865</v>
      </c>
      <c r="E4056" s="1" t="s">
        <v>939</v>
      </c>
      <c r="F4056" s="18">
        <v>999</v>
      </c>
      <c r="G4056" s="18">
        <v>57</v>
      </c>
      <c r="H4056" s="5">
        <v>55</v>
      </c>
      <c r="I4056" s="1">
        <v>77</v>
      </c>
      <c r="J4056" s="1">
        <v>112</v>
      </c>
      <c r="L4056" t="str">
        <f t="shared" si="63"/>
        <v>http://www.badatelna.eu/reprodukce/?fondId=241&amp;zaznamId=1133739&amp;reproId=3885786</v>
      </c>
      <c r="M4056">
        <f>VLOOKUP(F4056,Sheet2!$B$1:$E$19,2,FALSE)</f>
        <v>241</v>
      </c>
      <c r="N4056">
        <f>VLOOKUP(F4056,Sheet2!$B$1:$E$19,3,FALSE)</f>
        <v>1133739</v>
      </c>
      <c r="O4056">
        <f>IF(G4056="Not available","",VLOOKUP(F4056,Sheet2!$B$1:$E$19,4,FALSE)+(G4056-1))</f>
        <v>3885786</v>
      </c>
    </row>
    <row r="4057" spans="1:15" s="1" customFormat="1" ht="15" customHeight="1" x14ac:dyDescent="0.25">
      <c r="A4057" s="18" t="s">
        <v>530</v>
      </c>
      <c r="B4057" s="18" t="s">
        <v>593</v>
      </c>
      <c r="C4057" s="10" t="s">
        <v>1987</v>
      </c>
      <c r="D4057" s="3" t="s">
        <v>2730</v>
      </c>
      <c r="E4057" s="4" t="s">
        <v>2</v>
      </c>
      <c r="F4057" s="18">
        <v>2176</v>
      </c>
      <c r="G4057" s="18" t="s">
        <v>3271</v>
      </c>
      <c r="H4057" s="10" t="s">
        <v>2037</v>
      </c>
      <c r="I4057" s="3">
        <v>44</v>
      </c>
      <c r="J4057" s="3" t="s">
        <v>3271</v>
      </c>
      <c r="L4057" t="str">
        <f t="shared" si="63"/>
        <v/>
      </c>
      <c r="M4057">
        <f>VLOOKUP(F4057,Sheet2!$B$1:$E$19,2,FALSE)</f>
        <v>1073</v>
      </c>
      <c r="N4057">
        <f>VLOOKUP(F4057,Sheet2!$B$1:$E$19,3,FALSE)</f>
        <v>1108963</v>
      </c>
      <c r="O4057" t="str">
        <f>IF(G4057="Not available","",VLOOKUP(F4057,Sheet2!$B$1:$E$19,4,FALSE)+(G4057-1))</f>
        <v/>
      </c>
    </row>
    <row r="4058" spans="1:15" s="1" customFormat="1" ht="15" customHeight="1" x14ac:dyDescent="0.25">
      <c r="A4058" s="18" t="s">
        <v>530</v>
      </c>
      <c r="B4058" s="18" t="s">
        <v>145</v>
      </c>
      <c r="C4058" s="5">
        <v>1849</v>
      </c>
      <c r="D4058" s="1" t="s">
        <v>906</v>
      </c>
      <c r="E4058" s="1" t="s">
        <v>2</v>
      </c>
      <c r="F4058" s="18">
        <v>2164</v>
      </c>
      <c r="G4058" s="18">
        <v>43</v>
      </c>
      <c r="H4058" s="5">
        <v>41</v>
      </c>
      <c r="I4058" s="1">
        <v>139</v>
      </c>
      <c r="J4058" s="3" t="s">
        <v>3271</v>
      </c>
      <c r="L4058" t="str">
        <f t="shared" si="63"/>
        <v>http://www.badatelna.eu/reprodukce/?fondId=1073&amp;zaznamId=1108951&amp;reproId=3778757</v>
      </c>
      <c r="M4058">
        <f>VLOOKUP(F4058,Sheet2!$B$1:$E$19,2,FALSE)</f>
        <v>1073</v>
      </c>
      <c r="N4058">
        <f>VLOOKUP(F4058,Sheet2!$B$1:$E$19,3,FALSE)</f>
        <v>1108951</v>
      </c>
      <c r="O4058">
        <f>IF(G4058="Not available","",VLOOKUP(F4058,Sheet2!$B$1:$E$19,4,FALSE)+(G4058-1))</f>
        <v>3778757</v>
      </c>
    </row>
    <row r="4059" spans="1:15" s="1" customFormat="1" ht="15" customHeight="1" x14ac:dyDescent="0.25">
      <c r="A4059" s="18" t="s">
        <v>530</v>
      </c>
      <c r="B4059" s="18" t="s">
        <v>656</v>
      </c>
      <c r="C4059" s="5">
        <v>1855</v>
      </c>
      <c r="D4059" s="1" t="s">
        <v>8</v>
      </c>
      <c r="E4059" s="1" t="s">
        <v>2</v>
      </c>
      <c r="F4059" s="18">
        <v>2164</v>
      </c>
      <c r="G4059" s="18">
        <v>103</v>
      </c>
      <c r="H4059" s="5">
        <v>102</v>
      </c>
      <c r="I4059" s="1">
        <v>140</v>
      </c>
      <c r="J4059" s="3" t="s">
        <v>3271</v>
      </c>
      <c r="L4059" t="str">
        <f t="shared" si="63"/>
        <v>http://www.badatelna.eu/reprodukce/?fondId=1073&amp;zaznamId=1108951&amp;reproId=3778817</v>
      </c>
      <c r="M4059">
        <f>VLOOKUP(F4059,Sheet2!$B$1:$E$19,2,FALSE)</f>
        <v>1073</v>
      </c>
      <c r="N4059">
        <f>VLOOKUP(F4059,Sheet2!$B$1:$E$19,3,FALSE)</f>
        <v>1108951</v>
      </c>
      <c r="O4059">
        <f>IF(G4059="Not available","",VLOOKUP(F4059,Sheet2!$B$1:$E$19,4,FALSE)+(G4059-1))</f>
        <v>3778817</v>
      </c>
    </row>
    <row r="4060" spans="1:15" s="1" customFormat="1" ht="15" customHeight="1" x14ac:dyDescent="0.25">
      <c r="A4060" s="18" t="s">
        <v>530</v>
      </c>
      <c r="B4060" s="18" t="s">
        <v>17</v>
      </c>
      <c r="C4060" s="5">
        <v>1801</v>
      </c>
      <c r="E4060" s="1" t="s">
        <v>2</v>
      </c>
      <c r="F4060" s="18">
        <v>2173</v>
      </c>
      <c r="G4060" s="18">
        <v>43</v>
      </c>
      <c r="H4060" s="5">
        <v>81</v>
      </c>
      <c r="I4060" s="1">
        <v>116</v>
      </c>
      <c r="J4060" s="1">
        <v>252</v>
      </c>
      <c r="L4060" t="str">
        <f t="shared" si="63"/>
        <v>http://www.badatelna.eu/reprodukce/?fondId=1073&amp;zaznamId=1108959&amp;reproId=3780036</v>
      </c>
      <c r="M4060">
        <f>VLOOKUP(F4060,Sheet2!$B$1:$E$19,2,FALSE)</f>
        <v>1073</v>
      </c>
      <c r="N4060">
        <f>VLOOKUP(F4060,Sheet2!$B$1:$E$19,3,FALSE)</f>
        <v>1108959</v>
      </c>
      <c r="O4060">
        <f>IF(G4060="Not available","",VLOOKUP(F4060,Sheet2!$B$1:$E$19,4,FALSE)+(G4060-1))</f>
        <v>3780036</v>
      </c>
    </row>
    <row r="4061" spans="1:15" s="1" customFormat="1" ht="15" customHeight="1" x14ac:dyDescent="0.25">
      <c r="A4061" s="18" t="s">
        <v>530</v>
      </c>
      <c r="B4061" s="18" t="s">
        <v>752</v>
      </c>
      <c r="C4061" s="5">
        <v>1831</v>
      </c>
      <c r="D4061" s="1" t="s">
        <v>428</v>
      </c>
      <c r="E4061" s="1" t="s">
        <v>2</v>
      </c>
      <c r="F4061" s="18">
        <v>2174</v>
      </c>
      <c r="G4061" s="18">
        <v>63</v>
      </c>
      <c r="H4061" s="6" t="s">
        <v>3107</v>
      </c>
      <c r="I4061" s="1">
        <v>201</v>
      </c>
      <c r="J4061" s="1">
        <v>236</v>
      </c>
      <c r="L4061" t="str">
        <f t="shared" si="63"/>
        <v>http://www.badatelna.eu/reprodukce/?fondId=1073&amp;zaznamId=1108960&amp;reproId=3780287</v>
      </c>
      <c r="M4061">
        <f>VLOOKUP(F4061,Sheet2!$B$1:$E$19,2,FALSE)</f>
        <v>1073</v>
      </c>
      <c r="N4061">
        <f>VLOOKUP(F4061,Sheet2!$B$1:$E$19,3,FALSE)</f>
        <v>1108960</v>
      </c>
      <c r="O4061">
        <f>IF(G4061="Not available","",VLOOKUP(F4061,Sheet2!$B$1:$E$19,4,FALSE)+(G4061-1))</f>
        <v>3780287</v>
      </c>
    </row>
    <row r="4062" spans="1:15" s="1" customFormat="1" ht="15" customHeight="1" x14ac:dyDescent="0.25">
      <c r="A4062" s="18" t="s">
        <v>530</v>
      </c>
      <c r="B4062" s="18" t="s">
        <v>475</v>
      </c>
      <c r="C4062" s="5">
        <v>1846</v>
      </c>
      <c r="D4062" s="1" t="s">
        <v>12</v>
      </c>
      <c r="E4062" s="1" t="s">
        <v>2</v>
      </c>
      <c r="F4062" s="18">
        <v>2174</v>
      </c>
      <c r="G4062" s="18">
        <v>168</v>
      </c>
      <c r="H4062" s="6" t="s">
        <v>3230</v>
      </c>
      <c r="I4062" s="1">
        <v>203</v>
      </c>
      <c r="J4062" s="1">
        <v>238</v>
      </c>
      <c r="L4062" t="str">
        <f t="shared" si="63"/>
        <v>http://www.badatelna.eu/reprodukce/?fondId=1073&amp;zaznamId=1108960&amp;reproId=3780392</v>
      </c>
      <c r="M4062">
        <f>VLOOKUP(F4062,Sheet2!$B$1:$E$19,2,FALSE)</f>
        <v>1073</v>
      </c>
      <c r="N4062">
        <f>VLOOKUP(F4062,Sheet2!$B$1:$E$19,3,FALSE)</f>
        <v>1108960</v>
      </c>
      <c r="O4062">
        <f>IF(G4062="Not available","",VLOOKUP(F4062,Sheet2!$B$1:$E$19,4,FALSE)+(G4062-1))</f>
        <v>3780392</v>
      </c>
    </row>
    <row r="4063" spans="1:15" s="1" customFormat="1" ht="15" customHeight="1" x14ac:dyDescent="0.25">
      <c r="A4063" s="18" t="s">
        <v>530</v>
      </c>
      <c r="B4063" s="18" t="s">
        <v>542</v>
      </c>
      <c r="C4063" s="5">
        <v>1842</v>
      </c>
      <c r="D4063" s="4" t="s">
        <v>561</v>
      </c>
      <c r="E4063" s="1" t="s">
        <v>2</v>
      </c>
      <c r="F4063" s="18">
        <v>2174</v>
      </c>
      <c r="G4063" s="18">
        <v>129</v>
      </c>
      <c r="H4063" s="6" t="s">
        <v>3195</v>
      </c>
      <c r="I4063" s="1">
        <v>202</v>
      </c>
      <c r="J4063" s="1">
        <v>238</v>
      </c>
      <c r="L4063" t="str">
        <f t="shared" si="63"/>
        <v>http://www.badatelna.eu/reprodukce/?fondId=1073&amp;zaznamId=1108960&amp;reproId=3780353</v>
      </c>
      <c r="M4063">
        <f>VLOOKUP(F4063,Sheet2!$B$1:$E$19,2,FALSE)</f>
        <v>1073</v>
      </c>
      <c r="N4063">
        <f>VLOOKUP(F4063,Sheet2!$B$1:$E$19,3,FALSE)</f>
        <v>1108960</v>
      </c>
      <c r="O4063">
        <f>IF(G4063="Not available","",VLOOKUP(F4063,Sheet2!$B$1:$E$19,4,FALSE)+(G4063-1))</f>
        <v>3780353</v>
      </c>
    </row>
    <row r="4064" spans="1:15" s="1" customFormat="1" ht="15" customHeight="1" x14ac:dyDescent="0.25">
      <c r="A4064" s="18" t="s">
        <v>530</v>
      </c>
      <c r="B4064" s="18" t="s">
        <v>763</v>
      </c>
      <c r="C4064" s="5">
        <v>1841</v>
      </c>
      <c r="D4064" s="1" t="s">
        <v>26</v>
      </c>
      <c r="E4064" s="1" t="s">
        <v>2</v>
      </c>
      <c r="F4064" s="18">
        <v>2174</v>
      </c>
      <c r="G4064" s="18">
        <v>121</v>
      </c>
      <c r="H4064" s="6" t="s">
        <v>3189</v>
      </c>
      <c r="I4064" s="1">
        <v>202</v>
      </c>
      <c r="J4064" s="1">
        <v>238</v>
      </c>
      <c r="L4064" t="str">
        <f t="shared" si="63"/>
        <v>http://www.badatelna.eu/reprodukce/?fondId=1073&amp;zaznamId=1108960&amp;reproId=3780345</v>
      </c>
      <c r="M4064">
        <f>VLOOKUP(F4064,Sheet2!$B$1:$E$19,2,FALSE)</f>
        <v>1073</v>
      </c>
      <c r="N4064">
        <f>VLOOKUP(F4064,Sheet2!$B$1:$E$19,3,FALSE)</f>
        <v>1108960</v>
      </c>
      <c r="O4064">
        <f>IF(G4064="Not available","",VLOOKUP(F4064,Sheet2!$B$1:$E$19,4,FALSE)+(G4064-1))</f>
        <v>3780345</v>
      </c>
    </row>
    <row r="4065" spans="1:15" s="1" customFormat="1" ht="15" customHeight="1" x14ac:dyDescent="0.25">
      <c r="A4065" s="18" t="s">
        <v>530</v>
      </c>
      <c r="B4065" s="18" t="s">
        <v>2877</v>
      </c>
      <c r="C4065" s="5">
        <v>1862</v>
      </c>
      <c r="E4065" s="1" t="s">
        <v>939</v>
      </c>
      <c r="F4065" s="18">
        <v>999</v>
      </c>
      <c r="G4065" s="18">
        <v>34</v>
      </c>
      <c r="H4065" s="5">
        <v>32</v>
      </c>
      <c r="I4065" s="1">
        <v>76</v>
      </c>
      <c r="J4065" s="1">
        <v>110</v>
      </c>
      <c r="L4065" t="str">
        <f t="shared" si="63"/>
        <v>http://www.badatelna.eu/reprodukce/?fondId=241&amp;zaznamId=1133739&amp;reproId=3885763</v>
      </c>
      <c r="M4065">
        <f>VLOOKUP(F4065,Sheet2!$B$1:$E$19,2,FALSE)</f>
        <v>241</v>
      </c>
      <c r="N4065">
        <f>VLOOKUP(F4065,Sheet2!$B$1:$E$19,3,FALSE)</f>
        <v>1133739</v>
      </c>
      <c r="O4065">
        <f>IF(G4065="Not available","",VLOOKUP(F4065,Sheet2!$B$1:$E$19,4,FALSE)+(G4065-1))</f>
        <v>3885763</v>
      </c>
    </row>
    <row r="4066" spans="1:15" s="1" customFormat="1" ht="15" customHeight="1" x14ac:dyDescent="0.25">
      <c r="A4066" s="18" t="s">
        <v>530</v>
      </c>
      <c r="B4066" s="18" t="s">
        <v>76</v>
      </c>
      <c r="C4066" s="5">
        <v>1845</v>
      </c>
      <c r="D4066" s="1" t="s">
        <v>557</v>
      </c>
      <c r="E4066" s="1" t="s">
        <v>2</v>
      </c>
      <c r="F4066" s="18">
        <v>2174</v>
      </c>
      <c r="G4066" s="18">
        <v>161</v>
      </c>
      <c r="H4066" s="16" t="s">
        <v>3226</v>
      </c>
      <c r="I4066" s="1">
        <v>202</v>
      </c>
      <c r="J4066" s="1">
        <v>238</v>
      </c>
      <c r="L4066" t="str">
        <f t="shared" si="63"/>
        <v>http://www.badatelna.eu/reprodukce/?fondId=1073&amp;zaznamId=1108960&amp;reproId=3780385</v>
      </c>
      <c r="M4066">
        <f>VLOOKUP(F4066,Sheet2!$B$1:$E$19,2,FALSE)</f>
        <v>1073</v>
      </c>
      <c r="N4066">
        <f>VLOOKUP(F4066,Sheet2!$B$1:$E$19,3,FALSE)</f>
        <v>1108960</v>
      </c>
      <c r="O4066">
        <f>IF(G4066="Not available","",VLOOKUP(F4066,Sheet2!$B$1:$E$19,4,FALSE)+(G4066-1))</f>
        <v>3780385</v>
      </c>
    </row>
    <row r="4067" spans="1:15" s="1" customFormat="1" ht="15" customHeight="1" x14ac:dyDescent="0.25">
      <c r="A4067" s="18" t="s">
        <v>530</v>
      </c>
      <c r="B4067" s="18" t="s">
        <v>545</v>
      </c>
      <c r="C4067" s="5" t="s">
        <v>1651</v>
      </c>
      <c r="D4067" s="1" t="s">
        <v>50</v>
      </c>
      <c r="E4067" s="1" t="s">
        <v>2</v>
      </c>
      <c r="F4067" s="18">
        <v>2165</v>
      </c>
      <c r="G4067" s="18">
        <v>61</v>
      </c>
      <c r="H4067" s="5">
        <v>58</v>
      </c>
      <c r="I4067" s="1">
        <v>93</v>
      </c>
      <c r="J4067" s="1" t="s">
        <v>3271</v>
      </c>
      <c r="L4067" t="str">
        <f t="shared" si="63"/>
        <v>http://www.badatelna.eu/reprodukce/?fondId=1073&amp;zaznamId=1108952&amp;reproId=3778922</v>
      </c>
      <c r="M4067">
        <f>VLOOKUP(F4067,Sheet2!$B$1:$E$19,2,FALSE)</f>
        <v>1073</v>
      </c>
      <c r="N4067">
        <f>VLOOKUP(F4067,Sheet2!$B$1:$E$19,3,FALSE)</f>
        <v>1108952</v>
      </c>
      <c r="O4067">
        <f>IF(G4067="Not available","",VLOOKUP(F4067,Sheet2!$B$1:$E$19,4,FALSE)+(G4067-1))</f>
        <v>3778922</v>
      </c>
    </row>
    <row r="4068" spans="1:15" s="1" customFormat="1" ht="15" customHeight="1" x14ac:dyDescent="0.25">
      <c r="A4068" s="18" t="s">
        <v>530</v>
      </c>
      <c r="B4068" s="18" t="s">
        <v>848</v>
      </c>
      <c r="C4068" s="5">
        <v>1850</v>
      </c>
      <c r="D4068" s="1" t="s">
        <v>8</v>
      </c>
      <c r="E4068" s="1" t="s">
        <v>2</v>
      </c>
      <c r="F4068" s="18">
        <v>2164</v>
      </c>
      <c r="G4068" s="18">
        <v>66</v>
      </c>
      <c r="H4068" s="5">
        <v>64</v>
      </c>
      <c r="I4068" s="1">
        <v>139</v>
      </c>
      <c r="J4068" s="3" t="s">
        <v>3271</v>
      </c>
      <c r="L4068" t="str">
        <f t="shared" si="63"/>
        <v>http://www.badatelna.eu/reprodukce/?fondId=1073&amp;zaznamId=1108951&amp;reproId=3778780</v>
      </c>
      <c r="M4068">
        <f>VLOOKUP(F4068,Sheet2!$B$1:$E$19,2,FALSE)</f>
        <v>1073</v>
      </c>
      <c r="N4068">
        <f>VLOOKUP(F4068,Sheet2!$B$1:$E$19,3,FALSE)</f>
        <v>1108951</v>
      </c>
      <c r="O4068">
        <f>IF(G4068="Not available","",VLOOKUP(F4068,Sheet2!$B$1:$E$19,4,FALSE)+(G4068-1))</f>
        <v>3778780</v>
      </c>
    </row>
    <row r="4069" spans="1:15" s="3" customFormat="1" ht="15" customHeight="1" x14ac:dyDescent="0.25">
      <c r="A4069" s="18" t="s">
        <v>522</v>
      </c>
      <c r="B4069" s="19" t="s">
        <v>3044</v>
      </c>
      <c r="C4069" s="5">
        <v>1787</v>
      </c>
      <c r="D4069" s="1" t="s">
        <v>50</v>
      </c>
      <c r="E4069" s="1" t="s">
        <v>2</v>
      </c>
      <c r="F4069" s="18">
        <v>2173</v>
      </c>
      <c r="G4069" s="18">
        <v>13</v>
      </c>
      <c r="H4069" s="5">
        <v>21</v>
      </c>
      <c r="I4069" s="1">
        <v>115</v>
      </c>
      <c r="J4069" s="1">
        <v>259</v>
      </c>
      <c r="K4069" s="1"/>
      <c r="L4069" t="str">
        <f t="shared" si="63"/>
        <v>http://www.badatelna.eu/reprodukce/?fondId=1073&amp;zaznamId=1108959&amp;reproId=3780006</v>
      </c>
      <c r="M4069">
        <f>VLOOKUP(F4069,Sheet2!$B$1:$E$19,2,FALSE)</f>
        <v>1073</v>
      </c>
      <c r="N4069">
        <f>VLOOKUP(F4069,Sheet2!$B$1:$E$19,3,FALSE)</f>
        <v>1108959</v>
      </c>
      <c r="O4069">
        <f>IF(G4069="Not available","",VLOOKUP(F4069,Sheet2!$B$1:$E$19,4,FALSE)+(G4069-1))</f>
        <v>3780006</v>
      </c>
    </row>
    <row r="4070" spans="1:15" s="3" customFormat="1" ht="15" customHeight="1" x14ac:dyDescent="0.25">
      <c r="A4070" s="18" t="s">
        <v>762</v>
      </c>
      <c r="B4070" s="18" t="s">
        <v>237</v>
      </c>
      <c r="C4070" s="5">
        <v>1842</v>
      </c>
      <c r="D4070" s="1" t="s">
        <v>143</v>
      </c>
      <c r="E4070" s="1" t="s">
        <v>2</v>
      </c>
      <c r="F4070" s="18">
        <v>2174</v>
      </c>
      <c r="G4070" s="18">
        <v>128</v>
      </c>
      <c r="H4070" s="6" t="s">
        <v>3194</v>
      </c>
      <c r="I4070" s="1">
        <v>202</v>
      </c>
      <c r="J4070" s="1">
        <v>238</v>
      </c>
      <c r="K4070" s="1"/>
      <c r="L4070" t="str">
        <f t="shared" si="63"/>
        <v>http://www.badatelna.eu/reprodukce/?fondId=1073&amp;zaznamId=1108960&amp;reproId=3780352</v>
      </c>
      <c r="M4070">
        <f>VLOOKUP(F4070,Sheet2!$B$1:$E$19,2,FALSE)</f>
        <v>1073</v>
      </c>
      <c r="N4070">
        <f>VLOOKUP(F4070,Sheet2!$B$1:$E$19,3,FALSE)</f>
        <v>1108960</v>
      </c>
      <c r="O4070">
        <f>IF(G4070="Not available","",VLOOKUP(F4070,Sheet2!$B$1:$E$19,4,FALSE)+(G4070-1))</f>
        <v>3780352</v>
      </c>
    </row>
    <row r="4071" spans="1:15" s="3" customFormat="1" ht="15" customHeight="1" x14ac:dyDescent="0.25">
      <c r="A4071" s="18" t="s">
        <v>762</v>
      </c>
      <c r="B4071" s="18" t="s">
        <v>108</v>
      </c>
      <c r="C4071" s="5">
        <v>1842</v>
      </c>
      <c r="D4071" s="1" t="s">
        <v>93</v>
      </c>
      <c r="E4071" s="1" t="s">
        <v>2</v>
      </c>
      <c r="F4071" s="18">
        <v>2174</v>
      </c>
      <c r="G4071" s="18">
        <v>125</v>
      </c>
      <c r="H4071" s="6" t="s">
        <v>3197</v>
      </c>
      <c r="I4071" s="1">
        <v>202</v>
      </c>
      <c r="J4071" s="1">
        <v>238</v>
      </c>
      <c r="K4071" s="1"/>
      <c r="L4071" t="str">
        <f t="shared" si="63"/>
        <v>http://www.badatelna.eu/reprodukce/?fondId=1073&amp;zaznamId=1108960&amp;reproId=3780349</v>
      </c>
      <c r="M4071">
        <f>VLOOKUP(F4071,Sheet2!$B$1:$E$19,2,FALSE)</f>
        <v>1073</v>
      </c>
      <c r="N4071">
        <f>VLOOKUP(F4071,Sheet2!$B$1:$E$19,3,FALSE)</f>
        <v>1108960</v>
      </c>
      <c r="O4071">
        <f>IF(G4071="Not available","",VLOOKUP(F4071,Sheet2!$B$1:$E$19,4,FALSE)+(G4071-1))</f>
        <v>3780349</v>
      </c>
    </row>
    <row r="4072" spans="1:15" s="1" customFormat="1" ht="15" customHeight="1" x14ac:dyDescent="0.25">
      <c r="A4072" s="18" t="s">
        <v>1098</v>
      </c>
      <c r="B4072" s="18" t="s">
        <v>201</v>
      </c>
      <c r="C4072" s="5" t="s">
        <v>1646</v>
      </c>
      <c r="D4072" s="1" t="s">
        <v>53</v>
      </c>
      <c r="E4072" s="1" t="s">
        <v>2</v>
      </c>
      <c r="F4072" s="18">
        <v>2165</v>
      </c>
      <c r="G4072" s="18">
        <v>55</v>
      </c>
      <c r="H4072" s="5">
        <v>52</v>
      </c>
      <c r="I4072" s="1">
        <v>93</v>
      </c>
      <c r="J4072" s="1" t="s">
        <v>3271</v>
      </c>
      <c r="L4072" t="str">
        <f t="shared" si="63"/>
        <v>http://www.badatelna.eu/reprodukce/?fondId=1073&amp;zaznamId=1108952&amp;reproId=3778916</v>
      </c>
      <c r="M4072">
        <f>VLOOKUP(F4072,Sheet2!$B$1:$E$19,2,FALSE)</f>
        <v>1073</v>
      </c>
      <c r="N4072">
        <f>VLOOKUP(F4072,Sheet2!$B$1:$E$19,3,FALSE)</f>
        <v>1108952</v>
      </c>
      <c r="O4072">
        <f>IF(G4072="Not available","",VLOOKUP(F4072,Sheet2!$B$1:$E$19,4,FALSE)+(G4072-1))</f>
        <v>3778916</v>
      </c>
    </row>
    <row r="4073" spans="1:15" s="1" customFormat="1" ht="15" customHeight="1" x14ac:dyDescent="0.25">
      <c r="A4073" s="18" t="s">
        <v>1098</v>
      </c>
      <c r="B4073" s="18" t="s">
        <v>1102</v>
      </c>
      <c r="C4073" s="5">
        <v>1883</v>
      </c>
      <c r="D4073" s="1" t="s">
        <v>1153</v>
      </c>
      <c r="E4073" s="1" t="s">
        <v>2</v>
      </c>
      <c r="F4073" s="18">
        <v>2165</v>
      </c>
      <c r="G4073" s="18">
        <v>185</v>
      </c>
      <c r="H4073" s="5">
        <v>1</v>
      </c>
      <c r="I4073" s="1">
        <v>191</v>
      </c>
      <c r="J4073" s="1">
        <v>168</v>
      </c>
      <c r="L4073" t="str">
        <f t="shared" si="63"/>
        <v>http://www.badatelna.eu/reprodukce/?fondId=1073&amp;zaznamId=1108952&amp;reproId=3779046</v>
      </c>
      <c r="M4073">
        <f>VLOOKUP(F4073,Sheet2!$B$1:$E$19,2,FALSE)</f>
        <v>1073</v>
      </c>
      <c r="N4073">
        <f>VLOOKUP(F4073,Sheet2!$B$1:$E$19,3,FALSE)</f>
        <v>1108952</v>
      </c>
      <c r="O4073">
        <f>IF(G4073="Not available","",VLOOKUP(F4073,Sheet2!$B$1:$E$19,4,FALSE)+(G4073-1))</f>
        <v>3779046</v>
      </c>
    </row>
    <row r="4074" spans="1:15" s="1" customFormat="1" ht="15" customHeight="1" x14ac:dyDescent="0.25">
      <c r="A4074" s="18" t="s">
        <v>1091</v>
      </c>
      <c r="B4074" s="18" t="s">
        <v>478</v>
      </c>
      <c r="C4074" s="10" t="s">
        <v>1987</v>
      </c>
      <c r="D4074" s="3" t="s">
        <v>2039</v>
      </c>
      <c r="E4074" s="4" t="s">
        <v>2</v>
      </c>
      <c r="F4074" s="18">
        <v>2176</v>
      </c>
      <c r="G4074" s="18" t="s">
        <v>3271</v>
      </c>
      <c r="H4074" s="10" t="s">
        <v>2136</v>
      </c>
      <c r="I4074" s="3">
        <v>44</v>
      </c>
      <c r="J4074" s="3" t="s">
        <v>3271</v>
      </c>
      <c r="L4074" t="str">
        <f t="shared" si="63"/>
        <v/>
      </c>
      <c r="M4074">
        <f>VLOOKUP(F4074,Sheet2!$B$1:$E$19,2,FALSE)</f>
        <v>1073</v>
      </c>
      <c r="N4074">
        <f>VLOOKUP(F4074,Sheet2!$B$1:$E$19,3,FALSE)</f>
        <v>1108963</v>
      </c>
      <c r="O4074" t="str">
        <f>IF(G4074="Not available","",VLOOKUP(F4074,Sheet2!$B$1:$E$19,4,FALSE)+(G4074-1))</f>
        <v/>
      </c>
    </row>
    <row r="4075" spans="1:15" s="1" customFormat="1" ht="15" customHeight="1" x14ac:dyDescent="0.25">
      <c r="A4075" s="18" t="s">
        <v>1091</v>
      </c>
      <c r="B4075" s="18" t="s">
        <v>897</v>
      </c>
      <c r="C4075" s="5" t="s">
        <v>1660</v>
      </c>
      <c r="D4075" s="1" t="s">
        <v>434</v>
      </c>
      <c r="E4075" s="1" t="s">
        <v>2</v>
      </c>
      <c r="F4075" s="18">
        <v>2165</v>
      </c>
      <c r="G4075" s="18">
        <v>71</v>
      </c>
      <c r="H4075" s="5">
        <v>68</v>
      </c>
      <c r="I4075" s="1">
        <v>93</v>
      </c>
      <c r="J4075" s="1" t="s">
        <v>3271</v>
      </c>
      <c r="L4075" t="str">
        <f t="shared" si="63"/>
        <v>http://www.badatelna.eu/reprodukce/?fondId=1073&amp;zaznamId=1108952&amp;reproId=3778932</v>
      </c>
      <c r="M4075">
        <f>VLOOKUP(F4075,Sheet2!$B$1:$E$19,2,FALSE)</f>
        <v>1073</v>
      </c>
      <c r="N4075">
        <f>VLOOKUP(F4075,Sheet2!$B$1:$E$19,3,FALSE)</f>
        <v>1108952</v>
      </c>
      <c r="O4075">
        <f>IF(G4075="Not available","",VLOOKUP(F4075,Sheet2!$B$1:$E$19,4,FALSE)+(G4075-1))</f>
        <v>3778932</v>
      </c>
    </row>
    <row r="4076" spans="1:15" s="1" customFormat="1" ht="15" customHeight="1" x14ac:dyDescent="0.25">
      <c r="A4076" s="18" t="s">
        <v>1091</v>
      </c>
      <c r="B4076" s="18" t="s">
        <v>484</v>
      </c>
      <c r="C4076" s="5" t="s">
        <v>1638</v>
      </c>
      <c r="D4076" s="1" t="s">
        <v>434</v>
      </c>
      <c r="E4076" s="1" t="s">
        <v>2</v>
      </c>
      <c r="F4076" s="18">
        <v>2165</v>
      </c>
      <c r="G4076" s="18">
        <v>47</v>
      </c>
      <c r="H4076" s="5">
        <v>44</v>
      </c>
      <c r="I4076" s="1">
        <v>93</v>
      </c>
      <c r="J4076" s="1" t="s">
        <v>3271</v>
      </c>
      <c r="L4076" t="str">
        <f t="shared" si="63"/>
        <v>http://www.badatelna.eu/reprodukce/?fondId=1073&amp;zaznamId=1108952&amp;reproId=3778908</v>
      </c>
      <c r="M4076">
        <f>VLOOKUP(F4076,Sheet2!$B$1:$E$19,2,FALSE)</f>
        <v>1073</v>
      </c>
      <c r="N4076">
        <f>VLOOKUP(F4076,Sheet2!$B$1:$E$19,3,FALSE)</f>
        <v>1108952</v>
      </c>
      <c r="O4076">
        <f>IF(G4076="Not available","",VLOOKUP(F4076,Sheet2!$B$1:$E$19,4,FALSE)+(G4076-1))</f>
        <v>3778908</v>
      </c>
    </row>
    <row r="4077" spans="1:15" s="1" customFormat="1" ht="15" customHeight="1" x14ac:dyDescent="0.25">
      <c r="A4077" s="18" t="s">
        <v>1091</v>
      </c>
      <c r="B4077" s="18" t="s">
        <v>809</v>
      </c>
      <c r="C4077" s="5" t="s">
        <v>1622</v>
      </c>
      <c r="D4077" s="1" t="s">
        <v>434</v>
      </c>
      <c r="E4077" s="1" t="s">
        <v>2</v>
      </c>
      <c r="F4077" s="18">
        <v>2165</v>
      </c>
      <c r="G4077" s="18">
        <v>34</v>
      </c>
      <c r="H4077" s="5">
        <v>31</v>
      </c>
      <c r="I4077" s="1">
        <v>92</v>
      </c>
      <c r="J4077" s="1" t="s">
        <v>3271</v>
      </c>
      <c r="L4077" t="str">
        <f t="shared" si="63"/>
        <v>http://www.badatelna.eu/reprodukce/?fondId=1073&amp;zaznamId=1108952&amp;reproId=3778895</v>
      </c>
      <c r="M4077">
        <f>VLOOKUP(F4077,Sheet2!$B$1:$E$19,2,FALSE)</f>
        <v>1073</v>
      </c>
      <c r="N4077">
        <f>VLOOKUP(F4077,Sheet2!$B$1:$E$19,3,FALSE)</f>
        <v>1108952</v>
      </c>
      <c r="O4077">
        <f>IF(G4077="Not available","",VLOOKUP(F4077,Sheet2!$B$1:$E$19,4,FALSE)+(G4077-1))</f>
        <v>3778895</v>
      </c>
    </row>
    <row r="4078" spans="1:15" s="1" customFormat="1" ht="15" customHeight="1" x14ac:dyDescent="0.25">
      <c r="A4078" s="18" t="s">
        <v>1091</v>
      </c>
      <c r="B4078" s="18" t="s">
        <v>602</v>
      </c>
      <c r="C4078" s="5">
        <v>1864</v>
      </c>
      <c r="E4078" s="1" t="s">
        <v>939</v>
      </c>
      <c r="F4078" s="18">
        <v>999</v>
      </c>
      <c r="G4078" s="18">
        <v>51</v>
      </c>
      <c r="H4078" s="5">
        <v>49</v>
      </c>
      <c r="I4078" s="1">
        <v>77</v>
      </c>
      <c r="J4078" s="1">
        <v>112</v>
      </c>
      <c r="L4078" t="str">
        <f t="shared" si="63"/>
        <v>http://www.badatelna.eu/reprodukce/?fondId=241&amp;zaznamId=1133739&amp;reproId=3885780</v>
      </c>
      <c r="M4078">
        <f>VLOOKUP(F4078,Sheet2!$B$1:$E$19,2,FALSE)</f>
        <v>241</v>
      </c>
      <c r="N4078">
        <f>VLOOKUP(F4078,Sheet2!$B$1:$E$19,3,FALSE)</f>
        <v>1133739</v>
      </c>
      <c r="O4078">
        <f>IF(G4078="Not available","",VLOOKUP(F4078,Sheet2!$B$1:$E$19,4,FALSE)+(G4078-1))</f>
        <v>3885780</v>
      </c>
    </row>
    <row r="4079" spans="1:15" s="1" customFormat="1" ht="15" customHeight="1" x14ac:dyDescent="0.25">
      <c r="A4079" s="19" t="s">
        <v>1091</v>
      </c>
      <c r="B4079" s="18" t="s">
        <v>668</v>
      </c>
      <c r="C4079" s="5">
        <v>1863</v>
      </c>
      <c r="D4079" s="4" t="s">
        <v>434</v>
      </c>
      <c r="E4079" s="1" t="s">
        <v>939</v>
      </c>
      <c r="F4079" s="18">
        <v>999</v>
      </c>
      <c r="G4079" s="18">
        <v>40</v>
      </c>
      <c r="H4079" s="5">
        <v>38</v>
      </c>
      <c r="I4079" s="1">
        <v>76</v>
      </c>
      <c r="J4079" s="1">
        <v>110</v>
      </c>
      <c r="L4079" t="str">
        <f t="shared" si="63"/>
        <v>http://www.badatelna.eu/reprodukce/?fondId=241&amp;zaznamId=1133739&amp;reproId=3885769</v>
      </c>
      <c r="M4079">
        <f>VLOOKUP(F4079,Sheet2!$B$1:$E$19,2,FALSE)</f>
        <v>241</v>
      </c>
      <c r="N4079">
        <f>VLOOKUP(F4079,Sheet2!$B$1:$E$19,3,FALSE)</f>
        <v>1133739</v>
      </c>
      <c r="O4079">
        <f>IF(G4079="Not available","",VLOOKUP(F4079,Sheet2!$B$1:$E$19,4,FALSE)+(G4079-1))</f>
        <v>3885769</v>
      </c>
    </row>
    <row r="4080" spans="1:15" s="1" customFormat="1" ht="15" customHeight="1" x14ac:dyDescent="0.25">
      <c r="A4080" s="18" t="s">
        <v>1091</v>
      </c>
      <c r="B4080" s="18" t="s">
        <v>432</v>
      </c>
      <c r="C4080" s="10" t="s">
        <v>2025</v>
      </c>
      <c r="D4080" s="3" t="s">
        <v>2039</v>
      </c>
      <c r="E4080" s="4" t="s">
        <v>2</v>
      </c>
      <c r="F4080" s="18">
        <v>2176</v>
      </c>
      <c r="G4080" s="18" t="s">
        <v>3271</v>
      </c>
      <c r="H4080" s="10" t="s">
        <v>2332</v>
      </c>
      <c r="I4080" s="3">
        <v>44</v>
      </c>
      <c r="J4080" s="3" t="s">
        <v>3271</v>
      </c>
      <c r="K4080" s="3"/>
      <c r="L4080" t="str">
        <f t="shared" si="63"/>
        <v/>
      </c>
      <c r="M4080">
        <f>VLOOKUP(F4080,Sheet2!$B$1:$E$19,2,FALSE)</f>
        <v>1073</v>
      </c>
      <c r="N4080">
        <f>VLOOKUP(F4080,Sheet2!$B$1:$E$19,3,FALSE)</f>
        <v>1108963</v>
      </c>
      <c r="O4080" t="str">
        <f>IF(G4080="Not available","",VLOOKUP(F4080,Sheet2!$B$1:$E$19,4,FALSE)+(G4080-1))</f>
        <v/>
      </c>
    </row>
    <row r="4081" spans="1:15" s="1" customFormat="1" ht="15" customHeight="1" x14ac:dyDescent="0.25">
      <c r="A4081" s="18" t="s">
        <v>1091</v>
      </c>
      <c r="B4081" s="18" t="s">
        <v>924</v>
      </c>
      <c r="C4081" s="5" t="s">
        <v>1612</v>
      </c>
      <c r="D4081" s="1" t="s">
        <v>434</v>
      </c>
      <c r="E4081" s="1" t="s">
        <v>2</v>
      </c>
      <c r="F4081" s="18">
        <v>2165</v>
      </c>
      <c r="G4081" s="18">
        <v>18</v>
      </c>
      <c r="H4081" s="5">
        <v>15</v>
      </c>
      <c r="I4081" s="1">
        <v>92</v>
      </c>
      <c r="J4081" s="1" t="s">
        <v>3271</v>
      </c>
      <c r="L4081" t="str">
        <f t="shared" si="63"/>
        <v>http://www.badatelna.eu/reprodukce/?fondId=1073&amp;zaznamId=1108952&amp;reproId=3778879</v>
      </c>
      <c r="M4081">
        <f>VLOOKUP(F4081,Sheet2!$B$1:$E$19,2,FALSE)</f>
        <v>1073</v>
      </c>
      <c r="N4081">
        <f>VLOOKUP(F4081,Sheet2!$B$1:$E$19,3,FALSE)</f>
        <v>1108952</v>
      </c>
      <c r="O4081">
        <f>IF(G4081="Not available","",VLOOKUP(F4081,Sheet2!$B$1:$E$19,4,FALSE)+(G4081-1))</f>
        <v>3778879</v>
      </c>
    </row>
    <row r="4082" spans="1:15" s="1" customFormat="1" ht="15" customHeight="1" x14ac:dyDescent="0.25">
      <c r="A4082" s="18" t="s">
        <v>1137</v>
      </c>
      <c r="B4082" s="18" t="s">
        <v>1052</v>
      </c>
      <c r="C4082" s="10" t="s">
        <v>1987</v>
      </c>
      <c r="D4082" s="3" t="s">
        <v>2663</v>
      </c>
      <c r="E4082" s="4" t="s">
        <v>2</v>
      </c>
      <c r="F4082" s="18">
        <v>2176</v>
      </c>
      <c r="G4082" s="18" t="s">
        <v>3271</v>
      </c>
      <c r="H4082" s="10" t="s">
        <v>2006</v>
      </c>
      <c r="I4082" s="3">
        <v>40</v>
      </c>
      <c r="J4082" s="3" t="s">
        <v>3271</v>
      </c>
      <c r="L4082" t="str">
        <f t="shared" si="63"/>
        <v/>
      </c>
      <c r="M4082">
        <f>VLOOKUP(F4082,Sheet2!$B$1:$E$19,2,FALSE)</f>
        <v>1073</v>
      </c>
      <c r="N4082">
        <f>VLOOKUP(F4082,Sheet2!$B$1:$E$19,3,FALSE)</f>
        <v>1108963</v>
      </c>
      <c r="O4082" t="str">
        <f>IF(G4082="Not available","",VLOOKUP(F4082,Sheet2!$B$1:$E$19,4,FALSE)+(G4082-1))</f>
        <v/>
      </c>
    </row>
    <row r="4083" spans="1:15" s="1" customFormat="1" ht="15" customHeight="1" x14ac:dyDescent="0.25">
      <c r="A4083" s="18" t="s">
        <v>1137</v>
      </c>
      <c r="B4083" s="18" t="s">
        <v>2089</v>
      </c>
      <c r="C4083" s="10" t="s">
        <v>1285</v>
      </c>
      <c r="D4083" s="3" t="s">
        <v>2663</v>
      </c>
      <c r="E4083" s="4" t="s">
        <v>2</v>
      </c>
      <c r="F4083" s="18">
        <v>2176</v>
      </c>
      <c r="G4083" s="18" t="s">
        <v>3271</v>
      </c>
      <c r="H4083" s="10" t="s">
        <v>2051</v>
      </c>
      <c r="I4083" s="3">
        <v>41</v>
      </c>
      <c r="J4083" s="3" t="s">
        <v>3271</v>
      </c>
      <c r="K4083" s="3"/>
      <c r="L4083" t="str">
        <f t="shared" si="63"/>
        <v/>
      </c>
      <c r="M4083">
        <f>VLOOKUP(F4083,Sheet2!$B$1:$E$19,2,FALSE)</f>
        <v>1073</v>
      </c>
      <c r="N4083">
        <f>VLOOKUP(F4083,Sheet2!$B$1:$E$19,3,FALSE)</f>
        <v>1108963</v>
      </c>
      <c r="O4083" t="str">
        <f>IF(G4083="Not available","",VLOOKUP(F4083,Sheet2!$B$1:$E$19,4,FALSE)+(G4083-1))</f>
        <v/>
      </c>
    </row>
    <row r="4084" spans="1:15" s="1" customFormat="1" ht="15" customHeight="1" x14ac:dyDescent="0.25">
      <c r="A4084" s="18" t="s">
        <v>1137</v>
      </c>
      <c r="B4084" s="18" t="s">
        <v>1138</v>
      </c>
      <c r="C4084" s="5">
        <v>1882</v>
      </c>
      <c r="D4084" s="1" t="s">
        <v>520</v>
      </c>
      <c r="E4084" s="1" t="s">
        <v>2</v>
      </c>
      <c r="F4084" s="18">
        <v>2165</v>
      </c>
      <c r="G4084" s="18">
        <v>178</v>
      </c>
      <c r="H4084" s="5">
        <v>2</v>
      </c>
      <c r="I4084" s="1">
        <v>183</v>
      </c>
      <c r="J4084" s="1">
        <v>160</v>
      </c>
      <c r="L4084" t="str">
        <f t="shared" si="63"/>
        <v>http://www.badatelna.eu/reprodukce/?fondId=1073&amp;zaznamId=1108952&amp;reproId=3779039</v>
      </c>
      <c r="M4084">
        <f>VLOOKUP(F4084,Sheet2!$B$1:$E$19,2,FALSE)</f>
        <v>1073</v>
      </c>
      <c r="N4084">
        <f>VLOOKUP(F4084,Sheet2!$B$1:$E$19,3,FALSE)</f>
        <v>1108952</v>
      </c>
      <c r="O4084">
        <f>IF(G4084="Not available","",VLOOKUP(F4084,Sheet2!$B$1:$E$19,4,FALSE)+(G4084-1))</f>
        <v>3779039</v>
      </c>
    </row>
    <row r="4085" spans="1:15" s="1" customFormat="1" ht="15" customHeight="1" x14ac:dyDescent="0.25">
      <c r="A4085" s="18" t="s">
        <v>2716</v>
      </c>
      <c r="B4085" s="18" t="s">
        <v>2096</v>
      </c>
      <c r="C4085" s="10" t="s">
        <v>2087</v>
      </c>
      <c r="D4085" s="3" t="s">
        <v>2717</v>
      </c>
      <c r="E4085" s="4" t="s">
        <v>2</v>
      </c>
      <c r="F4085" s="18">
        <v>2176</v>
      </c>
      <c r="G4085" s="18" t="s">
        <v>3271</v>
      </c>
      <c r="H4085" s="10" t="s">
        <v>2230</v>
      </c>
      <c r="I4085" s="3">
        <v>42</v>
      </c>
      <c r="J4085" s="3" t="s">
        <v>3271</v>
      </c>
      <c r="K4085" s="3"/>
      <c r="L4085" t="str">
        <f t="shared" si="63"/>
        <v/>
      </c>
      <c r="M4085">
        <f>VLOOKUP(F4085,Sheet2!$B$1:$E$19,2,FALSE)</f>
        <v>1073</v>
      </c>
      <c r="N4085">
        <f>VLOOKUP(F4085,Sheet2!$B$1:$E$19,3,FALSE)</f>
        <v>1108963</v>
      </c>
      <c r="O4085" t="str">
        <f>IF(G4085="Not available","",VLOOKUP(F4085,Sheet2!$B$1:$E$19,4,FALSE)+(G4085-1))</f>
        <v/>
      </c>
    </row>
    <row r="4086" spans="1:15" s="1" customFormat="1" ht="15" customHeight="1" x14ac:dyDescent="0.25">
      <c r="A4086" s="18" t="s">
        <v>1236</v>
      </c>
      <c r="B4086" s="18" t="s">
        <v>1209</v>
      </c>
      <c r="C4086" s="5" t="s">
        <v>1879</v>
      </c>
      <c r="D4086" s="1" t="s">
        <v>850</v>
      </c>
      <c r="E4086" s="1" t="s">
        <v>2</v>
      </c>
      <c r="F4086" s="18">
        <v>2165</v>
      </c>
      <c r="G4086" s="18">
        <v>262</v>
      </c>
      <c r="H4086" s="5">
        <v>3</v>
      </c>
      <c r="I4086" s="1">
        <v>266</v>
      </c>
      <c r="J4086" s="1">
        <v>240</v>
      </c>
      <c r="L4086" t="str">
        <f t="shared" si="63"/>
        <v>http://www.badatelna.eu/reprodukce/?fondId=1073&amp;zaznamId=1108952&amp;reproId=3779123</v>
      </c>
      <c r="M4086">
        <f>VLOOKUP(F4086,Sheet2!$B$1:$E$19,2,FALSE)</f>
        <v>1073</v>
      </c>
      <c r="N4086">
        <f>VLOOKUP(F4086,Sheet2!$B$1:$E$19,3,FALSE)</f>
        <v>1108952</v>
      </c>
      <c r="O4086">
        <f>IF(G4086="Not available","",VLOOKUP(F4086,Sheet2!$B$1:$E$19,4,FALSE)+(G4086-1))</f>
        <v>3779123</v>
      </c>
    </row>
    <row r="4087" spans="1:15" s="1" customFormat="1" ht="15" customHeight="1" x14ac:dyDescent="0.25">
      <c r="A4087" s="18" t="s">
        <v>1236</v>
      </c>
      <c r="B4087" s="18" t="s">
        <v>2112</v>
      </c>
      <c r="C4087" s="10" t="s">
        <v>2103</v>
      </c>
      <c r="D4087" s="3" t="s">
        <v>2717</v>
      </c>
      <c r="E4087" s="4" t="s">
        <v>2</v>
      </c>
      <c r="F4087" s="18">
        <v>2176</v>
      </c>
      <c r="G4087" s="18" t="s">
        <v>3271</v>
      </c>
      <c r="H4087" s="10" t="s">
        <v>2094</v>
      </c>
      <c r="I4087" s="3">
        <v>42</v>
      </c>
      <c r="J4087" s="3" t="s">
        <v>3271</v>
      </c>
      <c r="K4087" s="3"/>
      <c r="L4087" t="str">
        <f t="shared" si="63"/>
        <v/>
      </c>
      <c r="M4087">
        <f>VLOOKUP(F4087,Sheet2!$B$1:$E$19,2,FALSE)</f>
        <v>1073</v>
      </c>
      <c r="N4087">
        <f>VLOOKUP(F4087,Sheet2!$B$1:$E$19,3,FALSE)</f>
        <v>1108963</v>
      </c>
      <c r="O4087" t="str">
        <f>IF(G4087="Not available","",VLOOKUP(F4087,Sheet2!$B$1:$E$19,4,FALSE)+(G4087-1))</f>
        <v/>
      </c>
    </row>
    <row r="4088" spans="1:15" s="1" customFormat="1" ht="15" customHeight="1" x14ac:dyDescent="0.25">
      <c r="A4088" s="18" t="s">
        <v>1236</v>
      </c>
      <c r="B4088" s="18" t="s">
        <v>1052</v>
      </c>
      <c r="C4088" s="10" t="s">
        <v>1957</v>
      </c>
      <c r="D4088" s="3" t="s">
        <v>2717</v>
      </c>
      <c r="E4088" s="4" t="s">
        <v>2</v>
      </c>
      <c r="F4088" s="18">
        <v>2176</v>
      </c>
      <c r="G4088" s="18" t="s">
        <v>3271</v>
      </c>
      <c r="H4088" s="10" t="s">
        <v>2086</v>
      </c>
      <c r="I4088" s="3">
        <v>42</v>
      </c>
      <c r="J4088" s="3" t="s">
        <v>3271</v>
      </c>
      <c r="K4088" s="3"/>
      <c r="L4088" t="str">
        <f t="shared" si="63"/>
        <v/>
      </c>
      <c r="M4088">
        <f>VLOOKUP(F4088,Sheet2!$B$1:$E$19,2,FALSE)</f>
        <v>1073</v>
      </c>
      <c r="N4088">
        <f>VLOOKUP(F4088,Sheet2!$B$1:$E$19,3,FALSE)</f>
        <v>1108963</v>
      </c>
      <c r="O4088" t="str">
        <f>IF(G4088="Not available","",VLOOKUP(F4088,Sheet2!$B$1:$E$19,4,FALSE)+(G4088-1))</f>
        <v/>
      </c>
    </row>
    <row r="4089" spans="1:15" s="1" customFormat="1" ht="15" customHeight="1" x14ac:dyDescent="0.25">
      <c r="A4089" s="18" t="s">
        <v>1236</v>
      </c>
      <c r="B4089" s="18" t="s">
        <v>1052</v>
      </c>
      <c r="C4089" s="5" t="s">
        <v>1935</v>
      </c>
      <c r="D4089" s="1" t="s">
        <v>850</v>
      </c>
      <c r="E4089" s="1" t="s">
        <v>2</v>
      </c>
      <c r="F4089" s="18">
        <v>2165</v>
      </c>
      <c r="G4089" s="18">
        <v>283</v>
      </c>
      <c r="H4089" s="5">
        <v>3</v>
      </c>
      <c r="I4089" s="1">
        <v>285</v>
      </c>
      <c r="J4089" s="1">
        <v>259</v>
      </c>
      <c r="L4089" t="str">
        <f t="shared" si="63"/>
        <v>http://www.badatelna.eu/reprodukce/?fondId=1073&amp;zaznamId=1108952&amp;reproId=3779144</v>
      </c>
      <c r="M4089">
        <f>VLOOKUP(F4089,Sheet2!$B$1:$E$19,2,FALSE)</f>
        <v>1073</v>
      </c>
      <c r="N4089">
        <f>VLOOKUP(F4089,Sheet2!$B$1:$E$19,3,FALSE)</f>
        <v>1108952</v>
      </c>
      <c r="O4089">
        <f>IF(G4089="Not available","",VLOOKUP(F4089,Sheet2!$B$1:$E$19,4,FALSE)+(G4089-1))</f>
        <v>3779144</v>
      </c>
    </row>
    <row r="4090" spans="1:15" s="1" customFormat="1" ht="15" customHeight="1" x14ac:dyDescent="0.25">
      <c r="A4090" s="18" t="s">
        <v>1236</v>
      </c>
      <c r="B4090" s="18" t="s">
        <v>2077</v>
      </c>
      <c r="C4090" s="10" t="s">
        <v>2109</v>
      </c>
      <c r="D4090" s="3" t="s">
        <v>2717</v>
      </c>
      <c r="E4090" s="4" t="s">
        <v>2</v>
      </c>
      <c r="F4090" s="18">
        <v>2176</v>
      </c>
      <c r="G4090" s="18" t="s">
        <v>3271</v>
      </c>
      <c r="H4090" s="10" t="s">
        <v>2088</v>
      </c>
      <c r="I4090" s="3">
        <v>42</v>
      </c>
      <c r="J4090" s="3" t="s">
        <v>3271</v>
      </c>
      <c r="K4090" s="3"/>
      <c r="L4090" t="str">
        <f t="shared" si="63"/>
        <v/>
      </c>
      <c r="M4090">
        <f>VLOOKUP(F4090,Sheet2!$B$1:$E$19,2,FALSE)</f>
        <v>1073</v>
      </c>
      <c r="N4090">
        <f>VLOOKUP(F4090,Sheet2!$B$1:$E$19,3,FALSE)</f>
        <v>1108963</v>
      </c>
      <c r="O4090" t="str">
        <f>IF(G4090="Not available","",VLOOKUP(F4090,Sheet2!$B$1:$E$19,4,FALSE)+(G4090-1))</f>
        <v/>
      </c>
    </row>
    <row r="4091" spans="1:15" s="1" customFormat="1" ht="15" customHeight="1" x14ac:dyDescent="0.25">
      <c r="A4091" s="18" t="s">
        <v>1236</v>
      </c>
      <c r="B4091" s="18" t="s">
        <v>1185</v>
      </c>
      <c r="C4091" s="14" t="s">
        <v>2244</v>
      </c>
      <c r="D4091" s="4" t="s">
        <v>850</v>
      </c>
      <c r="E4091" s="1" t="s">
        <v>2</v>
      </c>
      <c r="F4091" s="18">
        <v>2165</v>
      </c>
      <c r="G4091" s="18">
        <v>298</v>
      </c>
      <c r="H4091" s="5">
        <v>2</v>
      </c>
      <c r="I4091" s="1">
        <v>300</v>
      </c>
      <c r="J4091" s="1">
        <v>273</v>
      </c>
      <c r="L4091" t="str">
        <f t="shared" si="63"/>
        <v>http://www.badatelna.eu/reprodukce/?fondId=1073&amp;zaznamId=1108952&amp;reproId=3779159</v>
      </c>
      <c r="M4091">
        <f>VLOOKUP(F4091,Sheet2!$B$1:$E$19,2,FALSE)</f>
        <v>1073</v>
      </c>
      <c r="N4091">
        <f>VLOOKUP(F4091,Sheet2!$B$1:$E$19,3,FALSE)</f>
        <v>1108952</v>
      </c>
      <c r="O4091">
        <f>IF(G4091="Not available","",VLOOKUP(F4091,Sheet2!$B$1:$E$19,4,FALSE)+(G4091-1))</f>
        <v>3779159</v>
      </c>
    </row>
    <row r="4092" spans="1:15" s="1" customFormat="1" ht="15" customHeight="1" x14ac:dyDescent="0.25">
      <c r="A4092" s="18" t="s">
        <v>1236</v>
      </c>
      <c r="B4092" s="18" t="s">
        <v>1185</v>
      </c>
      <c r="C4092" s="10" t="s">
        <v>2244</v>
      </c>
      <c r="D4092" s="3" t="s">
        <v>2717</v>
      </c>
      <c r="E4092" s="4" t="s">
        <v>2</v>
      </c>
      <c r="F4092" s="18">
        <v>2176</v>
      </c>
      <c r="G4092" s="18" t="s">
        <v>3271</v>
      </c>
      <c r="H4092" s="10" t="s">
        <v>1974</v>
      </c>
      <c r="I4092" s="3">
        <v>42</v>
      </c>
      <c r="J4092" s="3" t="s">
        <v>3271</v>
      </c>
      <c r="K4092" s="3"/>
      <c r="L4092" t="str">
        <f t="shared" si="63"/>
        <v/>
      </c>
      <c r="M4092">
        <f>VLOOKUP(F4092,Sheet2!$B$1:$E$19,2,FALSE)</f>
        <v>1073</v>
      </c>
      <c r="N4092">
        <f>VLOOKUP(F4092,Sheet2!$B$1:$E$19,3,FALSE)</f>
        <v>1108963</v>
      </c>
      <c r="O4092" t="str">
        <f>IF(G4092="Not available","",VLOOKUP(F4092,Sheet2!$B$1:$E$19,4,FALSE)+(G4092-1))</f>
        <v/>
      </c>
    </row>
    <row r="4093" spans="1:15" s="1" customFormat="1" ht="15" customHeight="1" x14ac:dyDescent="0.25">
      <c r="A4093" s="18" t="s">
        <v>539</v>
      </c>
      <c r="B4093" s="18" t="s">
        <v>540</v>
      </c>
      <c r="C4093" s="5">
        <v>1801</v>
      </c>
      <c r="E4093" s="1" t="s">
        <v>2</v>
      </c>
      <c r="F4093" s="18">
        <v>2173</v>
      </c>
      <c r="G4093" s="18">
        <v>43</v>
      </c>
      <c r="H4093" s="5">
        <v>81</v>
      </c>
      <c r="I4093" s="1">
        <v>116</v>
      </c>
      <c r="J4093" s="1">
        <v>252</v>
      </c>
      <c r="L4093" t="str">
        <f t="shared" si="63"/>
        <v>http://www.badatelna.eu/reprodukce/?fondId=1073&amp;zaznamId=1108959&amp;reproId=3780036</v>
      </c>
      <c r="M4093">
        <f>VLOOKUP(F4093,Sheet2!$B$1:$E$19,2,FALSE)</f>
        <v>1073</v>
      </c>
      <c r="N4093">
        <f>VLOOKUP(F4093,Sheet2!$B$1:$E$19,3,FALSE)</f>
        <v>1108959</v>
      </c>
      <c r="O4093">
        <f>IF(G4093="Not available","",VLOOKUP(F4093,Sheet2!$B$1:$E$19,4,FALSE)+(G4093-1))</f>
        <v>3780036</v>
      </c>
    </row>
    <row r="4094" spans="1:15" s="1" customFormat="1" ht="15" customHeight="1" x14ac:dyDescent="0.25">
      <c r="A4094" s="19" t="s">
        <v>3024</v>
      </c>
      <c r="B4094" s="18" t="s">
        <v>34</v>
      </c>
      <c r="C4094" s="5">
        <v>1818</v>
      </c>
      <c r="E4094" s="1" t="s">
        <v>2</v>
      </c>
      <c r="F4094" s="18">
        <v>2173</v>
      </c>
      <c r="G4094" s="18">
        <v>68</v>
      </c>
      <c r="H4094" s="5">
        <v>129</v>
      </c>
      <c r="I4094" s="1">
        <v>116</v>
      </c>
      <c r="J4094" s="1">
        <v>253</v>
      </c>
      <c r="L4094" t="str">
        <f t="shared" si="63"/>
        <v>http://www.badatelna.eu/reprodukce/?fondId=1073&amp;zaznamId=1108959&amp;reproId=3780061</v>
      </c>
      <c r="M4094">
        <f>VLOOKUP(F4094,Sheet2!$B$1:$E$19,2,FALSE)</f>
        <v>1073</v>
      </c>
      <c r="N4094">
        <f>VLOOKUP(F4094,Sheet2!$B$1:$E$19,3,FALSE)</f>
        <v>1108959</v>
      </c>
      <c r="O4094">
        <f>IF(G4094="Not available","",VLOOKUP(F4094,Sheet2!$B$1:$E$19,4,FALSE)+(G4094-1))</f>
        <v>3780061</v>
      </c>
    </row>
    <row r="4095" spans="1:15" s="1" customFormat="1" ht="15" customHeight="1" x14ac:dyDescent="0.25">
      <c r="A4095" s="18" t="s">
        <v>521</v>
      </c>
      <c r="B4095" s="18" t="s">
        <v>520</v>
      </c>
      <c r="C4095" s="5">
        <v>1786</v>
      </c>
      <c r="E4095" s="1" t="s">
        <v>2</v>
      </c>
      <c r="F4095" s="18">
        <v>2173</v>
      </c>
      <c r="G4095" s="18">
        <v>13</v>
      </c>
      <c r="H4095" s="5">
        <v>20</v>
      </c>
      <c r="I4095" s="1">
        <v>115</v>
      </c>
      <c r="J4095" s="1">
        <v>259</v>
      </c>
      <c r="L4095" t="str">
        <f t="shared" si="63"/>
        <v>http://www.badatelna.eu/reprodukce/?fondId=1073&amp;zaznamId=1108959&amp;reproId=3780006</v>
      </c>
      <c r="M4095">
        <f>VLOOKUP(F4095,Sheet2!$B$1:$E$19,2,FALSE)</f>
        <v>1073</v>
      </c>
      <c r="N4095">
        <f>VLOOKUP(F4095,Sheet2!$B$1:$E$19,3,FALSE)</f>
        <v>1108959</v>
      </c>
      <c r="O4095">
        <f>IF(G4095="Not available","",VLOOKUP(F4095,Sheet2!$B$1:$E$19,4,FALSE)+(G4095-1))</f>
        <v>3780006</v>
      </c>
    </row>
    <row r="4096" spans="1:15" s="1" customFormat="1" ht="15" customHeight="1" x14ac:dyDescent="0.25">
      <c r="A4096" s="18" t="s">
        <v>971</v>
      </c>
      <c r="B4096" s="18" t="s">
        <v>548</v>
      </c>
      <c r="C4096" s="5">
        <v>1861</v>
      </c>
      <c r="E4096" s="1" t="s">
        <v>939</v>
      </c>
      <c r="F4096" s="18">
        <v>999</v>
      </c>
      <c r="G4096" s="18">
        <v>31</v>
      </c>
      <c r="H4096" s="5">
        <v>29</v>
      </c>
      <c r="I4096" s="1">
        <v>76</v>
      </c>
      <c r="J4096" s="1">
        <v>110</v>
      </c>
      <c r="L4096" t="str">
        <f t="shared" si="63"/>
        <v>http://www.badatelna.eu/reprodukce/?fondId=241&amp;zaznamId=1133739&amp;reproId=3885760</v>
      </c>
      <c r="M4096">
        <f>VLOOKUP(F4096,Sheet2!$B$1:$E$19,2,FALSE)</f>
        <v>241</v>
      </c>
      <c r="N4096">
        <f>VLOOKUP(F4096,Sheet2!$B$1:$E$19,3,FALSE)</f>
        <v>1133739</v>
      </c>
      <c r="O4096">
        <f>IF(G4096="Not available","",VLOOKUP(F4096,Sheet2!$B$1:$E$19,4,FALSE)+(G4096-1))</f>
        <v>3885760</v>
      </c>
    </row>
    <row r="4097" spans="1:15" s="1" customFormat="1" ht="15" customHeight="1" x14ac:dyDescent="0.25">
      <c r="A4097" s="18" t="s">
        <v>916</v>
      </c>
      <c r="B4097" s="18" t="s">
        <v>50</v>
      </c>
      <c r="C4097" s="5">
        <v>1855</v>
      </c>
      <c r="D4097" s="1" t="s">
        <v>74</v>
      </c>
      <c r="E4097" s="1" t="s">
        <v>2</v>
      </c>
      <c r="F4097" s="18">
        <v>2164</v>
      </c>
      <c r="G4097" s="18">
        <v>106</v>
      </c>
      <c r="H4097" s="5">
        <v>104</v>
      </c>
      <c r="I4097" s="1">
        <v>140</v>
      </c>
      <c r="J4097" s="3" t="s">
        <v>3271</v>
      </c>
      <c r="L4097" t="str">
        <f t="shared" si="63"/>
        <v>http://www.badatelna.eu/reprodukce/?fondId=1073&amp;zaznamId=1108951&amp;reproId=3778820</v>
      </c>
      <c r="M4097">
        <f>VLOOKUP(F4097,Sheet2!$B$1:$E$19,2,FALSE)</f>
        <v>1073</v>
      </c>
      <c r="N4097">
        <f>VLOOKUP(F4097,Sheet2!$B$1:$E$19,3,FALSE)</f>
        <v>1108951</v>
      </c>
      <c r="O4097">
        <f>IF(G4097="Not available","",VLOOKUP(F4097,Sheet2!$B$1:$E$19,4,FALSE)+(G4097-1))</f>
        <v>3778820</v>
      </c>
    </row>
    <row r="4098" spans="1:15" s="1" customFormat="1" ht="15" customHeight="1" x14ac:dyDescent="0.25">
      <c r="A4098" s="18" t="s">
        <v>916</v>
      </c>
      <c r="B4098" s="18" t="s">
        <v>1126</v>
      </c>
      <c r="C4098" s="10" t="s">
        <v>2081</v>
      </c>
      <c r="D4098" s="3" t="s">
        <v>2712</v>
      </c>
      <c r="E4098" s="4" t="s">
        <v>2</v>
      </c>
      <c r="F4098" s="18">
        <v>2176</v>
      </c>
      <c r="G4098" s="18" t="s">
        <v>3271</v>
      </c>
      <c r="H4098" s="10" t="s">
        <v>2230</v>
      </c>
      <c r="I4098" s="3">
        <v>42</v>
      </c>
      <c r="J4098" s="3" t="s">
        <v>3271</v>
      </c>
      <c r="K4098" s="3"/>
      <c r="L4098" t="str">
        <f t="shared" si="63"/>
        <v/>
      </c>
      <c r="M4098">
        <f>VLOOKUP(F4098,Sheet2!$B$1:$E$19,2,FALSE)</f>
        <v>1073</v>
      </c>
      <c r="N4098">
        <f>VLOOKUP(F4098,Sheet2!$B$1:$E$19,3,FALSE)</f>
        <v>1108963</v>
      </c>
      <c r="O4098" t="str">
        <f>IF(G4098="Not available","",VLOOKUP(F4098,Sheet2!$B$1:$E$19,4,FALSE)+(G4098-1))</f>
        <v/>
      </c>
    </row>
    <row r="4099" spans="1:15" s="1" customFormat="1" ht="15" customHeight="1" x14ac:dyDescent="0.25">
      <c r="A4099" s="18" t="s">
        <v>916</v>
      </c>
      <c r="B4099" s="18" t="s">
        <v>1126</v>
      </c>
      <c r="C4099" s="5" t="s">
        <v>1829</v>
      </c>
      <c r="D4099" s="1" t="s">
        <v>1134</v>
      </c>
      <c r="E4099" s="1" t="s">
        <v>2</v>
      </c>
      <c r="F4099" s="18">
        <v>2165</v>
      </c>
      <c r="G4099" s="18">
        <v>249</v>
      </c>
      <c r="H4099" s="5">
        <v>3</v>
      </c>
      <c r="I4099" s="1">
        <v>251</v>
      </c>
      <c r="J4099" s="1">
        <v>227</v>
      </c>
      <c r="L4099" t="str">
        <f t="shared" ref="L4099:L4162" si="64">IF(G4099="Not available","","http://www.badatelna.eu/reprodukce/?fondId="&amp;M4099&amp;"&amp;zaznamId="&amp;N4099&amp;"&amp;reproId="&amp;O4099)</f>
        <v>http://www.badatelna.eu/reprodukce/?fondId=1073&amp;zaznamId=1108952&amp;reproId=3779110</v>
      </c>
      <c r="M4099">
        <f>VLOOKUP(F4099,Sheet2!$B$1:$E$19,2,FALSE)</f>
        <v>1073</v>
      </c>
      <c r="N4099">
        <f>VLOOKUP(F4099,Sheet2!$B$1:$E$19,3,FALSE)</f>
        <v>1108952</v>
      </c>
      <c r="O4099">
        <f>IF(G4099="Not available","",VLOOKUP(F4099,Sheet2!$B$1:$E$19,4,FALSE)+(G4099-1))</f>
        <v>3779110</v>
      </c>
    </row>
    <row r="4100" spans="1:15" s="1" customFormat="1" ht="15" customHeight="1" x14ac:dyDescent="0.25">
      <c r="A4100" s="18" t="s">
        <v>916</v>
      </c>
      <c r="B4100" s="18" t="s">
        <v>135</v>
      </c>
      <c r="C4100" s="10" t="s">
        <v>2087</v>
      </c>
      <c r="D4100" s="3" t="s">
        <v>2712</v>
      </c>
      <c r="E4100" s="4" t="s">
        <v>2</v>
      </c>
      <c r="F4100" s="18">
        <v>2176</v>
      </c>
      <c r="G4100" s="18" t="s">
        <v>3271</v>
      </c>
      <c r="H4100" s="10" t="s">
        <v>2006</v>
      </c>
      <c r="I4100" s="3">
        <v>42</v>
      </c>
      <c r="J4100" s="3" t="s">
        <v>3271</v>
      </c>
      <c r="K4100" s="3"/>
      <c r="L4100" t="str">
        <f t="shared" si="64"/>
        <v/>
      </c>
      <c r="M4100">
        <f>VLOOKUP(F4100,Sheet2!$B$1:$E$19,2,FALSE)</f>
        <v>1073</v>
      </c>
      <c r="N4100">
        <f>VLOOKUP(F4100,Sheet2!$B$1:$E$19,3,FALSE)</f>
        <v>1108963</v>
      </c>
      <c r="O4100" t="str">
        <f>IF(G4100="Not available","",VLOOKUP(F4100,Sheet2!$B$1:$E$19,4,FALSE)+(G4100-1))</f>
        <v/>
      </c>
    </row>
    <row r="4101" spans="1:15" s="1" customFormat="1" ht="15" customHeight="1" x14ac:dyDescent="0.25">
      <c r="A4101" s="18" t="s">
        <v>916</v>
      </c>
      <c r="B4101" s="18" t="s">
        <v>135</v>
      </c>
      <c r="C4101" s="5" t="s">
        <v>1877</v>
      </c>
      <c r="D4101" s="1" t="s">
        <v>1235</v>
      </c>
      <c r="E4101" s="1" t="s">
        <v>2</v>
      </c>
      <c r="F4101" s="18">
        <v>2165</v>
      </c>
      <c r="G4101" s="18">
        <v>261</v>
      </c>
      <c r="H4101" s="5">
        <v>2</v>
      </c>
      <c r="I4101" s="1">
        <v>266</v>
      </c>
      <c r="J4101" s="1">
        <v>240</v>
      </c>
      <c r="L4101" t="str">
        <f t="shared" si="64"/>
        <v>http://www.badatelna.eu/reprodukce/?fondId=1073&amp;zaznamId=1108952&amp;reproId=3779122</v>
      </c>
      <c r="M4101">
        <f>VLOOKUP(F4101,Sheet2!$B$1:$E$19,2,FALSE)</f>
        <v>1073</v>
      </c>
      <c r="N4101">
        <f>VLOOKUP(F4101,Sheet2!$B$1:$E$19,3,FALSE)</f>
        <v>1108952</v>
      </c>
      <c r="O4101">
        <f>IF(G4101="Not available","",VLOOKUP(F4101,Sheet2!$B$1:$E$19,4,FALSE)+(G4101-1))</f>
        <v>3779122</v>
      </c>
    </row>
    <row r="4102" spans="1:15" s="1" customFormat="1" ht="15" customHeight="1" x14ac:dyDescent="0.25">
      <c r="A4102" s="18" t="s">
        <v>916</v>
      </c>
      <c r="B4102" s="18" t="s">
        <v>484</v>
      </c>
      <c r="C4102" s="5" t="s">
        <v>1828</v>
      </c>
      <c r="D4102" s="1" t="s">
        <v>1220</v>
      </c>
      <c r="E4102" s="1" t="s">
        <v>2</v>
      </c>
      <c r="F4102" s="18">
        <v>2165</v>
      </c>
      <c r="G4102" s="18">
        <v>248</v>
      </c>
      <c r="H4102" s="5">
        <v>2</v>
      </c>
      <c r="I4102" s="1">
        <v>251</v>
      </c>
      <c r="J4102" s="1">
        <v>227</v>
      </c>
      <c r="L4102" t="str">
        <f t="shared" si="64"/>
        <v>http://www.badatelna.eu/reprodukce/?fondId=1073&amp;zaznamId=1108952&amp;reproId=3779109</v>
      </c>
      <c r="M4102">
        <f>VLOOKUP(F4102,Sheet2!$B$1:$E$19,2,FALSE)</f>
        <v>1073</v>
      </c>
      <c r="N4102">
        <f>VLOOKUP(F4102,Sheet2!$B$1:$E$19,3,FALSE)</f>
        <v>1108952</v>
      </c>
      <c r="O4102">
        <f>IF(G4102="Not available","",VLOOKUP(F4102,Sheet2!$B$1:$E$19,4,FALSE)+(G4102-1))</f>
        <v>3779109</v>
      </c>
    </row>
    <row r="4103" spans="1:15" s="1" customFormat="1" ht="15" customHeight="1" x14ac:dyDescent="0.25">
      <c r="A4103" s="18" t="s">
        <v>916</v>
      </c>
      <c r="B4103" s="18" t="s">
        <v>2007</v>
      </c>
      <c r="C4103" s="10" t="s">
        <v>2081</v>
      </c>
      <c r="D4103" s="3" t="s">
        <v>2709</v>
      </c>
      <c r="E4103" s="4" t="s">
        <v>2</v>
      </c>
      <c r="F4103" s="18">
        <v>2176</v>
      </c>
      <c r="G4103" s="18" t="s">
        <v>3271</v>
      </c>
      <c r="H4103" s="10" t="s">
        <v>2054</v>
      </c>
      <c r="I4103" s="3">
        <v>42</v>
      </c>
      <c r="J4103" s="3" t="s">
        <v>3271</v>
      </c>
      <c r="K4103" s="3"/>
      <c r="L4103" t="str">
        <f t="shared" si="64"/>
        <v/>
      </c>
      <c r="M4103">
        <f>VLOOKUP(F4103,Sheet2!$B$1:$E$19,2,FALSE)</f>
        <v>1073</v>
      </c>
      <c r="N4103">
        <f>VLOOKUP(F4103,Sheet2!$B$1:$E$19,3,FALSE)</f>
        <v>1108963</v>
      </c>
      <c r="O4103" t="str">
        <f>IF(G4103="Not available","",VLOOKUP(F4103,Sheet2!$B$1:$E$19,4,FALSE)+(G4103-1))</f>
        <v/>
      </c>
    </row>
    <row r="4104" spans="1:15" s="1" customFormat="1" ht="15" customHeight="1" x14ac:dyDescent="0.25">
      <c r="A4104" s="18" t="s">
        <v>916</v>
      </c>
      <c r="B4104" s="18" t="s">
        <v>489</v>
      </c>
      <c r="C4104" s="5">
        <v>1851</v>
      </c>
      <c r="D4104" s="1" t="s">
        <v>434</v>
      </c>
      <c r="E4104" s="1" t="s">
        <v>2</v>
      </c>
      <c r="F4104" s="18">
        <v>2164</v>
      </c>
      <c r="G4104" s="18">
        <v>75</v>
      </c>
      <c r="H4104" s="5">
        <v>73</v>
      </c>
      <c r="I4104" s="1">
        <v>139</v>
      </c>
      <c r="J4104" s="3" t="s">
        <v>3271</v>
      </c>
      <c r="L4104" t="str">
        <f t="shared" si="64"/>
        <v>http://www.badatelna.eu/reprodukce/?fondId=1073&amp;zaznamId=1108951&amp;reproId=3778789</v>
      </c>
      <c r="M4104">
        <f>VLOOKUP(F4104,Sheet2!$B$1:$E$19,2,FALSE)</f>
        <v>1073</v>
      </c>
      <c r="N4104">
        <f>VLOOKUP(F4104,Sheet2!$B$1:$E$19,3,FALSE)</f>
        <v>1108951</v>
      </c>
      <c r="O4104">
        <f>IF(G4104="Not available","",VLOOKUP(F4104,Sheet2!$B$1:$E$19,4,FALSE)+(G4104-1))</f>
        <v>3778789</v>
      </c>
    </row>
    <row r="4105" spans="1:15" s="1" customFormat="1" ht="15" customHeight="1" x14ac:dyDescent="0.25">
      <c r="A4105" s="18" t="s">
        <v>916</v>
      </c>
      <c r="B4105" s="18" t="s">
        <v>143</v>
      </c>
      <c r="C4105" s="5">
        <v>1858</v>
      </c>
      <c r="E4105" s="1" t="s">
        <v>939</v>
      </c>
      <c r="F4105" s="18">
        <v>999</v>
      </c>
      <c r="G4105" s="18">
        <v>11</v>
      </c>
      <c r="H4105" s="5">
        <v>9</v>
      </c>
      <c r="I4105" s="1">
        <v>76</v>
      </c>
      <c r="J4105" s="1">
        <v>110</v>
      </c>
      <c r="L4105" t="str">
        <f t="shared" si="64"/>
        <v>http://www.badatelna.eu/reprodukce/?fondId=241&amp;zaznamId=1133739&amp;reproId=3885740</v>
      </c>
      <c r="M4105">
        <f>VLOOKUP(F4105,Sheet2!$B$1:$E$19,2,FALSE)</f>
        <v>241</v>
      </c>
      <c r="N4105">
        <f>VLOOKUP(F4105,Sheet2!$B$1:$E$19,3,FALSE)</f>
        <v>1133739</v>
      </c>
      <c r="O4105">
        <f>IF(G4105="Not available","",VLOOKUP(F4105,Sheet2!$B$1:$E$19,4,FALSE)+(G4105-1))</f>
        <v>3885740</v>
      </c>
    </row>
    <row r="4106" spans="1:15" s="1" customFormat="1" ht="15" customHeight="1" x14ac:dyDescent="0.25">
      <c r="A4106" s="18" t="s">
        <v>916</v>
      </c>
      <c r="B4106" s="18" t="s">
        <v>24</v>
      </c>
      <c r="C4106" s="5">
        <v>1854</v>
      </c>
      <c r="D4106" s="1" t="s">
        <v>74</v>
      </c>
      <c r="E4106" s="1" t="s">
        <v>2</v>
      </c>
      <c r="F4106" s="18">
        <v>2164</v>
      </c>
      <c r="G4106" s="18">
        <v>97</v>
      </c>
      <c r="H4106" s="5">
        <v>95</v>
      </c>
      <c r="I4106" s="1">
        <v>139</v>
      </c>
      <c r="J4106" s="3" t="s">
        <v>3271</v>
      </c>
      <c r="L4106" t="str">
        <f t="shared" si="64"/>
        <v>http://www.badatelna.eu/reprodukce/?fondId=1073&amp;zaznamId=1108951&amp;reproId=3778811</v>
      </c>
      <c r="M4106">
        <f>VLOOKUP(F4106,Sheet2!$B$1:$E$19,2,FALSE)</f>
        <v>1073</v>
      </c>
      <c r="N4106">
        <f>VLOOKUP(F4106,Sheet2!$B$1:$E$19,3,FALSE)</f>
        <v>1108951</v>
      </c>
      <c r="O4106">
        <f>IF(G4106="Not available","",VLOOKUP(F4106,Sheet2!$B$1:$E$19,4,FALSE)+(G4106-1))</f>
        <v>3778811</v>
      </c>
    </row>
    <row r="4107" spans="1:15" s="1" customFormat="1" ht="15" customHeight="1" x14ac:dyDescent="0.25">
      <c r="A4107" s="18" t="s">
        <v>916</v>
      </c>
      <c r="B4107" s="18" t="s">
        <v>304</v>
      </c>
      <c r="C4107" s="5" t="s">
        <v>1903</v>
      </c>
      <c r="D4107" s="1" t="s">
        <v>477</v>
      </c>
      <c r="E4107" s="1" t="s">
        <v>2</v>
      </c>
      <c r="F4107" s="18">
        <v>2165</v>
      </c>
      <c r="G4107" s="18">
        <v>271</v>
      </c>
      <c r="H4107" s="5">
        <v>3</v>
      </c>
      <c r="I4107" s="1">
        <v>273</v>
      </c>
      <c r="J4107" s="1">
        <v>247</v>
      </c>
      <c r="L4107" t="str">
        <f t="shared" si="64"/>
        <v>http://www.badatelna.eu/reprodukce/?fondId=1073&amp;zaznamId=1108952&amp;reproId=3779132</v>
      </c>
      <c r="M4107">
        <f>VLOOKUP(F4107,Sheet2!$B$1:$E$19,2,FALSE)</f>
        <v>1073</v>
      </c>
      <c r="N4107">
        <f>VLOOKUP(F4107,Sheet2!$B$1:$E$19,3,FALSE)</f>
        <v>1108952</v>
      </c>
      <c r="O4107">
        <f>IF(G4107="Not available","",VLOOKUP(F4107,Sheet2!$B$1:$E$19,4,FALSE)+(G4107-1))</f>
        <v>3779132</v>
      </c>
    </row>
    <row r="4108" spans="1:15" s="1" customFormat="1" ht="15" customHeight="1" x14ac:dyDescent="0.25">
      <c r="A4108" s="18" t="s">
        <v>916</v>
      </c>
      <c r="B4108" s="18" t="s">
        <v>1972</v>
      </c>
      <c r="C4108" s="10" t="s">
        <v>2092</v>
      </c>
      <c r="D4108" s="3" t="s">
        <v>2718</v>
      </c>
      <c r="E4108" s="4" t="s">
        <v>2</v>
      </c>
      <c r="F4108" s="18">
        <v>2176</v>
      </c>
      <c r="G4108" s="18" t="s">
        <v>3271</v>
      </c>
      <c r="H4108" s="10" t="s">
        <v>2086</v>
      </c>
      <c r="I4108" s="3">
        <v>42</v>
      </c>
      <c r="J4108" s="3" t="s">
        <v>3271</v>
      </c>
      <c r="K4108" s="3"/>
      <c r="L4108" t="str">
        <f t="shared" si="64"/>
        <v/>
      </c>
      <c r="M4108">
        <f>VLOOKUP(F4108,Sheet2!$B$1:$E$19,2,FALSE)</f>
        <v>1073</v>
      </c>
      <c r="N4108">
        <f>VLOOKUP(F4108,Sheet2!$B$1:$E$19,3,FALSE)</f>
        <v>1108963</v>
      </c>
      <c r="O4108" t="str">
        <f>IF(G4108="Not available","",VLOOKUP(F4108,Sheet2!$B$1:$E$19,4,FALSE)+(G4108-1))</f>
        <v/>
      </c>
    </row>
    <row r="4109" spans="1:15" s="1" customFormat="1" ht="15" customHeight="1" x14ac:dyDescent="0.25">
      <c r="A4109" s="18" t="s">
        <v>923</v>
      </c>
      <c r="B4109" s="18" t="s">
        <v>50</v>
      </c>
      <c r="C4109" s="5">
        <v>1853</v>
      </c>
      <c r="D4109" s="1" t="s">
        <v>145</v>
      </c>
      <c r="E4109" s="1" t="s">
        <v>2</v>
      </c>
      <c r="F4109" s="18">
        <v>2164</v>
      </c>
      <c r="G4109" s="18">
        <v>92</v>
      </c>
      <c r="H4109" s="5">
        <v>90</v>
      </c>
      <c r="I4109" s="1">
        <v>139</v>
      </c>
      <c r="J4109" s="3" t="s">
        <v>3271</v>
      </c>
      <c r="L4109" t="str">
        <f t="shared" si="64"/>
        <v>http://www.badatelna.eu/reprodukce/?fondId=1073&amp;zaznamId=1108951&amp;reproId=3778806</v>
      </c>
      <c r="M4109">
        <f>VLOOKUP(F4109,Sheet2!$B$1:$E$19,2,FALSE)</f>
        <v>1073</v>
      </c>
      <c r="N4109">
        <f>VLOOKUP(F4109,Sheet2!$B$1:$E$19,3,FALSE)</f>
        <v>1108951</v>
      </c>
      <c r="O4109">
        <f>IF(G4109="Not available","",VLOOKUP(F4109,Sheet2!$B$1:$E$19,4,FALSE)+(G4109-1))</f>
        <v>3778806</v>
      </c>
    </row>
    <row r="4110" spans="1:15" s="1" customFormat="1" ht="15" customHeight="1" x14ac:dyDescent="0.25">
      <c r="A4110" s="18" t="s">
        <v>560</v>
      </c>
      <c r="B4110" s="18" t="s">
        <v>67</v>
      </c>
      <c r="C4110" s="5">
        <v>1814</v>
      </c>
      <c r="E4110" s="1" t="s">
        <v>2</v>
      </c>
      <c r="F4110" s="18">
        <v>2173</v>
      </c>
      <c r="G4110" s="18">
        <v>63</v>
      </c>
      <c r="H4110" s="5">
        <v>121</v>
      </c>
      <c r="I4110" s="1">
        <v>116</v>
      </c>
      <c r="J4110" s="1">
        <v>253</v>
      </c>
      <c r="L4110" t="str">
        <f t="shared" si="64"/>
        <v>http://www.badatelna.eu/reprodukce/?fondId=1073&amp;zaznamId=1108959&amp;reproId=3780056</v>
      </c>
      <c r="M4110">
        <f>VLOOKUP(F4110,Sheet2!$B$1:$E$19,2,FALSE)</f>
        <v>1073</v>
      </c>
      <c r="N4110">
        <f>VLOOKUP(F4110,Sheet2!$B$1:$E$19,3,FALSE)</f>
        <v>1108959</v>
      </c>
      <c r="O4110">
        <f>IF(G4110="Not available","",VLOOKUP(F4110,Sheet2!$B$1:$E$19,4,FALSE)+(G4110-1))</f>
        <v>3780056</v>
      </c>
    </row>
    <row r="4111" spans="1:15" s="1" customFormat="1" ht="15" customHeight="1" x14ac:dyDescent="0.25">
      <c r="A4111" s="19" t="s">
        <v>3004</v>
      </c>
      <c r="B4111" s="19" t="s">
        <v>152</v>
      </c>
      <c r="C4111" s="5">
        <v>1810</v>
      </c>
      <c r="D4111" s="12"/>
      <c r="E4111" s="1" t="s">
        <v>2</v>
      </c>
      <c r="F4111" s="18">
        <v>2173</v>
      </c>
      <c r="G4111" s="18">
        <v>56</v>
      </c>
      <c r="H4111" s="14" t="s">
        <v>2980</v>
      </c>
      <c r="I4111" s="1">
        <v>116</v>
      </c>
      <c r="J4111" s="1">
        <v>252</v>
      </c>
      <c r="L4111" t="str">
        <f t="shared" si="64"/>
        <v>http://www.badatelna.eu/reprodukce/?fondId=1073&amp;zaznamId=1108959&amp;reproId=3780049</v>
      </c>
      <c r="M4111">
        <f>VLOOKUP(F4111,Sheet2!$B$1:$E$19,2,FALSE)</f>
        <v>1073</v>
      </c>
      <c r="N4111">
        <f>VLOOKUP(F4111,Sheet2!$B$1:$E$19,3,FALSE)</f>
        <v>1108959</v>
      </c>
      <c r="O4111">
        <f>IF(G4111="Not available","",VLOOKUP(F4111,Sheet2!$B$1:$E$19,4,FALSE)+(G4111-1))</f>
        <v>3780049</v>
      </c>
    </row>
    <row r="4112" spans="1:15" s="1" customFormat="1" ht="15" customHeight="1" x14ac:dyDescent="0.25">
      <c r="A4112" s="18" t="s">
        <v>538</v>
      </c>
      <c r="B4112" s="18" t="s">
        <v>50</v>
      </c>
      <c r="C4112" s="5">
        <v>1849</v>
      </c>
      <c r="D4112" s="1" t="s">
        <v>899</v>
      </c>
      <c r="E4112" s="1" t="s">
        <v>2</v>
      </c>
      <c r="F4112" s="18">
        <v>2164</v>
      </c>
      <c r="G4112" s="18">
        <v>58</v>
      </c>
      <c r="H4112" s="5">
        <v>56</v>
      </c>
      <c r="I4112" s="1">
        <v>139</v>
      </c>
      <c r="J4112" s="3" t="s">
        <v>3271</v>
      </c>
      <c r="L4112" t="str">
        <f t="shared" si="64"/>
        <v>http://www.badatelna.eu/reprodukce/?fondId=1073&amp;zaznamId=1108951&amp;reproId=3778772</v>
      </c>
      <c r="M4112">
        <f>VLOOKUP(F4112,Sheet2!$B$1:$E$19,2,FALSE)</f>
        <v>1073</v>
      </c>
      <c r="N4112">
        <f>VLOOKUP(F4112,Sheet2!$B$1:$E$19,3,FALSE)</f>
        <v>1108951</v>
      </c>
      <c r="O4112">
        <f>IF(G4112="Not available","",VLOOKUP(F4112,Sheet2!$B$1:$E$19,4,FALSE)+(G4112-1))</f>
        <v>3778772</v>
      </c>
    </row>
    <row r="4113" spans="1:15" s="1" customFormat="1" ht="15" customHeight="1" x14ac:dyDescent="0.25">
      <c r="A4113" s="18" t="s">
        <v>538</v>
      </c>
      <c r="B4113" s="18" t="s">
        <v>803</v>
      </c>
      <c r="C4113" s="5">
        <v>1855</v>
      </c>
      <c r="D4113" s="1" t="s">
        <v>766</v>
      </c>
      <c r="E4113" s="1" t="s">
        <v>2</v>
      </c>
      <c r="F4113" s="18">
        <v>2164</v>
      </c>
      <c r="G4113" s="18">
        <v>102</v>
      </c>
      <c r="H4113" s="5">
        <v>100</v>
      </c>
      <c r="I4113" s="1">
        <v>140</v>
      </c>
      <c r="J4113" s="3" t="s">
        <v>3271</v>
      </c>
      <c r="L4113" t="str">
        <f t="shared" si="64"/>
        <v>http://www.badatelna.eu/reprodukce/?fondId=1073&amp;zaznamId=1108951&amp;reproId=3778816</v>
      </c>
      <c r="M4113">
        <f>VLOOKUP(F4113,Sheet2!$B$1:$E$19,2,FALSE)</f>
        <v>1073</v>
      </c>
      <c r="N4113">
        <f>VLOOKUP(F4113,Sheet2!$B$1:$E$19,3,FALSE)</f>
        <v>1108951</v>
      </c>
      <c r="O4113">
        <f>IF(G4113="Not available","",VLOOKUP(F4113,Sheet2!$B$1:$E$19,4,FALSE)+(G4113-1))</f>
        <v>3778816</v>
      </c>
    </row>
    <row r="4114" spans="1:15" s="1" customFormat="1" ht="15" customHeight="1" x14ac:dyDescent="0.25">
      <c r="A4114" s="18" t="s">
        <v>538</v>
      </c>
      <c r="B4114" s="18" t="s">
        <v>53</v>
      </c>
      <c r="C4114" s="5">
        <v>1801</v>
      </c>
      <c r="E4114" s="1" t="s">
        <v>2</v>
      </c>
      <c r="F4114" s="18">
        <v>2173</v>
      </c>
      <c r="G4114" s="18">
        <v>42</v>
      </c>
      <c r="H4114" s="5">
        <v>79</v>
      </c>
      <c r="I4114" s="1">
        <v>116</v>
      </c>
      <c r="J4114" s="1">
        <v>252</v>
      </c>
      <c r="L4114" t="str">
        <f t="shared" si="64"/>
        <v>http://www.badatelna.eu/reprodukce/?fondId=1073&amp;zaznamId=1108959&amp;reproId=3780035</v>
      </c>
      <c r="M4114">
        <f>VLOOKUP(F4114,Sheet2!$B$1:$E$19,2,FALSE)</f>
        <v>1073</v>
      </c>
      <c r="N4114">
        <f>VLOOKUP(F4114,Sheet2!$B$1:$E$19,3,FALSE)</f>
        <v>1108959</v>
      </c>
      <c r="O4114">
        <f>IF(G4114="Not available","",VLOOKUP(F4114,Sheet2!$B$1:$E$19,4,FALSE)+(G4114-1))</f>
        <v>3780035</v>
      </c>
    </row>
    <row r="4115" spans="1:15" s="1" customFormat="1" ht="15" customHeight="1" x14ac:dyDescent="0.25">
      <c r="A4115" s="18" t="s">
        <v>538</v>
      </c>
      <c r="B4115" s="18" t="s">
        <v>53</v>
      </c>
      <c r="C4115" s="5">
        <v>1856</v>
      </c>
      <c r="D4115" s="1" t="s">
        <v>370</v>
      </c>
      <c r="E4115" s="1" t="s">
        <v>2</v>
      </c>
      <c r="F4115" s="18">
        <v>2164</v>
      </c>
      <c r="G4115" s="18">
        <v>112</v>
      </c>
      <c r="H4115" s="5">
        <v>110</v>
      </c>
      <c r="I4115" s="1">
        <v>140</v>
      </c>
      <c r="J4115" s="3" t="s">
        <v>3271</v>
      </c>
      <c r="L4115" t="str">
        <f t="shared" si="64"/>
        <v>http://www.badatelna.eu/reprodukce/?fondId=1073&amp;zaznamId=1108951&amp;reproId=3778826</v>
      </c>
      <c r="M4115">
        <f>VLOOKUP(F4115,Sheet2!$B$1:$E$19,2,FALSE)</f>
        <v>1073</v>
      </c>
      <c r="N4115">
        <f>VLOOKUP(F4115,Sheet2!$B$1:$E$19,3,FALSE)</f>
        <v>1108951</v>
      </c>
      <c r="O4115">
        <f>IF(G4115="Not available","",VLOOKUP(F4115,Sheet2!$B$1:$E$19,4,FALSE)+(G4115-1))</f>
        <v>3778826</v>
      </c>
    </row>
    <row r="4116" spans="1:15" s="1" customFormat="1" ht="15" customHeight="1" x14ac:dyDescent="0.25">
      <c r="A4116" s="18" t="s">
        <v>538</v>
      </c>
      <c r="B4116" s="18" t="s">
        <v>196</v>
      </c>
      <c r="C4116" s="5">
        <v>1846</v>
      </c>
      <c r="D4116" s="1" t="s">
        <v>766</v>
      </c>
      <c r="E4116" s="1" t="s">
        <v>2</v>
      </c>
      <c r="F4116" s="18">
        <v>2174</v>
      </c>
      <c r="G4116" s="18">
        <v>164</v>
      </c>
      <c r="H4116" s="6" t="s">
        <v>3231</v>
      </c>
      <c r="I4116" s="1">
        <v>203</v>
      </c>
      <c r="J4116" s="1">
        <v>238</v>
      </c>
      <c r="L4116" t="str">
        <f t="shared" si="64"/>
        <v>http://www.badatelna.eu/reprodukce/?fondId=1073&amp;zaznamId=1108960&amp;reproId=3780388</v>
      </c>
      <c r="M4116">
        <f>VLOOKUP(F4116,Sheet2!$B$1:$E$19,2,FALSE)</f>
        <v>1073</v>
      </c>
      <c r="N4116">
        <f>VLOOKUP(F4116,Sheet2!$B$1:$E$19,3,FALSE)</f>
        <v>1108960</v>
      </c>
      <c r="O4116">
        <f>IF(G4116="Not available","",VLOOKUP(F4116,Sheet2!$B$1:$E$19,4,FALSE)+(G4116-1))</f>
        <v>3780388</v>
      </c>
    </row>
    <row r="4117" spans="1:15" s="1" customFormat="1" ht="15" customHeight="1" x14ac:dyDescent="0.25">
      <c r="A4117" s="19" t="s">
        <v>538</v>
      </c>
      <c r="B4117" s="18" t="s">
        <v>107</v>
      </c>
      <c r="C4117" s="5">
        <v>1804</v>
      </c>
      <c r="E4117" s="1" t="s">
        <v>2</v>
      </c>
      <c r="F4117" s="18">
        <v>2173</v>
      </c>
      <c r="G4117" s="18">
        <v>48</v>
      </c>
      <c r="H4117" s="5">
        <v>90</v>
      </c>
      <c r="I4117" s="1">
        <v>116</v>
      </c>
      <c r="J4117" s="1">
        <v>252</v>
      </c>
      <c r="L4117" t="str">
        <f t="shared" si="64"/>
        <v>http://www.badatelna.eu/reprodukce/?fondId=1073&amp;zaznamId=1108959&amp;reproId=3780041</v>
      </c>
      <c r="M4117">
        <f>VLOOKUP(F4117,Sheet2!$B$1:$E$19,2,FALSE)</f>
        <v>1073</v>
      </c>
      <c r="N4117">
        <f>VLOOKUP(F4117,Sheet2!$B$1:$E$19,3,FALSE)</f>
        <v>1108959</v>
      </c>
      <c r="O4117">
        <f>IF(G4117="Not available","",VLOOKUP(F4117,Sheet2!$B$1:$E$19,4,FALSE)+(G4117-1))</f>
        <v>3780041</v>
      </c>
    </row>
    <row r="4118" spans="1:15" s="1" customFormat="1" ht="15" customHeight="1" x14ac:dyDescent="0.25">
      <c r="A4118" s="18" t="s">
        <v>538</v>
      </c>
      <c r="B4118" s="18" t="s">
        <v>968</v>
      </c>
      <c r="C4118" s="5">
        <v>1859</v>
      </c>
      <c r="E4118" s="1" t="s">
        <v>939</v>
      </c>
      <c r="F4118" s="18">
        <v>999</v>
      </c>
      <c r="G4118" s="18">
        <v>18</v>
      </c>
      <c r="H4118" s="5">
        <v>16</v>
      </c>
      <c r="I4118" s="1">
        <v>76</v>
      </c>
      <c r="J4118" s="1">
        <v>110</v>
      </c>
      <c r="L4118" t="str">
        <f t="shared" si="64"/>
        <v>http://www.badatelna.eu/reprodukce/?fondId=241&amp;zaznamId=1133739&amp;reproId=3885747</v>
      </c>
      <c r="M4118">
        <f>VLOOKUP(F4118,Sheet2!$B$1:$E$19,2,FALSE)</f>
        <v>241</v>
      </c>
      <c r="N4118">
        <f>VLOOKUP(F4118,Sheet2!$B$1:$E$19,3,FALSE)</f>
        <v>1133739</v>
      </c>
      <c r="O4118">
        <f>IF(G4118="Not available","",VLOOKUP(F4118,Sheet2!$B$1:$E$19,4,FALSE)+(G4118-1))</f>
        <v>3885747</v>
      </c>
    </row>
    <row r="4119" spans="1:15" s="1" customFormat="1" ht="15" customHeight="1" x14ac:dyDescent="0.25">
      <c r="A4119" s="18" t="s">
        <v>538</v>
      </c>
      <c r="B4119" s="18" t="s">
        <v>547</v>
      </c>
      <c r="C4119" s="5">
        <v>1839</v>
      </c>
      <c r="E4119" s="1" t="s">
        <v>2</v>
      </c>
      <c r="F4119" s="18">
        <v>2174</v>
      </c>
      <c r="G4119" s="18">
        <v>175</v>
      </c>
      <c r="H4119" s="14" t="s">
        <v>3243</v>
      </c>
      <c r="I4119" s="1">
        <v>203</v>
      </c>
      <c r="J4119" s="1">
        <v>238</v>
      </c>
      <c r="L4119" t="str">
        <f t="shared" si="64"/>
        <v>http://www.badatelna.eu/reprodukce/?fondId=1073&amp;zaznamId=1108960&amp;reproId=3780399</v>
      </c>
      <c r="M4119">
        <f>VLOOKUP(F4119,Sheet2!$B$1:$E$19,2,FALSE)</f>
        <v>1073</v>
      </c>
      <c r="N4119">
        <f>VLOOKUP(F4119,Sheet2!$B$1:$E$19,3,FALSE)</f>
        <v>1108960</v>
      </c>
      <c r="O4119">
        <f>IF(G4119="Not available","",VLOOKUP(F4119,Sheet2!$B$1:$E$19,4,FALSE)+(G4119-1))</f>
        <v>3780399</v>
      </c>
    </row>
    <row r="4120" spans="1:15" s="1" customFormat="1" ht="15" customHeight="1" x14ac:dyDescent="0.25">
      <c r="A4120" s="18" t="s">
        <v>538</v>
      </c>
      <c r="B4120" s="18" t="s">
        <v>6</v>
      </c>
      <c r="C4120" s="5">
        <v>1846</v>
      </c>
      <c r="D4120" s="1" t="s">
        <v>12</v>
      </c>
      <c r="E4120" s="1" t="s">
        <v>2</v>
      </c>
      <c r="F4120" s="18">
        <v>2174</v>
      </c>
      <c r="G4120" s="18">
        <v>169</v>
      </c>
      <c r="H4120" s="6" t="s">
        <v>3229</v>
      </c>
      <c r="I4120" s="1">
        <v>203</v>
      </c>
      <c r="J4120" s="1">
        <v>238</v>
      </c>
      <c r="L4120" t="str">
        <f t="shared" si="64"/>
        <v>http://www.badatelna.eu/reprodukce/?fondId=1073&amp;zaznamId=1108960&amp;reproId=3780393</v>
      </c>
      <c r="M4120">
        <f>VLOOKUP(F4120,Sheet2!$B$1:$E$19,2,FALSE)</f>
        <v>1073</v>
      </c>
      <c r="N4120">
        <f>VLOOKUP(F4120,Sheet2!$B$1:$E$19,3,FALSE)</f>
        <v>1108960</v>
      </c>
      <c r="O4120">
        <f>IF(G4120="Not available","",VLOOKUP(F4120,Sheet2!$B$1:$E$19,4,FALSE)+(G4120-1))</f>
        <v>3780393</v>
      </c>
    </row>
    <row r="4121" spans="1:15" s="1" customFormat="1" ht="15" customHeight="1" x14ac:dyDescent="0.25">
      <c r="A4121" s="18" t="s">
        <v>538</v>
      </c>
      <c r="B4121" s="18" t="s">
        <v>122</v>
      </c>
      <c r="C4121" s="5">
        <v>1855</v>
      </c>
      <c r="D4121" s="1" t="s">
        <v>479</v>
      </c>
      <c r="E4121" s="1" t="s">
        <v>2</v>
      </c>
      <c r="F4121" s="18">
        <v>2164</v>
      </c>
      <c r="G4121" s="18">
        <v>102</v>
      </c>
      <c r="H4121" s="5">
        <v>100</v>
      </c>
      <c r="I4121" s="1">
        <v>140</v>
      </c>
      <c r="J4121" s="3" t="s">
        <v>3271</v>
      </c>
      <c r="L4121" t="str">
        <f t="shared" si="64"/>
        <v>http://www.badatelna.eu/reprodukce/?fondId=1073&amp;zaznamId=1108951&amp;reproId=3778816</v>
      </c>
      <c r="M4121">
        <f>VLOOKUP(F4121,Sheet2!$B$1:$E$19,2,FALSE)</f>
        <v>1073</v>
      </c>
      <c r="N4121">
        <f>VLOOKUP(F4121,Sheet2!$B$1:$E$19,3,FALSE)</f>
        <v>1108951</v>
      </c>
      <c r="O4121">
        <f>IF(G4121="Not available","",VLOOKUP(F4121,Sheet2!$B$1:$E$19,4,FALSE)+(G4121-1))</f>
        <v>3778816</v>
      </c>
    </row>
    <row r="4122" spans="1:15" s="1" customFormat="1" ht="15" customHeight="1" x14ac:dyDescent="0.25">
      <c r="A4122" s="18" t="s">
        <v>538</v>
      </c>
      <c r="B4122" s="18" t="s">
        <v>59</v>
      </c>
      <c r="C4122" s="5">
        <v>1833</v>
      </c>
      <c r="D4122" s="1" t="s">
        <v>53</v>
      </c>
      <c r="E4122" s="1" t="s">
        <v>2</v>
      </c>
      <c r="F4122" s="18">
        <v>2174</v>
      </c>
      <c r="G4122" s="18">
        <v>70</v>
      </c>
      <c r="H4122" s="14" t="s">
        <v>3140</v>
      </c>
      <c r="I4122" s="1">
        <v>201</v>
      </c>
      <c r="J4122" s="1">
        <v>236</v>
      </c>
      <c r="L4122" t="str">
        <f t="shared" si="64"/>
        <v>http://www.badatelna.eu/reprodukce/?fondId=1073&amp;zaznamId=1108960&amp;reproId=3780294</v>
      </c>
      <c r="M4122">
        <f>VLOOKUP(F4122,Sheet2!$B$1:$E$19,2,FALSE)</f>
        <v>1073</v>
      </c>
      <c r="N4122">
        <f>VLOOKUP(F4122,Sheet2!$B$1:$E$19,3,FALSE)</f>
        <v>1108960</v>
      </c>
      <c r="O4122">
        <f>IF(G4122="Not available","",VLOOKUP(F4122,Sheet2!$B$1:$E$19,4,FALSE)+(G4122-1))</f>
        <v>3780294</v>
      </c>
    </row>
    <row r="4123" spans="1:15" s="1" customFormat="1" ht="15" customHeight="1" x14ac:dyDescent="0.25">
      <c r="A4123" s="18" t="s">
        <v>538</v>
      </c>
      <c r="B4123" s="18" t="s">
        <v>87</v>
      </c>
      <c r="C4123" s="5">
        <v>1842</v>
      </c>
      <c r="D4123" s="1" t="s">
        <v>50</v>
      </c>
      <c r="E4123" s="1" t="s">
        <v>2</v>
      </c>
      <c r="F4123" s="18">
        <v>2174</v>
      </c>
      <c r="G4123" s="18">
        <v>129</v>
      </c>
      <c r="H4123" s="6" t="s">
        <v>3195</v>
      </c>
      <c r="I4123" s="1">
        <v>202</v>
      </c>
      <c r="J4123" s="1">
        <v>238</v>
      </c>
      <c r="L4123" t="str">
        <f t="shared" si="64"/>
        <v>http://www.badatelna.eu/reprodukce/?fondId=1073&amp;zaznamId=1108960&amp;reproId=3780353</v>
      </c>
      <c r="M4123">
        <f>VLOOKUP(F4123,Sheet2!$B$1:$E$19,2,FALSE)</f>
        <v>1073</v>
      </c>
      <c r="N4123">
        <f>VLOOKUP(F4123,Sheet2!$B$1:$E$19,3,FALSE)</f>
        <v>1108960</v>
      </c>
      <c r="O4123">
        <f>IF(G4123="Not available","",VLOOKUP(F4123,Sheet2!$B$1:$E$19,4,FALSE)+(G4123-1))</f>
        <v>3780353</v>
      </c>
    </row>
    <row r="4124" spans="1:15" s="1" customFormat="1" ht="15" customHeight="1" x14ac:dyDescent="0.25">
      <c r="A4124" s="18" t="s">
        <v>538</v>
      </c>
      <c r="B4124" s="18" t="s">
        <v>735</v>
      </c>
      <c r="C4124" s="5">
        <v>1832</v>
      </c>
      <c r="D4124" s="1" t="s">
        <v>466</v>
      </c>
      <c r="E4124" s="1" t="s">
        <v>2</v>
      </c>
      <c r="F4124" s="18">
        <v>2174</v>
      </c>
      <c r="G4124" s="18">
        <v>65</v>
      </c>
      <c r="H4124" s="6" t="s">
        <v>3109</v>
      </c>
      <c r="I4124" s="1">
        <v>201</v>
      </c>
      <c r="J4124" s="1">
        <v>236</v>
      </c>
      <c r="L4124" t="str">
        <f t="shared" si="64"/>
        <v>http://www.badatelna.eu/reprodukce/?fondId=1073&amp;zaznamId=1108960&amp;reproId=3780289</v>
      </c>
      <c r="M4124">
        <f>VLOOKUP(F4124,Sheet2!$B$1:$E$19,2,FALSE)</f>
        <v>1073</v>
      </c>
      <c r="N4124">
        <f>VLOOKUP(F4124,Sheet2!$B$1:$E$19,3,FALSE)</f>
        <v>1108960</v>
      </c>
      <c r="O4124">
        <f>IF(G4124="Not available","",VLOOKUP(F4124,Sheet2!$B$1:$E$19,4,FALSE)+(G4124-1))</f>
        <v>3780289</v>
      </c>
    </row>
    <row r="4125" spans="1:15" s="1" customFormat="1" ht="15" customHeight="1" x14ac:dyDescent="0.25">
      <c r="A4125" s="18" t="s">
        <v>538</v>
      </c>
      <c r="B4125" s="18" t="s">
        <v>234</v>
      </c>
      <c r="C4125" s="5">
        <v>1843</v>
      </c>
      <c r="D4125" s="1" t="s">
        <v>495</v>
      </c>
      <c r="E4125" s="1" t="s">
        <v>2</v>
      </c>
      <c r="F4125" s="18">
        <v>2174</v>
      </c>
      <c r="G4125" s="18">
        <v>137</v>
      </c>
      <c r="H4125" s="6" t="s">
        <v>3209</v>
      </c>
      <c r="I4125" s="1">
        <v>202</v>
      </c>
      <c r="J4125" s="1">
        <v>238</v>
      </c>
      <c r="L4125" t="str">
        <f t="shared" si="64"/>
        <v>http://www.badatelna.eu/reprodukce/?fondId=1073&amp;zaznamId=1108960&amp;reproId=3780361</v>
      </c>
      <c r="M4125">
        <f>VLOOKUP(F4125,Sheet2!$B$1:$E$19,2,FALSE)</f>
        <v>1073</v>
      </c>
      <c r="N4125">
        <f>VLOOKUP(F4125,Sheet2!$B$1:$E$19,3,FALSE)</f>
        <v>1108960</v>
      </c>
      <c r="O4125">
        <f>IF(G4125="Not available","",VLOOKUP(F4125,Sheet2!$B$1:$E$19,4,FALSE)+(G4125-1))</f>
        <v>3780361</v>
      </c>
    </row>
    <row r="4126" spans="1:15" s="1" customFormat="1" ht="15" customHeight="1" x14ac:dyDescent="0.25">
      <c r="A4126" s="18" t="s">
        <v>538</v>
      </c>
      <c r="B4126" s="18" t="s">
        <v>1136</v>
      </c>
      <c r="C4126" s="5">
        <v>1882</v>
      </c>
      <c r="D4126" s="1" t="s">
        <v>50</v>
      </c>
      <c r="E4126" s="1" t="s">
        <v>2</v>
      </c>
      <c r="F4126" s="18">
        <v>2165</v>
      </c>
      <c r="G4126" s="18">
        <v>177</v>
      </c>
      <c r="H4126" s="5">
        <v>1</v>
      </c>
      <c r="I4126" s="1">
        <v>183</v>
      </c>
      <c r="J4126" s="1">
        <v>160</v>
      </c>
      <c r="L4126" t="str">
        <f t="shared" si="64"/>
        <v>http://www.badatelna.eu/reprodukce/?fondId=1073&amp;zaznamId=1108952&amp;reproId=3779038</v>
      </c>
      <c r="M4126">
        <f>VLOOKUP(F4126,Sheet2!$B$1:$E$19,2,FALSE)</f>
        <v>1073</v>
      </c>
      <c r="N4126">
        <f>VLOOKUP(F4126,Sheet2!$B$1:$E$19,3,FALSE)</f>
        <v>1108952</v>
      </c>
      <c r="O4126">
        <f>IF(G4126="Not available","",VLOOKUP(F4126,Sheet2!$B$1:$E$19,4,FALSE)+(G4126-1))</f>
        <v>3779038</v>
      </c>
    </row>
    <row r="4127" spans="1:15" s="1" customFormat="1" ht="15" customHeight="1" x14ac:dyDescent="0.25">
      <c r="A4127" s="18" t="s">
        <v>538</v>
      </c>
      <c r="B4127" s="18" t="s">
        <v>99</v>
      </c>
      <c r="C4127" s="5">
        <v>1831</v>
      </c>
      <c r="D4127" s="1" t="s">
        <v>750</v>
      </c>
      <c r="E4127" s="1" t="s">
        <v>2</v>
      </c>
      <c r="F4127" s="18">
        <v>2174</v>
      </c>
      <c r="G4127" s="18">
        <v>62</v>
      </c>
      <c r="H4127" s="6" t="s">
        <v>3106</v>
      </c>
      <c r="I4127" s="1">
        <v>201</v>
      </c>
      <c r="J4127" s="1">
        <v>236</v>
      </c>
      <c r="L4127" t="str">
        <f t="shared" si="64"/>
        <v>http://www.badatelna.eu/reprodukce/?fondId=1073&amp;zaznamId=1108960&amp;reproId=3780286</v>
      </c>
      <c r="M4127">
        <f>VLOOKUP(F4127,Sheet2!$B$1:$E$19,2,FALSE)</f>
        <v>1073</v>
      </c>
      <c r="N4127">
        <f>VLOOKUP(F4127,Sheet2!$B$1:$E$19,3,FALSE)</f>
        <v>1108960</v>
      </c>
      <c r="O4127">
        <f>IF(G4127="Not available","",VLOOKUP(F4127,Sheet2!$B$1:$E$19,4,FALSE)+(G4127-1))</f>
        <v>3780286</v>
      </c>
    </row>
    <row r="4128" spans="1:15" s="1" customFormat="1" ht="15" customHeight="1" x14ac:dyDescent="0.25">
      <c r="A4128" s="18" t="s">
        <v>538</v>
      </c>
      <c r="B4128" s="18" t="s">
        <v>99</v>
      </c>
      <c r="C4128" s="5">
        <v>1844</v>
      </c>
      <c r="D4128" s="1" t="s">
        <v>495</v>
      </c>
      <c r="E4128" s="1" t="s">
        <v>2</v>
      </c>
      <c r="F4128" s="18">
        <v>2174</v>
      </c>
      <c r="G4128" s="18">
        <v>149</v>
      </c>
      <c r="H4128" s="6" t="s">
        <v>3214</v>
      </c>
      <c r="I4128" s="1">
        <v>202</v>
      </c>
      <c r="J4128" s="1">
        <v>238</v>
      </c>
      <c r="L4128" t="str">
        <f t="shared" si="64"/>
        <v>http://www.badatelna.eu/reprodukce/?fondId=1073&amp;zaznamId=1108960&amp;reproId=3780373</v>
      </c>
      <c r="M4128">
        <f>VLOOKUP(F4128,Sheet2!$B$1:$E$19,2,FALSE)</f>
        <v>1073</v>
      </c>
      <c r="N4128">
        <f>VLOOKUP(F4128,Sheet2!$B$1:$E$19,3,FALSE)</f>
        <v>1108960</v>
      </c>
      <c r="O4128">
        <f>IF(G4128="Not available","",VLOOKUP(F4128,Sheet2!$B$1:$E$19,4,FALSE)+(G4128-1))</f>
        <v>3780373</v>
      </c>
    </row>
    <row r="4129" spans="1:15" s="1" customFormat="1" ht="15" customHeight="1" x14ac:dyDescent="0.25">
      <c r="A4129" s="18" t="s">
        <v>538</v>
      </c>
      <c r="B4129" s="18" t="s">
        <v>99</v>
      </c>
      <c r="C4129" s="5">
        <v>1857</v>
      </c>
      <c r="D4129" s="1" t="s">
        <v>495</v>
      </c>
      <c r="E4129" s="1" t="s">
        <v>2</v>
      </c>
      <c r="F4129" s="18">
        <v>2164</v>
      </c>
      <c r="G4129" s="18">
        <v>113</v>
      </c>
      <c r="H4129" s="5">
        <v>111</v>
      </c>
      <c r="I4129" s="1">
        <v>140</v>
      </c>
      <c r="J4129" s="3" t="s">
        <v>3271</v>
      </c>
      <c r="L4129" t="str">
        <f t="shared" si="64"/>
        <v>http://www.badatelna.eu/reprodukce/?fondId=1073&amp;zaznamId=1108951&amp;reproId=3778827</v>
      </c>
      <c r="M4129">
        <f>VLOOKUP(F4129,Sheet2!$B$1:$E$19,2,FALSE)</f>
        <v>1073</v>
      </c>
      <c r="N4129">
        <f>VLOOKUP(F4129,Sheet2!$B$1:$E$19,3,FALSE)</f>
        <v>1108951</v>
      </c>
      <c r="O4129">
        <f>IF(G4129="Not available","",VLOOKUP(F4129,Sheet2!$B$1:$E$19,4,FALSE)+(G4129-1))</f>
        <v>3778827</v>
      </c>
    </row>
    <row r="4130" spans="1:15" s="1" customFormat="1" ht="15" customHeight="1" x14ac:dyDescent="0.25">
      <c r="A4130" s="18" t="s">
        <v>538</v>
      </c>
      <c r="B4130" s="18" t="s">
        <v>917</v>
      </c>
      <c r="C4130" s="5">
        <v>1883</v>
      </c>
      <c r="D4130" s="1" t="s">
        <v>50</v>
      </c>
      <c r="E4130" s="1" t="s">
        <v>2</v>
      </c>
      <c r="F4130" s="18">
        <v>2165</v>
      </c>
      <c r="G4130" s="18">
        <v>186</v>
      </c>
      <c r="H4130" s="5">
        <v>2</v>
      </c>
      <c r="I4130" s="1">
        <v>191</v>
      </c>
      <c r="J4130" s="1">
        <v>168</v>
      </c>
      <c r="L4130" t="str">
        <f t="shared" si="64"/>
        <v>http://www.badatelna.eu/reprodukce/?fondId=1073&amp;zaznamId=1108952&amp;reproId=3779047</v>
      </c>
      <c r="M4130">
        <f>VLOOKUP(F4130,Sheet2!$B$1:$E$19,2,FALSE)</f>
        <v>1073</v>
      </c>
      <c r="N4130">
        <f>VLOOKUP(F4130,Sheet2!$B$1:$E$19,3,FALSE)</f>
        <v>1108952</v>
      </c>
      <c r="O4130">
        <f>IF(G4130="Not available","",VLOOKUP(F4130,Sheet2!$B$1:$E$19,4,FALSE)+(G4130-1))</f>
        <v>3779047</v>
      </c>
    </row>
    <row r="4131" spans="1:15" s="1" customFormat="1" ht="15" customHeight="1" x14ac:dyDescent="0.25">
      <c r="A4131" s="19" t="s">
        <v>538</v>
      </c>
      <c r="B4131" s="18" t="s">
        <v>2920</v>
      </c>
      <c r="C4131" s="5">
        <v>1784</v>
      </c>
      <c r="E4131" s="1" t="s">
        <v>2</v>
      </c>
      <c r="F4131" s="18">
        <v>2173</v>
      </c>
      <c r="G4131" s="18">
        <v>3</v>
      </c>
      <c r="H4131" s="5">
        <v>1</v>
      </c>
      <c r="I4131" s="1">
        <v>115</v>
      </c>
      <c r="J4131" s="1">
        <v>259</v>
      </c>
      <c r="L4131" t="str">
        <f t="shared" si="64"/>
        <v>http://www.badatelna.eu/reprodukce/?fondId=1073&amp;zaznamId=1108959&amp;reproId=3779996</v>
      </c>
      <c r="M4131">
        <f>VLOOKUP(F4131,Sheet2!$B$1:$E$19,2,FALSE)</f>
        <v>1073</v>
      </c>
      <c r="N4131">
        <f>VLOOKUP(F4131,Sheet2!$B$1:$E$19,3,FALSE)</f>
        <v>1108959</v>
      </c>
      <c r="O4131">
        <f>IF(G4131="Not available","",VLOOKUP(F4131,Sheet2!$B$1:$E$19,4,FALSE)+(G4131-1))</f>
        <v>3779996</v>
      </c>
    </row>
    <row r="4132" spans="1:15" s="1" customFormat="1" ht="15" customHeight="1" x14ac:dyDescent="0.25">
      <c r="A4132" s="18" t="s">
        <v>538</v>
      </c>
      <c r="B4132" s="18" t="s">
        <v>129</v>
      </c>
      <c r="C4132" s="5">
        <v>1865</v>
      </c>
      <c r="E4132" s="1" t="s">
        <v>939</v>
      </c>
      <c r="F4132" s="18">
        <v>999</v>
      </c>
      <c r="G4132" s="18">
        <v>56</v>
      </c>
      <c r="H4132" s="5">
        <v>54</v>
      </c>
      <c r="I4132" s="1">
        <v>77</v>
      </c>
      <c r="J4132" s="1">
        <v>112</v>
      </c>
      <c r="L4132" t="str">
        <f t="shared" si="64"/>
        <v>http://www.badatelna.eu/reprodukce/?fondId=241&amp;zaznamId=1133739&amp;reproId=3885785</v>
      </c>
      <c r="M4132">
        <f>VLOOKUP(F4132,Sheet2!$B$1:$E$19,2,FALSE)</f>
        <v>241</v>
      </c>
      <c r="N4132">
        <f>VLOOKUP(F4132,Sheet2!$B$1:$E$19,3,FALSE)</f>
        <v>1133739</v>
      </c>
      <c r="O4132">
        <f>IF(G4132="Not available","",VLOOKUP(F4132,Sheet2!$B$1:$E$19,4,FALSE)+(G4132-1))</f>
        <v>3885785</v>
      </c>
    </row>
    <row r="4133" spans="1:15" s="1" customFormat="1" ht="15" customHeight="1" x14ac:dyDescent="0.25">
      <c r="A4133" s="18" t="s">
        <v>538</v>
      </c>
      <c r="B4133" s="18" t="s">
        <v>75</v>
      </c>
      <c r="C4133" s="5">
        <v>1811</v>
      </c>
      <c r="E4133" s="1" t="s">
        <v>2</v>
      </c>
      <c r="F4133" s="18">
        <v>2173</v>
      </c>
      <c r="G4133" s="18">
        <v>57</v>
      </c>
      <c r="H4133" s="5">
        <v>109</v>
      </c>
      <c r="I4133" s="1">
        <v>116</v>
      </c>
      <c r="J4133" s="1">
        <v>253</v>
      </c>
      <c r="L4133" t="str">
        <f t="shared" si="64"/>
        <v>http://www.badatelna.eu/reprodukce/?fondId=1073&amp;zaznamId=1108959&amp;reproId=3780050</v>
      </c>
      <c r="M4133">
        <f>VLOOKUP(F4133,Sheet2!$B$1:$E$19,2,FALSE)</f>
        <v>1073</v>
      </c>
      <c r="N4133">
        <f>VLOOKUP(F4133,Sheet2!$B$1:$E$19,3,FALSE)</f>
        <v>1108959</v>
      </c>
      <c r="O4133">
        <f>IF(G4133="Not available","",VLOOKUP(F4133,Sheet2!$B$1:$E$19,4,FALSE)+(G4133-1))</f>
        <v>3780050</v>
      </c>
    </row>
    <row r="4134" spans="1:15" s="1" customFormat="1" ht="15" customHeight="1" x14ac:dyDescent="0.25">
      <c r="A4134" s="18" t="s">
        <v>538</v>
      </c>
      <c r="B4134" s="18" t="s">
        <v>370</v>
      </c>
      <c r="C4134" s="5">
        <v>1846</v>
      </c>
      <c r="D4134" s="4" t="s">
        <v>26</v>
      </c>
      <c r="E4134" s="1" t="s">
        <v>2</v>
      </c>
      <c r="F4134" s="18">
        <v>2174</v>
      </c>
      <c r="G4134" s="18">
        <v>174</v>
      </c>
      <c r="H4134" s="14" t="s">
        <v>3236</v>
      </c>
      <c r="I4134" s="1">
        <v>203</v>
      </c>
      <c r="J4134" s="1">
        <v>238</v>
      </c>
      <c r="L4134" t="str">
        <f t="shared" si="64"/>
        <v>http://www.badatelna.eu/reprodukce/?fondId=1073&amp;zaznamId=1108960&amp;reproId=3780398</v>
      </c>
      <c r="M4134">
        <f>VLOOKUP(F4134,Sheet2!$B$1:$E$19,2,FALSE)</f>
        <v>1073</v>
      </c>
      <c r="N4134">
        <f>VLOOKUP(F4134,Sheet2!$B$1:$E$19,3,FALSE)</f>
        <v>1108960</v>
      </c>
      <c r="O4134">
        <f>IF(G4134="Not available","",VLOOKUP(F4134,Sheet2!$B$1:$E$19,4,FALSE)+(G4134-1))</f>
        <v>3780398</v>
      </c>
    </row>
    <row r="4135" spans="1:15" s="1" customFormat="1" ht="15" customHeight="1" x14ac:dyDescent="0.25">
      <c r="A4135" s="19" t="s">
        <v>538</v>
      </c>
      <c r="B4135" s="19" t="s">
        <v>34</v>
      </c>
      <c r="C4135" s="5">
        <v>1799</v>
      </c>
      <c r="E4135" s="1" t="s">
        <v>2</v>
      </c>
      <c r="F4135" s="18">
        <v>2173</v>
      </c>
      <c r="G4135" s="18">
        <v>40</v>
      </c>
      <c r="H4135" s="5">
        <v>75</v>
      </c>
      <c r="I4135" s="1">
        <v>116</v>
      </c>
      <c r="J4135" s="1">
        <v>252</v>
      </c>
      <c r="L4135" t="str">
        <f t="shared" si="64"/>
        <v>http://www.badatelna.eu/reprodukce/?fondId=1073&amp;zaznamId=1108959&amp;reproId=3780033</v>
      </c>
      <c r="M4135">
        <f>VLOOKUP(F4135,Sheet2!$B$1:$E$19,2,FALSE)</f>
        <v>1073</v>
      </c>
      <c r="N4135">
        <f>VLOOKUP(F4135,Sheet2!$B$1:$E$19,3,FALSE)</f>
        <v>1108959</v>
      </c>
      <c r="O4135">
        <f>IF(G4135="Not available","",VLOOKUP(F4135,Sheet2!$B$1:$E$19,4,FALSE)+(G4135-1))</f>
        <v>3780033</v>
      </c>
    </row>
    <row r="4136" spans="1:15" s="1" customFormat="1" ht="15" customHeight="1" x14ac:dyDescent="0.25">
      <c r="A4136" s="18" t="s">
        <v>538</v>
      </c>
      <c r="B4136" s="18" t="s">
        <v>34</v>
      </c>
      <c r="C4136" s="5">
        <v>1843</v>
      </c>
      <c r="E4136" s="1" t="s">
        <v>2</v>
      </c>
      <c r="F4136" s="18">
        <v>2174</v>
      </c>
      <c r="G4136" s="18">
        <v>175</v>
      </c>
      <c r="H4136" s="14" t="s">
        <v>3244</v>
      </c>
      <c r="I4136" s="1">
        <v>203</v>
      </c>
      <c r="J4136" s="1">
        <v>238</v>
      </c>
      <c r="L4136" t="str">
        <f t="shared" si="64"/>
        <v>http://www.badatelna.eu/reprodukce/?fondId=1073&amp;zaznamId=1108960&amp;reproId=3780399</v>
      </c>
      <c r="M4136">
        <f>VLOOKUP(F4136,Sheet2!$B$1:$E$19,2,FALSE)</f>
        <v>1073</v>
      </c>
      <c r="N4136">
        <f>VLOOKUP(F4136,Sheet2!$B$1:$E$19,3,FALSE)</f>
        <v>1108960</v>
      </c>
      <c r="O4136">
        <f>IF(G4136="Not available","",VLOOKUP(F4136,Sheet2!$B$1:$E$19,4,FALSE)+(G4136-1))</f>
        <v>3780399</v>
      </c>
    </row>
    <row r="4137" spans="1:15" s="1" customFormat="1" ht="15" customHeight="1" x14ac:dyDescent="0.25">
      <c r="A4137" s="18" t="s">
        <v>538</v>
      </c>
      <c r="B4137" s="18" t="s">
        <v>34</v>
      </c>
      <c r="C4137" s="5">
        <v>1849</v>
      </c>
      <c r="D4137" s="1" t="s">
        <v>495</v>
      </c>
      <c r="E4137" s="1" t="s">
        <v>2</v>
      </c>
      <c r="F4137" s="18">
        <v>2164</v>
      </c>
      <c r="G4137" s="18">
        <v>62</v>
      </c>
      <c r="H4137" s="5">
        <v>60</v>
      </c>
      <c r="I4137" s="1">
        <v>139</v>
      </c>
      <c r="J4137" s="3" t="s">
        <v>3271</v>
      </c>
      <c r="L4137" t="str">
        <f t="shared" si="64"/>
        <v>http://www.badatelna.eu/reprodukce/?fondId=1073&amp;zaznamId=1108951&amp;reproId=3778776</v>
      </c>
      <c r="M4137">
        <f>VLOOKUP(F4137,Sheet2!$B$1:$E$19,2,FALSE)</f>
        <v>1073</v>
      </c>
      <c r="N4137">
        <f>VLOOKUP(F4137,Sheet2!$B$1:$E$19,3,FALSE)</f>
        <v>1108951</v>
      </c>
      <c r="O4137">
        <f>IF(G4137="Not available","",VLOOKUP(F4137,Sheet2!$B$1:$E$19,4,FALSE)+(G4137-1))</f>
        <v>3778776</v>
      </c>
    </row>
    <row r="4138" spans="1:15" s="1" customFormat="1" ht="15" customHeight="1" x14ac:dyDescent="0.25">
      <c r="A4138" s="18" t="s">
        <v>538</v>
      </c>
      <c r="B4138" s="18" t="s">
        <v>3016</v>
      </c>
      <c r="C4138" s="5">
        <v>1809</v>
      </c>
      <c r="E4138" s="1" t="s">
        <v>2</v>
      </c>
      <c r="F4138" s="18">
        <v>2173</v>
      </c>
      <c r="G4138" s="18">
        <v>55</v>
      </c>
      <c r="H4138" s="14" t="s">
        <v>2803</v>
      </c>
      <c r="I4138" s="1">
        <v>116</v>
      </c>
      <c r="J4138" s="1">
        <v>252</v>
      </c>
      <c r="L4138" t="str">
        <f t="shared" si="64"/>
        <v>http://www.badatelna.eu/reprodukce/?fondId=1073&amp;zaznamId=1108959&amp;reproId=3780048</v>
      </c>
      <c r="M4138">
        <f>VLOOKUP(F4138,Sheet2!$B$1:$E$19,2,FALSE)</f>
        <v>1073</v>
      </c>
      <c r="N4138">
        <f>VLOOKUP(F4138,Sheet2!$B$1:$E$19,3,FALSE)</f>
        <v>1108959</v>
      </c>
      <c r="O4138">
        <f>IF(G4138="Not available","",VLOOKUP(F4138,Sheet2!$B$1:$E$19,4,FALSE)+(G4138-1))</f>
        <v>3780048</v>
      </c>
    </row>
    <row r="4139" spans="1:15" s="1" customFormat="1" ht="15" customHeight="1" x14ac:dyDescent="0.25">
      <c r="A4139" s="18" t="s">
        <v>538</v>
      </c>
      <c r="B4139" s="18" t="s">
        <v>12</v>
      </c>
      <c r="C4139" s="5">
        <v>1810</v>
      </c>
      <c r="E4139" s="1" t="s">
        <v>2</v>
      </c>
      <c r="F4139" s="18">
        <v>2173</v>
      </c>
      <c r="G4139" s="18">
        <v>56</v>
      </c>
      <c r="H4139" s="14" t="s">
        <v>2980</v>
      </c>
      <c r="I4139" s="1">
        <v>116</v>
      </c>
      <c r="J4139" s="1">
        <v>252</v>
      </c>
      <c r="L4139" t="str">
        <f t="shared" si="64"/>
        <v>http://www.badatelna.eu/reprodukce/?fondId=1073&amp;zaznamId=1108959&amp;reproId=3780049</v>
      </c>
      <c r="M4139">
        <f>VLOOKUP(F4139,Sheet2!$B$1:$E$19,2,FALSE)</f>
        <v>1073</v>
      </c>
      <c r="N4139">
        <f>VLOOKUP(F4139,Sheet2!$B$1:$E$19,3,FALSE)</f>
        <v>1108959</v>
      </c>
      <c r="O4139">
        <f>IF(G4139="Not available","",VLOOKUP(F4139,Sheet2!$B$1:$E$19,4,FALSE)+(G4139-1))</f>
        <v>3780049</v>
      </c>
    </row>
    <row r="4140" spans="1:15" s="1" customFormat="1" ht="15" customHeight="1" x14ac:dyDescent="0.25">
      <c r="A4140" s="18" t="s">
        <v>538</v>
      </c>
      <c r="B4140" s="18" t="s">
        <v>12</v>
      </c>
      <c r="C4140" s="5">
        <v>1825</v>
      </c>
      <c r="E4140" s="1" t="s">
        <v>2</v>
      </c>
      <c r="F4140" s="18">
        <v>2173</v>
      </c>
      <c r="G4140" s="18">
        <v>77</v>
      </c>
      <c r="H4140" s="5">
        <v>146</v>
      </c>
      <c r="I4140" s="1">
        <v>116</v>
      </c>
      <c r="J4140" s="1">
        <v>253</v>
      </c>
      <c r="L4140" t="str">
        <f t="shared" si="64"/>
        <v>http://www.badatelna.eu/reprodukce/?fondId=1073&amp;zaznamId=1108959&amp;reproId=3780070</v>
      </c>
      <c r="M4140">
        <f>VLOOKUP(F4140,Sheet2!$B$1:$E$19,2,FALSE)</f>
        <v>1073</v>
      </c>
      <c r="N4140">
        <f>VLOOKUP(F4140,Sheet2!$B$1:$E$19,3,FALSE)</f>
        <v>1108959</v>
      </c>
      <c r="O4140">
        <f>IF(G4140="Not available","",VLOOKUP(F4140,Sheet2!$B$1:$E$19,4,FALSE)+(G4140-1))</f>
        <v>3780070</v>
      </c>
    </row>
    <row r="4141" spans="1:15" s="1" customFormat="1" ht="15" customHeight="1" x14ac:dyDescent="0.25">
      <c r="A4141" s="19" t="s">
        <v>538</v>
      </c>
      <c r="B4141" s="18" t="s">
        <v>51</v>
      </c>
      <c r="C4141" s="5">
        <v>1845</v>
      </c>
      <c r="D4141" s="1" t="s">
        <v>486</v>
      </c>
      <c r="E4141" s="1" t="s">
        <v>2</v>
      </c>
      <c r="F4141" s="18">
        <v>2174</v>
      </c>
      <c r="G4141" s="18">
        <v>159</v>
      </c>
      <c r="H4141" s="6" t="s">
        <v>3225</v>
      </c>
      <c r="I4141" s="1">
        <v>203</v>
      </c>
      <c r="J4141" s="1">
        <v>238</v>
      </c>
      <c r="L4141" t="str">
        <f t="shared" si="64"/>
        <v>http://www.badatelna.eu/reprodukce/?fondId=1073&amp;zaznamId=1108960&amp;reproId=3780383</v>
      </c>
      <c r="M4141">
        <f>VLOOKUP(F4141,Sheet2!$B$1:$E$19,2,FALSE)</f>
        <v>1073</v>
      </c>
      <c r="N4141">
        <f>VLOOKUP(F4141,Sheet2!$B$1:$E$19,3,FALSE)</f>
        <v>1108960</v>
      </c>
      <c r="O4141">
        <f>IF(G4141="Not available","",VLOOKUP(F4141,Sheet2!$B$1:$E$19,4,FALSE)+(G4141-1))</f>
        <v>3780383</v>
      </c>
    </row>
    <row r="4142" spans="1:15" s="1" customFormat="1" ht="15" customHeight="1" x14ac:dyDescent="0.25">
      <c r="A4142" s="18" t="s">
        <v>538</v>
      </c>
      <c r="B4142" s="18" t="s">
        <v>51</v>
      </c>
      <c r="C4142" s="5">
        <v>1852</v>
      </c>
      <c r="D4142" s="1" t="s">
        <v>53</v>
      </c>
      <c r="E4142" s="1" t="s">
        <v>2</v>
      </c>
      <c r="F4142" s="18">
        <v>2164</v>
      </c>
      <c r="G4142" s="18">
        <v>85</v>
      </c>
      <c r="H4142" s="5">
        <v>83</v>
      </c>
      <c r="I4142" s="1">
        <v>139</v>
      </c>
      <c r="J4142" s="3" t="s">
        <v>3271</v>
      </c>
      <c r="L4142" t="str">
        <f t="shared" si="64"/>
        <v>http://www.badatelna.eu/reprodukce/?fondId=1073&amp;zaznamId=1108951&amp;reproId=3778799</v>
      </c>
      <c r="M4142">
        <f>VLOOKUP(F4142,Sheet2!$B$1:$E$19,2,FALSE)</f>
        <v>1073</v>
      </c>
      <c r="N4142">
        <f>VLOOKUP(F4142,Sheet2!$B$1:$E$19,3,FALSE)</f>
        <v>1108951</v>
      </c>
      <c r="O4142">
        <f>IF(G4142="Not available","",VLOOKUP(F4142,Sheet2!$B$1:$E$19,4,FALSE)+(G4142-1))</f>
        <v>3778799</v>
      </c>
    </row>
    <row r="4143" spans="1:15" s="1" customFormat="1" ht="15" customHeight="1" x14ac:dyDescent="0.25">
      <c r="A4143" s="18" t="s">
        <v>538</v>
      </c>
      <c r="B4143" s="18" t="s">
        <v>379</v>
      </c>
      <c r="C4143" s="5">
        <v>1841</v>
      </c>
      <c r="E4143" s="1" t="s">
        <v>2</v>
      </c>
      <c r="F4143" s="18">
        <v>2174</v>
      </c>
      <c r="G4143" s="18">
        <v>175</v>
      </c>
      <c r="H4143" s="14" t="s">
        <v>3244</v>
      </c>
      <c r="I4143" s="1">
        <v>203</v>
      </c>
      <c r="J4143" s="1">
        <v>238</v>
      </c>
      <c r="L4143" t="str">
        <f t="shared" si="64"/>
        <v>http://www.badatelna.eu/reprodukce/?fondId=1073&amp;zaznamId=1108960&amp;reproId=3780399</v>
      </c>
      <c r="M4143">
        <f>VLOOKUP(F4143,Sheet2!$B$1:$E$19,2,FALSE)</f>
        <v>1073</v>
      </c>
      <c r="N4143">
        <f>VLOOKUP(F4143,Sheet2!$B$1:$E$19,3,FALSE)</f>
        <v>1108960</v>
      </c>
      <c r="O4143">
        <f>IF(G4143="Not available","",VLOOKUP(F4143,Sheet2!$B$1:$E$19,4,FALSE)+(G4143-1))</f>
        <v>3780399</v>
      </c>
    </row>
    <row r="4144" spans="1:15" s="1" customFormat="1" ht="15" customHeight="1" x14ac:dyDescent="0.25">
      <c r="A4144" s="19" t="s">
        <v>538</v>
      </c>
      <c r="B4144" s="18" t="s">
        <v>26</v>
      </c>
      <c r="C4144" s="6" t="s">
        <v>3018</v>
      </c>
      <c r="E4144" s="1" t="s">
        <v>2</v>
      </c>
      <c r="F4144" s="18">
        <v>2173</v>
      </c>
      <c r="G4144" s="18">
        <v>46</v>
      </c>
      <c r="H4144" s="5">
        <v>87</v>
      </c>
      <c r="I4144" s="1">
        <v>116</v>
      </c>
      <c r="J4144" s="1">
        <v>252</v>
      </c>
      <c r="L4144" t="str">
        <f t="shared" si="64"/>
        <v>http://www.badatelna.eu/reprodukce/?fondId=1073&amp;zaznamId=1108959&amp;reproId=3780039</v>
      </c>
      <c r="M4144">
        <f>VLOOKUP(F4144,Sheet2!$B$1:$E$19,2,FALSE)</f>
        <v>1073</v>
      </c>
      <c r="N4144">
        <f>VLOOKUP(F4144,Sheet2!$B$1:$E$19,3,FALSE)</f>
        <v>1108959</v>
      </c>
      <c r="O4144">
        <f>IF(G4144="Not available","",VLOOKUP(F4144,Sheet2!$B$1:$E$19,4,FALSE)+(G4144-1))</f>
        <v>3780039</v>
      </c>
    </row>
    <row r="4145" spans="1:15" s="1" customFormat="1" ht="15" customHeight="1" x14ac:dyDescent="0.25">
      <c r="A4145" s="18" t="s">
        <v>538</v>
      </c>
      <c r="B4145" s="18" t="s">
        <v>287</v>
      </c>
      <c r="C4145" s="5">
        <v>1830</v>
      </c>
      <c r="E4145" s="1" t="s">
        <v>2</v>
      </c>
      <c r="F4145" s="18">
        <v>2173</v>
      </c>
      <c r="G4145" s="18">
        <v>85</v>
      </c>
      <c r="H4145" s="5">
        <v>160</v>
      </c>
      <c r="I4145" s="1">
        <v>117</v>
      </c>
      <c r="J4145" s="1">
        <v>254</v>
      </c>
      <c r="L4145" t="str">
        <f t="shared" si="64"/>
        <v>http://www.badatelna.eu/reprodukce/?fondId=1073&amp;zaznamId=1108959&amp;reproId=3780078</v>
      </c>
      <c r="M4145">
        <f>VLOOKUP(F4145,Sheet2!$B$1:$E$19,2,FALSE)</f>
        <v>1073</v>
      </c>
      <c r="N4145">
        <f>VLOOKUP(F4145,Sheet2!$B$1:$E$19,3,FALSE)</f>
        <v>1108959</v>
      </c>
      <c r="O4145">
        <f>IF(G4145="Not available","",VLOOKUP(F4145,Sheet2!$B$1:$E$19,4,FALSE)+(G4145-1))</f>
        <v>3780078</v>
      </c>
    </row>
    <row r="4146" spans="1:15" s="1" customFormat="1" ht="15" customHeight="1" x14ac:dyDescent="0.25">
      <c r="A4146" s="18" t="s">
        <v>538</v>
      </c>
      <c r="B4146" s="18" t="s">
        <v>287</v>
      </c>
      <c r="C4146" s="5">
        <v>1844</v>
      </c>
      <c r="D4146" s="1" t="s">
        <v>766</v>
      </c>
      <c r="E4146" s="1" t="s">
        <v>2</v>
      </c>
      <c r="F4146" s="18">
        <v>2174</v>
      </c>
      <c r="G4146" s="18">
        <v>146</v>
      </c>
      <c r="H4146" s="6" t="s">
        <v>3215</v>
      </c>
      <c r="I4146" s="1">
        <v>202</v>
      </c>
      <c r="J4146" s="1">
        <v>238</v>
      </c>
      <c r="L4146" t="str">
        <f t="shared" si="64"/>
        <v>http://www.badatelna.eu/reprodukce/?fondId=1073&amp;zaznamId=1108960&amp;reproId=3780370</v>
      </c>
      <c r="M4146">
        <f>VLOOKUP(F4146,Sheet2!$B$1:$E$19,2,FALSE)</f>
        <v>1073</v>
      </c>
      <c r="N4146">
        <f>VLOOKUP(F4146,Sheet2!$B$1:$E$19,3,FALSE)</f>
        <v>1108960</v>
      </c>
      <c r="O4146">
        <f>IF(G4146="Not available","",VLOOKUP(F4146,Sheet2!$B$1:$E$19,4,FALSE)+(G4146-1))</f>
        <v>3780370</v>
      </c>
    </row>
    <row r="4147" spans="1:15" s="1" customFormat="1" ht="15" customHeight="1" x14ac:dyDescent="0.25">
      <c r="A4147" s="18" t="s">
        <v>538</v>
      </c>
      <c r="B4147" s="18" t="s">
        <v>287</v>
      </c>
      <c r="C4147" s="5">
        <v>1853</v>
      </c>
      <c r="D4147" s="1" t="s">
        <v>797</v>
      </c>
      <c r="E4147" s="1" t="s">
        <v>2</v>
      </c>
      <c r="F4147" s="18">
        <v>2164</v>
      </c>
      <c r="G4147" s="18">
        <v>91</v>
      </c>
      <c r="H4147" s="5">
        <v>89</v>
      </c>
      <c r="I4147" s="1">
        <v>139</v>
      </c>
      <c r="J4147" s="3" t="s">
        <v>3271</v>
      </c>
      <c r="L4147" t="str">
        <f t="shared" si="64"/>
        <v>http://www.badatelna.eu/reprodukce/?fondId=1073&amp;zaznamId=1108951&amp;reproId=3778805</v>
      </c>
      <c r="M4147">
        <f>VLOOKUP(F4147,Sheet2!$B$1:$E$19,2,FALSE)</f>
        <v>1073</v>
      </c>
      <c r="N4147">
        <f>VLOOKUP(F4147,Sheet2!$B$1:$E$19,3,FALSE)</f>
        <v>1108951</v>
      </c>
      <c r="O4147">
        <f>IF(G4147="Not available","",VLOOKUP(F4147,Sheet2!$B$1:$E$19,4,FALSE)+(G4147-1))</f>
        <v>3778805</v>
      </c>
    </row>
    <row r="4148" spans="1:15" s="1" customFormat="1" ht="15" customHeight="1" x14ac:dyDescent="0.25">
      <c r="A4148" s="18" t="s">
        <v>538</v>
      </c>
      <c r="B4148" s="18" t="s">
        <v>133</v>
      </c>
      <c r="C4148" s="5">
        <v>1835</v>
      </c>
      <c r="D4148" s="1" t="s">
        <v>758</v>
      </c>
      <c r="E4148" s="1" t="s">
        <v>2</v>
      </c>
      <c r="F4148" s="18">
        <v>2174</v>
      </c>
      <c r="G4148" s="18">
        <v>83</v>
      </c>
      <c r="H4148" s="6" t="s">
        <v>3147</v>
      </c>
      <c r="I4148" s="1">
        <v>202</v>
      </c>
      <c r="J4148" s="1">
        <v>237</v>
      </c>
      <c r="L4148" t="str">
        <f t="shared" si="64"/>
        <v>http://www.badatelna.eu/reprodukce/?fondId=1073&amp;zaznamId=1108960&amp;reproId=3780307</v>
      </c>
      <c r="M4148">
        <f>VLOOKUP(F4148,Sheet2!$B$1:$E$19,2,FALSE)</f>
        <v>1073</v>
      </c>
      <c r="N4148">
        <f>VLOOKUP(F4148,Sheet2!$B$1:$E$19,3,FALSE)</f>
        <v>1108960</v>
      </c>
      <c r="O4148">
        <f>IF(G4148="Not available","",VLOOKUP(F4148,Sheet2!$B$1:$E$19,4,FALSE)+(G4148-1))</f>
        <v>3780307</v>
      </c>
    </row>
    <row r="4149" spans="1:15" s="1" customFormat="1" ht="15" customHeight="1" x14ac:dyDescent="0.25">
      <c r="A4149" s="18" t="s">
        <v>538</v>
      </c>
      <c r="B4149" s="18" t="s">
        <v>133</v>
      </c>
      <c r="C4149" s="5">
        <v>1839</v>
      </c>
      <c r="D4149" s="1" t="s">
        <v>53</v>
      </c>
      <c r="E4149" s="1" t="s">
        <v>2</v>
      </c>
      <c r="F4149" s="18">
        <v>2174</v>
      </c>
      <c r="G4149" s="18">
        <v>104</v>
      </c>
      <c r="H4149" s="6" t="s">
        <v>3174</v>
      </c>
      <c r="I4149" s="1">
        <v>202</v>
      </c>
      <c r="J4149" s="1">
        <v>237</v>
      </c>
      <c r="L4149" t="str">
        <f t="shared" si="64"/>
        <v>http://www.badatelna.eu/reprodukce/?fondId=1073&amp;zaznamId=1108960&amp;reproId=3780328</v>
      </c>
      <c r="M4149">
        <f>VLOOKUP(F4149,Sheet2!$B$1:$E$19,2,FALSE)</f>
        <v>1073</v>
      </c>
      <c r="N4149">
        <f>VLOOKUP(F4149,Sheet2!$B$1:$E$19,3,FALSE)</f>
        <v>1108960</v>
      </c>
      <c r="O4149">
        <f>IF(G4149="Not available","",VLOOKUP(F4149,Sheet2!$B$1:$E$19,4,FALSE)+(G4149-1))</f>
        <v>3780328</v>
      </c>
    </row>
    <row r="4150" spans="1:15" s="1" customFormat="1" ht="15" customHeight="1" x14ac:dyDescent="0.25">
      <c r="A4150" s="18" t="s">
        <v>538</v>
      </c>
      <c r="B4150" s="18" t="s">
        <v>133</v>
      </c>
      <c r="C4150" s="5">
        <v>1851</v>
      </c>
      <c r="D4150" s="1" t="s">
        <v>750</v>
      </c>
      <c r="E4150" s="1" t="s">
        <v>2</v>
      </c>
      <c r="F4150" s="18">
        <v>2164</v>
      </c>
      <c r="G4150" s="18">
        <v>72</v>
      </c>
      <c r="H4150" s="5">
        <v>70</v>
      </c>
      <c r="I4150" s="1">
        <v>139</v>
      </c>
      <c r="J4150" s="3" t="s">
        <v>3271</v>
      </c>
      <c r="L4150" t="str">
        <f t="shared" si="64"/>
        <v>http://www.badatelna.eu/reprodukce/?fondId=1073&amp;zaznamId=1108951&amp;reproId=3778786</v>
      </c>
      <c r="M4150">
        <f>VLOOKUP(F4150,Sheet2!$B$1:$E$19,2,FALSE)</f>
        <v>1073</v>
      </c>
      <c r="N4150">
        <f>VLOOKUP(F4150,Sheet2!$B$1:$E$19,3,FALSE)</f>
        <v>1108951</v>
      </c>
      <c r="O4150">
        <f>IF(G4150="Not available","",VLOOKUP(F4150,Sheet2!$B$1:$E$19,4,FALSE)+(G4150-1))</f>
        <v>3778786</v>
      </c>
    </row>
    <row r="4151" spans="1:15" s="1" customFormat="1" ht="15" customHeight="1" x14ac:dyDescent="0.25">
      <c r="A4151" s="18" t="s">
        <v>538</v>
      </c>
      <c r="B4151" s="18" t="s">
        <v>503</v>
      </c>
      <c r="C4151" s="6" t="s">
        <v>3111</v>
      </c>
      <c r="D4151" s="12" t="s">
        <v>26</v>
      </c>
      <c r="E4151" s="1" t="s">
        <v>2</v>
      </c>
      <c r="F4151" s="18">
        <v>2174</v>
      </c>
      <c r="G4151" s="18">
        <v>174</v>
      </c>
      <c r="H4151" s="14" t="s">
        <v>3236</v>
      </c>
      <c r="I4151" s="1">
        <v>203</v>
      </c>
      <c r="J4151" s="1">
        <v>238</v>
      </c>
      <c r="L4151" t="str">
        <f t="shared" si="64"/>
        <v>http://www.badatelna.eu/reprodukce/?fondId=1073&amp;zaznamId=1108960&amp;reproId=3780398</v>
      </c>
      <c r="M4151">
        <f>VLOOKUP(F4151,Sheet2!$B$1:$E$19,2,FALSE)</f>
        <v>1073</v>
      </c>
      <c r="N4151">
        <f>VLOOKUP(F4151,Sheet2!$B$1:$E$19,3,FALSE)</f>
        <v>1108960</v>
      </c>
      <c r="O4151">
        <f>IF(G4151="Not available","",VLOOKUP(F4151,Sheet2!$B$1:$E$19,4,FALSE)+(G4151-1))</f>
        <v>3780398</v>
      </c>
    </row>
    <row r="4152" spans="1:15" s="1" customFormat="1" ht="15" customHeight="1" x14ac:dyDescent="0.25">
      <c r="A4152" s="18" t="s">
        <v>538</v>
      </c>
      <c r="B4152" s="18" t="s">
        <v>768</v>
      </c>
      <c r="C4152" s="5">
        <v>1843</v>
      </c>
      <c r="D4152" s="1" t="s">
        <v>50</v>
      </c>
      <c r="E4152" s="1" t="s">
        <v>2</v>
      </c>
      <c r="F4152" s="18">
        <v>2174</v>
      </c>
      <c r="G4152" s="18">
        <v>137</v>
      </c>
      <c r="H4152" s="6" t="s">
        <v>3209</v>
      </c>
      <c r="I4152" s="1">
        <v>202</v>
      </c>
      <c r="J4152" s="1">
        <v>238</v>
      </c>
      <c r="L4152" t="str">
        <f t="shared" si="64"/>
        <v>http://www.badatelna.eu/reprodukce/?fondId=1073&amp;zaznamId=1108960&amp;reproId=3780361</v>
      </c>
      <c r="M4152">
        <f>VLOOKUP(F4152,Sheet2!$B$1:$E$19,2,FALSE)</f>
        <v>1073</v>
      </c>
      <c r="N4152">
        <f>VLOOKUP(F4152,Sheet2!$B$1:$E$19,3,FALSE)</f>
        <v>1108960</v>
      </c>
      <c r="O4152">
        <f>IF(G4152="Not available","",VLOOKUP(F4152,Sheet2!$B$1:$E$19,4,FALSE)+(G4152-1))</f>
        <v>3780361</v>
      </c>
    </row>
    <row r="4153" spans="1:15" s="1" customFormat="1" ht="15" customHeight="1" x14ac:dyDescent="0.25">
      <c r="A4153" s="18" t="s">
        <v>538</v>
      </c>
      <c r="B4153" s="18" t="s">
        <v>233</v>
      </c>
      <c r="C4153" s="5">
        <v>1835</v>
      </c>
      <c r="E4153" s="1" t="s">
        <v>2</v>
      </c>
      <c r="F4153" s="18">
        <v>2174</v>
      </c>
      <c r="G4153" s="18">
        <v>90</v>
      </c>
      <c r="H4153" s="6" t="s">
        <v>3156</v>
      </c>
      <c r="I4153" s="1">
        <v>203</v>
      </c>
      <c r="J4153" s="1">
        <v>238</v>
      </c>
      <c r="L4153" t="str">
        <f t="shared" si="64"/>
        <v>http://www.badatelna.eu/reprodukce/?fondId=1073&amp;zaznamId=1108960&amp;reproId=3780314</v>
      </c>
      <c r="M4153">
        <f>VLOOKUP(F4153,Sheet2!$B$1:$E$19,2,FALSE)</f>
        <v>1073</v>
      </c>
      <c r="N4153">
        <f>VLOOKUP(F4153,Sheet2!$B$1:$E$19,3,FALSE)</f>
        <v>1108960</v>
      </c>
      <c r="O4153">
        <f>IF(G4153="Not available","",VLOOKUP(F4153,Sheet2!$B$1:$E$19,4,FALSE)+(G4153-1))</f>
        <v>3780314</v>
      </c>
    </row>
    <row r="4154" spans="1:15" s="1" customFormat="1" ht="15" customHeight="1" x14ac:dyDescent="0.25">
      <c r="A4154" s="18" t="s">
        <v>538</v>
      </c>
      <c r="B4154" s="18" t="s">
        <v>625</v>
      </c>
      <c r="C4154" s="5">
        <v>1855</v>
      </c>
      <c r="D4154" s="1" t="s">
        <v>12</v>
      </c>
      <c r="E4154" s="1" t="s">
        <v>2</v>
      </c>
      <c r="F4154" s="18">
        <v>2164</v>
      </c>
      <c r="G4154" s="18">
        <v>107</v>
      </c>
      <c r="H4154" s="5">
        <v>105</v>
      </c>
      <c r="I4154" s="1">
        <v>140</v>
      </c>
      <c r="J4154" s="3" t="s">
        <v>3271</v>
      </c>
      <c r="L4154" t="str">
        <f t="shared" si="64"/>
        <v>http://www.badatelna.eu/reprodukce/?fondId=1073&amp;zaznamId=1108951&amp;reproId=3778821</v>
      </c>
      <c r="M4154">
        <f>VLOOKUP(F4154,Sheet2!$B$1:$E$19,2,FALSE)</f>
        <v>1073</v>
      </c>
      <c r="N4154">
        <f>VLOOKUP(F4154,Sheet2!$B$1:$E$19,3,FALSE)</f>
        <v>1108951</v>
      </c>
      <c r="O4154">
        <f>IF(G4154="Not available","",VLOOKUP(F4154,Sheet2!$B$1:$E$19,4,FALSE)+(G4154-1))</f>
        <v>3778821</v>
      </c>
    </row>
    <row r="4155" spans="1:15" s="1" customFormat="1" ht="15" customHeight="1" x14ac:dyDescent="0.25">
      <c r="A4155" s="18" t="s">
        <v>538</v>
      </c>
      <c r="B4155" s="18" t="s">
        <v>310</v>
      </c>
      <c r="C4155" s="5">
        <v>1849</v>
      </c>
      <c r="D4155" s="1" t="s">
        <v>40</v>
      </c>
      <c r="E4155" s="1" t="s">
        <v>2</v>
      </c>
      <c r="F4155" s="18">
        <v>2164</v>
      </c>
      <c r="G4155" s="18">
        <v>54</v>
      </c>
      <c r="H4155" s="5">
        <v>52</v>
      </c>
      <c r="I4155" s="1">
        <v>139</v>
      </c>
      <c r="J4155" s="3" t="s">
        <v>3271</v>
      </c>
      <c r="L4155" t="str">
        <f t="shared" si="64"/>
        <v>http://www.badatelna.eu/reprodukce/?fondId=1073&amp;zaznamId=1108951&amp;reproId=3778768</v>
      </c>
      <c r="M4155">
        <f>VLOOKUP(F4155,Sheet2!$B$1:$E$19,2,FALSE)</f>
        <v>1073</v>
      </c>
      <c r="N4155">
        <f>VLOOKUP(F4155,Sheet2!$B$1:$E$19,3,FALSE)</f>
        <v>1108951</v>
      </c>
      <c r="O4155">
        <f>IF(G4155="Not available","",VLOOKUP(F4155,Sheet2!$B$1:$E$19,4,FALSE)+(G4155-1))</f>
        <v>3778768</v>
      </c>
    </row>
    <row r="4156" spans="1:15" s="1" customFormat="1" ht="15" customHeight="1" x14ac:dyDescent="0.25">
      <c r="A4156" s="18" t="s">
        <v>538</v>
      </c>
      <c r="B4156" s="18" t="s">
        <v>570</v>
      </c>
      <c r="C4156" s="5">
        <v>1830</v>
      </c>
      <c r="E4156" s="1" t="s">
        <v>2</v>
      </c>
      <c r="F4156" s="18">
        <v>2173</v>
      </c>
      <c r="G4156" s="18">
        <v>79</v>
      </c>
      <c r="H4156" s="6" t="s">
        <v>3025</v>
      </c>
      <c r="I4156" s="1">
        <v>117</v>
      </c>
      <c r="J4156" s="1">
        <v>254</v>
      </c>
      <c r="L4156" t="str">
        <f t="shared" si="64"/>
        <v>http://www.badatelna.eu/reprodukce/?fondId=1073&amp;zaznamId=1108959&amp;reproId=3780072</v>
      </c>
      <c r="M4156">
        <f>VLOOKUP(F4156,Sheet2!$B$1:$E$19,2,FALSE)</f>
        <v>1073</v>
      </c>
      <c r="N4156">
        <f>VLOOKUP(F4156,Sheet2!$B$1:$E$19,3,FALSE)</f>
        <v>1108959</v>
      </c>
      <c r="O4156">
        <f>IF(G4156="Not available","",VLOOKUP(F4156,Sheet2!$B$1:$E$19,4,FALSE)+(G4156-1))</f>
        <v>3780072</v>
      </c>
    </row>
    <row r="4157" spans="1:15" s="1" customFormat="1" ht="15" customHeight="1" x14ac:dyDescent="0.25">
      <c r="A4157" s="18" t="s">
        <v>538</v>
      </c>
      <c r="B4157" s="18" t="s">
        <v>21</v>
      </c>
      <c r="C4157" s="5">
        <v>1839</v>
      </c>
      <c r="D4157" s="1" t="s">
        <v>758</v>
      </c>
      <c r="E4157" s="1" t="s">
        <v>2</v>
      </c>
      <c r="F4157" s="18">
        <v>2174</v>
      </c>
      <c r="G4157" s="18">
        <v>108</v>
      </c>
      <c r="H4157" s="6" t="s">
        <v>3175</v>
      </c>
      <c r="I4157" s="1">
        <v>202</v>
      </c>
      <c r="J4157" s="1">
        <v>237</v>
      </c>
      <c r="L4157" t="str">
        <f t="shared" si="64"/>
        <v>http://www.badatelna.eu/reprodukce/?fondId=1073&amp;zaznamId=1108960&amp;reproId=3780332</v>
      </c>
      <c r="M4157">
        <f>VLOOKUP(F4157,Sheet2!$B$1:$E$19,2,FALSE)</f>
        <v>1073</v>
      </c>
      <c r="N4157">
        <f>VLOOKUP(F4157,Sheet2!$B$1:$E$19,3,FALSE)</f>
        <v>1108960</v>
      </c>
      <c r="O4157">
        <f>IF(G4157="Not available","",VLOOKUP(F4157,Sheet2!$B$1:$E$19,4,FALSE)+(G4157-1))</f>
        <v>3780332</v>
      </c>
    </row>
    <row r="4158" spans="1:15" s="1" customFormat="1" ht="15" customHeight="1" x14ac:dyDescent="0.25">
      <c r="A4158" s="18" t="s">
        <v>538</v>
      </c>
      <c r="B4158" s="18" t="s">
        <v>544</v>
      </c>
      <c r="C4158" s="5">
        <v>1838</v>
      </c>
      <c r="D4158" s="1" t="s">
        <v>758</v>
      </c>
      <c r="E4158" s="1" t="s">
        <v>2</v>
      </c>
      <c r="F4158" s="18">
        <v>2174</v>
      </c>
      <c r="G4158" s="18">
        <v>99</v>
      </c>
      <c r="H4158" s="6" t="s">
        <v>3169</v>
      </c>
      <c r="I4158" s="1">
        <v>202</v>
      </c>
      <c r="J4158" s="1">
        <v>237</v>
      </c>
      <c r="L4158" t="str">
        <f t="shared" si="64"/>
        <v>http://www.badatelna.eu/reprodukce/?fondId=1073&amp;zaznamId=1108960&amp;reproId=3780323</v>
      </c>
      <c r="M4158">
        <f>VLOOKUP(F4158,Sheet2!$B$1:$E$19,2,FALSE)</f>
        <v>1073</v>
      </c>
      <c r="N4158">
        <f>VLOOKUP(F4158,Sheet2!$B$1:$E$19,3,FALSE)</f>
        <v>1108960</v>
      </c>
      <c r="O4158">
        <f>IF(G4158="Not available","",VLOOKUP(F4158,Sheet2!$B$1:$E$19,4,FALSE)+(G4158-1))</f>
        <v>3780323</v>
      </c>
    </row>
    <row r="4159" spans="1:15" s="1" customFormat="1" ht="15" customHeight="1" x14ac:dyDescent="0.25">
      <c r="A4159" s="18" t="s">
        <v>538</v>
      </c>
      <c r="B4159" s="18" t="s">
        <v>544</v>
      </c>
      <c r="C4159" s="5">
        <v>1853</v>
      </c>
      <c r="D4159" s="1" t="s">
        <v>53</v>
      </c>
      <c r="E4159" s="1" t="s">
        <v>2</v>
      </c>
      <c r="F4159" s="18">
        <v>2164</v>
      </c>
      <c r="G4159" s="18">
        <v>93</v>
      </c>
      <c r="H4159" s="5">
        <v>91</v>
      </c>
      <c r="I4159" s="1">
        <v>139</v>
      </c>
      <c r="J4159" s="3" t="s">
        <v>3271</v>
      </c>
      <c r="L4159" t="str">
        <f t="shared" si="64"/>
        <v>http://www.badatelna.eu/reprodukce/?fondId=1073&amp;zaznamId=1108951&amp;reproId=3778807</v>
      </c>
      <c r="M4159">
        <f>VLOOKUP(F4159,Sheet2!$B$1:$E$19,2,FALSE)</f>
        <v>1073</v>
      </c>
      <c r="N4159">
        <f>VLOOKUP(F4159,Sheet2!$B$1:$E$19,3,FALSE)</f>
        <v>1108951</v>
      </c>
      <c r="O4159">
        <f>IF(G4159="Not available","",VLOOKUP(F4159,Sheet2!$B$1:$E$19,4,FALSE)+(G4159-1))</f>
        <v>3778807</v>
      </c>
    </row>
    <row r="4160" spans="1:15" s="1" customFormat="1" ht="15" customHeight="1" x14ac:dyDescent="0.25">
      <c r="A4160" s="18" t="s">
        <v>538</v>
      </c>
      <c r="B4160" s="18" t="s">
        <v>903</v>
      </c>
      <c r="C4160" s="5">
        <v>1847</v>
      </c>
      <c r="D4160" s="1" t="s">
        <v>766</v>
      </c>
      <c r="E4160" s="1" t="s">
        <v>2</v>
      </c>
      <c r="F4160" s="18">
        <v>2164</v>
      </c>
      <c r="G4160" s="18">
        <v>13</v>
      </c>
      <c r="H4160" s="5">
        <v>11</v>
      </c>
      <c r="I4160" s="1">
        <v>139</v>
      </c>
      <c r="J4160" s="3" t="s">
        <v>3271</v>
      </c>
      <c r="L4160" t="str">
        <f t="shared" si="64"/>
        <v>http://www.badatelna.eu/reprodukce/?fondId=1073&amp;zaznamId=1108951&amp;reproId=3778727</v>
      </c>
      <c r="M4160">
        <f>VLOOKUP(F4160,Sheet2!$B$1:$E$19,2,FALSE)</f>
        <v>1073</v>
      </c>
      <c r="N4160">
        <f>VLOOKUP(F4160,Sheet2!$B$1:$E$19,3,FALSE)</f>
        <v>1108951</v>
      </c>
      <c r="O4160">
        <f>IF(G4160="Not available","",VLOOKUP(F4160,Sheet2!$B$1:$E$19,4,FALSE)+(G4160-1))</f>
        <v>3778727</v>
      </c>
    </row>
    <row r="4161" spans="1:15" s="1" customFormat="1" ht="15" customHeight="1" x14ac:dyDescent="0.25">
      <c r="A4161" s="18" t="s">
        <v>538</v>
      </c>
      <c r="B4161" s="18" t="s">
        <v>434</v>
      </c>
      <c r="C4161" s="5">
        <v>1851</v>
      </c>
      <c r="D4161" s="1" t="s">
        <v>26</v>
      </c>
      <c r="E4161" s="1" t="s">
        <v>2</v>
      </c>
      <c r="F4161" s="18">
        <v>2164</v>
      </c>
      <c r="G4161" s="18">
        <v>72</v>
      </c>
      <c r="H4161" s="5">
        <v>70</v>
      </c>
      <c r="I4161" s="1">
        <v>139</v>
      </c>
      <c r="J4161" s="3" t="s">
        <v>3271</v>
      </c>
      <c r="L4161" t="str">
        <f t="shared" si="64"/>
        <v>http://www.badatelna.eu/reprodukce/?fondId=1073&amp;zaznamId=1108951&amp;reproId=3778786</v>
      </c>
      <c r="M4161">
        <f>VLOOKUP(F4161,Sheet2!$B$1:$E$19,2,FALSE)</f>
        <v>1073</v>
      </c>
      <c r="N4161">
        <f>VLOOKUP(F4161,Sheet2!$B$1:$E$19,3,FALSE)</f>
        <v>1108951</v>
      </c>
      <c r="O4161">
        <f>IF(G4161="Not available","",VLOOKUP(F4161,Sheet2!$B$1:$E$19,4,FALSE)+(G4161-1))</f>
        <v>3778786</v>
      </c>
    </row>
    <row r="4162" spans="1:15" s="1" customFormat="1" ht="15" customHeight="1" x14ac:dyDescent="0.25">
      <c r="A4162" s="18" t="s">
        <v>538</v>
      </c>
      <c r="B4162" s="18" t="s">
        <v>434</v>
      </c>
      <c r="C4162" s="5">
        <v>1853</v>
      </c>
      <c r="D4162" s="1" t="s">
        <v>766</v>
      </c>
      <c r="E4162" s="1" t="s">
        <v>2</v>
      </c>
      <c r="F4162" s="18">
        <v>2164</v>
      </c>
      <c r="G4162" s="18">
        <v>91</v>
      </c>
      <c r="H4162" s="5">
        <v>89</v>
      </c>
      <c r="I4162" s="1">
        <v>139</v>
      </c>
      <c r="J4162" s="3" t="s">
        <v>3271</v>
      </c>
      <c r="L4162" t="str">
        <f t="shared" si="64"/>
        <v>http://www.badatelna.eu/reprodukce/?fondId=1073&amp;zaznamId=1108951&amp;reproId=3778805</v>
      </c>
      <c r="M4162">
        <f>VLOOKUP(F4162,Sheet2!$B$1:$E$19,2,FALSE)</f>
        <v>1073</v>
      </c>
      <c r="N4162">
        <f>VLOOKUP(F4162,Sheet2!$B$1:$E$19,3,FALSE)</f>
        <v>1108951</v>
      </c>
      <c r="O4162">
        <f>IF(G4162="Not available","",VLOOKUP(F4162,Sheet2!$B$1:$E$19,4,FALSE)+(G4162-1))</f>
        <v>3778805</v>
      </c>
    </row>
    <row r="4163" spans="1:15" s="1" customFormat="1" ht="15" customHeight="1" x14ac:dyDescent="0.25">
      <c r="A4163" s="18" t="s">
        <v>538</v>
      </c>
      <c r="B4163" s="18" t="s">
        <v>422</v>
      </c>
      <c r="C4163" s="5">
        <v>1845</v>
      </c>
      <c r="E4163" s="1" t="s">
        <v>2</v>
      </c>
      <c r="F4163" s="18">
        <v>2174</v>
      </c>
      <c r="G4163" s="18">
        <v>175</v>
      </c>
      <c r="H4163" s="14" t="s">
        <v>3244</v>
      </c>
      <c r="I4163" s="1">
        <v>203</v>
      </c>
      <c r="J4163" s="1">
        <v>238</v>
      </c>
      <c r="L4163" t="str">
        <f t="shared" ref="L4163:L4226" si="65">IF(G4163="Not available","","http://www.badatelna.eu/reprodukce/?fondId="&amp;M4163&amp;"&amp;zaznamId="&amp;N4163&amp;"&amp;reproId="&amp;O4163)</f>
        <v>http://www.badatelna.eu/reprodukce/?fondId=1073&amp;zaznamId=1108960&amp;reproId=3780399</v>
      </c>
      <c r="M4163">
        <f>VLOOKUP(F4163,Sheet2!$B$1:$E$19,2,FALSE)</f>
        <v>1073</v>
      </c>
      <c r="N4163">
        <f>VLOOKUP(F4163,Sheet2!$B$1:$E$19,3,FALSE)</f>
        <v>1108960</v>
      </c>
      <c r="O4163">
        <f>IF(G4163="Not available","",VLOOKUP(F4163,Sheet2!$B$1:$E$19,4,FALSE)+(G4163-1))</f>
        <v>3780399</v>
      </c>
    </row>
    <row r="4164" spans="1:15" s="1" customFormat="1" ht="15" customHeight="1" x14ac:dyDescent="0.25">
      <c r="A4164" s="18" t="s">
        <v>538</v>
      </c>
      <c r="B4164" s="18" t="s">
        <v>13</v>
      </c>
      <c r="C4164" s="5">
        <v>1811</v>
      </c>
      <c r="E4164" s="1" t="s">
        <v>2</v>
      </c>
      <c r="F4164" s="18">
        <v>2173</v>
      </c>
      <c r="G4164" s="18">
        <v>58</v>
      </c>
      <c r="H4164" s="5">
        <v>110</v>
      </c>
      <c r="I4164" s="1">
        <v>116</v>
      </c>
      <c r="J4164" s="1">
        <v>253</v>
      </c>
      <c r="L4164" t="str">
        <f t="shared" si="65"/>
        <v>http://www.badatelna.eu/reprodukce/?fondId=1073&amp;zaznamId=1108959&amp;reproId=3780051</v>
      </c>
      <c r="M4164">
        <f>VLOOKUP(F4164,Sheet2!$B$1:$E$19,2,FALSE)</f>
        <v>1073</v>
      </c>
      <c r="N4164">
        <f>VLOOKUP(F4164,Sheet2!$B$1:$E$19,3,FALSE)</f>
        <v>1108959</v>
      </c>
      <c r="O4164">
        <f>IF(G4164="Not available","",VLOOKUP(F4164,Sheet2!$B$1:$E$19,4,FALSE)+(G4164-1))</f>
        <v>3780051</v>
      </c>
    </row>
    <row r="4165" spans="1:15" s="1" customFormat="1" ht="15" customHeight="1" x14ac:dyDescent="0.25">
      <c r="A4165" s="18" t="s">
        <v>538</v>
      </c>
      <c r="B4165" s="18" t="s">
        <v>13</v>
      </c>
      <c r="C4165" s="5">
        <v>1826</v>
      </c>
      <c r="E4165" s="1" t="s">
        <v>2</v>
      </c>
      <c r="F4165" s="18">
        <v>2173</v>
      </c>
      <c r="G4165" s="18">
        <v>78</v>
      </c>
      <c r="H4165" s="5">
        <v>148</v>
      </c>
      <c r="I4165" s="1">
        <v>117</v>
      </c>
      <c r="J4165" s="1">
        <v>254</v>
      </c>
      <c r="L4165" t="str">
        <f t="shared" si="65"/>
        <v>http://www.badatelna.eu/reprodukce/?fondId=1073&amp;zaznamId=1108959&amp;reproId=3780071</v>
      </c>
      <c r="M4165">
        <f>VLOOKUP(F4165,Sheet2!$B$1:$E$19,2,FALSE)</f>
        <v>1073</v>
      </c>
      <c r="N4165">
        <f>VLOOKUP(F4165,Sheet2!$B$1:$E$19,3,FALSE)</f>
        <v>1108959</v>
      </c>
      <c r="O4165">
        <f>IF(G4165="Not available","",VLOOKUP(F4165,Sheet2!$B$1:$E$19,4,FALSE)+(G4165-1))</f>
        <v>3780071</v>
      </c>
    </row>
    <row r="4166" spans="1:15" s="1" customFormat="1" ht="15" customHeight="1" x14ac:dyDescent="0.25">
      <c r="A4166" s="18" t="s">
        <v>538</v>
      </c>
      <c r="B4166" s="18" t="s">
        <v>100</v>
      </c>
      <c r="C4166" s="5">
        <v>1849</v>
      </c>
      <c r="D4166" s="1" t="s">
        <v>495</v>
      </c>
      <c r="E4166" s="1" t="s">
        <v>2</v>
      </c>
      <c r="F4166" s="18">
        <v>2164</v>
      </c>
      <c r="G4166" s="18">
        <v>59</v>
      </c>
      <c r="H4166" s="5">
        <v>57</v>
      </c>
      <c r="I4166" s="1">
        <v>139</v>
      </c>
      <c r="J4166" s="3" t="s">
        <v>3271</v>
      </c>
      <c r="L4166" t="str">
        <f t="shared" si="65"/>
        <v>http://www.badatelna.eu/reprodukce/?fondId=1073&amp;zaznamId=1108951&amp;reproId=3778773</v>
      </c>
      <c r="M4166">
        <f>VLOOKUP(F4166,Sheet2!$B$1:$E$19,2,FALSE)</f>
        <v>1073</v>
      </c>
      <c r="N4166">
        <f>VLOOKUP(F4166,Sheet2!$B$1:$E$19,3,FALSE)</f>
        <v>1108951</v>
      </c>
      <c r="O4166">
        <f>IF(G4166="Not available","",VLOOKUP(F4166,Sheet2!$B$1:$E$19,4,FALSE)+(G4166-1))</f>
        <v>3778773</v>
      </c>
    </row>
    <row r="4167" spans="1:15" s="1" customFormat="1" ht="15" customHeight="1" x14ac:dyDescent="0.25">
      <c r="A4167" s="18" t="s">
        <v>538</v>
      </c>
      <c r="B4167" s="18" t="s">
        <v>476</v>
      </c>
      <c r="C4167" s="5">
        <v>1836</v>
      </c>
      <c r="E4167" s="1" t="s">
        <v>2</v>
      </c>
      <c r="F4167" s="18">
        <v>2174</v>
      </c>
      <c r="G4167" s="18">
        <v>90</v>
      </c>
      <c r="H4167" s="6" t="s">
        <v>3156</v>
      </c>
      <c r="I4167" s="1">
        <v>203</v>
      </c>
      <c r="J4167" s="1">
        <v>238</v>
      </c>
      <c r="L4167" t="str">
        <f t="shared" si="65"/>
        <v>http://www.badatelna.eu/reprodukce/?fondId=1073&amp;zaznamId=1108960&amp;reproId=3780314</v>
      </c>
      <c r="M4167">
        <f>VLOOKUP(F4167,Sheet2!$B$1:$E$19,2,FALSE)</f>
        <v>1073</v>
      </c>
      <c r="N4167">
        <f>VLOOKUP(F4167,Sheet2!$B$1:$E$19,3,FALSE)</f>
        <v>1108960</v>
      </c>
      <c r="O4167">
        <f>IF(G4167="Not available","",VLOOKUP(F4167,Sheet2!$B$1:$E$19,4,FALSE)+(G4167-1))</f>
        <v>3780314</v>
      </c>
    </row>
    <row r="4168" spans="1:15" s="1" customFormat="1" ht="15" customHeight="1" x14ac:dyDescent="0.25">
      <c r="A4168" s="18" t="s">
        <v>538</v>
      </c>
      <c r="B4168" s="18" t="s">
        <v>779</v>
      </c>
      <c r="C4168" s="6" t="s">
        <v>3123</v>
      </c>
      <c r="D4168" s="12" t="s">
        <v>26</v>
      </c>
      <c r="E4168" s="1" t="s">
        <v>2</v>
      </c>
      <c r="F4168" s="18">
        <v>2174</v>
      </c>
      <c r="G4168" s="18">
        <v>174</v>
      </c>
      <c r="H4168" s="14" t="s">
        <v>3236</v>
      </c>
      <c r="I4168" s="1">
        <v>203</v>
      </c>
      <c r="J4168" s="1">
        <v>238</v>
      </c>
      <c r="L4168" t="str">
        <f t="shared" si="65"/>
        <v>http://www.badatelna.eu/reprodukce/?fondId=1073&amp;zaznamId=1108960&amp;reproId=3780398</v>
      </c>
      <c r="M4168">
        <f>VLOOKUP(F4168,Sheet2!$B$1:$E$19,2,FALSE)</f>
        <v>1073</v>
      </c>
      <c r="N4168">
        <f>VLOOKUP(F4168,Sheet2!$B$1:$E$19,3,FALSE)</f>
        <v>1108960</v>
      </c>
      <c r="O4168">
        <f>IF(G4168="Not available","",VLOOKUP(F4168,Sheet2!$B$1:$E$19,4,FALSE)+(G4168-1))</f>
        <v>3780398</v>
      </c>
    </row>
    <row r="4169" spans="1:15" s="1" customFormat="1" ht="15" customHeight="1" x14ac:dyDescent="0.25">
      <c r="A4169" s="18" t="s">
        <v>538</v>
      </c>
      <c r="B4169" s="18" t="s">
        <v>143</v>
      </c>
      <c r="C4169" s="5">
        <v>1853</v>
      </c>
      <c r="D4169" s="1" t="s">
        <v>55</v>
      </c>
      <c r="E4169" s="1" t="s">
        <v>2</v>
      </c>
      <c r="F4169" s="18">
        <v>2164</v>
      </c>
      <c r="G4169" s="18">
        <v>92</v>
      </c>
      <c r="H4169" s="5">
        <v>90</v>
      </c>
      <c r="I4169" s="1">
        <v>139</v>
      </c>
      <c r="J4169" s="3" t="s">
        <v>3271</v>
      </c>
      <c r="L4169" t="str">
        <f t="shared" si="65"/>
        <v>http://www.badatelna.eu/reprodukce/?fondId=1073&amp;zaznamId=1108951&amp;reproId=3778806</v>
      </c>
      <c r="M4169">
        <f>VLOOKUP(F4169,Sheet2!$B$1:$E$19,2,FALSE)</f>
        <v>1073</v>
      </c>
      <c r="N4169">
        <f>VLOOKUP(F4169,Sheet2!$B$1:$E$19,3,FALSE)</f>
        <v>1108951</v>
      </c>
      <c r="O4169">
        <f>IF(G4169="Not available","",VLOOKUP(F4169,Sheet2!$B$1:$E$19,4,FALSE)+(G4169-1))</f>
        <v>3778806</v>
      </c>
    </row>
    <row r="4170" spans="1:15" s="1" customFormat="1" ht="15" customHeight="1" x14ac:dyDescent="0.25">
      <c r="A4170" s="18" t="s">
        <v>538</v>
      </c>
      <c r="B4170" s="18" t="s">
        <v>427</v>
      </c>
      <c r="C4170" s="5">
        <v>1847</v>
      </c>
      <c r="D4170" s="1" t="s">
        <v>197</v>
      </c>
      <c r="E4170" s="1" t="s">
        <v>2</v>
      </c>
      <c r="F4170" s="18">
        <v>2164</v>
      </c>
      <c r="G4170" s="18">
        <v>14</v>
      </c>
      <c r="H4170" s="5">
        <v>12</v>
      </c>
      <c r="I4170" s="1">
        <v>139</v>
      </c>
      <c r="J4170" s="3" t="s">
        <v>3271</v>
      </c>
      <c r="L4170" t="str">
        <f t="shared" si="65"/>
        <v>http://www.badatelna.eu/reprodukce/?fondId=1073&amp;zaznamId=1108951&amp;reproId=3778728</v>
      </c>
      <c r="M4170">
        <f>VLOOKUP(F4170,Sheet2!$B$1:$E$19,2,FALSE)</f>
        <v>1073</v>
      </c>
      <c r="N4170">
        <f>VLOOKUP(F4170,Sheet2!$B$1:$E$19,3,FALSE)</f>
        <v>1108951</v>
      </c>
      <c r="O4170">
        <f>IF(G4170="Not available","",VLOOKUP(F4170,Sheet2!$B$1:$E$19,4,FALSE)+(G4170-1))</f>
        <v>3778728</v>
      </c>
    </row>
    <row r="4171" spans="1:15" s="1" customFormat="1" ht="15" customHeight="1" x14ac:dyDescent="0.25">
      <c r="A4171" s="18" t="s">
        <v>538</v>
      </c>
      <c r="B4171" s="18" t="s">
        <v>665</v>
      </c>
      <c r="C4171" s="6" t="s">
        <v>3124</v>
      </c>
      <c r="D4171" s="12" t="s">
        <v>26</v>
      </c>
      <c r="E4171" s="1" t="s">
        <v>2</v>
      </c>
      <c r="F4171" s="18">
        <v>2174</v>
      </c>
      <c r="G4171" s="18">
        <v>174</v>
      </c>
      <c r="H4171" s="14" t="s">
        <v>3236</v>
      </c>
      <c r="I4171" s="1">
        <v>203</v>
      </c>
      <c r="J4171" s="1">
        <v>238</v>
      </c>
      <c r="L4171" t="str">
        <f t="shared" si="65"/>
        <v>http://www.badatelna.eu/reprodukce/?fondId=1073&amp;zaznamId=1108960&amp;reproId=3780398</v>
      </c>
      <c r="M4171">
        <f>VLOOKUP(F4171,Sheet2!$B$1:$E$19,2,FALSE)</f>
        <v>1073</v>
      </c>
      <c r="N4171">
        <f>VLOOKUP(F4171,Sheet2!$B$1:$E$19,3,FALSE)</f>
        <v>1108960</v>
      </c>
      <c r="O4171">
        <f>IF(G4171="Not available","",VLOOKUP(F4171,Sheet2!$B$1:$E$19,4,FALSE)+(G4171-1))</f>
        <v>3780398</v>
      </c>
    </row>
    <row r="4172" spans="1:15" s="1" customFormat="1" ht="15" customHeight="1" x14ac:dyDescent="0.25">
      <c r="A4172" s="18" t="s">
        <v>538</v>
      </c>
      <c r="B4172" s="18" t="s">
        <v>1113</v>
      </c>
      <c r="C4172" s="10" t="s">
        <v>2072</v>
      </c>
      <c r="D4172" s="3" t="s">
        <v>2691</v>
      </c>
      <c r="E4172" s="4" t="s">
        <v>2</v>
      </c>
      <c r="F4172" s="18">
        <v>2176</v>
      </c>
      <c r="G4172" s="18" t="s">
        <v>3271</v>
      </c>
      <c r="H4172" s="10" t="s">
        <v>2063</v>
      </c>
      <c r="I4172" s="3">
        <v>42</v>
      </c>
      <c r="J4172" s="3" t="s">
        <v>3271</v>
      </c>
      <c r="K4172" s="3"/>
      <c r="L4172" t="str">
        <f t="shared" si="65"/>
        <v/>
      </c>
      <c r="M4172">
        <f>VLOOKUP(F4172,Sheet2!$B$1:$E$19,2,FALSE)</f>
        <v>1073</v>
      </c>
      <c r="N4172">
        <f>VLOOKUP(F4172,Sheet2!$B$1:$E$19,3,FALSE)</f>
        <v>1108963</v>
      </c>
      <c r="O4172" t="str">
        <f>IF(G4172="Not available","",VLOOKUP(F4172,Sheet2!$B$1:$E$19,4,FALSE)+(G4172-1))</f>
        <v/>
      </c>
    </row>
    <row r="4173" spans="1:15" s="1" customFormat="1" ht="15" customHeight="1" x14ac:dyDescent="0.25">
      <c r="A4173" s="18" t="s">
        <v>538</v>
      </c>
      <c r="B4173" s="18" t="s">
        <v>1113</v>
      </c>
      <c r="C4173" s="5" t="s">
        <v>1789</v>
      </c>
      <c r="D4173" s="1" t="s">
        <v>50</v>
      </c>
      <c r="E4173" s="1" t="s">
        <v>2</v>
      </c>
      <c r="F4173" s="18">
        <v>2165</v>
      </c>
      <c r="G4173" s="18">
        <v>236</v>
      </c>
      <c r="H4173" s="5">
        <v>3</v>
      </c>
      <c r="I4173" s="1">
        <v>238</v>
      </c>
      <c r="J4173" s="1">
        <v>214</v>
      </c>
      <c r="L4173" t="str">
        <f t="shared" si="65"/>
        <v>http://www.badatelna.eu/reprodukce/?fondId=1073&amp;zaznamId=1108952&amp;reproId=3779097</v>
      </c>
      <c r="M4173">
        <f>VLOOKUP(F4173,Sheet2!$B$1:$E$19,2,FALSE)</f>
        <v>1073</v>
      </c>
      <c r="N4173">
        <f>VLOOKUP(F4173,Sheet2!$B$1:$E$19,3,FALSE)</f>
        <v>1108952</v>
      </c>
      <c r="O4173">
        <f>IF(G4173="Not available","",VLOOKUP(F4173,Sheet2!$B$1:$E$19,4,FALSE)+(G4173-1))</f>
        <v>3779097</v>
      </c>
    </row>
    <row r="4174" spans="1:15" s="1" customFormat="1" ht="15" customHeight="1" x14ac:dyDescent="0.25">
      <c r="A4174" s="18" t="s">
        <v>538</v>
      </c>
      <c r="B4174" s="18" t="s">
        <v>145</v>
      </c>
      <c r="C4174" s="6" t="s">
        <v>3122</v>
      </c>
      <c r="D4174" s="12" t="s">
        <v>26</v>
      </c>
      <c r="E4174" s="1" t="s">
        <v>2</v>
      </c>
      <c r="F4174" s="18">
        <v>2174</v>
      </c>
      <c r="G4174" s="18">
        <v>174</v>
      </c>
      <c r="H4174" s="14" t="s">
        <v>3236</v>
      </c>
      <c r="I4174" s="1">
        <v>203</v>
      </c>
      <c r="J4174" s="1">
        <v>238</v>
      </c>
      <c r="L4174" t="str">
        <f t="shared" si="65"/>
        <v>http://www.badatelna.eu/reprodukce/?fondId=1073&amp;zaznamId=1108960&amp;reproId=3780398</v>
      </c>
      <c r="M4174">
        <f>VLOOKUP(F4174,Sheet2!$B$1:$E$19,2,FALSE)</f>
        <v>1073</v>
      </c>
      <c r="N4174">
        <f>VLOOKUP(F4174,Sheet2!$B$1:$E$19,3,FALSE)</f>
        <v>1108960</v>
      </c>
      <c r="O4174">
        <f>IF(G4174="Not available","",VLOOKUP(F4174,Sheet2!$B$1:$E$19,4,FALSE)+(G4174-1))</f>
        <v>3780398</v>
      </c>
    </row>
    <row r="4175" spans="1:15" s="1" customFormat="1" ht="15" customHeight="1" x14ac:dyDescent="0.25">
      <c r="A4175" s="18" t="s">
        <v>538</v>
      </c>
      <c r="B4175" s="18" t="s">
        <v>656</v>
      </c>
      <c r="C4175" s="5">
        <v>1849</v>
      </c>
      <c r="D4175" s="1" t="s">
        <v>26</v>
      </c>
      <c r="E4175" s="1" t="s">
        <v>2</v>
      </c>
      <c r="F4175" s="18">
        <v>2164</v>
      </c>
      <c r="G4175" s="18">
        <v>61</v>
      </c>
      <c r="H4175" s="5">
        <v>59</v>
      </c>
      <c r="I4175" s="1">
        <v>139</v>
      </c>
      <c r="J4175" s="3" t="s">
        <v>3271</v>
      </c>
      <c r="L4175" t="str">
        <f t="shared" si="65"/>
        <v>http://www.badatelna.eu/reprodukce/?fondId=1073&amp;zaznamId=1108951&amp;reproId=3778775</v>
      </c>
      <c r="M4175">
        <f>VLOOKUP(F4175,Sheet2!$B$1:$E$19,2,FALSE)</f>
        <v>1073</v>
      </c>
      <c r="N4175">
        <f>VLOOKUP(F4175,Sheet2!$B$1:$E$19,3,FALSE)</f>
        <v>1108951</v>
      </c>
      <c r="O4175">
        <f>IF(G4175="Not available","",VLOOKUP(F4175,Sheet2!$B$1:$E$19,4,FALSE)+(G4175-1))</f>
        <v>3778775</v>
      </c>
    </row>
    <row r="4176" spans="1:15" s="1" customFormat="1" ht="15" customHeight="1" x14ac:dyDescent="0.25">
      <c r="A4176" s="18" t="s">
        <v>538</v>
      </c>
      <c r="B4176" s="18" t="s">
        <v>475</v>
      </c>
      <c r="C4176" s="5">
        <v>1835</v>
      </c>
      <c r="E4176" s="1" t="s">
        <v>2</v>
      </c>
      <c r="F4176" s="18">
        <v>2174</v>
      </c>
      <c r="G4176" s="18">
        <v>90</v>
      </c>
      <c r="H4176" s="6" t="s">
        <v>3156</v>
      </c>
      <c r="I4176" s="1">
        <v>203</v>
      </c>
      <c r="J4176" s="1">
        <v>238</v>
      </c>
      <c r="L4176" t="str">
        <f t="shared" si="65"/>
        <v>http://www.badatelna.eu/reprodukce/?fondId=1073&amp;zaznamId=1108960&amp;reproId=3780314</v>
      </c>
      <c r="M4176">
        <f>VLOOKUP(F4176,Sheet2!$B$1:$E$19,2,FALSE)</f>
        <v>1073</v>
      </c>
      <c r="N4176">
        <f>VLOOKUP(F4176,Sheet2!$B$1:$E$19,3,FALSE)</f>
        <v>1108960</v>
      </c>
      <c r="O4176">
        <f>IF(G4176="Not available","",VLOOKUP(F4176,Sheet2!$B$1:$E$19,4,FALSE)+(G4176-1))</f>
        <v>3780314</v>
      </c>
    </row>
    <row r="4177" spans="1:15" s="1" customFormat="1" ht="15" customHeight="1" x14ac:dyDescent="0.25">
      <c r="A4177" s="18" t="s">
        <v>538</v>
      </c>
      <c r="B4177" s="18" t="s">
        <v>475</v>
      </c>
      <c r="C4177" s="5">
        <v>1841</v>
      </c>
      <c r="D4177" s="4" t="s">
        <v>26</v>
      </c>
      <c r="E4177" s="1" t="s">
        <v>2</v>
      </c>
      <c r="F4177" s="18">
        <v>2174</v>
      </c>
      <c r="G4177" s="18">
        <v>119</v>
      </c>
      <c r="H4177" s="6" t="s">
        <v>3188</v>
      </c>
      <c r="I4177" s="1">
        <v>187</v>
      </c>
      <c r="J4177" s="1">
        <v>216</v>
      </c>
      <c r="L4177" t="str">
        <f t="shared" si="65"/>
        <v>http://www.badatelna.eu/reprodukce/?fondId=1073&amp;zaznamId=1108960&amp;reproId=3780343</v>
      </c>
      <c r="M4177">
        <f>VLOOKUP(F4177,Sheet2!$B$1:$E$19,2,FALSE)</f>
        <v>1073</v>
      </c>
      <c r="N4177">
        <f>VLOOKUP(F4177,Sheet2!$B$1:$E$19,3,FALSE)</f>
        <v>1108960</v>
      </c>
      <c r="O4177">
        <f>IF(G4177="Not available","",VLOOKUP(F4177,Sheet2!$B$1:$E$19,4,FALSE)+(G4177-1))</f>
        <v>3780343</v>
      </c>
    </row>
    <row r="4178" spans="1:15" s="1" customFormat="1" ht="15" customHeight="1" x14ac:dyDescent="0.25">
      <c r="A4178" s="18" t="s">
        <v>538</v>
      </c>
      <c r="B4178" s="18" t="s">
        <v>475</v>
      </c>
      <c r="C4178" s="5">
        <v>1846</v>
      </c>
      <c r="D4178" s="1" t="s">
        <v>194</v>
      </c>
      <c r="E4178" s="1" t="s">
        <v>2</v>
      </c>
      <c r="F4178" s="18">
        <v>2174</v>
      </c>
      <c r="G4178" s="18">
        <v>162</v>
      </c>
      <c r="H4178" s="14" t="s">
        <v>3232</v>
      </c>
      <c r="I4178" s="1">
        <v>203</v>
      </c>
      <c r="J4178" s="1">
        <v>238</v>
      </c>
      <c r="L4178" t="str">
        <f t="shared" si="65"/>
        <v>http://www.badatelna.eu/reprodukce/?fondId=1073&amp;zaznamId=1108960&amp;reproId=3780386</v>
      </c>
      <c r="M4178">
        <f>VLOOKUP(F4178,Sheet2!$B$1:$E$19,2,FALSE)</f>
        <v>1073</v>
      </c>
      <c r="N4178">
        <f>VLOOKUP(F4178,Sheet2!$B$1:$E$19,3,FALSE)</f>
        <v>1108960</v>
      </c>
      <c r="O4178">
        <f>IF(G4178="Not available","",VLOOKUP(F4178,Sheet2!$B$1:$E$19,4,FALSE)+(G4178-1))</f>
        <v>3780386</v>
      </c>
    </row>
    <row r="4179" spans="1:15" s="1" customFormat="1" ht="15" customHeight="1" x14ac:dyDescent="0.25">
      <c r="A4179" s="18" t="s">
        <v>538</v>
      </c>
      <c r="B4179" s="18" t="s">
        <v>780</v>
      </c>
      <c r="C4179" s="5">
        <v>1834</v>
      </c>
      <c r="D4179" s="1" t="s">
        <v>439</v>
      </c>
      <c r="E4179" s="1" t="s">
        <v>2</v>
      </c>
      <c r="F4179" s="18">
        <v>2174</v>
      </c>
      <c r="G4179" s="18">
        <v>176</v>
      </c>
      <c r="H4179" s="14" t="s">
        <v>3239</v>
      </c>
      <c r="I4179" s="1">
        <v>203</v>
      </c>
      <c r="J4179" s="1">
        <v>238</v>
      </c>
      <c r="L4179" t="str">
        <f t="shared" si="65"/>
        <v>http://www.badatelna.eu/reprodukce/?fondId=1073&amp;zaznamId=1108960&amp;reproId=3780400</v>
      </c>
      <c r="M4179">
        <f>VLOOKUP(F4179,Sheet2!$B$1:$E$19,2,FALSE)</f>
        <v>1073</v>
      </c>
      <c r="N4179">
        <f>VLOOKUP(F4179,Sheet2!$B$1:$E$19,3,FALSE)</f>
        <v>1108960</v>
      </c>
      <c r="O4179">
        <f>IF(G4179="Not available","",VLOOKUP(F4179,Sheet2!$B$1:$E$19,4,FALSE)+(G4179-1))</f>
        <v>3780400</v>
      </c>
    </row>
    <row r="4180" spans="1:15" s="1" customFormat="1" ht="15" customHeight="1" x14ac:dyDescent="0.25">
      <c r="A4180" s="18" t="s">
        <v>538</v>
      </c>
      <c r="B4180" s="18" t="s">
        <v>1181</v>
      </c>
      <c r="C4180" s="5">
        <v>1887</v>
      </c>
      <c r="D4180" s="1" t="s">
        <v>50</v>
      </c>
      <c r="E4180" s="1" t="s">
        <v>2</v>
      </c>
      <c r="F4180" s="18">
        <v>2165</v>
      </c>
      <c r="G4180" s="18">
        <v>213</v>
      </c>
      <c r="H4180" s="5">
        <v>2</v>
      </c>
      <c r="I4180" s="1">
        <v>216</v>
      </c>
      <c r="J4180" s="1">
        <v>192</v>
      </c>
      <c r="L4180" t="str">
        <f t="shared" si="65"/>
        <v>http://www.badatelna.eu/reprodukce/?fondId=1073&amp;zaznamId=1108952&amp;reproId=3779074</v>
      </c>
      <c r="M4180">
        <f>VLOOKUP(F4180,Sheet2!$B$1:$E$19,2,FALSE)</f>
        <v>1073</v>
      </c>
      <c r="N4180">
        <f>VLOOKUP(F4180,Sheet2!$B$1:$E$19,3,FALSE)</f>
        <v>1108952</v>
      </c>
      <c r="O4180">
        <f>IF(G4180="Not available","",VLOOKUP(F4180,Sheet2!$B$1:$E$19,4,FALSE)+(G4180-1))</f>
        <v>3779074</v>
      </c>
    </row>
    <row r="4181" spans="1:15" s="1" customFormat="1" ht="15" customHeight="1" x14ac:dyDescent="0.25">
      <c r="A4181" s="18" t="s">
        <v>538</v>
      </c>
      <c r="B4181" s="18" t="s">
        <v>740</v>
      </c>
      <c r="C4181" s="5">
        <v>1857</v>
      </c>
      <c r="D4181" s="1" t="s">
        <v>766</v>
      </c>
      <c r="E4181" s="1" t="s">
        <v>2</v>
      </c>
      <c r="F4181" s="18">
        <v>2164</v>
      </c>
      <c r="G4181" s="18">
        <v>116</v>
      </c>
      <c r="H4181" s="5">
        <v>114</v>
      </c>
      <c r="I4181" s="1">
        <v>140</v>
      </c>
      <c r="J4181" s="3" t="s">
        <v>3271</v>
      </c>
      <c r="L4181" t="str">
        <f t="shared" si="65"/>
        <v>http://www.badatelna.eu/reprodukce/?fondId=1073&amp;zaznamId=1108951&amp;reproId=3778830</v>
      </c>
      <c r="M4181">
        <f>VLOOKUP(F4181,Sheet2!$B$1:$E$19,2,FALSE)</f>
        <v>1073</v>
      </c>
      <c r="N4181">
        <f>VLOOKUP(F4181,Sheet2!$B$1:$E$19,3,FALSE)</f>
        <v>1108951</v>
      </c>
      <c r="O4181">
        <f>IF(G4181="Not available","",VLOOKUP(F4181,Sheet2!$B$1:$E$19,4,FALSE)+(G4181-1))</f>
        <v>3778830</v>
      </c>
    </row>
    <row r="4182" spans="1:15" s="1" customFormat="1" ht="15" customHeight="1" x14ac:dyDescent="0.25">
      <c r="A4182" s="18" t="s">
        <v>2825</v>
      </c>
      <c r="B4182" s="18" t="s">
        <v>568</v>
      </c>
      <c r="C4182" s="5">
        <v>1830</v>
      </c>
      <c r="E4182" s="1" t="s">
        <v>2</v>
      </c>
      <c r="F4182" s="18">
        <v>2173</v>
      </c>
      <c r="G4182" s="18">
        <v>84</v>
      </c>
      <c r="H4182" s="6" t="s">
        <v>3351</v>
      </c>
      <c r="I4182" s="1">
        <v>117</v>
      </c>
      <c r="J4182" s="1">
        <v>254</v>
      </c>
      <c r="L4182" t="str">
        <f t="shared" si="65"/>
        <v>http://www.badatelna.eu/reprodukce/?fondId=1073&amp;zaznamId=1108959&amp;reproId=3780077</v>
      </c>
      <c r="M4182">
        <f>VLOOKUP(F4182,Sheet2!$B$1:$E$19,2,FALSE)</f>
        <v>1073</v>
      </c>
      <c r="N4182">
        <f>VLOOKUP(F4182,Sheet2!$B$1:$E$19,3,FALSE)</f>
        <v>1108959</v>
      </c>
      <c r="O4182">
        <f>IF(G4182="Not available","",VLOOKUP(F4182,Sheet2!$B$1:$E$19,4,FALSE)+(G4182-1))</f>
        <v>3780077</v>
      </c>
    </row>
    <row r="4183" spans="1:15" s="1" customFormat="1" ht="15" customHeight="1" x14ac:dyDescent="0.25">
      <c r="A4183" s="18" t="s">
        <v>2699</v>
      </c>
      <c r="B4183" s="18" t="s">
        <v>1078</v>
      </c>
      <c r="C4183" s="10" t="s">
        <v>2043</v>
      </c>
      <c r="D4183" s="3" t="s">
        <v>2691</v>
      </c>
      <c r="E4183" s="4" t="s">
        <v>2</v>
      </c>
      <c r="F4183" s="18">
        <v>2176</v>
      </c>
      <c r="G4183" s="18" t="s">
        <v>3271</v>
      </c>
      <c r="H4183" s="10" t="s">
        <v>1976</v>
      </c>
      <c r="I4183" s="3">
        <v>41</v>
      </c>
      <c r="J4183" s="3" t="s">
        <v>3271</v>
      </c>
      <c r="K4183" s="3"/>
      <c r="L4183" t="str">
        <f t="shared" si="65"/>
        <v/>
      </c>
      <c r="M4183">
        <f>VLOOKUP(F4183,Sheet2!$B$1:$E$19,2,FALSE)</f>
        <v>1073</v>
      </c>
      <c r="N4183">
        <f>VLOOKUP(F4183,Sheet2!$B$1:$E$19,3,FALSE)</f>
        <v>1108963</v>
      </c>
      <c r="O4183" t="str">
        <f>IF(G4183="Not available","",VLOOKUP(F4183,Sheet2!$B$1:$E$19,4,FALSE)+(G4183-1))</f>
        <v/>
      </c>
    </row>
    <row r="4184" spans="1:15" s="1" customFormat="1" ht="15" customHeight="1" x14ac:dyDescent="0.25">
      <c r="A4184" s="19" t="s">
        <v>551</v>
      </c>
      <c r="B4184" s="18" t="s">
        <v>50</v>
      </c>
      <c r="C4184" s="5">
        <v>1806</v>
      </c>
      <c r="E4184" s="1" t="s">
        <v>2</v>
      </c>
      <c r="F4184" s="18">
        <v>2173</v>
      </c>
      <c r="G4184" s="18">
        <v>54</v>
      </c>
      <c r="H4184" s="14" t="s">
        <v>2979</v>
      </c>
      <c r="I4184" s="1">
        <v>116</v>
      </c>
      <c r="J4184" s="1">
        <v>252</v>
      </c>
      <c r="L4184" t="str">
        <f t="shared" si="65"/>
        <v>http://www.badatelna.eu/reprodukce/?fondId=1073&amp;zaznamId=1108959&amp;reproId=3780047</v>
      </c>
      <c r="M4184">
        <f>VLOOKUP(F4184,Sheet2!$B$1:$E$19,2,FALSE)</f>
        <v>1073</v>
      </c>
      <c r="N4184">
        <f>VLOOKUP(F4184,Sheet2!$B$1:$E$19,3,FALSE)</f>
        <v>1108959</v>
      </c>
      <c r="O4184">
        <f>IF(G4184="Not available","",VLOOKUP(F4184,Sheet2!$B$1:$E$19,4,FALSE)+(G4184-1))</f>
        <v>3780047</v>
      </c>
    </row>
    <row r="4185" spans="1:15" s="1" customFormat="1" ht="15" customHeight="1" x14ac:dyDescent="0.25">
      <c r="A4185" s="18" t="s">
        <v>551</v>
      </c>
      <c r="B4185" s="18" t="s">
        <v>50</v>
      </c>
      <c r="C4185" s="5">
        <v>1808</v>
      </c>
      <c r="E4185" s="1" t="s">
        <v>2</v>
      </c>
      <c r="F4185" s="18">
        <v>2173</v>
      </c>
      <c r="G4185" s="18">
        <v>54</v>
      </c>
      <c r="H4185" s="14" t="s">
        <v>2979</v>
      </c>
      <c r="I4185" s="1">
        <v>116</v>
      </c>
      <c r="J4185" s="1">
        <v>252</v>
      </c>
      <c r="L4185" t="str">
        <f t="shared" si="65"/>
        <v>http://www.badatelna.eu/reprodukce/?fondId=1073&amp;zaznamId=1108959&amp;reproId=3780047</v>
      </c>
      <c r="M4185">
        <f>VLOOKUP(F4185,Sheet2!$B$1:$E$19,2,FALSE)</f>
        <v>1073</v>
      </c>
      <c r="N4185">
        <f>VLOOKUP(F4185,Sheet2!$B$1:$E$19,3,FALSE)</f>
        <v>1108959</v>
      </c>
      <c r="O4185">
        <f>IF(G4185="Not available","",VLOOKUP(F4185,Sheet2!$B$1:$E$19,4,FALSE)+(G4185-1))</f>
        <v>3780047</v>
      </c>
    </row>
    <row r="4186" spans="1:15" s="1" customFormat="1" ht="15" customHeight="1" x14ac:dyDescent="0.25">
      <c r="A4186" s="18" t="s">
        <v>551</v>
      </c>
      <c r="B4186" s="18" t="s">
        <v>738</v>
      </c>
      <c r="C4186" s="5">
        <v>1858</v>
      </c>
      <c r="E4186" s="1" t="s">
        <v>939</v>
      </c>
      <c r="F4186" s="18">
        <v>999</v>
      </c>
      <c r="G4186" s="18">
        <v>11</v>
      </c>
      <c r="H4186" s="5">
        <v>9</v>
      </c>
      <c r="I4186" s="1">
        <v>76</v>
      </c>
      <c r="J4186" s="1">
        <v>110</v>
      </c>
      <c r="L4186" t="str">
        <f t="shared" si="65"/>
        <v>http://www.badatelna.eu/reprodukce/?fondId=241&amp;zaznamId=1133739&amp;reproId=3885740</v>
      </c>
      <c r="M4186">
        <f>VLOOKUP(F4186,Sheet2!$B$1:$E$19,2,FALSE)</f>
        <v>241</v>
      </c>
      <c r="N4186">
        <f>VLOOKUP(F4186,Sheet2!$B$1:$E$19,3,FALSE)</f>
        <v>1133739</v>
      </c>
      <c r="O4186">
        <f>IF(G4186="Not available","",VLOOKUP(F4186,Sheet2!$B$1:$E$19,4,FALSE)+(G4186-1))</f>
        <v>3885740</v>
      </c>
    </row>
    <row r="4187" spans="1:15" s="1" customFormat="1" ht="15" customHeight="1" x14ac:dyDescent="0.25">
      <c r="A4187" s="18" t="s">
        <v>551</v>
      </c>
      <c r="B4187" s="18" t="s">
        <v>632</v>
      </c>
      <c r="C4187" s="5">
        <v>1859</v>
      </c>
      <c r="E4187" s="1" t="s">
        <v>939</v>
      </c>
      <c r="F4187" s="18">
        <v>999</v>
      </c>
      <c r="G4187" s="18">
        <v>14</v>
      </c>
      <c r="H4187" s="5">
        <v>12</v>
      </c>
      <c r="I4187" s="1">
        <v>76</v>
      </c>
      <c r="J4187" s="1">
        <v>110</v>
      </c>
      <c r="L4187" t="str">
        <f t="shared" si="65"/>
        <v>http://www.badatelna.eu/reprodukce/?fondId=241&amp;zaznamId=1133739&amp;reproId=3885743</v>
      </c>
      <c r="M4187">
        <f>VLOOKUP(F4187,Sheet2!$B$1:$E$19,2,FALSE)</f>
        <v>241</v>
      </c>
      <c r="N4187">
        <f>VLOOKUP(F4187,Sheet2!$B$1:$E$19,3,FALSE)</f>
        <v>1133739</v>
      </c>
      <c r="O4187">
        <f>IF(G4187="Not available","",VLOOKUP(F4187,Sheet2!$B$1:$E$19,4,FALSE)+(G4187-1))</f>
        <v>3885743</v>
      </c>
    </row>
    <row r="4188" spans="1:15" s="1" customFormat="1" ht="15" customHeight="1" x14ac:dyDescent="0.25">
      <c r="A4188" s="18" t="s">
        <v>551</v>
      </c>
      <c r="B4188" s="18" t="s">
        <v>196</v>
      </c>
      <c r="C4188" s="5">
        <v>1860</v>
      </c>
      <c r="D4188" s="4" t="s">
        <v>481</v>
      </c>
      <c r="E4188" s="1" t="s">
        <v>939</v>
      </c>
      <c r="F4188" s="18">
        <v>999</v>
      </c>
      <c r="G4188" s="18">
        <v>22</v>
      </c>
      <c r="H4188" s="5">
        <v>20</v>
      </c>
      <c r="I4188" s="1">
        <v>76</v>
      </c>
      <c r="J4188" s="1">
        <v>110</v>
      </c>
      <c r="L4188" t="str">
        <f t="shared" si="65"/>
        <v>http://www.badatelna.eu/reprodukce/?fondId=241&amp;zaznamId=1133739&amp;reproId=3885751</v>
      </c>
      <c r="M4188">
        <f>VLOOKUP(F4188,Sheet2!$B$1:$E$19,2,FALSE)</f>
        <v>241</v>
      </c>
      <c r="N4188">
        <f>VLOOKUP(F4188,Sheet2!$B$1:$E$19,3,FALSE)</f>
        <v>1133739</v>
      </c>
      <c r="O4188">
        <f>IF(G4188="Not available","",VLOOKUP(F4188,Sheet2!$B$1:$E$19,4,FALSE)+(G4188-1))</f>
        <v>3885751</v>
      </c>
    </row>
    <row r="4189" spans="1:15" s="1" customFormat="1" ht="15" customHeight="1" x14ac:dyDescent="0.25">
      <c r="A4189" s="18" t="s">
        <v>551</v>
      </c>
      <c r="B4189" s="18" t="s">
        <v>819</v>
      </c>
      <c r="C4189" s="5">
        <v>1866</v>
      </c>
      <c r="E4189" s="1" t="s">
        <v>939</v>
      </c>
      <c r="F4189" s="18">
        <v>999</v>
      </c>
      <c r="G4189" s="18">
        <v>59</v>
      </c>
      <c r="H4189" s="5">
        <v>57</v>
      </c>
      <c r="I4189" s="1">
        <v>77</v>
      </c>
      <c r="J4189" s="1">
        <v>112</v>
      </c>
      <c r="L4189" t="str">
        <f t="shared" si="65"/>
        <v>http://www.badatelna.eu/reprodukce/?fondId=241&amp;zaznamId=1133739&amp;reproId=3885788</v>
      </c>
      <c r="M4189">
        <f>VLOOKUP(F4189,Sheet2!$B$1:$E$19,2,FALSE)</f>
        <v>241</v>
      </c>
      <c r="N4189">
        <f>VLOOKUP(F4189,Sheet2!$B$1:$E$19,3,FALSE)</f>
        <v>1133739</v>
      </c>
      <c r="O4189">
        <f>IF(G4189="Not available","",VLOOKUP(F4189,Sheet2!$B$1:$E$19,4,FALSE)+(G4189-1))</f>
        <v>3885788</v>
      </c>
    </row>
    <row r="4190" spans="1:15" s="1" customFormat="1" ht="15" customHeight="1" x14ac:dyDescent="0.25">
      <c r="A4190" s="18" t="s">
        <v>551</v>
      </c>
      <c r="B4190" s="18" t="s">
        <v>2096</v>
      </c>
      <c r="C4190" s="10" t="s">
        <v>2024</v>
      </c>
      <c r="D4190" s="3" t="s">
        <v>2681</v>
      </c>
      <c r="E4190" s="4" t="s">
        <v>2</v>
      </c>
      <c r="F4190" s="18">
        <v>2176</v>
      </c>
      <c r="G4190" s="18" t="s">
        <v>3271</v>
      </c>
      <c r="H4190" s="10" t="s">
        <v>2037</v>
      </c>
      <c r="I4190" s="3">
        <v>41</v>
      </c>
      <c r="J4190" s="3" t="s">
        <v>3271</v>
      </c>
      <c r="K4190" s="3"/>
      <c r="L4190" t="str">
        <f t="shared" si="65"/>
        <v/>
      </c>
      <c r="M4190">
        <f>VLOOKUP(F4190,Sheet2!$B$1:$E$19,2,FALSE)</f>
        <v>1073</v>
      </c>
      <c r="N4190">
        <f>VLOOKUP(F4190,Sheet2!$B$1:$E$19,3,FALSE)</f>
        <v>1108963</v>
      </c>
      <c r="O4190" t="str">
        <f>IF(G4190="Not available","",VLOOKUP(F4190,Sheet2!$B$1:$E$19,4,FALSE)+(G4190-1))</f>
        <v/>
      </c>
    </row>
    <row r="4191" spans="1:15" s="1" customFormat="1" ht="15" customHeight="1" x14ac:dyDescent="0.25">
      <c r="A4191" s="18" t="s">
        <v>551</v>
      </c>
      <c r="B4191" s="18" t="s">
        <v>1043</v>
      </c>
      <c r="C4191" s="10" t="s">
        <v>2024</v>
      </c>
      <c r="D4191" s="3" t="s">
        <v>2687</v>
      </c>
      <c r="E4191" s="4" t="s">
        <v>2</v>
      </c>
      <c r="F4191" s="18">
        <v>2176</v>
      </c>
      <c r="G4191" s="18" t="s">
        <v>3271</v>
      </c>
      <c r="H4191" s="10" t="s">
        <v>2688</v>
      </c>
      <c r="I4191" s="3">
        <v>41</v>
      </c>
      <c r="J4191" s="3" t="s">
        <v>3271</v>
      </c>
      <c r="K4191" s="3"/>
      <c r="L4191" t="str">
        <f t="shared" si="65"/>
        <v/>
      </c>
      <c r="M4191">
        <f>VLOOKUP(F4191,Sheet2!$B$1:$E$19,2,FALSE)</f>
        <v>1073</v>
      </c>
      <c r="N4191">
        <f>VLOOKUP(F4191,Sheet2!$B$1:$E$19,3,FALSE)</f>
        <v>1108963</v>
      </c>
      <c r="O4191" t="str">
        <f>IF(G4191="Not available","",VLOOKUP(F4191,Sheet2!$B$1:$E$19,4,FALSE)+(G4191-1))</f>
        <v/>
      </c>
    </row>
    <row r="4192" spans="1:15" s="1" customFormat="1" ht="15" customHeight="1" x14ac:dyDescent="0.25">
      <c r="A4192" s="18" t="s">
        <v>551</v>
      </c>
      <c r="B4192" s="18" t="s">
        <v>6</v>
      </c>
      <c r="C4192" s="5">
        <v>1801</v>
      </c>
      <c r="E4192" s="1" t="s">
        <v>2</v>
      </c>
      <c r="F4192" s="18">
        <v>2173</v>
      </c>
      <c r="G4192" s="18">
        <v>44</v>
      </c>
      <c r="H4192" s="5">
        <v>83</v>
      </c>
      <c r="I4192" s="1">
        <v>116</v>
      </c>
      <c r="J4192" s="1">
        <v>252</v>
      </c>
      <c r="L4192" t="str">
        <f t="shared" si="65"/>
        <v>http://www.badatelna.eu/reprodukce/?fondId=1073&amp;zaznamId=1108959&amp;reproId=3780037</v>
      </c>
      <c r="M4192">
        <f>VLOOKUP(F4192,Sheet2!$B$1:$E$19,2,FALSE)</f>
        <v>1073</v>
      </c>
      <c r="N4192">
        <f>VLOOKUP(F4192,Sheet2!$B$1:$E$19,3,FALSE)</f>
        <v>1108959</v>
      </c>
      <c r="O4192">
        <f>IF(G4192="Not available","",VLOOKUP(F4192,Sheet2!$B$1:$E$19,4,FALSE)+(G4192-1))</f>
        <v>3780037</v>
      </c>
    </row>
    <row r="4193" spans="1:15" s="1" customFormat="1" ht="15" customHeight="1" x14ac:dyDescent="0.25">
      <c r="A4193" s="18" t="s">
        <v>551</v>
      </c>
      <c r="B4193" s="18" t="s">
        <v>356</v>
      </c>
      <c r="C4193" s="5">
        <v>1828</v>
      </c>
      <c r="E4193" s="1" t="s">
        <v>2</v>
      </c>
      <c r="F4193" s="18">
        <v>2173</v>
      </c>
      <c r="G4193" s="18">
        <v>81</v>
      </c>
      <c r="H4193" s="5">
        <v>154</v>
      </c>
      <c r="I4193" s="1">
        <v>117</v>
      </c>
      <c r="J4193" s="1">
        <v>254</v>
      </c>
      <c r="L4193" t="str">
        <f t="shared" si="65"/>
        <v>http://www.badatelna.eu/reprodukce/?fondId=1073&amp;zaznamId=1108959&amp;reproId=3780074</v>
      </c>
      <c r="M4193">
        <f>VLOOKUP(F4193,Sheet2!$B$1:$E$19,2,FALSE)</f>
        <v>1073</v>
      </c>
      <c r="N4193">
        <f>VLOOKUP(F4193,Sheet2!$B$1:$E$19,3,FALSE)</f>
        <v>1108959</v>
      </c>
      <c r="O4193">
        <f>IF(G4193="Not available","",VLOOKUP(F4193,Sheet2!$B$1:$E$19,4,FALSE)+(G4193-1))</f>
        <v>3780074</v>
      </c>
    </row>
    <row r="4194" spans="1:15" s="1" customFormat="1" ht="15" customHeight="1" x14ac:dyDescent="0.25">
      <c r="A4194" s="18" t="s">
        <v>551</v>
      </c>
      <c r="B4194" s="18" t="s">
        <v>546</v>
      </c>
      <c r="C4194" s="10" t="s">
        <v>2382</v>
      </c>
      <c r="D4194" s="3" t="s">
        <v>2664</v>
      </c>
      <c r="E4194" s="4" t="s">
        <v>2</v>
      </c>
      <c r="F4194" s="18">
        <v>2176</v>
      </c>
      <c r="G4194" s="18" t="s">
        <v>3271</v>
      </c>
      <c r="H4194" s="10" t="s">
        <v>2011</v>
      </c>
      <c r="I4194" s="3">
        <v>40</v>
      </c>
      <c r="J4194" s="3" t="s">
        <v>3271</v>
      </c>
      <c r="L4194" t="str">
        <f t="shared" si="65"/>
        <v/>
      </c>
      <c r="M4194">
        <f>VLOOKUP(F4194,Sheet2!$B$1:$E$19,2,FALSE)</f>
        <v>1073</v>
      </c>
      <c r="N4194">
        <f>VLOOKUP(F4194,Sheet2!$B$1:$E$19,3,FALSE)</f>
        <v>1108963</v>
      </c>
      <c r="O4194" t="str">
        <f>IF(G4194="Not available","",VLOOKUP(F4194,Sheet2!$B$1:$E$19,4,FALSE)+(G4194-1))</f>
        <v/>
      </c>
    </row>
    <row r="4195" spans="1:15" s="1" customFormat="1" ht="15" customHeight="1" x14ac:dyDescent="0.25">
      <c r="A4195" s="18" t="s">
        <v>551</v>
      </c>
      <c r="B4195" s="18" t="s">
        <v>122</v>
      </c>
      <c r="C4195" s="5">
        <v>1806</v>
      </c>
      <c r="E4195" s="1" t="s">
        <v>2</v>
      </c>
      <c r="F4195" s="18">
        <v>2173</v>
      </c>
      <c r="G4195" s="18">
        <v>50</v>
      </c>
      <c r="H4195" s="14" t="s">
        <v>3008</v>
      </c>
      <c r="I4195" s="1">
        <v>116</v>
      </c>
      <c r="J4195" s="1">
        <v>252</v>
      </c>
      <c r="K4195" s="4" t="s">
        <v>363</v>
      </c>
      <c r="L4195" t="str">
        <f t="shared" si="65"/>
        <v>http://www.badatelna.eu/reprodukce/?fondId=1073&amp;zaznamId=1108959&amp;reproId=3780043</v>
      </c>
      <c r="M4195">
        <f>VLOOKUP(F4195,Sheet2!$B$1:$E$19,2,FALSE)</f>
        <v>1073</v>
      </c>
      <c r="N4195">
        <f>VLOOKUP(F4195,Sheet2!$B$1:$E$19,3,FALSE)</f>
        <v>1108959</v>
      </c>
      <c r="O4195">
        <f>IF(G4195="Not available","",VLOOKUP(F4195,Sheet2!$B$1:$E$19,4,FALSE)+(G4195-1))</f>
        <v>3780043</v>
      </c>
    </row>
    <row r="4196" spans="1:15" s="1" customFormat="1" ht="15" customHeight="1" x14ac:dyDescent="0.25">
      <c r="A4196" s="18" t="s">
        <v>551</v>
      </c>
      <c r="B4196" s="18" t="s">
        <v>191</v>
      </c>
      <c r="C4196" s="5">
        <v>1864</v>
      </c>
      <c r="E4196" s="1" t="s">
        <v>939</v>
      </c>
      <c r="F4196" s="18">
        <v>999</v>
      </c>
      <c r="G4196" s="18">
        <v>46</v>
      </c>
      <c r="H4196" s="5">
        <v>44</v>
      </c>
      <c r="I4196" s="1">
        <v>76</v>
      </c>
      <c r="J4196" s="1">
        <v>110</v>
      </c>
      <c r="L4196" t="str">
        <f t="shared" si="65"/>
        <v>http://www.badatelna.eu/reprodukce/?fondId=241&amp;zaznamId=1133739&amp;reproId=3885775</v>
      </c>
      <c r="M4196">
        <f>VLOOKUP(F4196,Sheet2!$B$1:$E$19,2,FALSE)</f>
        <v>241</v>
      </c>
      <c r="N4196">
        <f>VLOOKUP(F4196,Sheet2!$B$1:$E$19,3,FALSE)</f>
        <v>1133739</v>
      </c>
      <c r="O4196">
        <f>IF(G4196="Not available","",VLOOKUP(F4196,Sheet2!$B$1:$E$19,4,FALSE)+(G4196-1))</f>
        <v>3885775</v>
      </c>
    </row>
    <row r="4197" spans="1:15" s="1" customFormat="1" ht="15" customHeight="1" x14ac:dyDescent="0.25">
      <c r="A4197" s="18" t="s">
        <v>551</v>
      </c>
      <c r="B4197" s="18" t="s">
        <v>774</v>
      </c>
      <c r="C4197" s="5" t="s">
        <v>1650</v>
      </c>
      <c r="D4197" s="1" t="s">
        <v>1100</v>
      </c>
      <c r="E4197" s="1" t="s">
        <v>2</v>
      </c>
      <c r="F4197" s="18">
        <v>2165</v>
      </c>
      <c r="G4197" s="18">
        <v>59</v>
      </c>
      <c r="H4197" s="5">
        <v>56</v>
      </c>
      <c r="I4197" s="1">
        <v>93</v>
      </c>
      <c r="J4197" s="1" t="s">
        <v>3271</v>
      </c>
      <c r="L4197" t="str">
        <f t="shared" si="65"/>
        <v>http://www.badatelna.eu/reprodukce/?fondId=1073&amp;zaznamId=1108952&amp;reproId=3778920</v>
      </c>
      <c r="M4197">
        <f>VLOOKUP(F4197,Sheet2!$B$1:$E$19,2,FALSE)</f>
        <v>1073</v>
      </c>
      <c r="N4197">
        <f>VLOOKUP(F4197,Sheet2!$B$1:$E$19,3,FALSE)</f>
        <v>1108952</v>
      </c>
      <c r="O4197">
        <f>IF(G4197="Not available","",VLOOKUP(F4197,Sheet2!$B$1:$E$19,4,FALSE)+(G4197-1))</f>
        <v>3778920</v>
      </c>
    </row>
    <row r="4198" spans="1:15" s="1" customFormat="1" ht="15" customHeight="1" x14ac:dyDescent="0.25">
      <c r="A4198" s="18" t="s">
        <v>551</v>
      </c>
      <c r="B4198" s="18" t="s">
        <v>1136</v>
      </c>
      <c r="C4198" s="10" t="s">
        <v>1285</v>
      </c>
      <c r="D4198" s="3" t="s">
        <v>2691</v>
      </c>
      <c r="E4198" s="4" t="s">
        <v>2</v>
      </c>
      <c r="F4198" s="18">
        <v>2176</v>
      </c>
      <c r="G4198" s="18" t="s">
        <v>3271</v>
      </c>
      <c r="H4198" s="10" t="s">
        <v>2069</v>
      </c>
      <c r="I4198" s="3">
        <v>41</v>
      </c>
      <c r="J4198" s="3" t="s">
        <v>3271</v>
      </c>
      <c r="K4198" s="3"/>
      <c r="L4198" t="str">
        <f t="shared" si="65"/>
        <v/>
      </c>
      <c r="M4198">
        <f>VLOOKUP(F4198,Sheet2!$B$1:$E$19,2,FALSE)</f>
        <v>1073</v>
      </c>
      <c r="N4198">
        <f>VLOOKUP(F4198,Sheet2!$B$1:$E$19,3,FALSE)</f>
        <v>1108963</v>
      </c>
      <c r="O4198" t="str">
        <f>IF(G4198="Not available","",VLOOKUP(F4198,Sheet2!$B$1:$E$19,4,FALSE)+(G4198-1))</f>
        <v/>
      </c>
    </row>
    <row r="4199" spans="1:15" s="1" customFormat="1" ht="15" customHeight="1" x14ac:dyDescent="0.25">
      <c r="A4199" s="18" t="s">
        <v>551</v>
      </c>
      <c r="B4199" s="18" t="s">
        <v>484</v>
      </c>
      <c r="C4199" s="5">
        <v>1862</v>
      </c>
      <c r="D4199" s="4" t="s">
        <v>495</v>
      </c>
      <c r="E4199" s="1" t="s">
        <v>939</v>
      </c>
      <c r="F4199" s="18">
        <v>999</v>
      </c>
      <c r="G4199" s="18">
        <v>35</v>
      </c>
      <c r="H4199" s="5">
        <v>33</v>
      </c>
      <c r="I4199" s="1">
        <v>76</v>
      </c>
      <c r="J4199" s="1">
        <v>110</v>
      </c>
      <c r="L4199" t="str">
        <f t="shared" si="65"/>
        <v>http://www.badatelna.eu/reprodukce/?fondId=241&amp;zaznamId=1133739&amp;reproId=3885764</v>
      </c>
      <c r="M4199">
        <f>VLOOKUP(F4199,Sheet2!$B$1:$E$19,2,FALSE)</f>
        <v>241</v>
      </c>
      <c r="N4199">
        <f>VLOOKUP(F4199,Sheet2!$B$1:$E$19,3,FALSE)</f>
        <v>1133739</v>
      </c>
      <c r="O4199">
        <f>IF(G4199="Not available","",VLOOKUP(F4199,Sheet2!$B$1:$E$19,4,FALSE)+(G4199-1))</f>
        <v>3885764</v>
      </c>
    </row>
    <row r="4200" spans="1:15" s="1" customFormat="1" ht="15" customHeight="1" x14ac:dyDescent="0.25">
      <c r="A4200" s="18" t="s">
        <v>551</v>
      </c>
      <c r="B4200" s="18" t="s">
        <v>2134</v>
      </c>
      <c r="C4200" s="10" t="s">
        <v>2036</v>
      </c>
      <c r="D4200" s="3" t="s">
        <v>2691</v>
      </c>
      <c r="E4200" s="4" t="s">
        <v>2</v>
      </c>
      <c r="F4200" s="18">
        <v>2176</v>
      </c>
      <c r="G4200" s="18" t="s">
        <v>3271</v>
      </c>
      <c r="H4200" s="10" t="s">
        <v>2094</v>
      </c>
      <c r="I4200" s="3">
        <v>41</v>
      </c>
      <c r="J4200" s="3" t="s">
        <v>3271</v>
      </c>
      <c r="K4200" s="3"/>
      <c r="L4200" t="str">
        <f t="shared" si="65"/>
        <v/>
      </c>
      <c r="M4200">
        <f>VLOOKUP(F4200,Sheet2!$B$1:$E$19,2,FALSE)</f>
        <v>1073</v>
      </c>
      <c r="N4200">
        <f>VLOOKUP(F4200,Sheet2!$B$1:$E$19,3,FALSE)</f>
        <v>1108963</v>
      </c>
      <c r="O4200" t="str">
        <f>IF(G4200="Not available","",VLOOKUP(F4200,Sheet2!$B$1:$E$19,4,FALSE)+(G4200-1))</f>
        <v/>
      </c>
    </row>
    <row r="4201" spans="1:15" s="1" customFormat="1" ht="15" customHeight="1" x14ac:dyDescent="0.25">
      <c r="A4201" s="22" t="s">
        <v>551</v>
      </c>
      <c r="B4201" s="18" t="s">
        <v>129</v>
      </c>
      <c r="C4201" s="5" t="s">
        <v>1602</v>
      </c>
      <c r="D4201" s="1" t="s">
        <v>55</v>
      </c>
      <c r="E4201" s="1" t="s">
        <v>2</v>
      </c>
      <c r="F4201" s="18">
        <v>2165</v>
      </c>
      <c r="G4201" s="18">
        <v>9</v>
      </c>
      <c r="H4201" s="5">
        <v>6</v>
      </c>
      <c r="I4201" s="1">
        <v>92</v>
      </c>
      <c r="J4201" s="1" t="s">
        <v>3271</v>
      </c>
      <c r="L4201" t="str">
        <f t="shared" si="65"/>
        <v>http://www.badatelna.eu/reprodukce/?fondId=1073&amp;zaznamId=1108952&amp;reproId=3778870</v>
      </c>
      <c r="M4201">
        <f>VLOOKUP(F4201,Sheet2!$B$1:$E$19,2,FALSE)</f>
        <v>1073</v>
      </c>
      <c r="N4201">
        <f>VLOOKUP(F4201,Sheet2!$B$1:$E$19,3,FALSE)</f>
        <v>1108952</v>
      </c>
      <c r="O4201">
        <f>IF(G4201="Not available","",VLOOKUP(F4201,Sheet2!$B$1:$E$19,4,FALSE)+(G4201-1))</f>
        <v>3778870</v>
      </c>
    </row>
    <row r="4202" spans="1:15" s="1" customFormat="1" ht="15" customHeight="1" x14ac:dyDescent="0.25">
      <c r="A4202" s="18" t="s">
        <v>551</v>
      </c>
      <c r="B4202" s="18" t="s">
        <v>1102</v>
      </c>
      <c r="C4202" s="5" t="s">
        <v>1656</v>
      </c>
      <c r="D4202" s="1" t="s">
        <v>1100</v>
      </c>
      <c r="E4202" s="1" t="s">
        <v>2</v>
      </c>
      <c r="F4202" s="18">
        <v>2165</v>
      </c>
      <c r="G4202" s="18">
        <v>67</v>
      </c>
      <c r="H4202" s="5">
        <v>64</v>
      </c>
      <c r="I4202" s="1">
        <v>93</v>
      </c>
      <c r="J4202" s="1" t="s">
        <v>3271</v>
      </c>
      <c r="L4202" t="str">
        <f t="shared" si="65"/>
        <v>http://www.badatelna.eu/reprodukce/?fondId=1073&amp;zaznamId=1108952&amp;reproId=3778928</v>
      </c>
      <c r="M4202">
        <f>VLOOKUP(F4202,Sheet2!$B$1:$E$19,2,FALSE)</f>
        <v>1073</v>
      </c>
      <c r="N4202">
        <f>VLOOKUP(F4202,Sheet2!$B$1:$E$19,3,FALSE)</f>
        <v>1108952</v>
      </c>
      <c r="O4202">
        <f>IF(G4202="Not available","",VLOOKUP(F4202,Sheet2!$B$1:$E$19,4,FALSE)+(G4202-1))</f>
        <v>3778928</v>
      </c>
    </row>
    <row r="4203" spans="1:15" s="1" customFormat="1" ht="15" customHeight="1" x14ac:dyDescent="0.25">
      <c r="A4203" s="18" t="s">
        <v>551</v>
      </c>
      <c r="B4203" s="18" t="s">
        <v>2168</v>
      </c>
      <c r="C4203" s="10" t="s">
        <v>1987</v>
      </c>
      <c r="D4203" s="3" t="s">
        <v>2671</v>
      </c>
      <c r="E4203" s="4" t="s">
        <v>2</v>
      </c>
      <c r="F4203" s="18">
        <v>2176</v>
      </c>
      <c r="G4203" s="18" t="s">
        <v>3271</v>
      </c>
      <c r="H4203" s="10" t="s">
        <v>2672</v>
      </c>
      <c r="I4203" s="3">
        <v>40</v>
      </c>
      <c r="J4203" s="3" t="s">
        <v>3271</v>
      </c>
      <c r="L4203" t="str">
        <f t="shared" si="65"/>
        <v/>
      </c>
      <c r="M4203">
        <f>VLOOKUP(F4203,Sheet2!$B$1:$E$19,2,FALSE)</f>
        <v>1073</v>
      </c>
      <c r="N4203">
        <f>VLOOKUP(F4203,Sheet2!$B$1:$E$19,3,FALSE)</f>
        <v>1108963</v>
      </c>
      <c r="O4203" t="str">
        <f>IF(G4203="Not available","",VLOOKUP(F4203,Sheet2!$B$1:$E$19,4,FALSE)+(G4203-1))</f>
        <v/>
      </c>
    </row>
    <row r="4204" spans="1:15" s="1" customFormat="1" ht="15" customHeight="1" x14ac:dyDescent="0.25">
      <c r="A4204" s="19" t="s">
        <v>551</v>
      </c>
      <c r="B4204" s="18" t="s">
        <v>34</v>
      </c>
      <c r="C4204" s="5">
        <v>1796</v>
      </c>
      <c r="D4204" s="1" t="s">
        <v>13</v>
      </c>
      <c r="E4204" s="1" t="s">
        <v>2</v>
      </c>
      <c r="F4204" s="18">
        <v>2173</v>
      </c>
      <c r="G4204" s="18">
        <v>35</v>
      </c>
      <c r="H4204" s="5">
        <v>64</v>
      </c>
      <c r="I4204" s="1">
        <v>115</v>
      </c>
      <c r="J4204" s="1">
        <v>259</v>
      </c>
      <c r="L4204" t="str">
        <f t="shared" si="65"/>
        <v>http://www.badatelna.eu/reprodukce/?fondId=1073&amp;zaznamId=1108959&amp;reproId=3780028</v>
      </c>
      <c r="M4204">
        <f>VLOOKUP(F4204,Sheet2!$B$1:$E$19,2,FALSE)</f>
        <v>1073</v>
      </c>
      <c r="N4204">
        <f>VLOOKUP(F4204,Sheet2!$B$1:$E$19,3,FALSE)</f>
        <v>1108959</v>
      </c>
      <c r="O4204">
        <f>IF(G4204="Not available","",VLOOKUP(F4204,Sheet2!$B$1:$E$19,4,FALSE)+(G4204-1))</f>
        <v>3780028</v>
      </c>
    </row>
    <row r="4205" spans="1:15" s="1" customFormat="1" ht="15" customHeight="1" x14ac:dyDescent="0.25">
      <c r="A4205" s="18" t="s">
        <v>551</v>
      </c>
      <c r="B4205" s="18" t="s">
        <v>197</v>
      </c>
      <c r="C4205" s="10" t="s">
        <v>1969</v>
      </c>
      <c r="D4205" s="3" t="s">
        <v>2652</v>
      </c>
      <c r="E4205" s="4" t="s">
        <v>2</v>
      </c>
      <c r="F4205" s="18">
        <v>2176</v>
      </c>
      <c r="G4205" s="18" t="s">
        <v>3271</v>
      </c>
      <c r="H4205" s="10" t="s">
        <v>2230</v>
      </c>
      <c r="I4205" s="3">
        <v>40</v>
      </c>
      <c r="J4205" s="3" t="s">
        <v>3271</v>
      </c>
      <c r="L4205" t="str">
        <f t="shared" si="65"/>
        <v/>
      </c>
      <c r="M4205">
        <f>VLOOKUP(F4205,Sheet2!$B$1:$E$19,2,FALSE)</f>
        <v>1073</v>
      </c>
      <c r="N4205">
        <f>VLOOKUP(F4205,Sheet2!$B$1:$E$19,3,FALSE)</f>
        <v>1108963</v>
      </c>
      <c r="O4205" t="str">
        <f>IF(G4205="Not available","",VLOOKUP(F4205,Sheet2!$B$1:$E$19,4,FALSE)+(G4205-1))</f>
        <v/>
      </c>
    </row>
    <row r="4206" spans="1:15" s="1" customFormat="1" ht="15" customHeight="1" x14ac:dyDescent="0.25">
      <c r="A4206" s="18" t="s">
        <v>551</v>
      </c>
      <c r="B4206" s="18" t="s">
        <v>197</v>
      </c>
      <c r="C4206" s="10" t="s">
        <v>2015</v>
      </c>
      <c r="D4206" s="3" t="s">
        <v>2666</v>
      </c>
      <c r="E4206" s="4" t="s">
        <v>2</v>
      </c>
      <c r="F4206" s="18">
        <v>2176</v>
      </c>
      <c r="G4206" s="18" t="s">
        <v>3271</v>
      </c>
      <c r="H4206" s="10" t="s">
        <v>2006</v>
      </c>
      <c r="I4206" s="3">
        <v>40</v>
      </c>
      <c r="J4206" s="3" t="s">
        <v>3271</v>
      </c>
      <c r="K4206" s="3"/>
      <c r="L4206" t="str">
        <f t="shared" si="65"/>
        <v/>
      </c>
      <c r="M4206">
        <f>VLOOKUP(F4206,Sheet2!$B$1:$E$19,2,FALSE)</f>
        <v>1073</v>
      </c>
      <c r="N4206">
        <f>VLOOKUP(F4206,Sheet2!$B$1:$E$19,3,FALSE)</f>
        <v>1108963</v>
      </c>
      <c r="O4206" t="str">
        <f>IF(G4206="Not available","",VLOOKUP(F4206,Sheet2!$B$1:$E$19,4,FALSE)+(G4206-1))</f>
        <v/>
      </c>
    </row>
    <row r="4207" spans="1:15" s="1" customFormat="1" ht="15" customHeight="1" x14ac:dyDescent="0.25">
      <c r="A4207" s="18" t="s">
        <v>551</v>
      </c>
      <c r="B4207" s="18" t="s">
        <v>197</v>
      </c>
      <c r="C4207" s="5" t="s">
        <v>1636</v>
      </c>
      <c r="D4207" s="1" t="s">
        <v>1095</v>
      </c>
      <c r="E4207" s="1" t="s">
        <v>2</v>
      </c>
      <c r="F4207" s="18">
        <v>2165</v>
      </c>
      <c r="G4207" s="18">
        <v>43</v>
      </c>
      <c r="H4207" s="5">
        <v>40</v>
      </c>
      <c r="I4207" s="1">
        <v>93</v>
      </c>
      <c r="J4207" s="1" t="s">
        <v>3271</v>
      </c>
      <c r="L4207" t="str">
        <f t="shared" si="65"/>
        <v>http://www.badatelna.eu/reprodukce/?fondId=1073&amp;zaznamId=1108952&amp;reproId=3778904</v>
      </c>
      <c r="M4207">
        <f>VLOOKUP(F4207,Sheet2!$B$1:$E$19,2,FALSE)</f>
        <v>1073</v>
      </c>
      <c r="N4207">
        <f>VLOOKUP(F4207,Sheet2!$B$1:$E$19,3,FALSE)</f>
        <v>1108952</v>
      </c>
      <c r="O4207">
        <f>IF(G4207="Not available","",VLOOKUP(F4207,Sheet2!$B$1:$E$19,4,FALSE)+(G4207-1))</f>
        <v>3778904</v>
      </c>
    </row>
    <row r="4208" spans="1:15" s="1" customFormat="1" ht="15" customHeight="1" x14ac:dyDescent="0.25">
      <c r="A4208" s="18" t="s">
        <v>551</v>
      </c>
      <c r="B4208" s="18" t="s">
        <v>602</v>
      </c>
      <c r="C4208" s="5" t="s">
        <v>1635</v>
      </c>
      <c r="D4208" s="1" t="s">
        <v>1095</v>
      </c>
      <c r="E4208" s="1" t="s">
        <v>2</v>
      </c>
      <c r="F4208" s="18">
        <v>2165</v>
      </c>
      <c r="G4208" s="18">
        <v>43</v>
      </c>
      <c r="H4208" s="5">
        <v>40</v>
      </c>
      <c r="I4208" s="1">
        <v>93</v>
      </c>
      <c r="J4208" s="1" t="s">
        <v>3271</v>
      </c>
      <c r="L4208" t="str">
        <f t="shared" si="65"/>
        <v>http://www.badatelna.eu/reprodukce/?fondId=1073&amp;zaznamId=1108952&amp;reproId=3778904</v>
      </c>
      <c r="M4208">
        <f>VLOOKUP(F4208,Sheet2!$B$1:$E$19,2,FALSE)</f>
        <v>1073</v>
      </c>
      <c r="N4208">
        <f>VLOOKUP(F4208,Sheet2!$B$1:$E$19,3,FALSE)</f>
        <v>1108952</v>
      </c>
      <c r="O4208">
        <f>IF(G4208="Not available","",VLOOKUP(F4208,Sheet2!$B$1:$E$19,4,FALSE)+(G4208-1))</f>
        <v>3778904</v>
      </c>
    </row>
    <row r="4209" spans="1:15" s="1" customFormat="1" ht="15" customHeight="1" x14ac:dyDescent="0.25">
      <c r="A4209" s="18" t="s">
        <v>551</v>
      </c>
      <c r="B4209" s="18" t="s">
        <v>233</v>
      </c>
      <c r="C4209" s="10" t="s">
        <v>1987</v>
      </c>
      <c r="D4209" s="3" t="s">
        <v>2664</v>
      </c>
      <c r="E4209" s="4" t="s">
        <v>2</v>
      </c>
      <c r="F4209" s="18">
        <v>2176</v>
      </c>
      <c r="G4209" s="18" t="s">
        <v>3271</v>
      </c>
      <c r="H4209" s="10" t="s">
        <v>2665</v>
      </c>
      <c r="I4209" s="3">
        <v>40</v>
      </c>
      <c r="J4209" s="3" t="s">
        <v>3271</v>
      </c>
      <c r="L4209" t="str">
        <f t="shared" si="65"/>
        <v/>
      </c>
      <c r="M4209">
        <f>VLOOKUP(F4209,Sheet2!$B$1:$E$19,2,FALSE)</f>
        <v>1073</v>
      </c>
      <c r="N4209">
        <f>VLOOKUP(F4209,Sheet2!$B$1:$E$19,3,FALSE)</f>
        <v>1108963</v>
      </c>
      <c r="O4209" t="str">
        <f>IF(G4209="Not available","",VLOOKUP(F4209,Sheet2!$B$1:$E$19,4,FALSE)+(G4209-1))</f>
        <v/>
      </c>
    </row>
    <row r="4210" spans="1:15" s="1" customFormat="1" ht="15" customHeight="1" x14ac:dyDescent="0.25">
      <c r="A4210" s="18" t="s">
        <v>551</v>
      </c>
      <c r="B4210" s="18" t="s">
        <v>2141</v>
      </c>
      <c r="C4210" s="10" t="s">
        <v>1969</v>
      </c>
      <c r="D4210" s="3" t="s">
        <v>2651</v>
      </c>
      <c r="E4210" s="4" t="s">
        <v>2</v>
      </c>
      <c r="F4210" s="18">
        <v>2176</v>
      </c>
      <c r="G4210" s="18" t="s">
        <v>3271</v>
      </c>
      <c r="H4210" s="10" t="s">
        <v>2311</v>
      </c>
      <c r="I4210" s="3">
        <v>40</v>
      </c>
      <c r="J4210" s="3" t="s">
        <v>3271</v>
      </c>
      <c r="L4210" t="str">
        <f t="shared" si="65"/>
        <v/>
      </c>
      <c r="M4210">
        <f>VLOOKUP(F4210,Sheet2!$B$1:$E$19,2,FALSE)</f>
        <v>1073</v>
      </c>
      <c r="N4210">
        <f>VLOOKUP(F4210,Sheet2!$B$1:$E$19,3,FALSE)</f>
        <v>1108963</v>
      </c>
      <c r="O4210" t="str">
        <f>IF(G4210="Not available","",VLOOKUP(F4210,Sheet2!$B$1:$E$19,4,FALSE)+(G4210-1))</f>
        <v/>
      </c>
    </row>
    <row r="4211" spans="1:15" s="1" customFormat="1" ht="15" customHeight="1" x14ac:dyDescent="0.25">
      <c r="A4211" s="18" t="s">
        <v>551</v>
      </c>
      <c r="B4211" s="18" t="s">
        <v>873</v>
      </c>
      <c r="C4211" s="5" t="s">
        <v>1653</v>
      </c>
      <c r="D4211" s="1" t="s">
        <v>1101</v>
      </c>
      <c r="E4211" s="1" t="s">
        <v>2</v>
      </c>
      <c r="F4211" s="18">
        <v>2165</v>
      </c>
      <c r="G4211" s="18">
        <v>62</v>
      </c>
      <c r="H4211" s="5">
        <v>59</v>
      </c>
      <c r="I4211" s="1">
        <v>93</v>
      </c>
      <c r="J4211" s="1" t="s">
        <v>3271</v>
      </c>
      <c r="L4211" t="str">
        <f t="shared" si="65"/>
        <v>http://www.badatelna.eu/reprodukce/?fondId=1073&amp;zaznamId=1108952&amp;reproId=3778923</v>
      </c>
      <c r="M4211">
        <f>VLOOKUP(F4211,Sheet2!$B$1:$E$19,2,FALSE)</f>
        <v>1073</v>
      </c>
      <c r="N4211">
        <f>VLOOKUP(F4211,Sheet2!$B$1:$E$19,3,FALSE)</f>
        <v>1108952</v>
      </c>
      <c r="O4211">
        <f>IF(G4211="Not available","",VLOOKUP(F4211,Sheet2!$B$1:$E$19,4,FALSE)+(G4211-1))</f>
        <v>3778923</v>
      </c>
    </row>
    <row r="4212" spans="1:15" s="1" customFormat="1" ht="15" customHeight="1" x14ac:dyDescent="0.25">
      <c r="A4212" s="18" t="s">
        <v>551</v>
      </c>
      <c r="B4212" s="18" t="s">
        <v>25</v>
      </c>
      <c r="C4212" s="10" t="s">
        <v>2041</v>
      </c>
      <c r="D4212" s="3" t="s">
        <v>2687</v>
      </c>
      <c r="E4212" s="4" t="s">
        <v>2</v>
      </c>
      <c r="F4212" s="18">
        <v>2176</v>
      </c>
      <c r="G4212" s="18" t="s">
        <v>3271</v>
      </c>
      <c r="H4212" s="10" t="s">
        <v>2063</v>
      </c>
      <c r="I4212" s="3">
        <v>41</v>
      </c>
      <c r="J4212" s="3" t="s">
        <v>3271</v>
      </c>
      <c r="K4212" s="3"/>
      <c r="L4212" t="str">
        <f t="shared" si="65"/>
        <v/>
      </c>
      <c r="M4212">
        <f>VLOOKUP(F4212,Sheet2!$B$1:$E$19,2,FALSE)</f>
        <v>1073</v>
      </c>
      <c r="N4212">
        <f>VLOOKUP(F4212,Sheet2!$B$1:$E$19,3,FALSE)</f>
        <v>1108963</v>
      </c>
      <c r="O4212" t="str">
        <f>IF(G4212="Not available","",VLOOKUP(F4212,Sheet2!$B$1:$E$19,4,FALSE)+(G4212-1))</f>
        <v/>
      </c>
    </row>
    <row r="4213" spans="1:15" s="1" customFormat="1" ht="15" customHeight="1" x14ac:dyDescent="0.25">
      <c r="A4213" s="18" t="s">
        <v>551</v>
      </c>
      <c r="B4213" s="18" t="s">
        <v>25</v>
      </c>
      <c r="C4213" s="5">
        <v>1884</v>
      </c>
      <c r="D4213" s="1" t="s">
        <v>377</v>
      </c>
      <c r="E4213" s="1" t="s">
        <v>2</v>
      </c>
      <c r="F4213" s="18">
        <v>2165</v>
      </c>
      <c r="G4213" s="18">
        <v>195</v>
      </c>
      <c r="H4213" s="5">
        <v>3</v>
      </c>
      <c r="I4213" s="1">
        <v>197</v>
      </c>
      <c r="J4213" s="1">
        <v>174</v>
      </c>
      <c r="L4213" t="str">
        <f t="shared" si="65"/>
        <v>http://www.badatelna.eu/reprodukce/?fondId=1073&amp;zaznamId=1108952&amp;reproId=3779056</v>
      </c>
      <c r="M4213">
        <f>VLOOKUP(F4213,Sheet2!$B$1:$E$19,2,FALSE)</f>
        <v>1073</v>
      </c>
      <c r="N4213">
        <f>VLOOKUP(F4213,Sheet2!$B$1:$E$19,3,FALSE)</f>
        <v>1108952</v>
      </c>
      <c r="O4213">
        <f>IF(G4213="Not available","",VLOOKUP(F4213,Sheet2!$B$1:$E$19,4,FALSE)+(G4213-1))</f>
        <v>3779056</v>
      </c>
    </row>
    <row r="4214" spans="1:15" s="1" customFormat="1" ht="15" customHeight="1" x14ac:dyDescent="0.25">
      <c r="A4214" s="18" t="s">
        <v>551</v>
      </c>
      <c r="B4214" s="18" t="s">
        <v>434</v>
      </c>
      <c r="C4214" s="6" t="s">
        <v>2878</v>
      </c>
      <c r="D4214" s="4" t="s">
        <v>495</v>
      </c>
      <c r="E4214" s="1" t="s">
        <v>939</v>
      </c>
      <c r="F4214" s="18">
        <v>999</v>
      </c>
      <c r="G4214" s="18">
        <v>35</v>
      </c>
      <c r="H4214" s="5">
        <v>33</v>
      </c>
      <c r="I4214" s="1">
        <v>76</v>
      </c>
      <c r="J4214" s="1">
        <v>110</v>
      </c>
      <c r="L4214" t="str">
        <f t="shared" si="65"/>
        <v>http://www.badatelna.eu/reprodukce/?fondId=241&amp;zaznamId=1133739&amp;reproId=3885764</v>
      </c>
      <c r="M4214">
        <f>VLOOKUP(F4214,Sheet2!$B$1:$E$19,2,FALSE)</f>
        <v>241</v>
      </c>
      <c r="N4214">
        <f>VLOOKUP(F4214,Sheet2!$B$1:$E$19,3,FALSE)</f>
        <v>1133739</v>
      </c>
      <c r="O4214">
        <f>IF(G4214="Not available","",VLOOKUP(F4214,Sheet2!$B$1:$E$19,4,FALSE)+(G4214-1))</f>
        <v>3885764</v>
      </c>
    </row>
    <row r="4215" spans="1:15" s="1" customFormat="1" ht="15" customHeight="1" x14ac:dyDescent="0.25">
      <c r="A4215" s="18" t="s">
        <v>551</v>
      </c>
      <c r="B4215" s="18" t="s">
        <v>434</v>
      </c>
      <c r="C4215" s="5">
        <v>1860</v>
      </c>
      <c r="E4215" s="1" t="s">
        <v>939</v>
      </c>
      <c r="F4215" s="18">
        <v>999</v>
      </c>
      <c r="G4215" s="18">
        <v>21</v>
      </c>
      <c r="H4215" s="5">
        <v>19</v>
      </c>
      <c r="I4215" s="1">
        <v>76</v>
      </c>
      <c r="J4215" s="1">
        <v>110</v>
      </c>
      <c r="L4215" t="str">
        <f t="shared" si="65"/>
        <v>http://www.badatelna.eu/reprodukce/?fondId=241&amp;zaznamId=1133739&amp;reproId=3885750</v>
      </c>
      <c r="M4215">
        <f>VLOOKUP(F4215,Sheet2!$B$1:$E$19,2,FALSE)</f>
        <v>241</v>
      </c>
      <c r="N4215">
        <f>VLOOKUP(F4215,Sheet2!$B$1:$E$19,3,FALSE)</f>
        <v>1133739</v>
      </c>
      <c r="O4215">
        <f>IF(G4215="Not available","",VLOOKUP(F4215,Sheet2!$B$1:$E$19,4,FALSE)+(G4215-1))</f>
        <v>3885750</v>
      </c>
    </row>
    <row r="4216" spans="1:15" s="1" customFormat="1" ht="15" customHeight="1" x14ac:dyDescent="0.25">
      <c r="A4216" s="18" t="s">
        <v>551</v>
      </c>
      <c r="B4216" s="18" t="s">
        <v>13</v>
      </c>
      <c r="C4216" s="5">
        <v>1813</v>
      </c>
      <c r="E4216" s="1" t="s">
        <v>2</v>
      </c>
      <c r="F4216" s="18">
        <v>2173</v>
      </c>
      <c r="G4216" s="18">
        <v>61</v>
      </c>
      <c r="H4216" s="5">
        <v>117</v>
      </c>
      <c r="I4216" s="1">
        <v>116</v>
      </c>
      <c r="J4216" s="1">
        <v>253</v>
      </c>
      <c r="L4216" t="str">
        <f t="shared" si="65"/>
        <v>http://www.badatelna.eu/reprodukce/?fondId=1073&amp;zaznamId=1108959&amp;reproId=3780054</v>
      </c>
      <c r="M4216">
        <f>VLOOKUP(F4216,Sheet2!$B$1:$E$19,2,FALSE)</f>
        <v>1073</v>
      </c>
      <c r="N4216">
        <f>VLOOKUP(F4216,Sheet2!$B$1:$E$19,3,FALSE)</f>
        <v>1108959</v>
      </c>
      <c r="O4216">
        <f>IF(G4216="Not available","",VLOOKUP(F4216,Sheet2!$B$1:$E$19,4,FALSE)+(G4216-1))</f>
        <v>3780054</v>
      </c>
    </row>
    <row r="4217" spans="1:15" s="1" customFormat="1" ht="15" customHeight="1" x14ac:dyDescent="0.25">
      <c r="A4217" s="18" t="s">
        <v>551</v>
      </c>
      <c r="B4217" s="18" t="s">
        <v>100</v>
      </c>
      <c r="C4217" s="5">
        <v>1802</v>
      </c>
      <c r="E4217" s="1" t="s">
        <v>2</v>
      </c>
      <c r="F4217" s="18">
        <v>2173</v>
      </c>
      <c r="G4217" s="18">
        <v>44</v>
      </c>
      <c r="H4217" s="5">
        <v>83</v>
      </c>
      <c r="I4217" s="1">
        <v>116</v>
      </c>
      <c r="J4217" s="1">
        <v>252</v>
      </c>
      <c r="L4217" t="str">
        <f t="shared" si="65"/>
        <v>http://www.badatelna.eu/reprodukce/?fondId=1073&amp;zaznamId=1108959&amp;reproId=3780037</v>
      </c>
      <c r="M4217">
        <f>VLOOKUP(F4217,Sheet2!$B$1:$E$19,2,FALSE)</f>
        <v>1073</v>
      </c>
      <c r="N4217">
        <f>VLOOKUP(F4217,Sheet2!$B$1:$E$19,3,FALSE)</f>
        <v>1108959</v>
      </c>
      <c r="O4217">
        <f>IF(G4217="Not available","",VLOOKUP(F4217,Sheet2!$B$1:$E$19,4,FALSE)+(G4217-1))</f>
        <v>3780037</v>
      </c>
    </row>
    <row r="4218" spans="1:15" s="1" customFormat="1" ht="15" customHeight="1" x14ac:dyDescent="0.25">
      <c r="A4218" s="18" t="s">
        <v>551</v>
      </c>
      <c r="B4218" s="18" t="s">
        <v>100</v>
      </c>
      <c r="C4218" s="5">
        <v>1806</v>
      </c>
      <c r="E4218" s="1" t="s">
        <v>2</v>
      </c>
      <c r="F4218" s="18">
        <v>2173</v>
      </c>
      <c r="G4218" s="18">
        <v>51</v>
      </c>
      <c r="H4218" s="14" t="s">
        <v>3015</v>
      </c>
      <c r="I4218" s="1">
        <v>116</v>
      </c>
      <c r="J4218" s="1">
        <v>252</v>
      </c>
      <c r="L4218" t="str">
        <f t="shared" si="65"/>
        <v>http://www.badatelna.eu/reprodukce/?fondId=1073&amp;zaznamId=1108959&amp;reproId=3780044</v>
      </c>
      <c r="M4218">
        <f>VLOOKUP(F4218,Sheet2!$B$1:$E$19,2,FALSE)</f>
        <v>1073</v>
      </c>
      <c r="N4218">
        <f>VLOOKUP(F4218,Sheet2!$B$1:$E$19,3,FALSE)</f>
        <v>1108959</v>
      </c>
      <c r="O4218">
        <f>IF(G4218="Not available","",VLOOKUP(F4218,Sheet2!$B$1:$E$19,4,FALSE)+(G4218-1))</f>
        <v>3780044</v>
      </c>
    </row>
    <row r="4219" spans="1:15" s="1" customFormat="1" ht="15" customHeight="1" x14ac:dyDescent="0.25">
      <c r="A4219" s="18" t="s">
        <v>551</v>
      </c>
      <c r="B4219" s="18" t="s">
        <v>2587</v>
      </c>
      <c r="C4219" s="10" t="s">
        <v>1987</v>
      </c>
      <c r="D4219" s="3" t="s">
        <v>2666</v>
      </c>
      <c r="E4219" s="4" t="s">
        <v>2</v>
      </c>
      <c r="F4219" s="18">
        <v>2176</v>
      </c>
      <c r="G4219" s="18" t="s">
        <v>3271</v>
      </c>
      <c r="H4219" s="10" t="s">
        <v>2667</v>
      </c>
      <c r="I4219" s="3">
        <v>40</v>
      </c>
      <c r="J4219" s="3" t="s">
        <v>3271</v>
      </c>
      <c r="L4219" t="str">
        <f t="shared" si="65"/>
        <v/>
      </c>
      <c r="M4219">
        <f>VLOOKUP(F4219,Sheet2!$B$1:$E$19,2,FALSE)</f>
        <v>1073</v>
      </c>
      <c r="N4219">
        <f>VLOOKUP(F4219,Sheet2!$B$1:$E$19,3,FALSE)</f>
        <v>1108963</v>
      </c>
      <c r="O4219" t="str">
        <f>IF(G4219="Not available","",VLOOKUP(F4219,Sheet2!$B$1:$E$19,4,FALSE)+(G4219-1))</f>
        <v/>
      </c>
    </row>
    <row r="4220" spans="1:15" s="1" customFormat="1" ht="15" customHeight="1" x14ac:dyDescent="0.25">
      <c r="A4220" s="18" t="s">
        <v>551</v>
      </c>
      <c r="B4220" s="18" t="s">
        <v>1078</v>
      </c>
      <c r="C4220" s="5">
        <v>1885</v>
      </c>
      <c r="D4220" s="1" t="s">
        <v>50</v>
      </c>
      <c r="E4220" s="1" t="s">
        <v>2</v>
      </c>
      <c r="F4220" s="18">
        <v>2165</v>
      </c>
      <c r="G4220" s="18">
        <v>200</v>
      </c>
      <c r="H4220" s="5">
        <v>2</v>
      </c>
      <c r="I4220" s="1">
        <v>204</v>
      </c>
      <c r="J4220" s="1">
        <v>187</v>
      </c>
      <c r="L4220" t="str">
        <f t="shared" si="65"/>
        <v>http://www.badatelna.eu/reprodukce/?fondId=1073&amp;zaznamId=1108952&amp;reproId=3779061</v>
      </c>
      <c r="M4220">
        <f>VLOOKUP(F4220,Sheet2!$B$1:$E$19,2,FALSE)</f>
        <v>1073</v>
      </c>
      <c r="N4220">
        <f>VLOOKUP(F4220,Sheet2!$B$1:$E$19,3,FALSE)</f>
        <v>1108952</v>
      </c>
      <c r="O4220">
        <f>IF(G4220="Not available","",VLOOKUP(F4220,Sheet2!$B$1:$E$19,4,FALSE)+(G4220-1))</f>
        <v>3779061</v>
      </c>
    </row>
    <row r="4221" spans="1:15" s="1" customFormat="1" ht="15" customHeight="1" x14ac:dyDescent="0.25">
      <c r="A4221" s="18" t="s">
        <v>551</v>
      </c>
      <c r="B4221" s="18" t="s">
        <v>143</v>
      </c>
      <c r="C4221" s="5">
        <v>1862</v>
      </c>
      <c r="E4221" s="1" t="s">
        <v>939</v>
      </c>
      <c r="F4221" s="18">
        <v>999</v>
      </c>
      <c r="G4221" s="18">
        <v>35</v>
      </c>
      <c r="H4221" s="5">
        <v>33</v>
      </c>
      <c r="I4221" s="1">
        <v>76</v>
      </c>
      <c r="J4221" s="1">
        <v>110</v>
      </c>
      <c r="L4221" t="str">
        <f t="shared" si="65"/>
        <v>http://www.badatelna.eu/reprodukce/?fondId=241&amp;zaznamId=1133739&amp;reproId=3885764</v>
      </c>
      <c r="M4221">
        <f>VLOOKUP(F4221,Sheet2!$B$1:$E$19,2,FALSE)</f>
        <v>241</v>
      </c>
      <c r="N4221">
        <f>VLOOKUP(F4221,Sheet2!$B$1:$E$19,3,FALSE)</f>
        <v>1133739</v>
      </c>
      <c r="O4221">
        <f>IF(G4221="Not available","",VLOOKUP(F4221,Sheet2!$B$1:$E$19,4,FALSE)+(G4221-1))</f>
        <v>3885764</v>
      </c>
    </row>
    <row r="4222" spans="1:15" s="1" customFormat="1" ht="15" customHeight="1" x14ac:dyDescent="0.25">
      <c r="A4222" s="18" t="s">
        <v>551</v>
      </c>
      <c r="B4222" s="18" t="s">
        <v>146</v>
      </c>
      <c r="C4222" s="5">
        <v>1806</v>
      </c>
      <c r="E4222" s="1" t="s">
        <v>2</v>
      </c>
      <c r="F4222" s="18">
        <v>2173</v>
      </c>
      <c r="G4222" s="18">
        <v>50</v>
      </c>
      <c r="H4222" s="14" t="s">
        <v>3008</v>
      </c>
      <c r="I4222" s="1">
        <v>116</v>
      </c>
      <c r="J4222" s="1">
        <v>252</v>
      </c>
      <c r="K4222" s="4" t="s">
        <v>363</v>
      </c>
      <c r="L4222" t="str">
        <f t="shared" si="65"/>
        <v>http://www.badatelna.eu/reprodukce/?fondId=1073&amp;zaznamId=1108959&amp;reproId=3780043</v>
      </c>
      <c r="M4222">
        <f>VLOOKUP(F4222,Sheet2!$B$1:$E$19,2,FALSE)</f>
        <v>1073</v>
      </c>
      <c r="N4222">
        <f>VLOOKUP(F4222,Sheet2!$B$1:$E$19,3,FALSE)</f>
        <v>1108959</v>
      </c>
      <c r="O4222">
        <f>IF(G4222="Not available","",VLOOKUP(F4222,Sheet2!$B$1:$E$19,4,FALSE)+(G4222-1))</f>
        <v>3780043</v>
      </c>
    </row>
    <row r="4223" spans="1:15" s="1" customFormat="1" ht="15" customHeight="1" x14ac:dyDescent="0.25">
      <c r="A4223" s="19" t="s">
        <v>551</v>
      </c>
      <c r="B4223" s="18" t="s">
        <v>17</v>
      </c>
      <c r="C4223" s="5">
        <v>1799</v>
      </c>
      <c r="D4223" s="1" t="s">
        <v>133</v>
      </c>
      <c r="E4223" s="1" t="s">
        <v>2</v>
      </c>
      <c r="F4223" s="18">
        <v>2173</v>
      </c>
      <c r="G4223" s="18">
        <v>39</v>
      </c>
      <c r="H4223" s="5">
        <v>73</v>
      </c>
      <c r="I4223" s="1">
        <v>116</v>
      </c>
      <c r="J4223" s="1">
        <v>252</v>
      </c>
      <c r="L4223" t="str">
        <f t="shared" si="65"/>
        <v>http://www.badatelna.eu/reprodukce/?fondId=1073&amp;zaznamId=1108959&amp;reproId=3780032</v>
      </c>
      <c r="M4223">
        <f>VLOOKUP(F4223,Sheet2!$B$1:$E$19,2,FALSE)</f>
        <v>1073</v>
      </c>
      <c r="N4223">
        <f>VLOOKUP(F4223,Sheet2!$B$1:$E$19,3,FALSE)</f>
        <v>1108959</v>
      </c>
      <c r="O4223">
        <f>IF(G4223="Not available","",VLOOKUP(F4223,Sheet2!$B$1:$E$19,4,FALSE)+(G4223-1))</f>
        <v>3780032</v>
      </c>
    </row>
    <row r="4224" spans="1:15" s="1" customFormat="1" ht="15" customHeight="1" x14ac:dyDescent="0.25">
      <c r="A4224" s="18" t="s">
        <v>551</v>
      </c>
      <c r="B4224" s="18" t="s">
        <v>23</v>
      </c>
      <c r="C4224" s="5">
        <v>1813</v>
      </c>
      <c r="E4224" s="1" t="s">
        <v>2</v>
      </c>
      <c r="F4224" s="18">
        <v>2173</v>
      </c>
      <c r="G4224" s="18">
        <v>61</v>
      </c>
      <c r="H4224" s="5">
        <v>117</v>
      </c>
      <c r="I4224" s="1">
        <v>116</v>
      </c>
      <c r="J4224" s="1">
        <v>253</v>
      </c>
      <c r="L4224" t="str">
        <f t="shared" si="65"/>
        <v>http://www.badatelna.eu/reprodukce/?fondId=1073&amp;zaznamId=1108959&amp;reproId=3780054</v>
      </c>
      <c r="M4224">
        <f>VLOOKUP(F4224,Sheet2!$B$1:$E$19,2,FALSE)</f>
        <v>1073</v>
      </c>
      <c r="N4224">
        <f>VLOOKUP(F4224,Sheet2!$B$1:$E$19,3,FALSE)</f>
        <v>1108959</v>
      </c>
      <c r="O4224">
        <f>IF(G4224="Not available","",VLOOKUP(F4224,Sheet2!$B$1:$E$19,4,FALSE)+(G4224-1))</f>
        <v>3780054</v>
      </c>
    </row>
    <row r="4225" spans="1:15" s="1" customFormat="1" ht="15" customHeight="1" x14ac:dyDescent="0.25">
      <c r="A4225" s="18" t="s">
        <v>551</v>
      </c>
      <c r="B4225" s="18" t="s">
        <v>2056</v>
      </c>
      <c r="C4225" s="10" t="s">
        <v>2055</v>
      </c>
      <c r="D4225" s="3" t="s">
        <v>2691</v>
      </c>
      <c r="E4225" s="4" t="s">
        <v>2</v>
      </c>
      <c r="F4225" s="18">
        <v>2176</v>
      </c>
      <c r="G4225" s="18" t="s">
        <v>3271</v>
      </c>
      <c r="H4225" s="10" t="s">
        <v>2053</v>
      </c>
      <c r="I4225" s="3">
        <v>41</v>
      </c>
      <c r="J4225" s="3" t="s">
        <v>3271</v>
      </c>
      <c r="K4225" s="3"/>
      <c r="L4225" t="str">
        <f t="shared" si="65"/>
        <v/>
      </c>
      <c r="M4225">
        <f>VLOOKUP(F4225,Sheet2!$B$1:$E$19,2,FALSE)</f>
        <v>1073</v>
      </c>
      <c r="N4225">
        <f>VLOOKUP(F4225,Sheet2!$B$1:$E$19,3,FALSE)</f>
        <v>1108963</v>
      </c>
      <c r="O4225" t="str">
        <f>IF(G4225="Not available","",VLOOKUP(F4225,Sheet2!$B$1:$E$19,4,FALSE)+(G4225-1))</f>
        <v/>
      </c>
    </row>
    <row r="4226" spans="1:15" s="1" customFormat="1" ht="15" customHeight="1" x14ac:dyDescent="0.25">
      <c r="A4226" s="18" t="s">
        <v>551</v>
      </c>
      <c r="B4226" s="18" t="s">
        <v>545</v>
      </c>
      <c r="C4226" s="5" t="s">
        <v>1639</v>
      </c>
      <c r="D4226" s="1" t="s">
        <v>1096</v>
      </c>
      <c r="E4226" s="1" t="s">
        <v>2</v>
      </c>
      <c r="F4226" s="18">
        <v>2165</v>
      </c>
      <c r="G4226" s="18">
        <v>48</v>
      </c>
      <c r="H4226" s="5">
        <v>45</v>
      </c>
      <c r="I4226" s="1">
        <v>93</v>
      </c>
      <c r="J4226" s="1" t="s">
        <v>3271</v>
      </c>
      <c r="L4226" t="str">
        <f t="shared" si="65"/>
        <v>http://www.badatelna.eu/reprodukce/?fondId=1073&amp;zaznamId=1108952&amp;reproId=3778909</v>
      </c>
      <c r="M4226">
        <f>VLOOKUP(F4226,Sheet2!$B$1:$E$19,2,FALSE)</f>
        <v>1073</v>
      </c>
      <c r="N4226">
        <f>VLOOKUP(F4226,Sheet2!$B$1:$E$19,3,FALSE)</f>
        <v>1108952</v>
      </c>
      <c r="O4226">
        <f>IF(G4226="Not available","",VLOOKUP(F4226,Sheet2!$B$1:$E$19,4,FALSE)+(G4226-1))</f>
        <v>3778909</v>
      </c>
    </row>
    <row r="4227" spans="1:15" s="1" customFormat="1" ht="15" customHeight="1" x14ac:dyDescent="0.25">
      <c r="A4227" s="19" t="s">
        <v>3077</v>
      </c>
      <c r="B4227" s="18" t="s">
        <v>18</v>
      </c>
      <c r="C4227" s="5">
        <v>1787</v>
      </c>
      <c r="D4227" s="1" t="s">
        <v>34</v>
      </c>
      <c r="E4227" s="1" t="s">
        <v>2</v>
      </c>
      <c r="F4227" s="18">
        <v>2173</v>
      </c>
      <c r="G4227" s="18">
        <v>14</v>
      </c>
      <c r="H4227" s="5">
        <v>23</v>
      </c>
      <c r="I4227" s="1">
        <v>115</v>
      </c>
      <c r="J4227" s="1">
        <v>259</v>
      </c>
      <c r="L4227" t="str">
        <f t="shared" ref="L4227:L4290" si="66">IF(G4227="Not available","","http://www.badatelna.eu/reprodukce/?fondId="&amp;M4227&amp;"&amp;zaznamId="&amp;N4227&amp;"&amp;reproId="&amp;O4227)</f>
        <v>http://www.badatelna.eu/reprodukce/?fondId=1073&amp;zaznamId=1108959&amp;reproId=3780007</v>
      </c>
      <c r="M4227">
        <f>VLOOKUP(F4227,Sheet2!$B$1:$E$19,2,FALSE)</f>
        <v>1073</v>
      </c>
      <c r="N4227">
        <f>VLOOKUP(F4227,Sheet2!$B$1:$E$19,3,FALSE)</f>
        <v>1108959</v>
      </c>
      <c r="O4227">
        <f>IF(G4227="Not available","",VLOOKUP(F4227,Sheet2!$B$1:$E$19,4,FALSE)+(G4227-1))</f>
        <v>3780007</v>
      </c>
    </row>
    <row r="4228" spans="1:15" s="1" customFormat="1" ht="15" customHeight="1" x14ac:dyDescent="0.25">
      <c r="A4228" s="19" t="s">
        <v>764</v>
      </c>
      <c r="B4228" s="18" t="s">
        <v>765</v>
      </c>
      <c r="C4228" s="5">
        <v>1842</v>
      </c>
      <c r="D4228" s="1" t="s">
        <v>766</v>
      </c>
      <c r="E4228" s="1" t="s">
        <v>2</v>
      </c>
      <c r="F4228" s="18">
        <v>2174</v>
      </c>
      <c r="G4228" s="18">
        <v>129</v>
      </c>
      <c r="H4228" s="6" t="s">
        <v>3195</v>
      </c>
      <c r="I4228" s="1">
        <v>202</v>
      </c>
      <c r="J4228" s="1">
        <v>238</v>
      </c>
      <c r="L4228" t="str">
        <f t="shared" si="66"/>
        <v>http://www.badatelna.eu/reprodukce/?fondId=1073&amp;zaznamId=1108960&amp;reproId=3780353</v>
      </c>
      <c r="M4228">
        <f>VLOOKUP(F4228,Sheet2!$B$1:$E$19,2,FALSE)</f>
        <v>1073</v>
      </c>
      <c r="N4228">
        <f>VLOOKUP(F4228,Sheet2!$B$1:$E$19,3,FALSE)</f>
        <v>1108960</v>
      </c>
      <c r="O4228">
        <f>IF(G4228="Not available","",VLOOKUP(F4228,Sheet2!$B$1:$E$19,4,FALSE)+(G4228-1))</f>
        <v>3780353</v>
      </c>
    </row>
    <row r="4229" spans="1:15" s="1" customFormat="1" ht="15" customHeight="1" x14ac:dyDescent="0.25">
      <c r="A4229" s="18" t="s">
        <v>523</v>
      </c>
      <c r="B4229" s="18" t="s">
        <v>50</v>
      </c>
      <c r="C4229" s="5">
        <v>1829</v>
      </c>
      <c r="E4229" s="1" t="s">
        <v>2</v>
      </c>
      <c r="F4229" s="18">
        <v>2173</v>
      </c>
      <c r="G4229" s="18">
        <v>82</v>
      </c>
      <c r="H4229" s="5">
        <v>157</v>
      </c>
      <c r="I4229" s="1">
        <v>117</v>
      </c>
      <c r="J4229" s="1">
        <v>254</v>
      </c>
      <c r="L4229" t="str">
        <f t="shared" si="66"/>
        <v>http://www.badatelna.eu/reprodukce/?fondId=1073&amp;zaznamId=1108959&amp;reproId=3780075</v>
      </c>
      <c r="M4229">
        <f>VLOOKUP(F4229,Sheet2!$B$1:$E$19,2,FALSE)</f>
        <v>1073</v>
      </c>
      <c r="N4229">
        <f>VLOOKUP(F4229,Sheet2!$B$1:$E$19,3,FALSE)</f>
        <v>1108959</v>
      </c>
      <c r="O4229">
        <f>IF(G4229="Not available","",VLOOKUP(F4229,Sheet2!$B$1:$E$19,4,FALSE)+(G4229-1))</f>
        <v>3780075</v>
      </c>
    </row>
    <row r="4230" spans="1:15" s="1" customFormat="1" ht="15" customHeight="1" x14ac:dyDescent="0.25">
      <c r="A4230" s="18" t="s">
        <v>523</v>
      </c>
      <c r="B4230" s="18" t="s">
        <v>162</v>
      </c>
      <c r="C4230" s="5">
        <v>1825</v>
      </c>
      <c r="E4230" s="1" t="s">
        <v>2</v>
      </c>
      <c r="F4230" s="18">
        <v>2173</v>
      </c>
      <c r="G4230" s="18">
        <v>77</v>
      </c>
      <c r="H4230" s="5">
        <v>146</v>
      </c>
      <c r="I4230" s="1">
        <v>116</v>
      </c>
      <c r="J4230" s="1">
        <v>253</v>
      </c>
      <c r="L4230" t="str">
        <f t="shared" si="66"/>
        <v>http://www.badatelna.eu/reprodukce/?fondId=1073&amp;zaznamId=1108959&amp;reproId=3780070</v>
      </c>
      <c r="M4230">
        <f>VLOOKUP(F4230,Sheet2!$B$1:$E$19,2,FALSE)</f>
        <v>1073</v>
      </c>
      <c r="N4230">
        <f>VLOOKUP(F4230,Sheet2!$B$1:$E$19,3,FALSE)</f>
        <v>1108959</v>
      </c>
      <c r="O4230">
        <f>IF(G4230="Not available","",VLOOKUP(F4230,Sheet2!$B$1:$E$19,4,FALSE)+(G4230-1))</f>
        <v>3780070</v>
      </c>
    </row>
    <row r="4231" spans="1:15" s="1" customFormat="1" ht="15" customHeight="1" x14ac:dyDescent="0.25">
      <c r="A4231" s="18" t="s">
        <v>523</v>
      </c>
      <c r="B4231" s="18" t="s">
        <v>87</v>
      </c>
      <c r="C4231" s="5">
        <v>1819</v>
      </c>
      <c r="E4231" s="1" t="s">
        <v>2</v>
      </c>
      <c r="F4231" s="18">
        <v>2173</v>
      </c>
      <c r="G4231" s="18">
        <v>67</v>
      </c>
      <c r="H4231" s="6" t="s">
        <v>338</v>
      </c>
      <c r="I4231" s="1">
        <v>116</v>
      </c>
      <c r="J4231" s="1">
        <v>253</v>
      </c>
      <c r="L4231" t="str">
        <f t="shared" si="66"/>
        <v>http://www.badatelna.eu/reprodukce/?fondId=1073&amp;zaznamId=1108959&amp;reproId=3780060</v>
      </c>
      <c r="M4231">
        <f>VLOOKUP(F4231,Sheet2!$B$1:$E$19,2,FALSE)</f>
        <v>1073</v>
      </c>
      <c r="N4231">
        <f>VLOOKUP(F4231,Sheet2!$B$1:$E$19,3,FALSE)</f>
        <v>1108959</v>
      </c>
      <c r="O4231">
        <f>IF(G4231="Not available","",VLOOKUP(F4231,Sheet2!$B$1:$E$19,4,FALSE)+(G4231-1))</f>
        <v>3780060</v>
      </c>
    </row>
    <row r="4232" spans="1:15" s="1" customFormat="1" ht="15" customHeight="1" x14ac:dyDescent="0.25">
      <c r="A4232" s="19" t="s">
        <v>523</v>
      </c>
      <c r="B4232" s="18" t="s">
        <v>4</v>
      </c>
      <c r="C4232" s="5">
        <v>1805</v>
      </c>
      <c r="E4232" s="1" t="s">
        <v>2</v>
      </c>
      <c r="F4232" s="18">
        <v>2173</v>
      </c>
      <c r="G4232" s="18">
        <v>50</v>
      </c>
      <c r="H4232" s="14" t="s">
        <v>3003</v>
      </c>
      <c r="I4232" s="1">
        <v>116</v>
      </c>
      <c r="J4232" s="1">
        <v>252</v>
      </c>
      <c r="L4232" t="str">
        <f t="shared" si="66"/>
        <v>http://www.badatelna.eu/reprodukce/?fondId=1073&amp;zaznamId=1108959&amp;reproId=3780043</v>
      </c>
      <c r="M4232">
        <f>VLOOKUP(F4232,Sheet2!$B$1:$E$19,2,FALSE)</f>
        <v>1073</v>
      </c>
      <c r="N4232">
        <f>VLOOKUP(F4232,Sheet2!$B$1:$E$19,3,FALSE)</f>
        <v>1108959</v>
      </c>
      <c r="O4232">
        <f>IF(G4232="Not available","",VLOOKUP(F4232,Sheet2!$B$1:$E$19,4,FALSE)+(G4232-1))</f>
        <v>3780043</v>
      </c>
    </row>
    <row r="4233" spans="1:15" s="1" customFormat="1" ht="15" customHeight="1" x14ac:dyDescent="0.25">
      <c r="A4233" s="19" t="s">
        <v>523</v>
      </c>
      <c r="B4233" s="18" t="s">
        <v>22</v>
      </c>
      <c r="C4233" s="5">
        <v>1810</v>
      </c>
      <c r="E4233" s="1" t="s">
        <v>2</v>
      </c>
      <c r="F4233" s="18">
        <v>2173</v>
      </c>
      <c r="G4233" s="18">
        <v>56</v>
      </c>
      <c r="H4233" s="14" t="s">
        <v>2980</v>
      </c>
      <c r="I4233" s="1">
        <v>116</v>
      </c>
      <c r="J4233" s="1">
        <v>252</v>
      </c>
      <c r="L4233" t="str">
        <f t="shared" si="66"/>
        <v>http://www.badatelna.eu/reprodukce/?fondId=1073&amp;zaznamId=1108959&amp;reproId=3780049</v>
      </c>
      <c r="M4233">
        <f>VLOOKUP(F4233,Sheet2!$B$1:$E$19,2,FALSE)</f>
        <v>1073</v>
      </c>
      <c r="N4233">
        <f>VLOOKUP(F4233,Sheet2!$B$1:$E$19,3,FALSE)</f>
        <v>1108959</v>
      </c>
      <c r="O4233">
        <f>IF(G4233="Not available","",VLOOKUP(F4233,Sheet2!$B$1:$E$19,4,FALSE)+(G4233-1))</f>
        <v>3780049</v>
      </c>
    </row>
    <row r="4234" spans="1:15" s="1" customFormat="1" ht="15" customHeight="1" x14ac:dyDescent="0.25">
      <c r="A4234" s="18" t="s">
        <v>523</v>
      </c>
      <c r="B4234" s="18" t="s">
        <v>21</v>
      </c>
      <c r="C4234" s="5">
        <v>1811</v>
      </c>
      <c r="E4234" s="1" t="s">
        <v>2</v>
      </c>
      <c r="F4234" s="18">
        <v>2173</v>
      </c>
      <c r="G4234" s="18">
        <v>58</v>
      </c>
      <c r="H4234" s="5">
        <v>111</v>
      </c>
      <c r="I4234" s="1">
        <v>116</v>
      </c>
      <c r="J4234" s="1">
        <v>253</v>
      </c>
      <c r="L4234" t="str">
        <f t="shared" si="66"/>
        <v>http://www.badatelna.eu/reprodukce/?fondId=1073&amp;zaznamId=1108959&amp;reproId=3780051</v>
      </c>
      <c r="M4234">
        <f>VLOOKUP(F4234,Sheet2!$B$1:$E$19,2,FALSE)</f>
        <v>1073</v>
      </c>
      <c r="N4234">
        <f>VLOOKUP(F4234,Sheet2!$B$1:$E$19,3,FALSE)</f>
        <v>1108959</v>
      </c>
      <c r="O4234">
        <f>IF(G4234="Not available","",VLOOKUP(F4234,Sheet2!$B$1:$E$19,4,FALSE)+(G4234-1))</f>
        <v>3780051</v>
      </c>
    </row>
    <row r="4235" spans="1:15" s="1" customFormat="1" ht="15" customHeight="1" x14ac:dyDescent="0.25">
      <c r="A4235" s="18" t="s">
        <v>523</v>
      </c>
      <c r="B4235" s="18" t="s">
        <v>100</v>
      </c>
      <c r="C4235" s="5">
        <v>1787</v>
      </c>
      <c r="D4235" s="1" t="s">
        <v>264</v>
      </c>
      <c r="E4235" s="1" t="s">
        <v>2</v>
      </c>
      <c r="F4235" s="18">
        <v>2173</v>
      </c>
      <c r="G4235" s="18">
        <v>14</v>
      </c>
      <c r="H4235" s="5">
        <v>23</v>
      </c>
      <c r="I4235" s="1">
        <v>115</v>
      </c>
      <c r="J4235" s="1">
        <v>259</v>
      </c>
      <c r="L4235" t="str">
        <f t="shared" si="66"/>
        <v>http://www.badatelna.eu/reprodukce/?fondId=1073&amp;zaznamId=1108959&amp;reproId=3780007</v>
      </c>
      <c r="M4235">
        <f>VLOOKUP(F4235,Sheet2!$B$1:$E$19,2,FALSE)</f>
        <v>1073</v>
      </c>
      <c r="N4235">
        <f>VLOOKUP(F4235,Sheet2!$B$1:$E$19,3,FALSE)</f>
        <v>1108959</v>
      </c>
      <c r="O4235">
        <f>IF(G4235="Not available","",VLOOKUP(F4235,Sheet2!$B$1:$E$19,4,FALSE)+(G4235-1))</f>
        <v>3780007</v>
      </c>
    </row>
    <row r="4236" spans="1:15" s="1" customFormat="1" ht="15" customHeight="1" x14ac:dyDescent="0.25">
      <c r="A4236" s="18" t="s">
        <v>523</v>
      </c>
      <c r="B4236" s="18" t="s">
        <v>93</v>
      </c>
      <c r="C4236" s="5">
        <v>1819</v>
      </c>
      <c r="E4236" s="1" t="s">
        <v>2</v>
      </c>
      <c r="F4236" s="18">
        <v>2173</v>
      </c>
      <c r="G4236" s="18">
        <v>69</v>
      </c>
      <c r="H4236" s="5">
        <v>130</v>
      </c>
      <c r="I4236" s="1">
        <v>116</v>
      </c>
      <c r="J4236" s="1">
        <v>253</v>
      </c>
      <c r="L4236" t="str">
        <f t="shared" si="66"/>
        <v>http://www.badatelna.eu/reprodukce/?fondId=1073&amp;zaznamId=1108959&amp;reproId=3780062</v>
      </c>
      <c r="M4236">
        <f>VLOOKUP(F4236,Sheet2!$B$1:$E$19,2,FALSE)</f>
        <v>1073</v>
      </c>
      <c r="N4236">
        <f>VLOOKUP(F4236,Sheet2!$B$1:$E$19,3,FALSE)</f>
        <v>1108959</v>
      </c>
      <c r="O4236">
        <f>IF(G4236="Not available","",VLOOKUP(F4236,Sheet2!$B$1:$E$19,4,FALSE)+(G4236-1))</f>
        <v>3780062</v>
      </c>
    </row>
    <row r="4237" spans="1:15" s="1" customFormat="1" ht="15" customHeight="1" x14ac:dyDescent="0.25">
      <c r="A4237" s="18" t="s">
        <v>556</v>
      </c>
      <c r="B4237" s="18" t="s">
        <v>21</v>
      </c>
      <c r="C4237" s="5">
        <v>1808</v>
      </c>
      <c r="E4237" s="1" t="s">
        <v>2</v>
      </c>
      <c r="F4237" s="18">
        <v>2173</v>
      </c>
      <c r="G4237" s="18">
        <v>53</v>
      </c>
      <c r="H4237" s="14" t="s">
        <v>2957</v>
      </c>
      <c r="I4237" s="1">
        <v>116</v>
      </c>
      <c r="J4237" s="1">
        <v>252</v>
      </c>
      <c r="L4237" t="str">
        <f t="shared" si="66"/>
        <v>http://www.badatelna.eu/reprodukce/?fondId=1073&amp;zaznamId=1108959&amp;reproId=3780046</v>
      </c>
      <c r="M4237">
        <f>VLOOKUP(F4237,Sheet2!$B$1:$E$19,2,FALSE)</f>
        <v>1073</v>
      </c>
      <c r="N4237">
        <f>VLOOKUP(F4237,Sheet2!$B$1:$E$19,3,FALSE)</f>
        <v>1108959</v>
      </c>
      <c r="O4237">
        <f>IF(G4237="Not available","",VLOOKUP(F4237,Sheet2!$B$1:$E$19,4,FALSE)+(G4237-1))</f>
        <v>3780046</v>
      </c>
    </row>
    <row r="4238" spans="1:15" s="1" customFormat="1" ht="15" customHeight="1" x14ac:dyDescent="0.25">
      <c r="A4238" s="18" t="s">
        <v>558</v>
      </c>
      <c r="B4238" s="18" t="s">
        <v>507</v>
      </c>
      <c r="C4238" s="5">
        <v>1843</v>
      </c>
      <c r="D4238" s="1" t="s">
        <v>55</v>
      </c>
      <c r="E4238" s="1" t="s">
        <v>2</v>
      </c>
      <c r="F4238" s="18">
        <v>2174</v>
      </c>
      <c r="G4238" s="18">
        <v>135</v>
      </c>
      <c r="H4238" s="6" t="s">
        <v>3192</v>
      </c>
      <c r="I4238" s="1">
        <v>202</v>
      </c>
      <c r="J4238" s="1">
        <v>238</v>
      </c>
      <c r="L4238" t="str">
        <f t="shared" si="66"/>
        <v>http://www.badatelna.eu/reprodukce/?fondId=1073&amp;zaznamId=1108960&amp;reproId=3780359</v>
      </c>
      <c r="M4238">
        <f>VLOOKUP(F4238,Sheet2!$B$1:$E$19,2,FALSE)</f>
        <v>1073</v>
      </c>
      <c r="N4238">
        <f>VLOOKUP(F4238,Sheet2!$B$1:$E$19,3,FALSE)</f>
        <v>1108960</v>
      </c>
      <c r="O4238">
        <f>IF(G4238="Not available","",VLOOKUP(F4238,Sheet2!$B$1:$E$19,4,FALSE)+(G4238-1))</f>
        <v>3780359</v>
      </c>
    </row>
    <row r="4239" spans="1:15" s="1" customFormat="1" ht="15" customHeight="1" x14ac:dyDescent="0.25">
      <c r="A4239" s="18" t="s">
        <v>558</v>
      </c>
      <c r="B4239" s="18" t="s">
        <v>910</v>
      </c>
      <c r="C4239" s="5">
        <v>1850</v>
      </c>
      <c r="D4239" s="1" t="s">
        <v>55</v>
      </c>
      <c r="E4239" s="1" t="s">
        <v>2</v>
      </c>
      <c r="F4239" s="18">
        <v>2164</v>
      </c>
      <c r="G4239" s="18">
        <v>66</v>
      </c>
      <c r="H4239" s="5">
        <v>64</v>
      </c>
      <c r="I4239" s="1">
        <v>139</v>
      </c>
      <c r="J4239" s="3" t="s">
        <v>3271</v>
      </c>
      <c r="L4239" t="str">
        <f t="shared" si="66"/>
        <v>http://www.badatelna.eu/reprodukce/?fondId=1073&amp;zaznamId=1108951&amp;reproId=3778780</v>
      </c>
      <c r="M4239">
        <f>VLOOKUP(F4239,Sheet2!$B$1:$E$19,2,FALSE)</f>
        <v>1073</v>
      </c>
      <c r="N4239">
        <f>VLOOKUP(F4239,Sheet2!$B$1:$E$19,3,FALSE)</f>
        <v>1108951</v>
      </c>
      <c r="O4239">
        <f>IF(G4239="Not available","",VLOOKUP(F4239,Sheet2!$B$1:$E$19,4,FALSE)+(G4239-1))</f>
        <v>3778780</v>
      </c>
    </row>
    <row r="4240" spans="1:15" s="1" customFormat="1" ht="15" customHeight="1" x14ac:dyDescent="0.25">
      <c r="A4240" s="18" t="s">
        <v>558</v>
      </c>
      <c r="B4240" s="19" t="s">
        <v>2940</v>
      </c>
      <c r="C4240" s="5">
        <v>1811</v>
      </c>
      <c r="E4240" s="1" t="s">
        <v>2</v>
      </c>
      <c r="F4240" s="18">
        <v>2173</v>
      </c>
      <c r="G4240" s="18">
        <v>57</v>
      </c>
      <c r="H4240" s="5">
        <v>109</v>
      </c>
      <c r="I4240" s="1">
        <v>116</v>
      </c>
      <c r="J4240" s="1">
        <v>253</v>
      </c>
      <c r="L4240" t="str">
        <f t="shared" si="66"/>
        <v>http://www.badatelna.eu/reprodukce/?fondId=1073&amp;zaznamId=1108959&amp;reproId=3780050</v>
      </c>
      <c r="M4240">
        <f>VLOOKUP(F4240,Sheet2!$B$1:$E$19,2,FALSE)</f>
        <v>1073</v>
      </c>
      <c r="N4240">
        <f>VLOOKUP(F4240,Sheet2!$B$1:$E$19,3,FALSE)</f>
        <v>1108959</v>
      </c>
      <c r="O4240">
        <f>IF(G4240="Not available","",VLOOKUP(F4240,Sheet2!$B$1:$E$19,4,FALSE)+(G4240-1))</f>
        <v>3780050</v>
      </c>
    </row>
    <row r="4241" spans="1:15" s="1" customFormat="1" ht="15" customHeight="1" x14ac:dyDescent="0.25">
      <c r="A4241" s="18" t="s">
        <v>558</v>
      </c>
      <c r="B4241" s="18" t="s">
        <v>293</v>
      </c>
      <c r="C4241" s="5">
        <v>1827</v>
      </c>
      <c r="E4241" s="1" t="s">
        <v>2</v>
      </c>
      <c r="F4241" s="18">
        <v>2173</v>
      </c>
      <c r="G4241" s="18">
        <v>79</v>
      </c>
      <c r="H4241" s="5">
        <v>151</v>
      </c>
      <c r="I4241" s="1">
        <v>117</v>
      </c>
      <c r="J4241" s="1">
        <v>254</v>
      </c>
      <c r="L4241" t="str">
        <f t="shared" si="66"/>
        <v>http://www.badatelna.eu/reprodukce/?fondId=1073&amp;zaznamId=1108959&amp;reproId=3780072</v>
      </c>
      <c r="M4241">
        <f>VLOOKUP(F4241,Sheet2!$B$1:$E$19,2,FALSE)</f>
        <v>1073</v>
      </c>
      <c r="N4241">
        <f>VLOOKUP(F4241,Sheet2!$B$1:$E$19,3,FALSE)</f>
        <v>1108959</v>
      </c>
      <c r="O4241">
        <f>IF(G4241="Not available","",VLOOKUP(F4241,Sheet2!$B$1:$E$19,4,FALSE)+(G4241-1))</f>
        <v>3780072</v>
      </c>
    </row>
    <row r="4242" spans="1:15" s="1" customFormat="1" ht="15" customHeight="1" x14ac:dyDescent="0.25">
      <c r="A4242" s="18" t="s">
        <v>558</v>
      </c>
      <c r="B4242" s="18" t="s">
        <v>482</v>
      </c>
      <c r="C4242" s="5">
        <v>1845</v>
      </c>
      <c r="D4242" s="1" t="s">
        <v>55</v>
      </c>
      <c r="E4242" s="1" t="s">
        <v>2</v>
      </c>
      <c r="F4242" s="18">
        <v>2174</v>
      </c>
      <c r="G4242" s="18">
        <v>156</v>
      </c>
      <c r="H4242" s="6" t="s">
        <v>3227</v>
      </c>
      <c r="I4242" s="1">
        <v>202</v>
      </c>
      <c r="J4242" s="1">
        <v>238</v>
      </c>
      <c r="L4242" t="str">
        <f t="shared" si="66"/>
        <v>http://www.badatelna.eu/reprodukce/?fondId=1073&amp;zaznamId=1108960&amp;reproId=3780380</v>
      </c>
      <c r="M4242">
        <f>VLOOKUP(F4242,Sheet2!$B$1:$E$19,2,FALSE)</f>
        <v>1073</v>
      </c>
      <c r="N4242">
        <f>VLOOKUP(F4242,Sheet2!$B$1:$E$19,3,FALSE)</f>
        <v>1108960</v>
      </c>
      <c r="O4242">
        <f>IF(G4242="Not available","",VLOOKUP(F4242,Sheet2!$B$1:$E$19,4,FALSE)+(G4242-1))</f>
        <v>3780380</v>
      </c>
    </row>
    <row r="4243" spans="1:15" s="1" customFormat="1" ht="15" customHeight="1" x14ac:dyDescent="0.25">
      <c r="A4243" s="18" t="s">
        <v>558</v>
      </c>
      <c r="B4243" s="18" t="s">
        <v>439</v>
      </c>
      <c r="C4243" s="5">
        <v>1846</v>
      </c>
      <c r="D4243" s="1" t="s">
        <v>700</v>
      </c>
      <c r="E4243" s="1" t="s">
        <v>2</v>
      </c>
      <c r="F4243" s="18">
        <v>2174</v>
      </c>
      <c r="G4243" s="18">
        <v>165</v>
      </c>
      <c r="H4243" s="6" t="s">
        <v>3233</v>
      </c>
      <c r="I4243" s="1">
        <v>203</v>
      </c>
      <c r="J4243" s="1">
        <v>238</v>
      </c>
      <c r="L4243" t="str">
        <f t="shared" si="66"/>
        <v>http://www.badatelna.eu/reprodukce/?fondId=1073&amp;zaznamId=1108960&amp;reproId=3780389</v>
      </c>
      <c r="M4243">
        <f>VLOOKUP(F4243,Sheet2!$B$1:$E$19,2,FALSE)</f>
        <v>1073</v>
      </c>
      <c r="N4243">
        <f>VLOOKUP(F4243,Sheet2!$B$1:$E$19,3,FALSE)</f>
        <v>1108960</v>
      </c>
      <c r="O4243">
        <f>IF(G4243="Not available","",VLOOKUP(F4243,Sheet2!$B$1:$E$19,4,FALSE)+(G4243-1))</f>
        <v>3780389</v>
      </c>
    </row>
    <row r="4244" spans="1:15" s="1" customFormat="1" ht="15" customHeight="1" x14ac:dyDescent="0.25">
      <c r="A4244" s="18" t="s">
        <v>558</v>
      </c>
      <c r="B4244" s="18" t="s">
        <v>439</v>
      </c>
      <c r="C4244" s="5">
        <v>1851</v>
      </c>
      <c r="D4244" s="1" t="s">
        <v>55</v>
      </c>
      <c r="E4244" s="1" t="s">
        <v>2</v>
      </c>
      <c r="F4244" s="18">
        <v>2164</v>
      </c>
      <c r="G4244" s="18">
        <v>80</v>
      </c>
      <c r="H4244" s="5">
        <v>78</v>
      </c>
      <c r="I4244" s="1">
        <v>139</v>
      </c>
      <c r="J4244" s="3" t="s">
        <v>3271</v>
      </c>
      <c r="L4244" t="str">
        <f t="shared" si="66"/>
        <v>http://www.badatelna.eu/reprodukce/?fondId=1073&amp;zaznamId=1108951&amp;reproId=3778794</v>
      </c>
      <c r="M4244">
        <f>VLOOKUP(F4244,Sheet2!$B$1:$E$19,2,FALSE)</f>
        <v>1073</v>
      </c>
      <c r="N4244">
        <f>VLOOKUP(F4244,Sheet2!$B$1:$E$19,3,FALSE)</f>
        <v>1108951</v>
      </c>
      <c r="O4244">
        <f>IF(G4244="Not available","",VLOOKUP(F4244,Sheet2!$B$1:$E$19,4,FALSE)+(G4244-1))</f>
        <v>3778794</v>
      </c>
    </row>
    <row r="4245" spans="1:15" s="1" customFormat="1" ht="15" customHeight="1" x14ac:dyDescent="0.25">
      <c r="A4245" s="18" t="s">
        <v>558</v>
      </c>
      <c r="B4245" s="18" t="s">
        <v>769</v>
      </c>
      <c r="C4245" s="5">
        <v>1843</v>
      </c>
      <c r="D4245" s="1" t="s">
        <v>21</v>
      </c>
      <c r="E4245" s="1" t="s">
        <v>2</v>
      </c>
      <c r="F4245" s="18">
        <v>2174</v>
      </c>
      <c r="G4245" s="18">
        <v>140</v>
      </c>
      <c r="H4245" s="6" t="s">
        <v>3205</v>
      </c>
      <c r="I4245" s="1">
        <v>202</v>
      </c>
      <c r="J4245" s="1">
        <v>238</v>
      </c>
      <c r="L4245" t="str">
        <f t="shared" si="66"/>
        <v>http://www.badatelna.eu/reprodukce/?fondId=1073&amp;zaznamId=1108960&amp;reproId=3780364</v>
      </c>
      <c r="M4245">
        <f>VLOOKUP(F4245,Sheet2!$B$1:$E$19,2,FALSE)</f>
        <v>1073</v>
      </c>
      <c r="N4245">
        <f>VLOOKUP(F4245,Sheet2!$B$1:$E$19,3,FALSE)</f>
        <v>1108960</v>
      </c>
      <c r="O4245">
        <f>IF(G4245="Not available","",VLOOKUP(F4245,Sheet2!$B$1:$E$19,4,FALSE)+(G4245-1))</f>
        <v>3780364</v>
      </c>
    </row>
    <row r="4246" spans="1:15" s="1" customFormat="1" ht="15" customHeight="1" x14ac:dyDescent="0.25">
      <c r="A4246" s="18" t="s">
        <v>558</v>
      </c>
      <c r="B4246" s="18" t="s">
        <v>774</v>
      </c>
      <c r="C4246" s="5">
        <v>1845</v>
      </c>
      <c r="D4246" s="1" t="s">
        <v>775</v>
      </c>
      <c r="E4246" s="1" t="s">
        <v>2</v>
      </c>
      <c r="F4246" s="18">
        <v>2174</v>
      </c>
      <c r="G4246" s="18">
        <v>156</v>
      </c>
      <c r="H4246" s="6" t="s">
        <v>3227</v>
      </c>
      <c r="I4246" s="1">
        <v>202</v>
      </c>
      <c r="J4246" s="1">
        <v>238</v>
      </c>
      <c r="L4246" t="str">
        <f t="shared" si="66"/>
        <v>http://www.badatelna.eu/reprodukce/?fondId=1073&amp;zaznamId=1108960&amp;reproId=3780380</v>
      </c>
      <c r="M4246">
        <f>VLOOKUP(F4246,Sheet2!$B$1:$E$19,2,FALSE)</f>
        <v>1073</v>
      </c>
      <c r="N4246">
        <f>VLOOKUP(F4246,Sheet2!$B$1:$E$19,3,FALSE)</f>
        <v>1108960</v>
      </c>
      <c r="O4246">
        <f>IF(G4246="Not available","",VLOOKUP(F4246,Sheet2!$B$1:$E$19,4,FALSE)+(G4246-1))</f>
        <v>3780380</v>
      </c>
    </row>
    <row r="4247" spans="1:15" s="1" customFormat="1" ht="15" customHeight="1" x14ac:dyDescent="0.25">
      <c r="A4247" s="18" t="s">
        <v>558</v>
      </c>
      <c r="B4247" s="18" t="s">
        <v>426</v>
      </c>
      <c r="C4247" s="5">
        <v>1845</v>
      </c>
      <c r="D4247" s="1" t="s">
        <v>700</v>
      </c>
      <c r="E4247" s="1" t="s">
        <v>2</v>
      </c>
      <c r="F4247" s="18">
        <v>2174</v>
      </c>
      <c r="G4247" s="18">
        <v>157</v>
      </c>
      <c r="H4247" s="6" t="s">
        <v>3222</v>
      </c>
      <c r="I4247" s="1">
        <v>202</v>
      </c>
      <c r="J4247" s="1">
        <v>238</v>
      </c>
      <c r="L4247" t="str">
        <f t="shared" si="66"/>
        <v>http://www.badatelna.eu/reprodukce/?fondId=1073&amp;zaznamId=1108960&amp;reproId=3780381</v>
      </c>
      <c r="M4247">
        <f>VLOOKUP(F4247,Sheet2!$B$1:$E$19,2,FALSE)</f>
        <v>1073</v>
      </c>
      <c r="N4247">
        <f>VLOOKUP(F4247,Sheet2!$B$1:$E$19,3,FALSE)</f>
        <v>1108960</v>
      </c>
      <c r="O4247">
        <f>IF(G4247="Not available","",VLOOKUP(F4247,Sheet2!$B$1:$E$19,4,FALSE)+(G4247-1))</f>
        <v>3780381</v>
      </c>
    </row>
    <row r="4248" spans="1:15" s="1" customFormat="1" ht="15" customHeight="1" x14ac:dyDescent="0.25">
      <c r="A4248" s="18" t="s">
        <v>558</v>
      </c>
      <c r="B4248" s="18" t="s">
        <v>494</v>
      </c>
      <c r="C4248" s="5">
        <v>1843</v>
      </c>
      <c r="D4248" s="1" t="s">
        <v>100</v>
      </c>
      <c r="E4248" s="1" t="s">
        <v>2</v>
      </c>
      <c r="F4248" s="18">
        <v>2174</v>
      </c>
      <c r="G4248" s="18">
        <v>135</v>
      </c>
      <c r="H4248" s="6" t="s">
        <v>3192</v>
      </c>
      <c r="I4248" s="1">
        <v>202</v>
      </c>
      <c r="J4248" s="1">
        <v>238</v>
      </c>
      <c r="L4248" t="str">
        <f t="shared" si="66"/>
        <v>http://www.badatelna.eu/reprodukce/?fondId=1073&amp;zaznamId=1108960&amp;reproId=3780359</v>
      </c>
      <c r="M4248">
        <f>VLOOKUP(F4248,Sheet2!$B$1:$E$19,2,FALSE)</f>
        <v>1073</v>
      </c>
      <c r="N4248">
        <f>VLOOKUP(F4248,Sheet2!$B$1:$E$19,3,FALSE)</f>
        <v>1108960</v>
      </c>
      <c r="O4248">
        <f>IF(G4248="Not available","",VLOOKUP(F4248,Sheet2!$B$1:$E$19,4,FALSE)+(G4248-1))</f>
        <v>3780359</v>
      </c>
    </row>
    <row r="4249" spans="1:15" s="1" customFormat="1" ht="15" customHeight="1" x14ac:dyDescent="0.25">
      <c r="A4249" s="18" t="s">
        <v>558</v>
      </c>
      <c r="B4249" s="18" t="s">
        <v>129</v>
      </c>
      <c r="C4249" s="5">
        <v>1854</v>
      </c>
      <c r="D4249" s="1" t="s">
        <v>925</v>
      </c>
      <c r="E4249" s="1" t="s">
        <v>2</v>
      </c>
      <c r="F4249" s="18">
        <v>2164</v>
      </c>
      <c r="G4249" s="18">
        <v>95</v>
      </c>
      <c r="H4249" s="5">
        <v>93</v>
      </c>
      <c r="I4249" s="1">
        <v>139</v>
      </c>
      <c r="J4249" s="3" t="s">
        <v>3271</v>
      </c>
      <c r="L4249" t="str">
        <f t="shared" si="66"/>
        <v>http://www.badatelna.eu/reprodukce/?fondId=1073&amp;zaznamId=1108951&amp;reproId=3778809</v>
      </c>
      <c r="M4249">
        <f>VLOOKUP(F4249,Sheet2!$B$1:$E$19,2,FALSE)</f>
        <v>1073</v>
      </c>
      <c r="N4249">
        <f>VLOOKUP(F4249,Sheet2!$B$1:$E$19,3,FALSE)</f>
        <v>1108951</v>
      </c>
      <c r="O4249">
        <f>IF(G4249="Not available","",VLOOKUP(F4249,Sheet2!$B$1:$E$19,4,FALSE)+(G4249-1))</f>
        <v>3778809</v>
      </c>
    </row>
    <row r="4250" spans="1:15" s="1" customFormat="1" ht="15" customHeight="1" x14ac:dyDescent="0.25">
      <c r="A4250" s="18" t="s">
        <v>558</v>
      </c>
      <c r="B4250" s="18" t="s">
        <v>495</v>
      </c>
      <c r="C4250" s="5">
        <v>1839</v>
      </c>
      <c r="D4250" s="1" t="s">
        <v>100</v>
      </c>
      <c r="E4250" s="1" t="s">
        <v>2</v>
      </c>
      <c r="F4250" s="18">
        <v>2174</v>
      </c>
      <c r="G4250" s="18">
        <v>103</v>
      </c>
      <c r="H4250" s="6" t="s">
        <v>3172</v>
      </c>
      <c r="I4250" s="1">
        <v>202</v>
      </c>
      <c r="J4250" s="1">
        <v>237</v>
      </c>
      <c r="L4250" t="str">
        <f t="shared" si="66"/>
        <v>http://www.badatelna.eu/reprodukce/?fondId=1073&amp;zaznamId=1108960&amp;reproId=3780327</v>
      </c>
      <c r="M4250">
        <f>VLOOKUP(F4250,Sheet2!$B$1:$E$19,2,FALSE)</f>
        <v>1073</v>
      </c>
      <c r="N4250">
        <f>VLOOKUP(F4250,Sheet2!$B$1:$E$19,3,FALSE)</f>
        <v>1108960</v>
      </c>
      <c r="O4250">
        <f>IF(G4250="Not available","",VLOOKUP(F4250,Sheet2!$B$1:$E$19,4,FALSE)+(G4250-1))</f>
        <v>3780327</v>
      </c>
    </row>
    <row r="4251" spans="1:15" s="1" customFormat="1" ht="15" customHeight="1" x14ac:dyDescent="0.25">
      <c r="A4251" s="18" t="s">
        <v>558</v>
      </c>
      <c r="B4251" s="18" t="s">
        <v>715</v>
      </c>
      <c r="C4251" s="5">
        <v>1833</v>
      </c>
      <c r="E4251" s="1" t="s">
        <v>2</v>
      </c>
      <c r="F4251" s="18">
        <v>2174</v>
      </c>
      <c r="G4251" s="18">
        <v>72</v>
      </c>
      <c r="H4251" s="14" t="s">
        <v>3137</v>
      </c>
      <c r="I4251" s="1">
        <v>201</v>
      </c>
      <c r="J4251" s="1">
        <v>236</v>
      </c>
      <c r="L4251" t="str">
        <f t="shared" si="66"/>
        <v>http://www.badatelna.eu/reprodukce/?fondId=1073&amp;zaznamId=1108960&amp;reproId=3780296</v>
      </c>
      <c r="M4251">
        <f>VLOOKUP(F4251,Sheet2!$B$1:$E$19,2,FALSE)</f>
        <v>1073</v>
      </c>
      <c r="N4251">
        <f>VLOOKUP(F4251,Sheet2!$B$1:$E$19,3,FALSE)</f>
        <v>1108960</v>
      </c>
      <c r="O4251">
        <f>IF(G4251="Not available","",VLOOKUP(F4251,Sheet2!$B$1:$E$19,4,FALSE)+(G4251-1))</f>
        <v>3780296</v>
      </c>
    </row>
    <row r="4252" spans="1:15" s="1" customFormat="1" ht="15" customHeight="1" x14ac:dyDescent="0.25">
      <c r="A4252" s="18" t="s">
        <v>558</v>
      </c>
      <c r="B4252" s="18" t="s">
        <v>933</v>
      </c>
      <c r="C4252" s="5">
        <v>1858</v>
      </c>
      <c r="D4252" s="1" t="s">
        <v>55</v>
      </c>
      <c r="E4252" s="1" t="s">
        <v>2</v>
      </c>
      <c r="F4252" s="18">
        <v>2164</v>
      </c>
      <c r="G4252" s="18">
        <v>121</v>
      </c>
      <c r="H4252" s="5">
        <v>119</v>
      </c>
      <c r="I4252" s="1">
        <v>140</v>
      </c>
      <c r="J4252" s="3" t="s">
        <v>3271</v>
      </c>
      <c r="L4252" t="str">
        <f t="shared" si="66"/>
        <v>http://www.badatelna.eu/reprodukce/?fondId=1073&amp;zaznamId=1108951&amp;reproId=3778835</v>
      </c>
      <c r="M4252">
        <f>VLOOKUP(F4252,Sheet2!$B$1:$E$19,2,FALSE)</f>
        <v>1073</v>
      </c>
      <c r="N4252">
        <f>VLOOKUP(F4252,Sheet2!$B$1:$E$19,3,FALSE)</f>
        <v>1108951</v>
      </c>
      <c r="O4252">
        <f>IF(G4252="Not available","",VLOOKUP(F4252,Sheet2!$B$1:$E$19,4,FALSE)+(G4252-1))</f>
        <v>3778835</v>
      </c>
    </row>
    <row r="4253" spans="1:15" s="1" customFormat="1" ht="15" customHeight="1" x14ac:dyDescent="0.25">
      <c r="A4253" s="18" t="s">
        <v>558</v>
      </c>
      <c r="B4253" s="18" t="s">
        <v>901</v>
      </c>
      <c r="C4253" s="5">
        <v>1847</v>
      </c>
      <c r="D4253" s="1" t="s">
        <v>55</v>
      </c>
      <c r="E4253" s="1" t="s">
        <v>2</v>
      </c>
      <c r="F4253" s="18">
        <v>2164</v>
      </c>
      <c r="G4253" s="18">
        <v>9</v>
      </c>
      <c r="H4253" s="5">
        <v>7</v>
      </c>
      <c r="I4253" s="1">
        <v>139</v>
      </c>
      <c r="J4253" s="3" t="s">
        <v>3271</v>
      </c>
      <c r="L4253" t="str">
        <f t="shared" si="66"/>
        <v>http://www.badatelna.eu/reprodukce/?fondId=1073&amp;zaznamId=1108951&amp;reproId=3778723</v>
      </c>
      <c r="M4253">
        <f>VLOOKUP(F4253,Sheet2!$B$1:$E$19,2,FALSE)</f>
        <v>1073</v>
      </c>
      <c r="N4253">
        <f>VLOOKUP(F4253,Sheet2!$B$1:$E$19,3,FALSE)</f>
        <v>1108951</v>
      </c>
      <c r="O4253">
        <f>IF(G4253="Not available","",VLOOKUP(F4253,Sheet2!$B$1:$E$19,4,FALSE)+(G4253-1))</f>
        <v>3778723</v>
      </c>
    </row>
    <row r="4254" spans="1:15" s="1" customFormat="1" ht="15" customHeight="1" x14ac:dyDescent="0.25">
      <c r="A4254" s="18" t="s">
        <v>558</v>
      </c>
      <c r="B4254" s="18" t="s">
        <v>431</v>
      </c>
      <c r="C4254" s="5">
        <v>1856</v>
      </c>
      <c r="D4254" s="1" t="s">
        <v>55</v>
      </c>
      <c r="E4254" s="1" t="s">
        <v>2</v>
      </c>
      <c r="F4254" s="18">
        <v>2164</v>
      </c>
      <c r="G4254" s="18">
        <v>111</v>
      </c>
      <c r="H4254" s="5">
        <v>109</v>
      </c>
      <c r="I4254" s="1">
        <v>140</v>
      </c>
      <c r="J4254" s="3" t="s">
        <v>3271</v>
      </c>
      <c r="L4254" t="str">
        <f t="shared" si="66"/>
        <v>http://www.badatelna.eu/reprodukce/?fondId=1073&amp;zaznamId=1108951&amp;reproId=3778825</v>
      </c>
      <c r="M4254">
        <f>VLOOKUP(F4254,Sheet2!$B$1:$E$19,2,FALSE)</f>
        <v>1073</v>
      </c>
      <c r="N4254">
        <f>VLOOKUP(F4254,Sheet2!$B$1:$E$19,3,FALSE)</f>
        <v>1108951</v>
      </c>
      <c r="O4254">
        <f>IF(G4254="Not available","",VLOOKUP(F4254,Sheet2!$B$1:$E$19,4,FALSE)+(G4254-1))</f>
        <v>3778825</v>
      </c>
    </row>
    <row r="4255" spans="1:15" s="1" customFormat="1" ht="15" customHeight="1" x14ac:dyDescent="0.25">
      <c r="A4255" s="18" t="s">
        <v>558</v>
      </c>
      <c r="B4255" s="18" t="s">
        <v>602</v>
      </c>
      <c r="C4255" s="5">
        <v>1843</v>
      </c>
      <c r="D4255" s="1" t="s">
        <v>700</v>
      </c>
      <c r="E4255" s="1" t="s">
        <v>2</v>
      </c>
      <c r="F4255" s="18">
        <v>2174</v>
      </c>
      <c r="G4255" s="18">
        <v>139</v>
      </c>
      <c r="H4255" s="6" t="s">
        <v>3206</v>
      </c>
      <c r="I4255" s="1">
        <v>202</v>
      </c>
      <c r="J4255" s="1">
        <v>238</v>
      </c>
      <c r="L4255" t="str">
        <f t="shared" si="66"/>
        <v>http://www.badatelna.eu/reprodukce/?fondId=1073&amp;zaznamId=1108960&amp;reproId=3780363</v>
      </c>
      <c r="M4255">
        <f>VLOOKUP(F4255,Sheet2!$B$1:$E$19,2,FALSE)</f>
        <v>1073</v>
      </c>
      <c r="N4255">
        <f>VLOOKUP(F4255,Sheet2!$B$1:$E$19,3,FALSE)</f>
        <v>1108960</v>
      </c>
      <c r="O4255">
        <f>IF(G4255="Not available","",VLOOKUP(F4255,Sheet2!$B$1:$E$19,4,FALSE)+(G4255-1))</f>
        <v>3780363</v>
      </c>
    </row>
    <row r="4256" spans="1:15" s="1" customFormat="1" ht="15" customHeight="1" x14ac:dyDescent="0.25">
      <c r="A4256" s="19" t="s">
        <v>558</v>
      </c>
      <c r="B4256" s="18" t="s">
        <v>49</v>
      </c>
      <c r="C4256" s="5">
        <v>1814</v>
      </c>
      <c r="E4256" s="1" t="s">
        <v>2</v>
      </c>
      <c r="F4256" s="18">
        <v>2173</v>
      </c>
      <c r="G4256" s="18">
        <v>62</v>
      </c>
      <c r="H4256" s="5">
        <v>119</v>
      </c>
      <c r="I4256" s="1">
        <v>116</v>
      </c>
      <c r="J4256" s="1">
        <v>253</v>
      </c>
      <c r="L4256" t="str">
        <f t="shared" si="66"/>
        <v>http://www.badatelna.eu/reprodukce/?fondId=1073&amp;zaznamId=1108959&amp;reproId=3780055</v>
      </c>
      <c r="M4256">
        <f>VLOOKUP(F4256,Sheet2!$B$1:$E$19,2,FALSE)</f>
        <v>1073</v>
      </c>
      <c r="N4256">
        <f>VLOOKUP(F4256,Sheet2!$B$1:$E$19,3,FALSE)</f>
        <v>1108959</v>
      </c>
      <c r="O4256">
        <f>IF(G4256="Not available","",VLOOKUP(F4256,Sheet2!$B$1:$E$19,4,FALSE)+(G4256-1))</f>
        <v>3780055</v>
      </c>
    </row>
    <row r="4257" spans="1:15" s="1" customFormat="1" ht="15" customHeight="1" x14ac:dyDescent="0.25">
      <c r="A4257" s="18" t="s">
        <v>558</v>
      </c>
      <c r="B4257" s="18" t="s">
        <v>49</v>
      </c>
      <c r="C4257" s="5">
        <v>1815</v>
      </c>
      <c r="E4257" s="1" t="s">
        <v>2</v>
      </c>
      <c r="F4257" s="18">
        <v>2173</v>
      </c>
      <c r="G4257" s="18">
        <v>64</v>
      </c>
      <c r="H4257" s="5">
        <v>122</v>
      </c>
      <c r="I4257" s="1">
        <v>116</v>
      </c>
      <c r="J4257" s="1">
        <v>253</v>
      </c>
      <c r="L4257" t="str">
        <f t="shared" si="66"/>
        <v>http://www.badatelna.eu/reprodukce/?fondId=1073&amp;zaznamId=1108959&amp;reproId=3780057</v>
      </c>
      <c r="M4257">
        <f>VLOOKUP(F4257,Sheet2!$B$1:$E$19,2,FALSE)</f>
        <v>1073</v>
      </c>
      <c r="N4257">
        <f>VLOOKUP(F4257,Sheet2!$B$1:$E$19,3,FALSE)</f>
        <v>1108959</v>
      </c>
      <c r="O4257">
        <f>IF(G4257="Not available","",VLOOKUP(F4257,Sheet2!$B$1:$E$19,4,FALSE)+(G4257-1))</f>
        <v>3780057</v>
      </c>
    </row>
    <row r="4258" spans="1:15" s="1" customFormat="1" ht="15" customHeight="1" x14ac:dyDescent="0.25">
      <c r="A4258" s="18" t="s">
        <v>558</v>
      </c>
      <c r="B4258" s="18" t="s">
        <v>907</v>
      </c>
      <c r="C4258" s="5">
        <v>1849</v>
      </c>
      <c r="D4258" s="1" t="s">
        <v>55</v>
      </c>
      <c r="E4258" s="1" t="s">
        <v>2</v>
      </c>
      <c r="F4258" s="18">
        <v>2164</v>
      </c>
      <c r="G4258" s="18">
        <v>50</v>
      </c>
      <c r="H4258" s="5">
        <v>48</v>
      </c>
      <c r="I4258" s="1">
        <v>139</v>
      </c>
      <c r="J4258" s="3" t="s">
        <v>3271</v>
      </c>
      <c r="L4258" t="str">
        <f t="shared" si="66"/>
        <v>http://www.badatelna.eu/reprodukce/?fondId=1073&amp;zaznamId=1108951&amp;reproId=3778764</v>
      </c>
      <c r="M4258">
        <f>VLOOKUP(F4258,Sheet2!$B$1:$E$19,2,FALSE)</f>
        <v>1073</v>
      </c>
      <c r="N4258">
        <f>VLOOKUP(F4258,Sheet2!$B$1:$E$19,3,FALSE)</f>
        <v>1108951</v>
      </c>
      <c r="O4258">
        <f>IF(G4258="Not available","",VLOOKUP(F4258,Sheet2!$B$1:$E$19,4,FALSE)+(G4258-1))</f>
        <v>3778764</v>
      </c>
    </row>
    <row r="4259" spans="1:15" s="1" customFormat="1" ht="15" customHeight="1" x14ac:dyDescent="0.25">
      <c r="A4259" s="18" t="s">
        <v>558</v>
      </c>
      <c r="B4259" s="18" t="s">
        <v>778</v>
      </c>
      <c r="C4259" s="5">
        <v>1846</v>
      </c>
      <c r="D4259" s="1" t="s">
        <v>605</v>
      </c>
      <c r="E4259" s="1" t="s">
        <v>2</v>
      </c>
      <c r="F4259" s="18">
        <v>2174</v>
      </c>
      <c r="G4259" s="18">
        <v>165</v>
      </c>
      <c r="H4259" s="6" t="s">
        <v>3233</v>
      </c>
      <c r="I4259" s="1">
        <v>203</v>
      </c>
      <c r="J4259" s="1">
        <v>238</v>
      </c>
      <c r="L4259" t="str">
        <f t="shared" si="66"/>
        <v>http://www.badatelna.eu/reprodukce/?fondId=1073&amp;zaznamId=1108960&amp;reproId=3780389</v>
      </c>
      <c r="M4259">
        <f>VLOOKUP(F4259,Sheet2!$B$1:$E$19,2,FALSE)</f>
        <v>1073</v>
      </c>
      <c r="N4259">
        <f>VLOOKUP(F4259,Sheet2!$B$1:$E$19,3,FALSE)</f>
        <v>1108960</v>
      </c>
      <c r="O4259">
        <f>IF(G4259="Not available","",VLOOKUP(F4259,Sheet2!$B$1:$E$19,4,FALSE)+(G4259-1))</f>
        <v>3780389</v>
      </c>
    </row>
    <row r="4260" spans="1:15" s="1" customFormat="1" ht="15" customHeight="1" x14ac:dyDescent="0.25">
      <c r="A4260" s="18" t="s">
        <v>558</v>
      </c>
      <c r="B4260" s="18" t="s">
        <v>489</v>
      </c>
      <c r="C4260" s="5">
        <v>1832</v>
      </c>
      <c r="D4260" s="1" t="s">
        <v>427</v>
      </c>
      <c r="E4260" s="1" t="s">
        <v>2</v>
      </c>
      <c r="F4260" s="18">
        <v>2174</v>
      </c>
      <c r="G4260" s="18">
        <v>66</v>
      </c>
      <c r="H4260" s="6" t="s">
        <v>3133</v>
      </c>
      <c r="I4260" s="1">
        <v>201</v>
      </c>
      <c r="J4260" s="1">
        <v>236</v>
      </c>
      <c r="L4260" t="str">
        <f t="shared" si="66"/>
        <v>http://www.badatelna.eu/reprodukce/?fondId=1073&amp;zaznamId=1108960&amp;reproId=3780290</v>
      </c>
      <c r="M4260">
        <f>VLOOKUP(F4260,Sheet2!$B$1:$E$19,2,FALSE)</f>
        <v>1073</v>
      </c>
      <c r="N4260">
        <f>VLOOKUP(F4260,Sheet2!$B$1:$E$19,3,FALSE)</f>
        <v>1108960</v>
      </c>
      <c r="O4260">
        <f>IF(G4260="Not available","",VLOOKUP(F4260,Sheet2!$B$1:$E$19,4,FALSE)+(G4260-1))</f>
        <v>3780290</v>
      </c>
    </row>
    <row r="4261" spans="1:15" s="1" customFormat="1" ht="15" customHeight="1" x14ac:dyDescent="0.25">
      <c r="A4261" s="18" t="s">
        <v>558</v>
      </c>
      <c r="B4261" s="18" t="s">
        <v>2879</v>
      </c>
      <c r="C4261" s="5">
        <v>1862</v>
      </c>
      <c r="D4261" s="4" t="s">
        <v>55</v>
      </c>
      <c r="E4261" s="1" t="s">
        <v>939</v>
      </c>
      <c r="F4261" s="18">
        <v>999</v>
      </c>
      <c r="G4261" s="18">
        <v>33</v>
      </c>
      <c r="H4261" s="5">
        <v>31</v>
      </c>
      <c r="I4261" s="1">
        <v>76</v>
      </c>
      <c r="J4261" s="1">
        <v>110</v>
      </c>
      <c r="L4261" t="str">
        <f t="shared" si="66"/>
        <v>http://www.badatelna.eu/reprodukce/?fondId=241&amp;zaznamId=1133739&amp;reproId=3885762</v>
      </c>
      <c r="M4261">
        <f>VLOOKUP(F4261,Sheet2!$B$1:$E$19,2,FALSE)</f>
        <v>241</v>
      </c>
      <c r="N4261">
        <f>VLOOKUP(F4261,Sheet2!$B$1:$E$19,3,FALSE)</f>
        <v>1133739</v>
      </c>
      <c r="O4261">
        <f>IF(G4261="Not available","",VLOOKUP(F4261,Sheet2!$B$1:$E$19,4,FALSE)+(G4261-1))</f>
        <v>3885762</v>
      </c>
    </row>
    <row r="4262" spans="1:15" s="1" customFormat="1" ht="15" customHeight="1" x14ac:dyDescent="0.25">
      <c r="A4262" s="18" t="s">
        <v>558</v>
      </c>
      <c r="B4262" s="18" t="s">
        <v>398</v>
      </c>
      <c r="C4262" s="5">
        <v>1837</v>
      </c>
      <c r="D4262" s="1" t="s">
        <v>100</v>
      </c>
      <c r="E4262" s="1" t="s">
        <v>2</v>
      </c>
      <c r="F4262" s="18">
        <v>2174</v>
      </c>
      <c r="G4262" s="18">
        <v>94</v>
      </c>
      <c r="H4262" s="6" t="s">
        <v>3162</v>
      </c>
      <c r="I4262" s="1">
        <v>202</v>
      </c>
      <c r="J4262" s="1">
        <v>237</v>
      </c>
      <c r="L4262" t="str">
        <f t="shared" si="66"/>
        <v>http://www.badatelna.eu/reprodukce/?fondId=1073&amp;zaznamId=1108960&amp;reproId=3780318</v>
      </c>
      <c r="M4262">
        <f>VLOOKUP(F4262,Sheet2!$B$1:$E$19,2,FALSE)</f>
        <v>1073</v>
      </c>
      <c r="N4262">
        <f>VLOOKUP(F4262,Sheet2!$B$1:$E$19,3,FALSE)</f>
        <v>1108960</v>
      </c>
      <c r="O4262">
        <f>IF(G4262="Not available","",VLOOKUP(F4262,Sheet2!$B$1:$E$19,4,FALSE)+(G4262-1))</f>
        <v>3780318</v>
      </c>
    </row>
    <row r="4263" spans="1:15" s="1" customFormat="1" ht="15" customHeight="1" x14ac:dyDescent="0.25">
      <c r="A4263" s="18" t="s">
        <v>558</v>
      </c>
      <c r="B4263" s="18" t="s">
        <v>772</v>
      </c>
      <c r="C4263" s="5">
        <v>1845</v>
      </c>
      <c r="D4263" s="1" t="s">
        <v>100</v>
      </c>
      <c r="E4263" s="1" t="s">
        <v>2</v>
      </c>
      <c r="F4263" s="18">
        <v>2174</v>
      </c>
      <c r="G4263" s="18">
        <v>150</v>
      </c>
      <c r="H4263" s="6" t="s">
        <v>3217</v>
      </c>
      <c r="I4263" s="1">
        <v>202</v>
      </c>
      <c r="J4263" s="1">
        <v>238</v>
      </c>
      <c r="L4263" t="str">
        <f t="shared" si="66"/>
        <v>http://www.badatelna.eu/reprodukce/?fondId=1073&amp;zaznamId=1108960&amp;reproId=3780374</v>
      </c>
      <c r="M4263">
        <f>VLOOKUP(F4263,Sheet2!$B$1:$E$19,2,FALSE)</f>
        <v>1073</v>
      </c>
      <c r="N4263">
        <f>VLOOKUP(F4263,Sheet2!$B$1:$E$19,3,FALSE)</f>
        <v>1108960</v>
      </c>
      <c r="O4263">
        <f>IF(G4263="Not available","",VLOOKUP(F4263,Sheet2!$B$1:$E$19,4,FALSE)+(G4263-1))</f>
        <v>3780374</v>
      </c>
    </row>
    <row r="4264" spans="1:15" s="1" customFormat="1" ht="15" customHeight="1" x14ac:dyDescent="0.25">
      <c r="A4264" s="18" t="s">
        <v>558</v>
      </c>
      <c r="B4264" s="18" t="s">
        <v>593</v>
      </c>
      <c r="C4264" s="5">
        <v>1840</v>
      </c>
      <c r="D4264" s="1" t="s">
        <v>100</v>
      </c>
      <c r="E4264" s="1" t="s">
        <v>2</v>
      </c>
      <c r="F4264" s="18">
        <v>2174</v>
      </c>
      <c r="G4264" s="18">
        <v>110</v>
      </c>
      <c r="H4264" s="6" t="s">
        <v>3178</v>
      </c>
      <c r="I4264" s="1">
        <v>202</v>
      </c>
      <c r="J4264" s="1">
        <v>237</v>
      </c>
      <c r="L4264" t="str">
        <f t="shared" si="66"/>
        <v>http://www.badatelna.eu/reprodukce/?fondId=1073&amp;zaznamId=1108960&amp;reproId=3780334</v>
      </c>
      <c r="M4264">
        <f>VLOOKUP(F4264,Sheet2!$B$1:$E$19,2,FALSE)</f>
        <v>1073</v>
      </c>
      <c r="N4264">
        <f>VLOOKUP(F4264,Sheet2!$B$1:$E$19,3,FALSE)</f>
        <v>1108960</v>
      </c>
      <c r="O4264">
        <f>IF(G4264="Not available","",VLOOKUP(F4264,Sheet2!$B$1:$E$19,4,FALSE)+(G4264-1))</f>
        <v>3780334</v>
      </c>
    </row>
    <row r="4265" spans="1:15" s="1" customFormat="1" ht="15" customHeight="1" x14ac:dyDescent="0.25">
      <c r="A4265" s="18" t="s">
        <v>558</v>
      </c>
      <c r="B4265" s="18" t="s">
        <v>593</v>
      </c>
      <c r="C4265" s="5">
        <v>1859</v>
      </c>
      <c r="E4265" s="1" t="s">
        <v>939</v>
      </c>
      <c r="F4265" s="18">
        <v>999</v>
      </c>
      <c r="G4265" s="18">
        <v>20</v>
      </c>
      <c r="H4265" s="5">
        <v>16</v>
      </c>
      <c r="I4265" s="1">
        <v>76</v>
      </c>
      <c r="J4265" s="1">
        <v>110</v>
      </c>
      <c r="L4265" t="str">
        <f t="shared" si="66"/>
        <v>http://www.badatelna.eu/reprodukce/?fondId=241&amp;zaznamId=1133739&amp;reproId=3885749</v>
      </c>
      <c r="M4265">
        <f>VLOOKUP(F4265,Sheet2!$B$1:$E$19,2,FALSE)</f>
        <v>241</v>
      </c>
      <c r="N4265">
        <f>VLOOKUP(F4265,Sheet2!$B$1:$E$19,3,FALSE)</f>
        <v>1133739</v>
      </c>
      <c r="O4265">
        <f>IF(G4265="Not available","",VLOOKUP(F4265,Sheet2!$B$1:$E$19,4,FALSE)+(G4265-1))</f>
        <v>3885749</v>
      </c>
    </row>
    <row r="4266" spans="1:15" s="1" customFormat="1" ht="15" customHeight="1" x14ac:dyDescent="0.25">
      <c r="A4266" s="18" t="s">
        <v>558</v>
      </c>
      <c r="B4266" s="18" t="s">
        <v>663</v>
      </c>
      <c r="C4266" s="5">
        <v>1846</v>
      </c>
      <c r="D4266" s="1" t="s">
        <v>21</v>
      </c>
      <c r="E4266" s="1" t="s">
        <v>2</v>
      </c>
      <c r="F4266" s="18">
        <v>2174</v>
      </c>
      <c r="G4266" s="18">
        <v>167</v>
      </c>
      <c r="H4266" s="6" t="s">
        <v>3234</v>
      </c>
      <c r="I4266" s="1">
        <v>203</v>
      </c>
      <c r="J4266" s="1">
        <v>238</v>
      </c>
      <c r="L4266" t="str">
        <f t="shared" si="66"/>
        <v>http://www.badatelna.eu/reprodukce/?fondId=1073&amp;zaznamId=1108960&amp;reproId=3780391</v>
      </c>
      <c r="M4266">
        <f>VLOOKUP(F4266,Sheet2!$B$1:$E$19,2,FALSE)</f>
        <v>1073</v>
      </c>
      <c r="N4266">
        <f>VLOOKUP(F4266,Sheet2!$B$1:$E$19,3,FALSE)</f>
        <v>1108960</v>
      </c>
      <c r="O4266">
        <f>IF(G4266="Not available","",VLOOKUP(F4266,Sheet2!$B$1:$E$19,4,FALSE)+(G4266-1))</f>
        <v>3780391</v>
      </c>
    </row>
    <row r="4267" spans="1:15" s="1" customFormat="1" ht="15" customHeight="1" x14ac:dyDescent="0.25">
      <c r="A4267" s="18" t="s">
        <v>558</v>
      </c>
      <c r="B4267" s="18" t="s">
        <v>656</v>
      </c>
      <c r="C4267" s="5">
        <v>1837</v>
      </c>
      <c r="D4267" s="1" t="s">
        <v>696</v>
      </c>
      <c r="E4267" s="1" t="s">
        <v>2</v>
      </c>
      <c r="F4267" s="18">
        <v>2174</v>
      </c>
      <c r="G4267" s="18">
        <v>94</v>
      </c>
      <c r="H4267" s="6" t="s">
        <v>3162</v>
      </c>
      <c r="I4267" s="1">
        <v>202</v>
      </c>
      <c r="J4267" s="1">
        <v>237</v>
      </c>
      <c r="L4267" t="str">
        <f t="shared" si="66"/>
        <v>http://www.badatelna.eu/reprodukce/?fondId=1073&amp;zaznamId=1108960&amp;reproId=3780318</v>
      </c>
      <c r="M4267">
        <f>VLOOKUP(F4267,Sheet2!$B$1:$E$19,2,FALSE)</f>
        <v>1073</v>
      </c>
      <c r="N4267">
        <f>VLOOKUP(F4267,Sheet2!$B$1:$E$19,3,FALSE)</f>
        <v>1108960</v>
      </c>
      <c r="O4267">
        <f>IF(G4267="Not available","",VLOOKUP(F4267,Sheet2!$B$1:$E$19,4,FALSE)+(G4267-1))</f>
        <v>3780318</v>
      </c>
    </row>
    <row r="4268" spans="1:15" s="1" customFormat="1" ht="15" customHeight="1" x14ac:dyDescent="0.25">
      <c r="A4268" s="18" t="s">
        <v>558</v>
      </c>
      <c r="B4268" s="18" t="s">
        <v>44</v>
      </c>
      <c r="C4268" s="5">
        <v>1844</v>
      </c>
      <c r="D4268" s="1" t="s">
        <v>55</v>
      </c>
      <c r="E4268" s="1" t="s">
        <v>2</v>
      </c>
      <c r="F4268" s="18">
        <v>2174</v>
      </c>
      <c r="G4268" s="18">
        <v>146</v>
      </c>
      <c r="H4268" s="6" t="s">
        <v>3215</v>
      </c>
      <c r="I4268" s="1">
        <v>202</v>
      </c>
      <c r="J4268" s="1">
        <v>238</v>
      </c>
      <c r="L4268" t="str">
        <f t="shared" si="66"/>
        <v>http://www.badatelna.eu/reprodukce/?fondId=1073&amp;zaznamId=1108960&amp;reproId=3780370</v>
      </c>
      <c r="M4268">
        <f>VLOOKUP(F4268,Sheet2!$B$1:$E$19,2,FALSE)</f>
        <v>1073</v>
      </c>
      <c r="N4268">
        <f>VLOOKUP(F4268,Sheet2!$B$1:$E$19,3,FALSE)</f>
        <v>1108960</v>
      </c>
      <c r="O4268">
        <f>IF(G4268="Not available","",VLOOKUP(F4268,Sheet2!$B$1:$E$19,4,FALSE)+(G4268-1))</f>
        <v>3780370</v>
      </c>
    </row>
    <row r="4269" spans="1:15" s="1" customFormat="1" ht="15" customHeight="1" x14ac:dyDescent="0.25">
      <c r="A4269" s="18" t="s">
        <v>558</v>
      </c>
      <c r="B4269" s="18" t="s">
        <v>44</v>
      </c>
      <c r="C4269" s="5">
        <v>1849</v>
      </c>
      <c r="D4269" s="1" t="s">
        <v>700</v>
      </c>
      <c r="E4269" s="1" t="s">
        <v>2</v>
      </c>
      <c r="F4269" s="18">
        <v>2164</v>
      </c>
      <c r="G4269" s="18">
        <v>43</v>
      </c>
      <c r="H4269" s="5">
        <v>41</v>
      </c>
      <c r="I4269" s="1">
        <v>139</v>
      </c>
      <c r="J4269" s="3" t="s">
        <v>3271</v>
      </c>
      <c r="L4269" t="str">
        <f t="shared" si="66"/>
        <v>http://www.badatelna.eu/reprodukce/?fondId=1073&amp;zaznamId=1108951&amp;reproId=3778757</v>
      </c>
      <c r="M4269">
        <f>VLOOKUP(F4269,Sheet2!$B$1:$E$19,2,FALSE)</f>
        <v>1073</v>
      </c>
      <c r="N4269">
        <f>VLOOKUP(F4269,Sheet2!$B$1:$E$19,3,FALSE)</f>
        <v>1108951</v>
      </c>
      <c r="O4269">
        <f>IF(G4269="Not available","",VLOOKUP(F4269,Sheet2!$B$1:$E$19,4,FALSE)+(G4269-1))</f>
        <v>3778757</v>
      </c>
    </row>
    <row r="4270" spans="1:15" s="1" customFormat="1" ht="15" customHeight="1" x14ac:dyDescent="0.25">
      <c r="A4270" s="19" t="s">
        <v>558</v>
      </c>
      <c r="B4270" s="18" t="s">
        <v>23</v>
      </c>
      <c r="C4270" s="5">
        <v>1803</v>
      </c>
      <c r="E4270" s="1" t="s">
        <v>2</v>
      </c>
      <c r="F4270" s="18">
        <v>2173</v>
      </c>
      <c r="G4270" s="18">
        <v>47</v>
      </c>
      <c r="H4270" s="5">
        <v>89</v>
      </c>
      <c r="I4270" s="1">
        <v>116</v>
      </c>
      <c r="J4270" s="1">
        <v>252</v>
      </c>
      <c r="L4270" t="str">
        <f t="shared" si="66"/>
        <v>http://www.badatelna.eu/reprodukce/?fondId=1073&amp;zaznamId=1108959&amp;reproId=3780040</v>
      </c>
      <c r="M4270">
        <f>VLOOKUP(F4270,Sheet2!$B$1:$E$19,2,FALSE)</f>
        <v>1073</v>
      </c>
      <c r="N4270">
        <f>VLOOKUP(F4270,Sheet2!$B$1:$E$19,3,FALSE)</f>
        <v>1108959</v>
      </c>
      <c r="O4270">
        <f>IF(G4270="Not available","",VLOOKUP(F4270,Sheet2!$B$1:$E$19,4,FALSE)+(G4270-1))</f>
        <v>3780040</v>
      </c>
    </row>
    <row r="4271" spans="1:15" s="1" customFormat="1" ht="15" customHeight="1" x14ac:dyDescent="0.25">
      <c r="A4271" s="18" t="s">
        <v>558</v>
      </c>
      <c r="B4271" s="18" t="s">
        <v>846</v>
      </c>
      <c r="C4271" s="5">
        <v>1847</v>
      </c>
      <c r="D4271" s="1" t="s">
        <v>21</v>
      </c>
      <c r="E4271" s="1" t="s">
        <v>2</v>
      </c>
      <c r="F4271" s="18">
        <v>2164</v>
      </c>
      <c r="G4271" s="18">
        <v>23</v>
      </c>
      <c r="H4271" s="5">
        <v>21</v>
      </c>
      <c r="I4271" s="1">
        <v>139</v>
      </c>
      <c r="J4271" s="3" t="s">
        <v>3271</v>
      </c>
      <c r="L4271" t="str">
        <f t="shared" si="66"/>
        <v>http://www.badatelna.eu/reprodukce/?fondId=1073&amp;zaznamId=1108951&amp;reproId=3778737</v>
      </c>
      <c r="M4271">
        <f>VLOOKUP(F4271,Sheet2!$B$1:$E$19,2,FALSE)</f>
        <v>1073</v>
      </c>
      <c r="N4271">
        <f>VLOOKUP(F4271,Sheet2!$B$1:$E$19,3,FALSE)</f>
        <v>1108951</v>
      </c>
      <c r="O4271">
        <f>IF(G4271="Not available","",VLOOKUP(F4271,Sheet2!$B$1:$E$19,4,FALSE)+(G4271-1))</f>
        <v>3778737</v>
      </c>
    </row>
    <row r="4272" spans="1:15" s="1" customFormat="1" ht="15" customHeight="1" x14ac:dyDescent="0.25">
      <c r="A4272" s="18" t="s">
        <v>1196</v>
      </c>
      <c r="B4272" s="18" t="s">
        <v>1136</v>
      </c>
      <c r="C4272" s="5">
        <v>1889</v>
      </c>
      <c r="D4272" s="1" t="s">
        <v>44</v>
      </c>
      <c r="E4272" s="1" t="s">
        <v>2</v>
      </c>
      <c r="F4272" s="18">
        <v>2165</v>
      </c>
      <c r="G4272" s="18">
        <v>224</v>
      </c>
      <c r="H4272" s="5">
        <v>3</v>
      </c>
      <c r="I4272" s="1">
        <v>225</v>
      </c>
      <c r="J4272" s="1">
        <v>201</v>
      </c>
      <c r="L4272" t="str">
        <f t="shared" si="66"/>
        <v>http://www.badatelna.eu/reprodukce/?fondId=1073&amp;zaznamId=1108952&amp;reproId=3779085</v>
      </c>
      <c r="M4272">
        <f>VLOOKUP(F4272,Sheet2!$B$1:$E$19,2,FALSE)</f>
        <v>1073</v>
      </c>
      <c r="N4272">
        <f>VLOOKUP(F4272,Sheet2!$B$1:$E$19,3,FALSE)</f>
        <v>1108952</v>
      </c>
      <c r="O4272">
        <f>IF(G4272="Not available","",VLOOKUP(F4272,Sheet2!$B$1:$E$19,4,FALSE)+(G4272-1))</f>
        <v>3779085</v>
      </c>
    </row>
    <row r="4273" spans="1:15" s="1" customFormat="1" ht="15" customHeight="1" x14ac:dyDescent="0.25">
      <c r="A4273" s="18" t="s">
        <v>1196</v>
      </c>
      <c r="B4273" s="18" t="s">
        <v>1136</v>
      </c>
      <c r="C4273" s="10" t="s">
        <v>2068</v>
      </c>
      <c r="D4273" s="3" t="s">
        <v>2702</v>
      </c>
      <c r="E4273" s="4" t="s">
        <v>2</v>
      </c>
      <c r="F4273" s="18">
        <v>2176</v>
      </c>
      <c r="G4273" s="18" t="s">
        <v>3271</v>
      </c>
      <c r="H4273" s="10" t="s">
        <v>2146</v>
      </c>
      <c r="I4273" s="3">
        <v>41</v>
      </c>
      <c r="J4273" s="3" t="s">
        <v>3271</v>
      </c>
      <c r="K4273" s="3"/>
      <c r="L4273" t="str">
        <f t="shared" si="66"/>
        <v/>
      </c>
      <c r="M4273">
        <f>VLOOKUP(F4273,Sheet2!$B$1:$E$19,2,FALSE)</f>
        <v>1073</v>
      </c>
      <c r="N4273">
        <f>VLOOKUP(F4273,Sheet2!$B$1:$E$19,3,FALSE)</f>
        <v>1108963</v>
      </c>
      <c r="O4273" t="str">
        <f>IF(G4273="Not available","",VLOOKUP(F4273,Sheet2!$B$1:$E$19,4,FALSE)+(G4273-1))</f>
        <v/>
      </c>
    </row>
    <row r="4274" spans="1:15" s="1" customFormat="1" ht="15" customHeight="1" x14ac:dyDescent="0.25">
      <c r="A4274" s="18" t="s">
        <v>1196</v>
      </c>
      <c r="B4274" s="18" t="s">
        <v>602</v>
      </c>
      <c r="C4274" s="5">
        <v>1889</v>
      </c>
      <c r="D4274" s="1" t="s">
        <v>44</v>
      </c>
      <c r="E4274" s="1" t="s">
        <v>2</v>
      </c>
      <c r="F4274" s="18">
        <v>2165</v>
      </c>
      <c r="G4274" s="18">
        <v>221</v>
      </c>
      <c r="H4274" s="5">
        <v>1</v>
      </c>
      <c r="I4274" s="1">
        <v>225</v>
      </c>
      <c r="J4274" s="1">
        <v>201</v>
      </c>
      <c r="L4274" t="str">
        <f t="shared" si="66"/>
        <v>http://www.badatelna.eu/reprodukce/?fondId=1073&amp;zaznamId=1108952&amp;reproId=3779082</v>
      </c>
      <c r="M4274">
        <f>VLOOKUP(F4274,Sheet2!$B$1:$E$19,2,FALSE)</f>
        <v>1073</v>
      </c>
      <c r="N4274">
        <f>VLOOKUP(F4274,Sheet2!$B$1:$E$19,3,FALSE)</f>
        <v>1108952</v>
      </c>
      <c r="O4274">
        <f>IF(G4274="Not available","",VLOOKUP(F4274,Sheet2!$B$1:$E$19,4,FALSE)+(G4274-1))</f>
        <v>3779082</v>
      </c>
    </row>
    <row r="4275" spans="1:15" s="1" customFormat="1" ht="15" customHeight="1" x14ac:dyDescent="0.25">
      <c r="A4275" s="18" t="s">
        <v>1196</v>
      </c>
      <c r="B4275" s="18" t="s">
        <v>602</v>
      </c>
      <c r="C4275" s="10" t="s">
        <v>2068</v>
      </c>
      <c r="D4275" s="3" t="s">
        <v>2702</v>
      </c>
      <c r="E4275" s="4" t="s">
        <v>2</v>
      </c>
      <c r="F4275" s="18">
        <v>2176</v>
      </c>
      <c r="G4275" s="18" t="s">
        <v>3271</v>
      </c>
      <c r="H4275" s="10" t="s">
        <v>1954</v>
      </c>
      <c r="I4275" s="3">
        <v>41</v>
      </c>
      <c r="J4275" s="3" t="s">
        <v>3271</v>
      </c>
      <c r="K4275" s="3"/>
      <c r="L4275" t="str">
        <f t="shared" si="66"/>
        <v/>
      </c>
      <c r="M4275">
        <f>VLOOKUP(F4275,Sheet2!$B$1:$E$19,2,FALSE)</f>
        <v>1073</v>
      </c>
      <c r="N4275">
        <f>VLOOKUP(F4275,Sheet2!$B$1:$E$19,3,FALSE)</f>
        <v>1108963</v>
      </c>
      <c r="O4275" t="str">
        <f>IF(G4275="Not available","",VLOOKUP(F4275,Sheet2!$B$1:$E$19,4,FALSE)+(G4275-1))</f>
        <v/>
      </c>
    </row>
    <row r="4276" spans="1:15" s="1" customFormat="1" ht="15" customHeight="1" x14ac:dyDescent="0.25">
      <c r="A4276" s="18" t="s">
        <v>1196</v>
      </c>
      <c r="B4276" s="18" t="s">
        <v>1212</v>
      </c>
      <c r="C4276" s="10" t="s">
        <v>2072</v>
      </c>
      <c r="D4276" s="3" t="s">
        <v>2706</v>
      </c>
      <c r="E4276" s="4" t="s">
        <v>2</v>
      </c>
      <c r="F4276" s="18">
        <v>2176</v>
      </c>
      <c r="G4276" s="18" t="s">
        <v>3271</v>
      </c>
      <c r="H4276" s="10" t="s">
        <v>2088</v>
      </c>
      <c r="I4276" s="3">
        <v>42</v>
      </c>
      <c r="J4276" s="3" t="s">
        <v>3271</v>
      </c>
      <c r="K4276" s="3"/>
      <c r="L4276" t="str">
        <f t="shared" si="66"/>
        <v/>
      </c>
      <c r="M4276">
        <f>VLOOKUP(F4276,Sheet2!$B$1:$E$19,2,FALSE)</f>
        <v>1073</v>
      </c>
      <c r="N4276">
        <f>VLOOKUP(F4276,Sheet2!$B$1:$E$19,3,FALSE)</f>
        <v>1108963</v>
      </c>
      <c r="O4276" t="str">
        <f>IF(G4276="Not available","",VLOOKUP(F4276,Sheet2!$B$1:$E$19,4,FALSE)+(G4276-1))</f>
        <v/>
      </c>
    </row>
    <row r="4277" spans="1:15" s="1" customFormat="1" ht="15" customHeight="1" x14ac:dyDescent="0.25">
      <c r="A4277" s="18" t="s">
        <v>1196</v>
      </c>
      <c r="B4277" s="18" t="s">
        <v>1212</v>
      </c>
      <c r="C4277" s="5" t="s">
        <v>1787</v>
      </c>
      <c r="D4277" s="1" t="s">
        <v>44</v>
      </c>
      <c r="E4277" s="1" t="s">
        <v>2</v>
      </c>
      <c r="F4277" s="18">
        <v>2165</v>
      </c>
      <c r="G4277" s="18">
        <v>234</v>
      </c>
      <c r="H4277" s="5">
        <v>1</v>
      </c>
      <c r="I4277" s="1">
        <v>238</v>
      </c>
      <c r="J4277" s="1">
        <v>214</v>
      </c>
      <c r="L4277" t="str">
        <f t="shared" si="66"/>
        <v>http://www.badatelna.eu/reprodukce/?fondId=1073&amp;zaznamId=1108952&amp;reproId=3779095</v>
      </c>
      <c r="M4277">
        <f>VLOOKUP(F4277,Sheet2!$B$1:$E$19,2,FALSE)</f>
        <v>1073</v>
      </c>
      <c r="N4277">
        <f>VLOOKUP(F4277,Sheet2!$B$1:$E$19,3,FALSE)</f>
        <v>1108952</v>
      </c>
      <c r="O4277">
        <f>IF(G4277="Not available","",VLOOKUP(F4277,Sheet2!$B$1:$E$19,4,FALSE)+(G4277-1))</f>
        <v>3779095</v>
      </c>
    </row>
    <row r="4278" spans="1:15" s="1" customFormat="1" ht="15" customHeight="1" x14ac:dyDescent="0.25">
      <c r="A4278" s="18" t="s">
        <v>1196</v>
      </c>
      <c r="B4278" s="18" t="s">
        <v>1033</v>
      </c>
      <c r="C4278" s="10" t="s">
        <v>2079</v>
      </c>
      <c r="D4278" s="3" t="s">
        <v>2702</v>
      </c>
      <c r="E4278" s="4" t="s">
        <v>2</v>
      </c>
      <c r="F4278" s="18">
        <v>2176</v>
      </c>
      <c r="G4278" s="18" t="s">
        <v>3271</v>
      </c>
      <c r="H4278" s="10" t="s">
        <v>2006</v>
      </c>
      <c r="I4278" s="3">
        <v>42</v>
      </c>
      <c r="J4278" s="3" t="s">
        <v>3271</v>
      </c>
      <c r="K4278" s="3"/>
      <c r="L4278" t="str">
        <f t="shared" si="66"/>
        <v/>
      </c>
      <c r="M4278">
        <f>VLOOKUP(F4278,Sheet2!$B$1:$E$19,2,FALSE)</f>
        <v>1073</v>
      </c>
      <c r="N4278">
        <f>VLOOKUP(F4278,Sheet2!$B$1:$E$19,3,FALSE)</f>
        <v>1108963</v>
      </c>
      <c r="O4278" t="str">
        <f>IF(G4278="Not available","",VLOOKUP(F4278,Sheet2!$B$1:$E$19,4,FALSE)+(G4278-1))</f>
        <v/>
      </c>
    </row>
    <row r="4279" spans="1:15" s="1" customFormat="1" ht="15" customHeight="1" x14ac:dyDescent="0.25">
      <c r="A4279" s="18" t="s">
        <v>1196</v>
      </c>
      <c r="B4279" s="18" t="s">
        <v>1033</v>
      </c>
      <c r="C4279" s="5" t="s">
        <v>1808</v>
      </c>
      <c r="D4279" s="1" t="s">
        <v>44</v>
      </c>
      <c r="E4279" s="1" t="s">
        <v>2</v>
      </c>
      <c r="F4279" s="18">
        <v>2165</v>
      </c>
      <c r="G4279" s="18">
        <v>242</v>
      </c>
      <c r="H4279" s="5">
        <v>2</v>
      </c>
      <c r="I4279" s="1">
        <v>245</v>
      </c>
      <c r="J4279" s="1">
        <v>227</v>
      </c>
      <c r="L4279" t="str">
        <f t="shared" si="66"/>
        <v>http://www.badatelna.eu/reprodukce/?fondId=1073&amp;zaznamId=1108952&amp;reproId=3779103</v>
      </c>
      <c r="M4279">
        <f>VLOOKUP(F4279,Sheet2!$B$1:$E$19,2,FALSE)</f>
        <v>1073</v>
      </c>
      <c r="N4279">
        <f>VLOOKUP(F4279,Sheet2!$B$1:$E$19,3,FALSE)</f>
        <v>1108952</v>
      </c>
      <c r="O4279">
        <f>IF(G4279="Not available","",VLOOKUP(F4279,Sheet2!$B$1:$E$19,4,FALSE)+(G4279-1))</f>
        <v>3779103</v>
      </c>
    </row>
    <row r="4280" spans="1:15" s="1" customFormat="1" ht="15" customHeight="1" x14ac:dyDescent="0.25">
      <c r="A4280" s="18" t="s">
        <v>514</v>
      </c>
      <c r="B4280" s="18" t="s">
        <v>50</v>
      </c>
      <c r="C4280" s="28">
        <v>1800</v>
      </c>
      <c r="D4280" s="4" t="s">
        <v>3308</v>
      </c>
      <c r="E4280" s="1" t="s">
        <v>2</v>
      </c>
      <c r="F4280" s="18">
        <v>2173</v>
      </c>
      <c r="G4280" s="18">
        <v>42</v>
      </c>
      <c r="H4280" s="14" t="s">
        <v>3017</v>
      </c>
      <c r="I4280" s="1">
        <v>116</v>
      </c>
      <c r="J4280" s="1">
        <v>252</v>
      </c>
      <c r="L4280" t="str">
        <f t="shared" si="66"/>
        <v>http://www.badatelna.eu/reprodukce/?fondId=1073&amp;zaznamId=1108959&amp;reproId=3780035</v>
      </c>
      <c r="M4280">
        <f>VLOOKUP(F4280,Sheet2!$B$1:$E$19,2,FALSE)</f>
        <v>1073</v>
      </c>
      <c r="N4280">
        <f>VLOOKUP(F4280,Sheet2!$B$1:$E$19,3,FALSE)</f>
        <v>1108959</v>
      </c>
      <c r="O4280">
        <f>IF(G4280="Not available","",VLOOKUP(F4280,Sheet2!$B$1:$E$19,4,FALSE)+(G4280-1))</f>
        <v>3780035</v>
      </c>
    </row>
    <row r="4281" spans="1:15" s="1" customFormat="1" ht="15" customHeight="1" x14ac:dyDescent="0.25">
      <c r="A4281" s="18" t="s">
        <v>514</v>
      </c>
      <c r="B4281" s="18" t="s">
        <v>50</v>
      </c>
      <c r="C4281" s="10" t="s">
        <v>2024</v>
      </c>
      <c r="D4281" s="3" t="s">
        <v>2682</v>
      </c>
      <c r="E4281" s="4" t="s">
        <v>2</v>
      </c>
      <c r="F4281" s="18">
        <v>2176</v>
      </c>
      <c r="G4281" s="18" t="s">
        <v>3271</v>
      </c>
      <c r="H4281" s="10" t="s">
        <v>2683</v>
      </c>
      <c r="I4281" s="3">
        <v>41</v>
      </c>
      <c r="J4281" s="3" t="s">
        <v>3271</v>
      </c>
      <c r="K4281" s="3"/>
      <c r="L4281" t="str">
        <f t="shared" si="66"/>
        <v/>
      </c>
      <c r="M4281">
        <f>VLOOKUP(F4281,Sheet2!$B$1:$E$19,2,FALSE)</f>
        <v>1073</v>
      </c>
      <c r="N4281">
        <f>VLOOKUP(F4281,Sheet2!$B$1:$E$19,3,FALSE)</f>
        <v>1108963</v>
      </c>
      <c r="O4281" t="str">
        <f>IF(G4281="Not available","",VLOOKUP(F4281,Sheet2!$B$1:$E$19,4,FALSE)+(G4281-1))</f>
        <v/>
      </c>
    </row>
    <row r="4282" spans="1:15" s="1" customFormat="1" ht="15" customHeight="1" x14ac:dyDescent="0.25">
      <c r="A4282" s="18" t="s">
        <v>514</v>
      </c>
      <c r="B4282" s="18" t="s">
        <v>738</v>
      </c>
      <c r="C4282" s="5">
        <v>1850</v>
      </c>
      <c r="D4282" s="1" t="s">
        <v>12</v>
      </c>
      <c r="E4282" s="1" t="s">
        <v>2</v>
      </c>
      <c r="F4282" s="18">
        <v>2164</v>
      </c>
      <c r="G4282" s="18">
        <v>70</v>
      </c>
      <c r="H4282" s="5">
        <v>68</v>
      </c>
      <c r="I4282" s="1">
        <v>139</v>
      </c>
      <c r="J4282" s="3" t="s">
        <v>3271</v>
      </c>
      <c r="L4282" t="str">
        <f t="shared" si="66"/>
        <v>http://www.badatelna.eu/reprodukce/?fondId=1073&amp;zaznamId=1108951&amp;reproId=3778784</v>
      </c>
      <c r="M4282">
        <f>VLOOKUP(F4282,Sheet2!$B$1:$E$19,2,FALSE)</f>
        <v>1073</v>
      </c>
      <c r="N4282">
        <f>VLOOKUP(F4282,Sheet2!$B$1:$E$19,3,FALSE)</f>
        <v>1108951</v>
      </c>
      <c r="O4282">
        <f>IF(G4282="Not available","",VLOOKUP(F4282,Sheet2!$B$1:$E$19,4,FALSE)+(G4282-1))</f>
        <v>3778784</v>
      </c>
    </row>
    <row r="4283" spans="1:15" s="1" customFormat="1" ht="15" customHeight="1" x14ac:dyDescent="0.25">
      <c r="A4283" s="18" t="s">
        <v>514</v>
      </c>
      <c r="B4283" s="18" t="s">
        <v>477</v>
      </c>
      <c r="C4283" s="5">
        <v>1854</v>
      </c>
      <c r="D4283" s="1" t="s">
        <v>21</v>
      </c>
      <c r="E4283" s="1" t="s">
        <v>2</v>
      </c>
      <c r="F4283" s="18">
        <v>2164</v>
      </c>
      <c r="G4283" s="18">
        <v>99</v>
      </c>
      <c r="H4283" s="5">
        <v>97</v>
      </c>
      <c r="I4283" s="1">
        <v>139</v>
      </c>
      <c r="J4283" s="3" t="s">
        <v>3271</v>
      </c>
      <c r="L4283" t="str">
        <f t="shared" si="66"/>
        <v>http://www.badatelna.eu/reprodukce/?fondId=1073&amp;zaznamId=1108951&amp;reproId=3778813</v>
      </c>
      <c r="M4283">
        <f>VLOOKUP(F4283,Sheet2!$B$1:$E$19,2,FALSE)</f>
        <v>1073</v>
      </c>
      <c r="N4283">
        <f>VLOOKUP(F4283,Sheet2!$B$1:$E$19,3,FALSE)</f>
        <v>1108951</v>
      </c>
      <c r="O4283">
        <f>IF(G4283="Not available","",VLOOKUP(F4283,Sheet2!$B$1:$E$19,4,FALSE)+(G4283-1))</f>
        <v>3778813</v>
      </c>
    </row>
    <row r="4284" spans="1:15" s="1" customFormat="1" ht="15" customHeight="1" x14ac:dyDescent="0.25">
      <c r="A4284" s="18" t="s">
        <v>514</v>
      </c>
      <c r="B4284" s="18" t="s">
        <v>477</v>
      </c>
      <c r="C4284" s="5">
        <v>1856</v>
      </c>
      <c r="D4284" s="1" t="s">
        <v>16</v>
      </c>
      <c r="E4284" s="1" t="s">
        <v>2</v>
      </c>
      <c r="F4284" s="18">
        <v>2164</v>
      </c>
      <c r="G4284" s="18">
        <v>112</v>
      </c>
      <c r="H4284" s="5">
        <v>110</v>
      </c>
      <c r="I4284" s="1">
        <v>140</v>
      </c>
      <c r="J4284" s="3" t="s">
        <v>3271</v>
      </c>
      <c r="L4284" t="str">
        <f t="shared" si="66"/>
        <v>http://www.badatelna.eu/reprodukce/?fondId=1073&amp;zaznamId=1108951&amp;reproId=3778826</v>
      </c>
      <c r="M4284">
        <f>VLOOKUP(F4284,Sheet2!$B$1:$E$19,2,FALSE)</f>
        <v>1073</v>
      </c>
      <c r="N4284">
        <f>VLOOKUP(F4284,Sheet2!$B$1:$E$19,3,FALSE)</f>
        <v>1108951</v>
      </c>
      <c r="O4284">
        <f>IF(G4284="Not available","",VLOOKUP(F4284,Sheet2!$B$1:$E$19,4,FALSE)+(G4284-1))</f>
        <v>3778826</v>
      </c>
    </row>
    <row r="4285" spans="1:15" s="1" customFormat="1" ht="15" customHeight="1" x14ac:dyDescent="0.25">
      <c r="A4285" s="18" t="s">
        <v>514</v>
      </c>
      <c r="B4285" s="18" t="s">
        <v>477</v>
      </c>
      <c r="C4285" s="5">
        <v>1862</v>
      </c>
      <c r="D4285" s="4" t="s">
        <v>219</v>
      </c>
      <c r="E4285" s="1" t="s">
        <v>939</v>
      </c>
      <c r="F4285" s="18">
        <v>999</v>
      </c>
      <c r="G4285" s="18">
        <v>34</v>
      </c>
      <c r="H4285" s="5">
        <v>32</v>
      </c>
      <c r="I4285" s="1">
        <v>76</v>
      </c>
      <c r="J4285" s="1">
        <v>110</v>
      </c>
      <c r="L4285" t="str">
        <f t="shared" si="66"/>
        <v>http://www.badatelna.eu/reprodukce/?fondId=241&amp;zaznamId=1133739&amp;reproId=3885763</v>
      </c>
      <c r="M4285">
        <f>VLOOKUP(F4285,Sheet2!$B$1:$E$19,2,FALSE)</f>
        <v>241</v>
      </c>
      <c r="N4285">
        <f>VLOOKUP(F4285,Sheet2!$B$1:$E$19,3,FALSE)</f>
        <v>1133739</v>
      </c>
      <c r="O4285">
        <f>IF(G4285="Not available","",VLOOKUP(F4285,Sheet2!$B$1:$E$19,4,FALSE)+(G4285-1))</f>
        <v>3885763</v>
      </c>
    </row>
    <row r="4286" spans="1:15" s="1" customFormat="1" ht="15" customHeight="1" x14ac:dyDescent="0.25">
      <c r="A4286" s="18" t="s">
        <v>514</v>
      </c>
      <c r="B4286" s="18" t="s">
        <v>477</v>
      </c>
      <c r="C4286" s="5" t="s">
        <v>1627</v>
      </c>
      <c r="D4286" s="4" t="s">
        <v>3308</v>
      </c>
      <c r="E4286" s="1" t="s">
        <v>2</v>
      </c>
      <c r="F4286" s="18">
        <v>2165</v>
      </c>
      <c r="G4286" s="18">
        <v>41</v>
      </c>
      <c r="H4286" s="5">
        <v>38</v>
      </c>
      <c r="I4286" s="1">
        <v>92</v>
      </c>
      <c r="J4286" s="1" t="s">
        <v>3271</v>
      </c>
      <c r="L4286" t="str">
        <f t="shared" si="66"/>
        <v>http://www.badatelna.eu/reprodukce/?fondId=1073&amp;zaznamId=1108952&amp;reproId=3778902</v>
      </c>
      <c r="M4286">
        <f>VLOOKUP(F4286,Sheet2!$B$1:$E$19,2,FALSE)</f>
        <v>1073</v>
      </c>
      <c r="N4286">
        <f>VLOOKUP(F4286,Sheet2!$B$1:$E$19,3,FALSE)</f>
        <v>1108952</v>
      </c>
      <c r="O4286">
        <f>IF(G4286="Not available","",VLOOKUP(F4286,Sheet2!$B$1:$E$19,4,FALSE)+(G4286-1))</f>
        <v>3778902</v>
      </c>
    </row>
    <row r="4287" spans="1:15" s="1" customFormat="1" ht="15" customHeight="1" x14ac:dyDescent="0.25">
      <c r="A4287" s="18" t="s">
        <v>514</v>
      </c>
      <c r="B4287" s="18" t="s">
        <v>963</v>
      </c>
      <c r="C4287" s="6" t="s">
        <v>1625</v>
      </c>
      <c r="D4287" s="1" t="s">
        <v>16</v>
      </c>
      <c r="E4287" s="1" t="s">
        <v>2</v>
      </c>
      <c r="F4287" s="18">
        <v>2165</v>
      </c>
      <c r="G4287" s="18">
        <v>39</v>
      </c>
      <c r="H4287" s="5">
        <v>36</v>
      </c>
      <c r="I4287" s="1">
        <v>92</v>
      </c>
      <c r="J4287" s="1" t="s">
        <v>3271</v>
      </c>
      <c r="L4287" t="str">
        <f t="shared" si="66"/>
        <v>http://www.badatelna.eu/reprodukce/?fondId=1073&amp;zaznamId=1108952&amp;reproId=3778900</v>
      </c>
      <c r="M4287">
        <f>VLOOKUP(F4287,Sheet2!$B$1:$E$19,2,FALSE)</f>
        <v>1073</v>
      </c>
      <c r="N4287">
        <f>VLOOKUP(F4287,Sheet2!$B$1:$E$19,3,FALSE)</f>
        <v>1108952</v>
      </c>
      <c r="O4287">
        <f>IF(G4287="Not available","",VLOOKUP(F4287,Sheet2!$B$1:$E$19,4,FALSE)+(G4287-1))</f>
        <v>3778900</v>
      </c>
    </row>
    <row r="4288" spans="1:15" s="1" customFormat="1" ht="15" customHeight="1" x14ac:dyDescent="0.25">
      <c r="A4288" s="18" t="s">
        <v>514</v>
      </c>
      <c r="B4288" s="18" t="s">
        <v>963</v>
      </c>
      <c r="C4288" s="5" t="s">
        <v>1652</v>
      </c>
      <c r="D4288" s="1" t="s">
        <v>233</v>
      </c>
      <c r="E4288" s="1" t="s">
        <v>2</v>
      </c>
      <c r="F4288" s="18">
        <v>2165</v>
      </c>
      <c r="G4288" s="18">
        <v>61</v>
      </c>
      <c r="H4288" s="5">
        <v>58</v>
      </c>
      <c r="I4288" s="1">
        <v>93</v>
      </c>
      <c r="J4288" s="1" t="s">
        <v>3271</v>
      </c>
      <c r="L4288" t="str">
        <f t="shared" si="66"/>
        <v>http://www.badatelna.eu/reprodukce/?fondId=1073&amp;zaznamId=1108952&amp;reproId=3778922</v>
      </c>
      <c r="M4288">
        <f>VLOOKUP(F4288,Sheet2!$B$1:$E$19,2,FALSE)</f>
        <v>1073</v>
      </c>
      <c r="N4288">
        <f>VLOOKUP(F4288,Sheet2!$B$1:$E$19,3,FALSE)</f>
        <v>1108952</v>
      </c>
      <c r="O4288">
        <f>IF(G4288="Not available","",VLOOKUP(F4288,Sheet2!$B$1:$E$19,4,FALSE)+(G4288-1))</f>
        <v>3778922</v>
      </c>
    </row>
    <row r="4289" spans="1:15" s="1" customFormat="1" ht="15" customHeight="1" x14ac:dyDescent="0.25">
      <c r="A4289" s="18" t="s">
        <v>514</v>
      </c>
      <c r="B4289" s="18" t="s">
        <v>850</v>
      </c>
      <c r="C4289" s="10" t="s">
        <v>2024</v>
      </c>
      <c r="D4289" s="3" t="s">
        <v>2689</v>
      </c>
      <c r="E4289" s="4" t="s">
        <v>2</v>
      </c>
      <c r="F4289" s="18">
        <v>2176</v>
      </c>
      <c r="G4289" s="18" t="s">
        <v>3271</v>
      </c>
      <c r="H4289" s="10" t="s">
        <v>2690</v>
      </c>
      <c r="I4289" s="3">
        <v>41</v>
      </c>
      <c r="J4289" s="3" t="s">
        <v>3271</v>
      </c>
      <c r="K4289" s="3"/>
      <c r="L4289" t="str">
        <f t="shared" si="66"/>
        <v/>
      </c>
      <c r="M4289">
        <f>VLOOKUP(F4289,Sheet2!$B$1:$E$19,2,FALSE)</f>
        <v>1073</v>
      </c>
      <c r="N4289">
        <f>VLOOKUP(F4289,Sheet2!$B$1:$E$19,3,FALSE)</f>
        <v>1108963</v>
      </c>
      <c r="O4289" t="str">
        <f>IF(G4289="Not available","",VLOOKUP(F4289,Sheet2!$B$1:$E$19,4,FALSE)+(G4289-1))</f>
        <v/>
      </c>
    </row>
    <row r="4290" spans="1:15" s="1" customFormat="1" ht="15" customHeight="1" x14ac:dyDescent="0.25">
      <c r="A4290" s="18" t="s">
        <v>514</v>
      </c>
      <c r="B4290" s="18" t="s">
        <v>196</v>
      </c>
      <c r="C4290" s="5">
        <v>1856</v>
      </c>
      <c r="D4290" s="1" t="s">
        <v>21</v>
      </c>
      <c r="E4290" s="1" t="s">
        <v>2</v>
      </c>
      <c r="F4290" s="18">
        <v>2164</v>
      </c>
      <c r="G4290" s="18">
        <v>113</v>
      </c>
      <c r="H4290" s="5">
        <v>111</v>
      </c>
      <c r="I4290" s="1">
        <v>140</v>
      </c>
      <c r="J4290" s="3" t="s">
        <v>3271</v>
      </c>
      <c r="L4290" t="str">
        <f t="shared" si="66"/>
        <v>http://www.badatelna.eu/reprodukce/?fondId=1073&amp;zaznamId=1108951&amp;reproId=3778827</v>
      </c>
      <c r="M4290">
        <f>VLOOKUP(F4290,Sheet2!$B$1:$E$19,2,FALSE)</f>
        <v>1073</v>
      </c>
      <c r="N4290">
        <f>VLOOKUP(F4290,Sheet2!$B$1:$E$19,3,FALSE)</f>
        <v>1108951</v>
      </c>
      <c r="O4290">
        <f>IF(G4290="Not available","",VLOOKUP(F4290,Sheet2!$B$1:$E$19,4,FALSE)+(G4290-1))</f>
        <v>3778827</v>
      </c>
    </row>
    <row r="4291" spans="1:15" s="1" customFormat="1" ht="15" customHeight="1" x14ac:dyDescent="0.25">
      <c r="A4291" s="18" t="s">
        <v>514</v>
      </c>
      <c r="B4291" s="18" t="s">
        <v>975</v>
      </c>
      <c r="C4291" s="5">
        <v>1864</v>
      </c>
      <c r="D4291" s="4" t="s">
        <v>2653</v>
      </c>
      <c r="E4291" s="1" t="s">
        <v>939</v>
      </c>
      <c r="F4291" s="18">
        <v>999</v>
      </c>
      <c r="G4291" s="18">
        <v>50</v>
      </c>
      <c r="H4291" s="5">
        <v>46</v>
      </c>
      <c r="I4291" s="1">
        <v>76</v>
      </c>
      <c r="J4291" s="1">
        <v>110</v>
      </c>
      <c r="L4291" t="str">
        <f t="shared" ref="L4291:L4354" si="67">IF(G4291="Not available","","http://www.badatelna.eu/reprodukce/?fondId="&amp;M4291&amp;"&amp;zaznamId="&amp;N4291&amp;"&amp;reproId="&amp;O4291)</f>
        <v>http://www.badatelna.eu/reprodukce/?fondId=241&amp;zaznamId=1133739&amp;reproId=3885779</v>
      </c>
      <c r="M4291">
        <f>VLOOKUP(F4291,Sheet2!$B$1:$E$19,2,FALSE)</f>
        <v>241</v>
      </c>
      <c r="N4291">
        <f>VLOOKUP(F4291,Sheet2!$B$1:$E$19,3,FALSE)</f>
        <v>1133739</v>
      </c>
      <c r="O4291">
        <f>IF(G4291="Not available","",VLOOKUP(F4291,Sheet2!$B$1:$E$19,4,FALSE)+(G4291-1))</f>
        <v>3885779</v>
      </c>
    </row>
    <row r="4292" spans="1:15" s="1" customFormat="1" ht="15" customHeight="1" x14ac:dyDescent="0.25">
      <c r="A4292" s="18" t="s">
        <v>514</v>
      </c>
      <c r="B4292" s="18" t="s">
        <v>918</v>
      </c>
      <c r="C4292" s="5">
        <v>1852</v>
      </c>
      <c r="D4292" s="1" t="s">
        <v>484</v>
      </c>
      <c r="E4292" s="1" t="s">
        <v>2</v>
      </c>
      <c r="F4292" s="18">
        <v>2164</v>
      </c>
      <c r="G4292" s="18">
        <v>85</v>
      </c>
      <c r="H4292" s="5">
        <v>83</v>
      </c>
      <c r="I4292" s="1">
        <v>139</v>
      </c>
      <c r="J4292" s="3" t="s">
        <v>3271</v>
      </c>
      <c r="L4292" t="str">
        <f t="shared" si="67"/>
        <v>http://www.badatelna.eu/reprodukce/?fondId=1073&amp;zaznamId=1108951&amp;reproId=3778799</v>
      </c>
      <c r="M4292">
        <f>VLOOKUP(F4292,Sheet2!$B$1:$E$19,2,FALSE)</f>
        <v>1073</v>
      </c>
      <c r="N4292">
        <f>VLOOKUP(F4292,Sheet2!$B$1:$E$19,3,FALSE)</f>
        <v>1108951</v>
      </c>
      <c r="O4292">
        <f>IF(G4292="Not available","",VLOOKUP(F4292,Sheet2!$B$1:$E$19,4,FALSE)+(G4292-1))</f>
        <v>3778799</v>
      </c>
    </row>
    <row r="4293" spans="1:15" s="1" customFormat="1" ht="15" customHeight="1" x14ac:dyDescent="0.25">
      <c r="A4293" s="18" t="s">
        <v>514</v>
      </c>
      <c r="B4293" s="18" t="s">
        <v>819</v>
      </c>
      <c r="C4293" s="5" t="s">
        <v>1620</v>
      </c>
      <c r="D4293" s="1" t="s">
        <v>233</v>
      </c>
      <c r="E4293" s="1" t="s">
        <v>2</v>
      </c>
      <c r="F4293" s="18">
        <v>2165</v>
      </c>
      <c r="G4293" s="18">
        <v>33</v>
      </c>
      <c r="H4293" s="5">
        <v>30</v>
      </c>
      <c r="I4293" s="1">
        <v>92</v>
      </c>
      <c r="J4293" s="1" t="s">
        <v>3271</v>
      </c>
      <c r="L4293" t="str">
        <f t="shared" si="67"/>
        <v>http://www.badatelna.eu/reprodukce/?fondId=1073&amp;zaznamId=1108952&amp;reproId=3778894</v>
      </c>
      <c r="M4293">
        <f>VLOOKUP(F4293,Sheet2!$B$1:$E$19,2,FALSE)</f>
        <v>1073</v>
      </c>
      <c r="N4293">
        <f>VLOOKUP(F4293,Sheet2!$B$1:$E$19,3,FALSE)</f>
        <v>1108952</v>
      </c>
      <c r="O4293">
        <f>IF(G4293="Not available","",VLOOKUP(F4293,Sheet2!$B$1:$E$19,4,FALSE)+(G4293-1))</f>
        <v>3778894</v>
      </c>
    </row>
    <row r="4294" spans="1:15" s="1" customFormat="1" ht="15" customHeight="1" x14ac:dyDescent="0.25">
      <c r="A4294" s="18" t="s">
        <v>514</v>
      </c>
      <c r="B4294" s="18" t="s">
        <v>1968</v>
      </c>
      <c r="C4294" s="10" t="s">
        <v>2158</v>
      </c>
      <c r="D4294" s="3" t="s">
        <v>2722</v>
      </c>
      <c r="E4294" s="4" t="s">
        <v>2</v>
      </c>
      <c r="F4294" s="18">
        <v>2176</v>
      </c>
      <c r="G4294" s="18" t="s">
        <v>3271</v>
      </c>
      <c r="H4294" s="10" t="s">
        <v>2075</v>
      </c>
      <c r="I4294" s="3">
        <v>42</v>
      </c>
      <c r="J4294" s="3" t="s">
        <v>3271</v>
      </c>
      <c r="K4294" s="3"/>
      <c r="L4294" t="str">
        <f t="shared" si="67"/>
        <v/>
      </c>
      <c r="M4294">
        <f>VLOOKUP(F4294,Sheet2!$B$1:$E$19,2,FALSE)</f>
        <v>1073</v>
      </c>
      <c r="N4294">
        <f>VLOOKUP(F4294,Sheet2!$B$1:$E$19,3,FALSE)</f>
        <v>1108963</v>
      </c>
      <c r="O4294" t="str">
        <f>IF(G4294="Not available","",VLOOKUP(F4294,Sheet2!$B$1:$E$19,4,FALSE)+(G4294-1))</f>
        <v/>
      </c>
    </row>
    <row r="4295" spans="1:15" s="1" customFormat="1" ht="15" customHeight="1" x14ac:dyDescent="0.25">
      <c r="A4295" s="18" t="s">
        <v>514</v>
      </c>
      <c r="B4295" s="18" t="s">
        <v>2154</v>
      </c>
      <c r="C4295" s="10" t="s">
        <v>1949</v>
      </c>
      <c r="D4295" s="3" t="s">
        <v>2693</v>
      </c>
      <c r="E4295" s="4" t="s">
        <v>2</v>
      </c>
      <c r="F4295" s="18">
        <v>2176</v>
      </c>
      <c r="G4295" s="18" t="s">
        <v>3271</v>
      </c>
      <c r="H4295" s="10" t="s">
        <v>1959</v>
      </c>
      <c r="I4295" s="3">
        <v>41</v>
      </c>
      <c r="J4295" s="3" t="s">
        <v>3271</v>
      </c>
      <c r="K4295" s="3"/>
      <c r="L4295" t="str">
        <f t="shared" si="67"/>
        <v/>
      </c>
      <c r="M4295">
        <f>VLOOKUP(F4295,Sheet2!$B$1:$E$19,2,FALSE)</f>
        <v>1073</v>
      </c>
      <c r="N4295">
        <f>VLOOKUP(F4295,Sheet2!$B$1:$E$19,3,FALSE)</f>
        <v>1108963</v>
      </c>
      <c r="O4295" t="str">
        <f>IF(G4295="Not available","",VLOOKUP(F4295,Sheet2!$B$1:$E$19,4,FALSE)+(G4295-1))</f>
        <v/>
      </c>
    </row>
    <row r="4296" spans="1:15" s="1" customFormat="1" ht="15" customHeight="1" x14ac:dyDescent="0.25">
      <c r="A4296" s="18" t="s">
        <v>514</v>
      </c>
      <c r="B4296" s="18" t="s">
        <v>2471</v>
      </c>
      <c r="C4296" s="10" t="s">
        <v>1969</v>
      </c>
      <c r="D4296" s="3" t="s">
        <v>2379</v>
      </c>
      <c r="E4296" s="4" t="s">
        <v>2</v>
      </c>
      <c r="F4296" s="18">
        <v>2176</v>
      </c>
      <c r="G4296" s="18" t="s">
        <v>3271</v>
      </c>
      <c r="H4296" s="10" t="s">
        <v>2222</v>
      </c>
      <c r="I4296" s="3">
        <v>40</v>
      </c>
      <c r="J4296" s="3" t="s">
        <v>3271</v>
      </c>
      <c r="L4296" t="str">
        <f t="shared" si="67"/>
        <v/>
      </c>
      <c r="M4296">
        <f>VLOOKUP(F4296,Sheet2!$B$1:$E$19,2,FALSE)</f>
        <v>1073</v>
      </c>
      <c r="N4296">
        <f>VLOOKUP(F4296,Sheet2!$B$1:$E$19,3,FALSE)</f>
        <v>1108963</v>
      </c>
      <c r="O4296" t="str">
        <f>IF(G4296="Not available","",VLOOKUP(F4296,Sheet2!$B$1:$E$19,4,FALSE)+(G4296-1))</f>
        <v/>
      </c>
    </row>
    <row r="4297" spans="1:15" s="1" customFormat="1" ht="15" customHeight="1" x14ac:dyDescent="0.25">
      <c r="A4297" s="18" t="s">
        <v>514</v>
      </c>
      <c r="B4297" s="18" t="s">
        <v>16</v>
      </c>
      <c r="C4297" s="5">
        <v>1807</v>
      </c>
      <c r="D4297" s="4" t="s">
        <v>4</v>
      </c>
      <c r="E4297" s="1" t="s">
        <v>2</v>
      </c>
      <c r="F4297" s="18">
        <v>2173</v>
      </c>
      <c r="G4297" s="18">
        <v>52</v>
      </c>
      <c r="H4297" s="14" t="s">
        <v>2958</v>
      </c>
      <c r="I4297" s="1">
        <v>116</v>
      </c>
      <c r="J4297" s="1">
        <v>252</v>
      </c>
      <c r="L4297" t="str">
        <f t="shared" si="67"/>
        <v>http://www.badatelna.eu/reprodukce/?fondId=1073&amp;zaznamId=1108959&amp;reproId=3780045</v>
      </c>
      <c r="M4297">
        <f>VLOOKUP(F4297,Sheet2!$B$1:$E$19,2,FALSE)</f>
        <v>1073</v>
      </c>
      <c r="N4297">
        <f>VLOOKUP(F4297,Sheet2!$B$1:$E$19,3,FALSE)</f>
        <v>1108959</v>
      </c>
      <c r="O4297">
        <f>IF(G4297="Not available","",VLOOKUP(F4297,Sheet2!$B$1:$E$19,4,FALSE)+(G4297-1))</f>
        <v>3780045</v>
      </c>
    </row>
    <row r="4298" spans="1:15" s="1" customFormat="1" ht="15" customHeight="1" x14ac:dyDescent="0.25">
      <c r="A4298" s="18" t="s">
        <v>514</v>
      </c>
      <c r="B4298" s="18" t="s">
        <v>16</v>
      </c>
      <c r="C4298" s="5">
        <v>1815</v>
      </c>
      <c r="D4298" s="4" t="s">
        <v>3308</v>
      </c>
      <c r="E4298" s="1" t="s">
        <v>2</v>
      </c>
      <c r="F4298" s="18">
        <v>2173</v>
      </c>
      <c r="G4298" s="18">
        <v>64</v>
      </c>
      <c r="H4298" s="5">
        <v>122</v>
      </c>
      <c r="I4298" s="1">
        <v>116</v>
      </c>
      <c r="J4298" s="1">
        <v>253</v>
      </c>
      <c r="L4298" t="str">
        <f t="shared" si="67"/>
        <v>http://www.badatelna.eu/reprodukce/?fondId=1073&amp;zaznamId=1108959&amp;reproId=3780057</v>
      </c>
      <c r="M4298">
        <f>VLOOKUP(F4298,Sheet2!$B$1:$E$19,2,FALSE)</f>
        <v>1073</v>
      </c>
      <c r="N4298">
        <f>VLOOKUP(F4298,Sheet2!$B$1:$E$19,3,FALSE)</f>
        <v>1108959</v>
      </c>
      <c r="O4298">
        <f>IF(G4298="Not available","",VLOOKUP(F4298,Sheet2!$B$1:$E$19,4,FALSE)+(G4298-1))</f>
        <v>3780057</v>
      </c>
    </row>
    <row r="4299" spans="1:15" s="1" customFormat="1" ht="15" customHeight="1" x14ac:dyDescent="0.25">
      <c r="A4299" s="19" t="s">
        <v>514</v>
      </c>
      <c r="B4299" s="18" t="s">
        <v>162</v>
      </c>
      <c r="C4299" s="5">
        <v>1803</v>
      </c>
      <c r="D4299" s="4" t="s">
        <v>197</v>
      </c>
      <c r="E4299" s="1" t="s">
        <v>2</v>
      </c>
      <c r="F4299" s="18">
        <v>2173</v>
      </c>
      <c r="G4299" s="18">
        <v>47</v>
      </c>
      <c r="H4299" s="5">
        <v>89</v>
      </c>
      <c r="I4299" s="1">
        <v>116</v>
      </c>
      <c r="J4299" s="1">
        <v>252</v>
      </c>
      <c r="L4299" t="str">
        <f t="shared" si="67"/>
        <v>http://www.badatelna.eu/reprodukce/?fondId=1073&amp;zaznamId=1108959&amp;reproId=3780040</v>
      </c>
      <c r="M4299">
        <f>VLOOKUP(F4299,Sheet2!$B$1:$E$19,2,FALSE)</f>
        <v>1073</v>
      </c>
      <c r="N4299">
        <f>VLOOKUP(F4299,Sheet2!$B$1:$E$19,3,FALSE)</f>
        <v>1108959</v>
      </c>
      <c r="O4299">
        <f>IF(G4299="Not available","",VLOOKUP(F4299,Sheet2!$B$1:$E$19,4,FALSE)+(G4299-1))</f>
        <v>3780040</v>
      </c>
    </row>
    <row r="4300" spans="1:15" s="1" customFormat="1" ht="15" customHeight="1" x14ac:dyDescent="0.25">
      <c r="A4300" s="18" t="s">
        <v>514</v>
      </c>
      <c r="B4300" s="18" t="s">
        <v>1043</v>
      </c>
      <c r="C4300" s="10" t="s">
        <v>1969</v>
      </c>
      <c r="D4300" s="3" t="s">
        <v>2653</v>
      </c>
      <c r="E4300" s="4" t="s">
        <v>2</v>
      </c>
      <c r="F4300" s="18">
        <v>2176</v>
      </c>
      <c r="G4300" s="18" t="s">
        <v>3271</v>
      </c>
      <c r="H4300" s="10" t="s">
        <v>2038</v>
      </c>
      <c r="I4300" s="3">
        <v>40</v>
      </c>
      <c r="J4300" s="3" t="s">
        <v>3271</v>
      </c>
      <c r="L4300" t="str">
        <f t="shared" si="67"/>
        <v/>
      </c>
      <c r="M4300">
        <f>VLOOKUP(F4300,Sheet2!$B$1:$E$19,2,FALSE)</f>
        <v>1073</v>
      </c>
      <c r="N4300">
        <f>VLOOKUP(F4300,Sheet2!$B$1:$E$19,3,FALSE)</f>
        <v>1108963</v>
      </c>
      <c r="O4300" t="str">
        <f>IF(G4300="Not available","",VLOOKUP(F4300,Sheet2!$B$1:$E$19,4,FALSE)+(G4300-1))</f>
        <v/>
      </c>
    </row>
    <row r="4301" spans="1:15" s="1" customFormat="1" ht="15" customHeight="1" x14ac:dyDescent="0.25">
      <c r="A4301" s="18" t="s">
        <v>514</v>
      </c>
      <c r="B4301" s="18" t="s">
        <v>1043</v>
      </c>
      <c r="C4301" s="10" t="s">
        <v>2015</v>
      </c>
      <c r="D4301" s="3" t="s">
        <v>2675</v>
      </c>
      <c r="E4301" s="4" t="s">
        <v>2</v>
      </c>
      <c r="F4301" s="18">
        <v>2176</v>
      </c>
      <c r="G4301" s="18" t="s">
        <v>3271</v>
      </c>
      <c r="H4301" s="10" t="s">
        <v>2088</v>
      </c>
      <c r="I4301" s="3">
        <v>40</v>
      </c>
      <c r="J4301" s="3" t="s">
        <v>3271</v>
      </c>
      <c r="K4301" s="3"/>
      <c r="L4301" t="str">
        <f t="shared" si="67"/>
        <v/>
      </c>
      <c r="M4301">
        <f>VLOOKUP(F4301,Sheet2!$B$1:$E$19,2,FALSE)</f>
        <v>1073</v>
      </c>
      <c r="N4301">
        <f>VLOOKUP(F4301,Sheet2!$B$1:$E$19,3,FALSE)</f>
        <v>1108963</v>
      </c>
      <c r="O4301" t="str">
        <f>IF(G4301="Not available","",VLOOKUP(F4301,Sheet2!$B$1:$E$19,4,FALSE)+(G4301-1))</f>
        <v/>
      </c>
    </row>
    <row r="4302" spans="1:15" s="1" customFormat="1" ht="15" customHeight="1" x14ac:dyDescent="0.25">
      <c r="A4302" s="18" t="s">
        <v>514</v>
      </c>
      <c r="B4302" s="18" t="s">
        <v>849</v>
      </c>
      <c r="C4302" s="5" t="s">
        <v>1663</v>
      </c>
      <c r="D4302" s="1" t="s">
        <v>233</v>
      </c>
      <c r="E4302" s="1" t="s">
        <v>2</v>
      </c>
      <c r="F4302" s="18">
        <v>2165</v>
      </c>
      <c r="G4302" s="18">
        <v>71</v>
      </c>
      <c r="H4302" s="5">
        <v>68</v>
      </c>
      <c r="I4302" s="1">
        <v>93</v>
      </c>
      <c r="J4302" s="1" t="s">
        <v>3271</v>
      </c>
      <c r="L4302" t="str">
        <f t="shared" si="67"/>
        <v>http://www.badatelna.eu/reprodukce/?fondId=1073&amp;zaznamId=1108952&amp;reproId=3778932</v>
      </c>
      <c r="M4302">
        <f>VLOOKUP(F4302,Sheet2!$B$1:$E$19,2,FALSE)</f>
        <v>1073</v>
      </c>
      <c r="N4302">
        <f>VLOOKUP(F4302,Sheet2!$B$1:$E$19,3,FALSE)</f>
        <v>1108952</v>
      </c>
      <c r="O4302">
        <f>IF(G4302="Not available","",VLOOKUP(F4302,Sheet2!$B$1:$E$19,4,FALSE)+(G4302-1))</f>
        <v>3778932</v>
      </c>
    </row>
    <row r="4303" spans="1:15" s="1" customFormat="1" ht="15" customHeight="1" x14ac:dyDescent="0.25">
      <c r="A4303" s="18" t="s">
        <v>514</v>
      </c>
      <c r="B4303" s="18" t="s">
        <v>674</v>
      </c>
      <c r="C4303" s="5">
        <v>1865</v>
      </c>
      <c r="D4303" s="4" t="s">
        <v>197</v>
      </c>
      <c r="E4303" s="1" t="s">
        <v>939</v>
      </c>
      <c r="F4303" s="18">
        <v>999</v>
      </c>
      <c r="G4303" s="18">
        <v>56</v>
      </c>
      <c r="H4303" s="5">
        <v>54</v>
      </c>
      <c r="I4303" s="1">
        <v>77</v>
      </c>
      <c r="J4303" s="1">
        <v>112</v>
      </c>
      <c r="L4303" t="str">
        <f t="shared" si="67"/>
        <v>http://www.badatelna.eu/reprodukce/?fondId=241&amp;zaznamId=1133739&amp;reproId=3885785</v>
      </c>
      <c r="M4303">
        <f>VLOOKUP(F4303,Sheet2!$B$1:$E$19,2,FALSE)</f>
        <v>241</v>
      </c>
      <c r="N4303">
        <f>VLOOKUP(F4303,Sheet2!$B$1:$E$19,3,FALSE)</f>
        <v>1133739</v>
      </c>
      <c r="O4303">
        <f>IF(G4303="Not available","",VLOOKUP(F4303,Sheet2!$B$1:$E$19,4,FALSE)+(G4303-1))</f>
        <v>3885785</v>
      </c>
    </row>
    <row r="4304" spans="1:15" s="1" customFormat="1" ht="15" customHeight="1" x14ac:dyDescent="0.25">
      <c r="A4304" s="18" t="s">
        <v>514</v>
      </c>
      <c r="B4304" s="18" t="s">
        <v>674</v>
      </c>
      <c r="C4304" s="5" t="s">
        <v>1603</v>
      </c>
      <c r="D4304" s="1" t="s">
        <v>197</v>
      </c>
      <c r="E4304" s="1" t="s">
        <v>2</v>
      </c>
      <c r="F4304" s="18">
        <v>2165</v>
      </c>
      <c r="G4304" s="18">
        <v>9</v>
      </c>
      <c r="H4304" s="5">
        <v>6</v>
      </c>
      <c r="I4304" s="1">
        <v>92</v>
      </c>
      <c r="J4304" s="1" t="s">
        <v>3271</v>
      </c>
      <c r="L4304" t="str">
        <f t="shared" si="67"/>
        <v>http://www.badatelna.eu/reprodukce/?fondId=1073&amp;zaznamId=1108952&amp;reproId=3778870</v>
      </c>
      <c r="M4304">
        <f>VLOOKUP(F4304,Sheet2!$B$1:$E$19,2,FALSE)</f>
        <v>1073</v>
      </c>
      <c r="N4304">
        <f>VLOOKUP(F4304,Sheet2!$B$1:$E$19,3,FALSE)</f>
        <v>1108952</v>
      </c>
      <c r="O4304">
        <f>IF(G4304="Not available","",VLOOKUP(F4304,Sheet2!$B$1:$E$19,4,FALSE)+(G4304-1))</f>
        <v>3778870</v>
      </c>
    </row>
    <row r="4305" spans="1:15" s="1" customFormat="1" ht="15" customHeight="1" x14ac:dyDescent="0.25">
      <c r="A4305" s="18" t="s">
        <v>514</v>
      </c>
      <c r="B4305" s="18" t="s">
        <v>547</v>
      </c>
      <c r="C4305" s="5">
        <v>1834</v>
      </c>
      <c r="D4305" s="1" t="s">
        <v>50</v>
      </c>
      <c r="E4305" s="1" t="s">
        <v>2</v>
      </c>
      <c r="F4305" s="18">
        <v>2174</v>
      </c>
      <c r="G4305" s="18">
        <v>79</v>
      </c>
      <c r="H4305" s="6" t="s">
        <v>3145</v>
      </c>
      <c r="I4305" s="1">
        <v>202</v>
      </c>
      <c r="J4305" s="1">
        <v>237</v>
      </c>
      <c r="L4305" t="str">
        <f t="shared" si="67"/>
        <v>http://www.badatelna.eu/reprodukce/?fondId=1073&amp;zaznamId=1108960&amp;reproId=3780303</v>
      </c>
      <c r="M4305">
        <f>VLOOKUP(F4305,Sheet2!$B$1:$E$19,2,FALSE)</f>
        <v>1073</v>
      </c>
      <c r="N4305">
        <f>VLOOKUP(F4305,Sheet2!$B$1:$E$19,3,FALSE)</f>
        <v>1108960</v>
      </c>
      <c r="O4305">
        <f>IF(G4305="Not available","",VLOOKUP(F4305,Sheet2!$B$1:$E$19,4,FALSE)+(G4305-1))</f>
        <v>3780303</v>
      </c>
    </row>
    <row r="4306" spans="1:15" s="1" customFormat="1" ht="15" customHeight="1" x14ac:dyDescent="0.25">
      <c r="A4306" s="18" t="s">
        <v>514</v>
      </c>
      <c r="B4306" s="18" t="s">
        <v>755</v>
      </c>
      <c r="C4306" s="5">
        <v>1833</v>
      </c>
      <c r="D4306" s="1" t="s">
        <v>50</v>
      </c>
      <c r="E4306" s="1" t="s">
        <v>2</v>
      </c>
      <c r="F4306" s="18">
        <v>2174</v>
      </c>
      <c r="G4306" s="18">
        <v>74</v>
      </c>
      <c r="H4306" s="14" t="s">
        <v>3136</v>
      </c>
      <c r="I4306" s="1">
        <v>201</v>
      </c>
      <c r="J4306" s="1">
        <v>236</v>
      </c>
      <c r="L4306" t="str">
        <f t="shared" si="67"/>
        <v>http://www.badatelna.eu/reprodukce/?fondId=1073&amp;zaznamId=1108960&amp;reproId=3780298</v>
      </c>
      <c r="M4306">
        <f>VLOOKUP(F4306,Sheet2!$B$1:$E$19,2,FALSE)</f>
        <v>1073</v>
      </c>
      <c r="N4306">
        <f>VLOOKUP(F4306,Sheet2!$B$1:$E$19,3,FALSE)</f>
        <v>1108960</v>
      </c>
      <c r="O4306">
        <f>IF(G4306="Not available","",VLOOKUP(F4306,Sheet2!$B$1:$E$19,4,FALSE)+(G4306-1))</f>
        <v>3780298</v>
      </c>
    </row>
    <row r="4307" spans="1:15" s="1" customFormat="1" ht="15" customHeight="1" x14ac:dyDescent="0.25">
      <c r="A4307" s="18" t="s">
        <v>514</v>
      </c>
      <c r="B4307" s="18" t="s">
        <v>482</v>
      </c>
      <c r="C4307" s="5">
        <v>1850</v>
      </c>
      <c r="D4307" s="1" t="s">
        <v>495</v>
      </c>
      <c r="E4307" s="1" t="s">
        <v>2</v>
      </c>
      <c r="F4307" s="18">
        <v>2164</v>
      </c>
      <c r="G4307" s="18">
        <v>66</v>
      </c>
      <c r="H4307" s="5">
        <v>64</v>
      </c>
      <c r="I4307" s="1">
        <v>139</v>
      </c>
      <c r="J4307" s="3" t="s">
        <v>3271</v>
      </c>
      <c r="L4307" t="str">
        <f t="shared" si="67"/>
        <v>http://www.badatelna.eu/reprodukce/?fondId=1073&amp;zaznamId=1108951&amp;reproId=3778780</v>
      </c>
      <c r="M4307">
        <f>VLOOKUP(F4307,Sheet2!$B$1:$E$19,2,FALSE)</f>
        <v>1073</v>
      </c>
      <c r="N4307">
        <f>VLOOKUP(F4307,Sheet2!$B$1:$E$19,3,FALSE)</f>
        <v>1108951</v>
      </c>
      <c r="O4307">
        <f>IF(G4307="Not available","",VLOOKUP(F4307,Sheet2!$B$1:$E$19,4,FALSE)+(G4307-1))</f>
        <v>3778780</v>
      </c>
    </row>
    <row r="4308" spans="1:15" s="1" customFormat="1" ht="15" customHeight="1" x14ac:dyDescent="0.25">
      <c r="A4308" s="18" t="s">
        <v>514</v>
      </c>
      <c r="B4308" s="18" t="s">
        <v>482</v>
      </c>
      <c r="C4308" s="5">
        <v>1852</v>
      </c>
      <c r="D4308" s="1" t="s">
        <v>16</v>
      </c>
      <c r="E4308" s="1" t="s">
        <v>2</v>
      </c>
      <c r="F4308" s="18">
        <v>2164</v>
      </c>
      <c r="G4308" s="18">
        <v>83</v>
      </c>
      <c r="H4308" s="5">
        <v>81</v>
      </c>
      <c r="I4308" s="1">
        <v>139</v>
      </c>
      <c r="J4308" s="3" t="s">
        <v>3271</v>
      </c>
      <c r="L4308" t="str">
        <f t="shared" si="67"/>
        <v>http://www.badatelna.eu/reprodukce/?fondId=1073&amp;zaznamId=1108951&amp;reproId=3778797</v>
      </c>
      <c r="M4308">
        <f>VLOOKUP(F4308,Sheet2!$B$1:$E$19,2,FALSE)</f>
        <v>1073</v>
      </c>
      <c r="N4308">
        <f>VLOOKUP(F4308,Sheet2!$B$1:$E$19,3,FALSE)</f>
        <v>1108951</v>
      </c>
      <c r="O4308">
        <f>IF(G4308="Not available","",VLOOKUP(F4308,Sheet2!$B$1:$E$19,4,FALSE)+(G4308-1))</f>
        <v>3778797</v>
      </c>
    </row>
    <row r="4309" spans="1:15" s="1" customFormat="1" ht="15" customHeight="1" x14ac:dyDescent="0.25">
      <c r="A4309" s="18" t="s">
        <v>514</v>
      </c>
      <c r="B4309" s="18" t="s">
        <v>482</v>
      </c>
      <c r="C4309" s="5">
        <v>1857</v>
      </c>
      <c r="D4309" s="1" t="s">
        <v>930</v>
      </c>
      <c r="E4309" s="1" t="s">
        <v>2</v>
      </c>
      <c r="F4309" s="18">
        <v>2164</v>
      </c>
      <c r="G4309" s="18">
        <v>114</v>
      </c>
      <c r="H4309" s="5">
        <v>112</v>
      </c>
      <c r="I4309" s="1">
        <v>140</v>
      </c>
      <c r="J4309" s="3" t="s">
        <v>3271</v>
      </c>
      <c r="L4309" t="str">
        <f t="shared" si="67"/>
        <v>http://www.badatelna.eu/reprodukce/?fondId=1073&amp;zaznamId=1108951&amp;reproId=3778828</v>
      </c>
      <c r="M4309">
        <f>VLOOKUP(F4309,Sheet2!$B$1:$E$19,2,FALSE)</f>
        <v>1073</v>
      </c>
      <c r="N4309">
        <f>VLOOKUP(F4309,Sheet2!$B$1:$E$19,3,FALSE)</f>
        <v>1108951</v>
      </c>
      <c r="O4309">
        <f>IF(G4309="Not available","",VLOOKUP(F4309,Sheet2!$B$1:$E$19,4,FALSE)+(G4309-1))</f>
        <v>3778828</v>
      </c>
    </row>
    <row r="4310" spans="1:15" s="1" customFormat="1" ht="15" customHeight="1" x14ac:dyDescent="0.25">
      <c r="A4310" s="18" t="s">
        <v>514</v>
      </c>
      <c r="B4310" s="18" t="s">
        <v>515</v>
      </c>
      <c r="C4310" s="5">
        <v>1785</v>
      </c>
      <c r="D4310" s="1" t="s">
        <v>26</v>
      </c>
      <c r="E4310" s="1" t="s">
        <v>2</v>
      </c>
      <c r="F4310" s="18">
        <v>2173</v>
      </c>
      <c r="G4310" s="18">
        <v>10</v>
      </c>
      <c r="H4310" s="5">
        <v>15</v>
      </c>
      <c r="I4310" s="1">
        <v>115</v>
      </c>
      <c r="J4310" s="1">
        <v>259</v>
      </c>
      <c r="L4310" t="str">
        <f t="shared" si="67"/>
        <v>http://www.badatelna.eu/reprodukce/?fondId=1073&amp;zaznamId=1108959&amp;reproId=3780003</v>
      </c>
      <c r="M4310">
        <f>VLOOKUP(F4310,Sheet2!$B$1:$E$19,2,FALSE)</f>
        <v>1073</v>
      </c>
      <c r="N4310">
        <f>VLOOKUP(F4310,Sheet2!$B$1:$E$19,3,FALSE)</f>
        <v>1108959</v>
      </c>
      <c r="O4310">
        <f>IF(G4310="Not available","",VLOOKUP(F4310,Sheet2!$B$1:$E$19,4,FALSE)+(G4310-1))</f>
        <v>3780003</v>
      </c>
    </row>
    <row r="4311" spans="1:15" s="1" customFormat="1" ht="15" customHeight="1" x14ac:dyDescent="0.25">
      <c r="A4311" s="18" t="s">
        <v>514</v>
      </c>
      <c r="B4311" s="18" t="s">
        <v>546</v>
      </c>
      <c r="C4311" s="5">
        <v>1856</v>
      </c>
      <c r="D4311" s="1" t="s">
        <v>495</v>
      </c>
      <c r="E4311" s="1" t="s">
        <v>2</v>
      </c>
      <c r="F4311" s="18">
        <v>2164</v>
      </c>
      <c r="G4311" s="18">
        <v>108</v>
      </c>
      <c r="H4311" s="5">
        <v>106</v>
      </c>
      <c r="I4311" s="1">
        <v>140</v>
      </c>
      <c r="J4311" s="3" t="s">
        <v>3271</v>
      </c>
      <c r="L4311" t="str">
        <f t="shared" si="67"/>
        <v>http://www.badatelna.eu/reprodukce/?fondId=1073&amp;zaznamId=1108951&amp;reproId=3778822</v>
      </c>
      <c r="M4311">
        <f>VLOOKUP(F4311,Sheet2!$B$1:$E$19,2,FALSE)</f>
        <v>1073</v>
      </c>
      <c r="N4311">
        <f>VLOOKUP(F4311,Sheet2!$B$1:$E$19,3,FALSE)</f>
        <v>1108951</v>
      </c>
      <c r="O4311">
        <f>IF(G4311="Not available","",VLOOKUP(F4311,Sheet2!$B$1:$E$19,4,FALSE)+(G4311-1))</f>
        <v>3778822</v>
      </c>
    </row>
    <row r="4312" spans="1:15" s="1" customFormat="1" ht="15" customHeight="1" x14ac:dyDescent="0.25">
      <c r="A4312" s="18" t="s">
        <v>514</v>
      </c>
      <c r="B4312" s="18" t="s">
        <v>191</v>
      </c>
      <c r="C4312" s="5">
        <v>1861</v>
      </c>
      <c r="D4312" s="4" t="s">
        <v>2653</v>
      </c>
      <c r="E4312" s="1" t="s">
        <v>939</v>
      </c>
      <c r="F4312" s="18">
        <v>999</v>
      </c>
      <c r="G4312" s="18">
        <v>32</v>
      </c>
      <c r="H4312" s="5">
        <v>30</v>
      </c>
      <c r="I4312" s="1">
        <v>76</v>
      </c>
      <c r="J4312" s="1">
        <v>110</v>
      </c>
      <c r="L4312" t="str">
        <f t="shared" si="67"/>
        <v>http://www.badatelna.eu/reprodukce/?fondId=241&amp;zaznamId=1133739&amp;reproId=3885761</v>
      </c>
      <c r="M4312">
        <f>VLOOKUP(F4312,Sheet2!$B$1:$E$19,2,FALSE)</f>
        <v>241</v>
      </c>
      <c r="N4312">
        <f>VLOOKUP(F4312,Sheet2!$B$1:$E$19,3,FALSE)</f>
        <v>1133739</v>
      </c>
      <c r="O4312">
        <f>IF(G4312="Not available","",VLOOKUP(F4312,Sheet2!$B$1:$E$19,4,FALSE)+(G4312-1))</f>
        <v>3885761</v>
      </c>
    </row>
    <row r="4313" spans="1:15" s="1" customFormat="1" ht="15" customHeight="1" x14ac:dyDescent="0.25">
      <c r="A4313" s="18" t="s">
        <v>514</v>
      </c>
      <c r="B4313" s="18" t="s">
        <v>1126</v>
      </c>
      <c r="C4313" s="10" t="s">
        <v>2026</v>
      </c>
      <c r="D4313" s="3" t="s">
        <v>2650</v>
      </c>
      <c r="E4313" s="4" t="s">
        <v>2</v>
      </c>
      <c r="F4313" s="18">
        <v>2176</v>
      </c>
      <c r="G4313" s="18" t="s">
        <v>3271</v>
      </c>
      <c r="H4313" s="10" t="s">
        <v>2040</v>
      </c>
      <c r="I4313" s="3">
        <v>41</v>
      </c>
      <c r="J4313" s="3" t="s">
        <v>3271</v>
      </c>
      <c r="K4313" s="3"/>
      <c r="L4313" t="str">
        <f t="shared" si="67"/>
        <v/>
      </c>
      <c r="M4313">
        <f>VLOOKUP(F4313,Sheet2!$B$1:$E$19,2,FALSE)</f>
        <v>1073</v>
      </c>
      <c r="N4313">
        <f>VLOOKUP(F4313,Sheet2!$B$1:$E$19,3,FALSE)</f>
        <v>1108963</v>
      </c>
      <c r="O4313" t="str">
        <f>IF(G4313="Not available","",VLOOKUP(F4313,Sheet2!$B$1:$E$19,4,FALSE)+(G4313-1))</f>
        <v/>
      </c>
    </row>
    <row r="4314" spans="1:15" s="1" customFormat="1" ht="15" customHeight="1" x14ac:dyDescent="0.25">
      <c r="A4314" s="18" t="s">
        <v>514</v>
      </c>
      <c r="B4314" s="18" t="s">
        <v>1126</v>
      </c>
      <c r="C4314" s="5" t="s">
        <v>1740</v>
      </c>
      <c r="D4314" s="1" t="s">
        <v>233</v>
      </c>
      <c r="E4314" s="1" t="s">
        <v>2</v>
      </c>
      <c r="F4314" s="18">
        <v>2165</v>
      </c>
      <c r="G4314" s="18">
        <v>168</v>
      </c>
      <c r="H4314" s="5">
        <v>4</v>
      </c>
      <c r="I4314" s="1">
        <v>171</v>
      </c>
      <c r="J4314" s="1">
        <v>149</v>
      </c>
      <c r="L4314" t="str">
        <f t="shared" si="67"/>
        <v>http://www.badatelna.eu/reprodukce/?fondId=1073&amp;zaznamId=1108952&amp;reproId=3779029</v>
      </c>
      <c r="M4314">
        <f>VLOOKUP(F4314,Sheet2!$B$1:$E$19,2,FALSE)</f>
        <v>1073</v>
      </c>
      <c r="N4314">
        <f>VLOOKUP(F4314,Sheet2!$B$1:$E$19,3,FALSE)</f>
        <v>1108952</v>
      </c>
      <c r="O4314">
        <f>IF(G4314="Not available","",VLOOKUP(F4314,Sheet2!$B$1:$E$19,4,FALSE)+(G4314-1))</f>
        <v>3779029</v>
      </c>
    </row>
    <row r="4315" spans="1:15" s="1" customFormat="1" ht="15" customHeight="1" x14ac:dyDescent="0.25">
      <c r="A4315" s="18" t="s">
        <v>514</v>
      </c>
      <c r="B4315" s="18" t="s">
        <v>769</v>
      </c>
      <c r="C4315" s="10" t="s">
        <v>1969</v>
      </c>
      <c r="D4315" s="3" t="s">
        <v>2650</v>
      </c>
      <c r="E4315" s="4" t="s">
        <v>2</v>
      </c>
      <c r="F4315" s="18">
        <v>2176</v>
      </c>
      <c r="G4315" s="18" t="s">
        <v>3271</v>
      </c>
      <c r="H4315" s="10" t="s">
        <v>2069</v>
      </c>
      <c r="I4315" s="3">
        <v>40</v>
      </c>
      <c r="J4315" s="3" t="s">
        <v>3271</v>
      </c>
      <c r="L4315" t="str">
        <f t="shared" si="67"/>
        <v/>
      </c>
      <c r="M4315">
        <f>VLOOKUP(F4315,Sheet2!$B$1:$E$19,2,FALSE)</f>
        <v>1073</v>
      </c>
      <c r="N4315">
        <f>VLOOKUP(F4315,Sheet2!$B$1:$E$19,3,FALSE)</f>
        <v>1108963</v>
      </c>
      <c r="O4315" t="str">
        <f>IF(G4315="Not available","",VLOOKUP(F4315,Sheet2!$B$1:$E$19,4,FALSE)+(G4315-1))</f>
        <v/>
      </c>
    </row>
    <row r="4316" spans="1:15" s="1" customFormat="1" ht="15" customHeight="1" x14ac:dyDescent="0.25">
      <c r="A4316" s="18" t="s">
        <v>514</v>
      </c>
      <c r="B4316" s="18" t="s">
        <v>769</v>
      </c>
      <c r="C4316" s="10" t="s">
        <v>1987</v>
      </c>
      <c r="D4316" s="3" t="s">
        <v>2661</v>
      </c>
      <c r="E4316" s="4" t="s">
        <v>2</v>
      </c>
      <c r="F4316" s="18">
        <v>2176</v>
      </c>
      <c r="G4316" s="18" t="s">
        <v>3271</v>
      </c>
      <c r="H4316" s="10" t="s">
        <v>2105</v>
      </c>
      <c r="I4316" s="3">
        <v>40</v>
      </c>
      <c r="J4316" s="3" t="s">
        <v>3271</v>
      </c>
      <c r="L4316" t="str">
        <f t="shared" si="67"/>
        <v/>
      </c>
      <c r="M4316">
        <f>VLOOKUP(F4316,Sheet2!$B$1:$E$19,2,FALSE)</f>
        <v>1073</v>
      </c>
      <c r="N4316">
        <f>VLOOKUP(F4316,Sheet2!$B$1:$E$19,3,FALSE)</f>
        <v>1108963</v>
      </c>
      <c r="O4316" t="str">
        <f>IF(G4316="Not available","",VLOOKUP(F4316,Sheet2!$B$1:$E$19,4,FALSE)+(G4316-1))</f>
        <v/>
      </c>
    </row>
    <row r="4317" spans="1:15" s="1" customFormat="1" ht="15" customHeight="1" x14ac:dyDescent="0.25">
      <c r="A4317" s="18" t="s">
        <v>514</v>
      </c>
      <c r="B4317" s="18" t="s">
        <v>769</v>
      </c>
      <c r="C4317" s="5" t="s">
        <v>1624</v>
      </c>
      <c r="D4317" s="1" t="s">
        <v>1090</v>
      </c>
      <c r="E4317" s="1" t="s">
        <v>2</v>
      </c>
      <c r="F4317" s="18">
        <v>2165</v>
      </c>
      <c r="G4317" s="18">
        <v>37</v>
      </c>
      <c r="H4317" s="5">
        <v>34</v>
      </c>
      <c r="I4317" s="1">
        <v>92</v>
      </c>
      <c r="J4317" s="1" t="s">
        <v>3271</v>
      </c>
      <c r="L4317" t="str">
        <f t="shared" si="67"/>
        <v>http://www.badatelna.eu/reprodukce/?fondId=1073&amp;zaznamId=1108952&amp;reproId=3778898</v>
      </c>
      <c r="M4317">
        <f>VLOOKUP(F4317,Sheet2!$B$1:$E$19,2,FALSE)</f>
        <v>1073</v>
      </c>
      <c r="N4317">
        <f>VLOOKUP(F4317,Sheet2!$B$1:$E$19,3,FALSE)</f>
        <v>1108952</v>
      </c>
      <c r="O4317">
        <f>IF(G4317="Not available","",VLOOKUP(F4317,Sheet2!$B$1:$E$19,4,FALSE)+(G4317-1))</f>
        <v>3778898</v>
      </c>
    </row>
    <row r="4318" spans="1:15" s="1" customFormat="1" ht="15" customHeight="1" x14ac:dyDescent="0.25">
      <c r="A4318" s="18" t="s">
        <v>514</v>
      </c>
      <c r="B4318" s="18" t="s">
        <v>774</v>
      </c>
      <c r="C4318" s="5" t="s">
        <v>1628</v>
      </c>
      <c r="D4318" s="1" t="s">
        <v>233</v>
      </c>
      <c r="E4318" s="1" t="s">
        <v>2</v>
      </c>
      <c r="F4318" s="18">
        <v>2165</v>
      </c>
      <c r="G4318" s="18">
        <v>40</v>
      </c>
      <c r="H4318" s="5">
        <v>37</v>
      </c>
      <c r="I4318" s="1">
        <v>93</v>
      </c>
      <c r="J4318" s="1" t="s">
        <v>3271</v>
      </c>
      <c r="L4318" t="str">
        <f t="shared" si="67"/>
        <v>http://www.badatelna.eu/reprodukce/?fondId=1073&amp;zaznamId=1108952&amp;reproId=3778901</v>
      </c>
      <c r="M4318">
        <f>VLOOKUP(F4318,Sheet2!$B$1:$E$19,2,FALSE)</f>
        <v>1073</v>
      </c>
      <c r="N4318">
        <f>VLOOKUP(F4318,Sheet2!$B$1:$E$19,3,FALSE)</f>
        <v>1108952</v>
      </c>
      <c r="O4318">
        <f>IF(G4318="Not available","",VLOOKUP(F4318,Sheet2!$B$1:$E$19,4,FALSE)+(G4318-1))</f>
        <v>3778901</v>
      </c>
    </row>
    <row r="4319" spans="1:15" s="1" customFormat="1" ht="15" customHeight="1" x14ac:dyDescent="0.25">
      <c r="A4319" s="18" t="s">
        <v>514</v>
      </c>
      <c r="B4319" s="18" t="s">
        <v>1051</v>
      </c>
      <c r="C4319" s="6" t="s">
        <v>2158</v>
      </c>
      <c r="D4319" s="4" t="s">
        <v>992</v>
      </c>
      <c r="E4319" s="1" t="s">
        <v>2</v>
      </c>
      <c r="F4319" s="18">
        <v>2165</v>
      </c>
      <c r="G4319" s="18">
        <v>313</v>
      </c>
      <c r="H4319" s="5">
        <v>1</v>
      </c>
      <c r="I4319" s="1">
        <v>314</v>
      </c>
      <c r="J4319" s="1">
        <v>287</v>
      </c>
      <c r="L4319" t="str">
        <f t="shared" si="67"/>
        <v>http://www.badatelna.eu/reprodukce/?fondId=1073&amp;zaznamId=1108952&amp;reproId=3779174</v>
      </c>
      <c r="M4319">
        <f>VLOOKUP(F4319,Sheet2!$B$1:$E$19,2,FALSE)</f>
        <v>1073</v>
      </c>
      <c r="N4319">
        <f>VLOOKUP(F4319,Sheet2!$B$1:$E$19,3,FALSE)</f>
        <v>1108952</v>
      </c>
      <c r="O4319">
        <f>IF(G4319="Not available","",VLOOKUP(F4319,Sheet2!$B$1:$E$19,4,FALSE)+(G4319-1))</f>
        <v>3779174</v>
      </c>
    </row>
    <row r="4320" spans="1:15" s="1" customFormat="1" ht="15" customHeight="1" x14ac:dyDescent="0.25">
      <c r="A4320" s="18" t="s">
        <v>514</v>
      </c>
      <c r="B4320" s="18" t="s">
        <v>88</v>
      </c>
      <c r="C4320" s="5">
        <v>1805</v>
      </c>
      <c r="D4320" s="4" t="s">
        <v>3307</v>
      </c>
      <c r="E4320" s="1" t="s">
        <v>2</v>
      </c>
      <c r="F4320" s="18">
        <v>2173</v>
      </c>
      <c r="G4320" s="18">
        <v>49</v>
      </c>
      <c r="H4320" s="14" t="s">
        <v>3009</v>
      </c>
      <c r="I4320" s="1">
        <v>116</v>
      </c>
      <c r="J4320" s="1">
        <v>252</v>
      </c>
      <c r="L4320" t="str">
        <f t="shared" si="67"/>
        <v>http://www.badatelna.eu/reprodukce/?fondId=1073&amp;zaznamId=1108959&amp;reproId=3780042</v>
      </c>
      <c r="M4320">
        <f>VLOOKUP(F4320,Sheet2!$B$1:$E$19,2,FALSE)</f>
        <v>1073</v>
      </c>
      <c r="N4320">
        <f>VLOOKUP(F4320,Sheet2!$B$1:$E$19,3,FALSE)</f>
        <v>1108959</v>
      </c>
      <c r="O4320">
        <f>IF(G4320="Not available","",VLOOKUP(F4320,Sheet2!$B$1:$E$19,4,FALSE)+(G4320-1))</f>
        <v>3780042</v>
      </c>
    </row>
    <row r="4321" spans="1:15" s="1" customFormat="1" ht="15" customHeight="1" x14ac:dyDescent="0.25">
      <c r="A4321" s="18" t="s">
        <v>514</v>
      </c>
      <c r="B4321" s="18" t="s">
        <v>166</v>
      </c>
      <c r="C4321" s="5">
        <v>1789</v>
      </c>
      <c r="D4321" s="1" t="s">
        <v>26</v>
      </c>
      <c r="E4321" s="1" t="s">
        <v>2</v>
      </c>
      <c r="F4321" s="18">
        <v>2173</v>
      </c>
      <c r="G4321" s="18">
        <v>21</v>
      </c>
      <c r="H4321" s="5">
        <v>36</v>
      </c>
      <c r="I4321" s="1">
        <v>115</v>
      </c>
      <c r="J4321" s="1">
        <v>259</v>
      </c>
      <c r="L4321" t="str">
        <f t="shared" si="67"/>
        <v>http://www.badatelna.eu/reprodukce/?fondId=1073&amp;zaznamId=1108959&amp;reproId=3780014</v>
      </c>
      <c r="M4321">
        <f>VLOOKUP(F4321,Sheet2!$B$1:$E$19,2,FALSE)</f>
        <v>1073</v>
      </c>
      <c r="N4321">
        <f>VLOOKUP(F4321,Sheet2!$B$1:$E$19,3,FALSE)</f>
        <v>1108959</v>
      </c>
      <c r="O4321">
        <f>IF(G4321="Not available","",VLOOKUP(F4321,Sheet2!$B$1:$E$19,4,FALSE)+(G4321-1))</f>
        <v>3780014</v>
      </c>
    </row>
    <row r="4322" spans="1:15" s="1" customFormat="1" ht="15" customHeight="1" x14ac:dyDescent="0.25">
      <c r="A4322" s="18" t="s">
        <v>514</v>
      </c>
      <c r="B4322" s="18" t="s">
        <v>915</v>
      </c>
      <c r="C4322" s="5">
        <v>1851</v>
      </c>
      <c r="D4322" s="1" t="s">
        <v>16</v>
      </c>
      <c r="E4322" s="1" t="s">
        <v>2</v>
      </c>
      <c r="F4322" s="18">
        <v>2164</v>
      </c>
      <c r="G4322" s="18">
        <v>74</v>
      </c>
      <c r="H4322" s="5">
        <v>72</v>
      </c>
      <c r="I4322" s="1">
        <v>139</v>
      </c>
      <c r="J4322" s="3" t="s">
        <v>3271</v>
      </c>
      <c r="L4322" t="str">
        <f t="shared" si="67"/>
        <v>http://www.badatelna.eu/reprodukce/?fondId=1073&amp;zaznamId=1108951&amp;reproId=3778788</v>
      </c>
      <c r="M4322">
        <f>VLOOKUP(F4322,Sheet2!$B$1:$E$19,2,FALSE)</f>
        <v>1073</v>
      </c>
      <c r="N4322">
        <f>VLOOKUP(F4322,Sheet2!$B$1:$E$19,3,FALSE)</f>
        <v>1108951</v>
      </c>
      <c r="O4322">
        <f>IF(G4322="Not available","",VLOOKUP(F4322,Sheet2!$B$1:$E$19,4,FALSE)+(G4322-1))</f>
        <v>3778788</v>
      </c>
    </row>
    <row r="4323" spans="1:15" s="1" customFormat="1" ht="15" customHeight="1" x14ac:dyDescent="0.25">
      <c r="A4323" s="18" t="s">
        <v>514</v>
      </c>
      <c r="B4323" s="18" t="s">
        <v>885</v>
      </c>
      <c r="C4323" s="5">
        <v>1858</v>
      </c>
      <c r="D4323" s="4" t="s">
        <v>16</v>
      </c>
      <c r="E4323" s="1" t="s">
        <v>939</v>
      </c>
      <c r="F4323" s="18">
        <v>999</v>
      </c>
      <c r="G4323" s="18">
        <v>5</v>
      </c>
      <c r="H4323" s="5">
        <v>3</v>
      </c>
      <c r="I4323" s="1">
        <v>76</v>
      </c>
      <c r="J4323" s="1">
        <v>110</v>
      </c>
      <c r="L4323" t="str">
        <f t="shared" si="67"/>
        <v>http://www.badatelna.eu/reprodukce/?fondId=241&amp;zaznamId=1133739&amp;reproId=3885734</v>
      </c>
      <c r="M4323">
        <f>VLOOKUP(F4323,Sheet2!$B$1:$E$19,2,FALSE)</f>
        <v>241</v>
      </c>
      <c r="N4323">
        <f>VLOOKUP(F4323,Sheet2!$B$1:$E$19,3,FALSE)</f>
        <v>1133739</v>
      </c>
      <c r="O4323">
        <f>IF(G4323="Not available","",VLOOKUP(F4323,Sheet2!$B$1:$E$19,4,FALSE)+(G4323-1))</f>
        <v>3885734</v>
      </c>
    </row>
    <row r="4324" spans="1:15" s="1" customFormat="1" ht="15" customHeight="1" x14ac:dyDescent="0.25">
      <c r="A4324" s="18" t="s">
        <v>514</v>
      </c>
      <c r="B4324" s="18" t="s">
        <v>213</v>
      </c>
      <c r="C4324" s="5">
        <v>1805</v>
      </c>
      <c r="D4324" s="4" t="s">
        <v>4</v>
      </c>
      <c r="E4324" s="1" t="s">
        <v>2</v>
      </c>
      <c r="F4324" s="18">
        <v>2173</v>
      </c>
      <c r="G4324" s="18">
        <v>49</v>
      </c>
      <c r="H4324" s="14" t="s">
        <v>3009</v>
      </c>
      <c r="I4324" s="1">
        <v>116</v>
      </c>
      <c r="J4324" s="1">
        <v>252</v>
      </c>
      <c r="L4324" t="str">
        <f t="shared" si="67"/>
        <v>http://www.badatelna.eu/reprodukce/?fondId=1073&amp;zaznamId=1108959&amp;reproId=3780042</v>
      </c>
      <c r="M4324">
        <f>VLOOKUP(F4324,Sheet2!$B$1:$E$19,2,FALSE)</f>
        <v>1073</v>
      </c>
      <c r="N4324">
        <f>VLOOKUP(F4324,Sheet2!$B$1:$E$19,3,FALSE)</f>
        <v>1108959</v>
      </c>
      <c r="O4324">
        <f>IF(G4324="Not available","",VLOOKUP(F4324,Sheet2!$B$1:$E$19,4,FALSE)+(G4324-1))</f>
        <v>3780042</v>
      </c>
    </row>
    <row r="4325" spans="1:15" s="1" customFormat="1" ht="15" customHeight="1" x14ac:dyDescent="0.25">
      <c r="A4325" s="18" t="s">
        <v>514</v>
      </c>
      <c r="B4325" s="18" t="s">
        <v>992</v>
      </c>
      <c r="C4325" s="10" t="s">
        <v>1987</v>
      </c>
      <c r="D4325" s="3" t="s">
        <v>2669</v>
      </c>
      <c r="E4325" s="4" t="s">
        <v>2</v>
      </c>
      <c r="F4325" s="18">
        <v>2176</v>
      </c>
      <c r="G4325" s="18" t="s">
        <v>3271</v>
      </c>
      <c r="H4325" s="10" t="s">
        <v>2670</v>
      </c>
      <c r="I4325" s="3">
        <v>40</v>
      </c>
      <c r="J4325" s="3" t="s">
        <v>3271</v>
      </c>
      <c r="L4325" t="str">
        <f t="shared" si="67"/>
        <v/>
      </c>
      <c r="M4325">
        <f>VLOOKUP(F4325,Sheet2!$B$1:$E$19,2,FALSE)</f>
        <v>1073</v>
      </c>
      <c r="N4325">
        <f>VLOOKUP(F4325,Sheet2!$B$1:$E$19,3,FALSE)</f>
        <v>1108963</v>
      </c>
      <c r="O4325" t="str">
        <f>IF(G4325="Not available","",VLOOKUP(F4325,Sheet2!$B$1:$E$19,4,FALSE)+(G4325-1))</f>
        <v/>
      </c>
    </row>
    <row r="4326" spans="1:15" s="1" customFormat="1" ht="15" customHeight="1" x14ac:dyDescent="0.25">
      <c r="A4326" s="18" t="s">
        <v>514</v>
      </c>
      <c r="B4326" s="18" t="s">
        <v>992</v>
      </c>
      <c r="C4326" s="5">
        <v>1884</v>
      </c>
      <c r="D4326" s="1" t="s">
        <v>233</v>
      </c>
      <c r="E4326" s="1" t="s">
        <v>2</v>
      </c>
      <c r="F4326" s="18">
        <v>2165</v>
      </c>
      <c r="G4326" s="18">
        <v>194</v>
      </c>
      <c r="H4326" s="5">
        <v>2</v>
      </c>
      <c r="I4326" s="1">
        <v>197</v>
      </c>
      <c r="J4326" s="1">
        <v>174</v>
      </c>
      <c r="L4326" t="str">
        <f t="shared" si="67"/>
        <v>http://www.badatelna.eu/reprodukce/?fondId=1073&amp;zaznamId=1108952&amp;reproId=3779055</v>
      </c>
      <c r="M4326">
        <f>VLOOKUP(F4326,Sheet2!$B$1:$E$19,2,FALSE)</f>
        <v>1073</v>
      </c>
      <c r="N4326">
        <f>VLOOKUP(F4326,Sheet2!$B$1:$E$19,3,FALSE)</f>
        <v>1108952</v>
      </c>
      <c r="O4326">
        <f>IF(G4326="Not available","",VLOOKUP(F4326,Sheet2!$B$1:$E$19,4,FALSE)+(G4326-1))</f>
        <v>3779055</v>
      </c>
    </row>
    <row r="4327" spans="1:15" s="1" customFormat="1" ht="15" customHeight="1" x14ac:dyDescent="0.25">
      <c r="A4327" s="18" t="s">
        <v>514</v>
      </c>
      <c r="B4327" s="18" t="s">
        <v>992</v>
      </c>
      <c r="C4327" s="10" t="s">
        <v>2041</v>
      </c>
      <c r="D4327" s="3" t="s">
        <v>2650</v>
      </c>
      <c r="E4327" s="4" t="s">
        <v>2</v>
      </c>
      <c r="F4327" s="18">
        <v>2176</v>
      </c>
      <c r="G4327" s="18" t="s">
        <v>3271</v>
      </c>
      <c r="H4327" s="10" t="s">
        <v>1979</v>
      </c>
      <c r="I4327" s="3">
        <v>41</v>
      </c>
      <c r="J4327" s="3" t="s">
        <v>3271</v>
      </c>
      <c r="K4327" s="3"/>
      <c r="L4327" t="str">
        <f t="shared" si="67"/>
        <v/>
      </c>
      <c r="M4327">
        <f>VLOOKUP(F4327,Sheet2!$B$1:$E$19,2,FALSE)</f>
        <v>1073</v>
      </c>
      <c r="N4327">
        <f>VLOOKUP(F4327,Sheet2!$B$1:$E$19,3,FALSE)</f>
        <v>1108963</v>
      </c>
      <c r="O4327" t="str">
        <f>IF(G4327="Not available","",VLOOKUP(F4327,Sheet2!$B$1:$E$19,4,FALSE)+(G4327-1))</f>
        <v/>
      </c>
    </row>
    <row r="4328" spans="1:15" s="1" customFormat="1" ht="15" customHeight="1" x14ac:dyDescent="0.25">
      <c r="A4328" s="18" t="s">
        <v>514</v>
      </c>
      <c r="B4328" s="18" t="s">
        <v>2137</v>
      </c>
      <c r="C4328" s="10" t="s">
        <v>2043</v>
      </c>
      <c r="D4328" s="3" t="s">
        <v>2693</v>
      </c>
      <c r="E4328" s="4" t="s">
        <v>2</v>
      </c>
      <c r="F4328" s="18">
        <v>2176</v>
      </c>
      <c r="G4328" s="18" t="s">
        <v>3271</v>
      </c>
      <c r="H4328" s="10" t="s">
        <v>2222</v>
      </c>
      <c r="I4328" s="3">
        <v>41</v>
      </c>
      <c r="J4328" s="3" t="s">
        <v>3271</v>
      </c>
      <c r="K4328" s="3"/>
      <c r="L4328" t="str">
        <f t="shared" si="67"/>
        <v/>
      </c>
      <c r="M4328">
        <f>VLOOKUP(F4328,Sheet2!$B$1:$E$19,2,FALSE)</f>
        <v>1073</v>
      </c>
      <c r="N4328">
        <f>VLOOKUP(F4328,Sheet2!$B$1:$E$19,3,FALSE)</f>
        <v>1108963</v>
      </c>
      <c r="O4328" t="str">
        <f>IF(G4328="Not available","",VLOOKUP(F4328,Sheet2!$B$1:$E$19,4,FALSE)+(G4328-1))</f>
        <v/>
      </c>
    </row>
    <row r="4329" spans="1:15" s="1" customFormat="1" ht="15" customHeight="1" x14ac:dyDescent="0.25">
      <c r="A4329" s="18" t="s">
        <v>514</v>
      </c>
      <c r="B4329" s="18" t="s">
        <v>1049</v>
      </c>
      <c r="C4329" s="5">
        <v>1885</v>
      </c>
      <c r="D4329" s="1" t="s">
        <v>545</v>
      </c>
      <c r="E4329" s="1" t="s">
        <v>2</v>
      </c>
      <c r="F4329" s="18">
        <v>2165</v>
      </c>
      <c r="G4329" s="18">
        <v>202</v>
      </c>
      <c r="H4329" s="5">
        <v>4</v>
      </c>
      <c r="I4329" s="1">
        <v>204</v>
      </c>
      <c r="J4329" s="1">
        <v>187</v>
      </c>
      <c r="L4329" t="str">
        <f t="shared" si="67"/>
        <v>http://www.badatelna.eu/reprodukce/?fondId=1073&amp;zaznamId=1108952&amp;reproId=3779063</v>
      </c>
      <c r="M4329">
        <f>VLOOKUP(F4329,Sheet2!$B$1:$E$19,2,FALSE)</f>
        <v>1073</v>
      </c>
      <c r="N4329">
        <f>VLOOKUP(F4329,Sheet2!$B$1:$E$19,3,FALSE)</f>
        <v>1108952</v>
      </c>
      <c r="O4329">
        <f>IF(G4329="Not available","",VLOOKUP(F4329,Sheet2!$B$1:$E$19,4,FALSE)+(G4329-1))</f>
        <v>3779063</v>
      </c>
    </row>
    <row r="4330" spans="1:15" s="1" customFormat="1" ht="15" customHeight="1" x14ac:dyDescent="0.25">
      <c r="A4330" s="18" t="s">
        <v>514</v>
      </c>
      <c r="B4330" s="18" t="s">
        <v>484</v>
      </c>
      <c r="C4330" s="14" t="s">
        <v>3115</v>
      </c>
      <c r="D4330" s="1" t="s">
        <v>83</v>
      </c>
      <c r="E4330" s="1" t="s">
        <v>2</v>
      </c>
      <c r="F4330" s="18">
        <v>2174</v>
      </c>
      <c r="G4330" s="18">
        <v>85</v>
      </c>
      <c r="H4330" s="6" t="s">
        <v>3152</v>
      </c>
      <c r="I4330" s="1">
        <v>202</v>
      </c>
      <c r="J4330" s="1">
        <v>237</v>
      </c>
      <c r="L4330" t="str">
        <f t="shared" si="67"/>
        <v>http://www.badatelna.eu/reprodukce/?fondId=1073&amp;zaznamId=1108960&amp;reproId=3780309</v>
      </c>
      <c r="M4330">
        <f>VLOOKUP(F4330,Sheet2!$B$1:$E$19,2,FALSE)</f>
        <v>1073</v>
      </c>
      <c r="N4330">
        <f>VLOOKUP(F4330,Sheet2!$B$1:$E$19,3,FALSE)</f>
        <v>1108960</v>
      </c>
      <c r="O4330">
        <f>IF(G4330="Not available","",VLOOKUP(F4330,Sheet2!$B$1:$E$19,4,FALSE)+(G4330-1))</f>
        <v>3780309</v>
      </c>
    </row>
    <row r="4331" spans="1:15" s="1" customFormat="1" ht="15" customHeight="1" x14ac:dyDescent="0.25">
      <c r="A4331" s="18" t="s">
        <v>514</v>
      </c>
      <c r="B4331" s="18" t="s">
        <v>484</v>
      </c>
      <c r="C4331" s="5">
        <v>1850</v>
      </c>
      <c r="D4331" s="1" t="s">
        <v>26</v>
      </c>
      <c r="E4331" s="1" t="s">
        <v>2</v>
      </c>
      <c r="F4331" s="18">
        <v>2164</v>
      </c>
      <c r="G4331" s="18">
        <v>67</v>
      </c>
      <c r="H4331" s="5">
        <v>65</v>
      </c>
      <c r="I4331" s="1">
        <v>139</v>
      </c>
      <c r="J4331" s="3" t="s">
        <v>3271</v>
      </c>
      <c r="L4331" t="str">
        <f t="shared" si="67"/>
        <v>http://www.badatelna.eu/reprodukce/?fondId=1073&amp;zaznamId=1108951&amp;reproId=3778781</v>
      </c>
      <c r="M4331">
        <f>VLOOKUP(F4331,Sheet2!$B$1:$E$19,2,FALSE)</f>
        <v>1073</v>
      </c>
      <c r="N4331">
        <f>VLOOKUP(F4331,Sheet2!$B$1:$E$19,3,FALSE)</f>
        <v>1108951</v>
      </c>
      <c r="O4331">
        <f>IF(G4331="Not available","",VLOOKUP(F4331,Sheet2!$B$1:$E$19,4,FALSE)+(G4331-1))</f>
        <v>3778781</v>
      </c>
    </row>
    <row r="4332" spans="1:15" s="1" customFormat="1" ht="15" customHeight="1" x14ac:dyDescent="0.25">
      <c r="A4332" s="18" t="s">
        <v>514</v>
      </c>
      <c r="B4332" s="18" t="s">
        <v>484</v>
      </c>
      <c r="C4332" s="5">
        <v>1851</v>
      </c>
      <c r="D4332" s="1" t="s">
        <v>26</v>
      </c>
      <c r="E4332" s="1" t="s">
        <v>2</v>
      </c>
      <c r="F4332" s="18">
        <v>2164</v>
      </c>
      <c r="G4332" s="18">
        <v>79</v>
      </c>
      <c r="H4332" s="5">
        <v>77</v>
      </c>
      <c r="I4332" s="1">
        <v>139</v>
      </c>
      <c r="J4332" s="3" t="s">
        <v>3271</v>
      </c>
      <c r="L4332" t="str">
        <f t="shared" si="67"/>
        <v>http://www.badatelna.eu/reprodukce/?fondId=1073&amp;zaznamId=1108951&amp;reproId=3778793</v>
      </c>
      <c r="M4332">
        <f>VLOOKUP(F4332,Sheet2!$B$1:$E$19,2,FALSE)</f>
        <v>1073</v>
      </c>
      <c r="N4332">
        <f>VLOOKUP(F4332,Sheet2!$B$1:$E$19,3,FALSE)</f>
        <v>1108951</v>
      </c>
      <c r="O4332">
        <f>IF(G4332="Not available","",VLOOKUP(F4332,Sheet2!$B$1:$E$19,4,FALSE)+(G4332-1))</f>
        <v>3778793</v>
      </c>
    </row>
    <row r="4333" spans="1:15" s="1" customFormat="1" ht="15" customHeight="1" x14ac:dyDescent="0.25">
      <c r="A4333" s="18" t="s">
        <v>514</v>
      </c>
      <c r="B4333" s="18" t="s">
        <v>484</v>
      </c>
      <c r="C4333" s="5">
        <v>1859</v>
      </c>
      <c r="D4333" s="4" t="s">
        <v>3309</v>
      </c>
      <c r="E4333" s="1" t="s">
        <v>939</v>
      </c>
      <c r="F4333" s="18">
        <v>999</v>
      </c>
      <c r="G4333" s="18">
        <v>15</v>
      </c>
      <c r="H4333" s="5">
        <v>13</v>
      </c>
      <c r="I4333" s="1">
        <v>76</v>
      </c>
      <c r="J4333" s="1">
        <v>110</v>
      </c>
      <c r="L4333" t="str">
        <f t="shared" si="67"/>
        <v>http://www.badatelna.eu/reprodukce/?fondId=241&amp;zaznamId=1133739&amp;reproId=3885744</v>
      </c>
      <c r="M4333">
        <f>VLOOKUP(F4333,Sheet2!$B$1:$E$19,2,FALSE)</f>
        <v>241</v>
      </c>
      <c r="N4333">
        <f>VLOOKUP(F4333,Sheet2!$B$1:$E$19,3,FALSE)</f>
        <v>1133739</v>
      </c>
      <c r="O4333">
        <f>IF(G4333="Not available","",VLOOKUP(F4333,Sheet2!$B$1:$E$19,4,FALSE)+(G4333-1))</f>
        <v>3885744</v>
      </c>
    </row>
    <row r="4334" spans="1:15" s="1" customFormat="1" ht="15" customHeight="1" x14ac:dyDescent="0.25">
      <c r="A4334" s="18" t="s">
        <v>514</v>
      </c>
      <c r="B4334" s="18" t="s">
        <v>436</v>
      </c>
      <c r="C4334" s="5">
        <v>1861</v>
      </c>
      <c r="D4334" s="4" t="s">
        <v>3310</v>
      </c>
      <c r="E4334" s="1" t="s">
        <v>939</v>
      </c>
      <c r="F4334" s="18">
        <v>999</v>
      </c>
      <c r="G4334" s="18">
        <v>26</v>
      </c>
      <c r="H4334" s="5">
        <v>24</v>
      </c>
      <c r="I4334" s="1">
        <v>76</v>
      </c>
      <c r="J4334" s="1">
        <v>110</v>
      </c>
      <c r="L4334" t="str">
        <f t="shared" si="67"/>
        <v>http://www.badatelna.eu/reprodukce/?fondId=241&amp;zaznamId=1133739&amp;reproId=3885755</v>
      </c>
      <c r="M4334">
        <f>VLOOKUP(F4334,Sheet2!$B$1:$E$19,2,FALSE)</f>
        <v>241</v>
      </c>
      <c r="N4334">
        <f>VLOOKUP(F4334,Sheet2!$B$1:$E$19,3,FALSE)</f>
        <v>1133739</v>
      </c>
      <c r="O4334">
        <f>IF(G4334="Not available","",VLOOKUP(F4334,Sheet2!$B$1:$E$19,4,FALSE)+(G4334-1))</f>
        <v>3885755</v>
      </c>
    </row>
    <row r="4335" spans="1:15" s="1" customFormat="1" ht="15" customHeight="1" x14ac:dyDescent="0.25">
      <c r="A4335" s="18" t="s">
        <v>514</v>
      </c>
      <c r="B4335" s="18" t="s">
        <v>759</v>
      </c>
      <c r="C4335" s="14" t="s">
        <v>3111</v>
      </c>
      <c r="D4335" s="4" t="s">
        <v>3311</v>
      </c>
      <c r="E4335" s="1" t="s">
        <v>2</v>
      </c>
      <c r="F4335" s="18">
        <v>2174</v>
      </c>
      <c r="G4335" s="18">
        <v>85</v>
      </c>
      <c r="H4335" s="6" t="s">
        <v>3152</v>
      </c>
      <c r="I4335" s="1">
        <v>202</v>
      </c>
      <c r="J4335" s="1">
        <v>237</v>
      </c>
      <c r="L4335" t="str">
        <f t="shared" si="67"/>
        <v>http://www.badatelna.eu/reprodukce/?fondId=1073&amp;zaznamId=1108960&amp;reproId=3780309</v>
      </c>
      <c r="M4335">
        <f>VLOOKUP(F4335,Sheet2!$B$1:$E$19,2,FALSE)</f>
        <v>1073</v>
      </c>
      <c r="N4335">
        <f>VLOOKUP(F4335,Sheet2!$B$1:$E$19,3,FALSE)</f>
        <v>1108960</v>
      </c>
      <c r="O4335">
        <f>IF(G4335="Not available","",VLOOKUP(F4335,Sheet2!$B$1:$E$19,4,FALSE)+(G4335-1))</f>
        <v>3780309</v>
      </c>
    </row>
    <row r="4336" spans="1:15" s="1" customFormat="1" ht="15" customHeight="1" x14ac:dyDescent="0.25">
      <c r="A4336" s="18" t="s">
        <v>514</v>
      </c>
      <c r="B4336" s="18" t="s">
        <v>721</v>
      </c>
      <c r="C4336" s="5">
        <v>1832</v>
      </c>
      <c r="D4336" s="1" t="s">
        <v>83</v>
      </c>
      <c r="E4336" s="1" t="s">
        <v>2</v>
      </c>
      <c r="F4336" s="18">
        <v>2174</v>
      </c>
      <c r="G4336" s="18">
        <v>67</v>
      </c>
      <c r="H4336" s="6" t="s">
        <v>3134</v>
      </c>
      <c r="I4336" s="1">
        <v>201</v>
      </c>
      <c r="J4336" s="1">
        <v>236</v>
      </c>
      <c r="L4336" t="str">
        <f t="shared" si="67"/>
        <v>http://www.badatelna.eu/reprodukce/?fondId=1073&amp;zaznamId=1108960&amp;reproId=3780291</v>
      </c>
      <c r="M4336">
        <f>VLOOKUP(F4336,Sheet2!$B$1:$E$19,2,FALSE)</f>
        <v>1073</v>
      </c>
      <c r="N4336">
        <f>VLOOKUP(F4336,Sheet2!$B$1:$E$19,3,FALSE)</f>
        <v>1108960</v>
      </c>
      <c r="O4336">
        <f>IF(G4336="Not available","",VLOOKUP(F4336,Sheet2!$B$1:$E$19,4,FALSE)+(G4336-1))</f>
        <v>3780291</v>
      </c>
    </row>
    <row r="4337" spans="1:15" s="1" customFormat="1" ht="15" customHeight="1" x14ac:dyDescent="0.25">
      <c r="A4337" s="18" t="s">
        <v>514</v>
      </c>
      <c r="B4337" s="18" t="s">
        <v>90</v>
      </c>
      <c r="C4337" s="10" t="s">
        <v>2025</v>
      </c>
      <c r="D4337" s="3" t="s">
        <v>2650</v>
      </c>
      <c r="E4337" s="4" t="s">
        <v>2</v>
      </c>
      <c r="F4337" s="18">
        <v>2176</v>
      </c>
      <c r="G4337" s="18" t="s">
        <v>3271</v>
      </c>
      <c r="H4337" s="10" t="s">
        <v>1954</v>
      </c>
      <c r="I4337" s="3">
        <v>41</v>
      </c>
      <c r="J4337" s="3" t="s">
        <v>3271</v>
      </c>
      <c r="K4337" s="3"/>
      <c r="L4337" t="str">
        <f t="shared" si="67"/>
        <v/>
      </c>
      <c r="M4337">
        <f>VLOOKUP(F4337,Sheet2!$B$1:$E$19,2,FALSE)</f>
        <v>1073</v>
      </c>
      <c r="N4337">
        <f>VLOOKUP(F4337,Sheet2!$B$1:$E$19,3,FALSE)</f>
        <v>1108963</v>
      </c>
      <c r="O4337" t="str">
        <f>IF(G4337="Not available","",VLOOKUP(F4337,Sheet2!$B$1:$E$19,4,FALSE)+(G4337-1))</f>
        <v/>
      </c>
    </row>
    <row r="4338" spans="1:15" s="1" customFormat="1" ht="15" customHeight="1" x14ac:dyDescent="0.25">
      <c r="A4338" s="18" t="s">
        <v>514</v>
      </c>
      <c r="B4338" s="18" t="s">
        <v>129</v>
      </c>
      <c r="C4338" s="5">
        <v>1866</v>
      </c>
      <c r="D4338" s="4" t="s">
        <v>2653</v>
      </c>
      <c r="E4338" s="1" t="s">
        <v>939</v>
      </c>
      <c r="F4338" s="18">
        <v>999</v>
      </c>
      <c r="G4338" s="18">
        <v>59</v>
      </c>
      <c r="H4338" s="5">
        <v>57</v>
      </c>
      <c r="I4338" s="1">
        <v>77</v>
      </c>
      <c r="J4338" s="1">
        <v>112</v>
      </c>
      <c r="L4338" t="str">
        <f t="shared" si="67"/>
        <v>http://www.badatelna.eu/reprodukce/?fondId=241&amp;zaznamId=1133739&amp;reproId=3885788</v>
      </c>
      <c r="M4338">
        <f>VLOOKUP(F4338,Sheet2!$B$1:$E$19,2,FALSE)</f>
        <v>241</v>
      </c>
      <c r="N4338">
        <f>VLOOKUP(F4338,Sheet2!$B$1:$E$19,3,FALSE)</f>
        <v>1133739</v>
      </c>
      <c r="O4338">
        <f>IF(G4338="Not available","",VLOOKUP(F4338,Sheet2!$B$1:$E$19,4,FALSE)+(G4338-1))</f>
        <v>3885788</v>
      </c>
    </row>
    <row r="4339" spans="1:15" s="1" customFormat="1" ht="15" customHeight="1" x14ac:dyDescent="0.25">
      <c r="A4339" s="18" t="s">
        <v>514</v>
      </c>
      <c r="B4339" s="18" t="s">
        <v>129</v>
      </c>
      <c r="C4339" s="5" t="s">
        <v>1606</v>
      </c>
      <c r="D4339" s="1" t="s">
        <v>566</v>
      </c>
      <c r="E4339" s="1" t="s">
        <v>2</v>
      </c>
      <c r="F4339" s="18">
        <v>2165</v>
      </c>
      <c r="G4339" s="18">
        <v>14</v>
      </c>
      <c r="H4339" s="5">
        <v>11</v>
      </c>
      <c r="I4339" s="1">
        <v>92</v>
      </c>
      <c r="J4339" s="1" t="s">
        <v>3271</v>
      </c>
      <c r="L4339" t="str">
        <f t="shared" si="67"/>
        <v>http://www.badatelna.eu/reprodukce/?fondId=1073&amp;zaznamId=1108952&amp;reproId=3778875</v>
      </c>
      <c r="M4339">
        <f>VLOOKUP(F4339,Sheet2!$B$1:$E$19,2,FALSE)</f>
        <v>1073</v>
      </c>
      <c r="N4339">
        <f>VLOOKUP(F4339,Sheet2!$B$1:$E$19,3,FALSE)</f>
        <v>1108952</v>
      </c>
      <c r="O4339">
        <f>IF(G4339="Not available","",VLOOKUP(F4339,Sheet2!$B$1:$E$19,4,FALSE)+(G4339-1))</f>
        <v>3778875</v>
      </c>
    </row>
    <row r="4340" spans="1:15" s="1" customFormat="1" ht="15" customHeight="1" x14ac:dyDescent="0.25">
      <c r="A4340" s="18" t="s">
        <v>514</v>
      </c>
      <c r="B4340" s="18" t="s">
        <v>129</v>
      </c>
      <c r="C4340" s="5" t="s">
        <v>1611</v>
      </c>
      <c r="D4340" s="1" t="s">
        <v>1090</v>
      </c>
      <c r="E4340" s="1" t="s">
        <v>2</v>
      </c>
      <c r="F4340" s="18">
        <v>2165</v>
      </c>
      <c r="G4340" s="18">
        <v>17</v>
      </c>
      <c r="H4340" s="5">
        <v>14</v>
      </c>
      <c r="I4340" s="1">
        <v>92</v>
      </c>
      <c r="J4340" s="1" t="s">
        <v>3271</v>
      </c>
      <c r="L4340" t="str">
        <f t="shared" si="67"/>
        <v>http://www.badatelna.eu/reprodukce/?fondId=1073&amp;zaznamId=1108952&amp;reproId=3778878</v>
      </c>
      <c r="M4340">
        <f>VLOOKUP(F4340,Sheet2!$B$1:$E$19,2,FALSE)</f>
        <v>1073</v>
      </c>
      <c r="N4340">
        <f>VLOOKUP(F4340,Sheet2!$B$1:$E$19,3,FALSE)</f>
        <v>1108952</v>
      </c>
      <c r="O4340">
        <f>IF(G4340="Not available","",VLOOKUP(F4340,Sheet2!$B$1:$E$19,4,FALSE)+(G4340-1))</f>
        <v>3778878</v>
      </c>
    </row>
    <row r="4341" spans="1:15" s="1" customFormat="1" ht="15" customHeight="1" x14ac:dyDescent="0.25">
      <c r="A4341" s="18" t="s">
        <v>514</v>
      </c>
      <c r="B4341" s="18" t="s">
        <v>495</v>
      </c>
      <c r="C4341" s="5">
        <v>1847</v>
      </c>
      <c r="D4341" s="1" t="s">
        <v>21</v>
      </c>
      <c r="E4341" s="1" t="s">
        <v>2</v>
      </c>
      <c r="F4341" s="18">
        <v>2164</v>
      </c>
      <c r="G4341" s="18">
        <v>41</v>
      </c>
      <c r="H4341" s="5">
        <v>39</v>
      </c>
      <c r="I4341" s="1">
        <v>139</v>
      </c>
      <c r="J4341" s="3" t="s">
        <v>3271</v>
      </c>
      <c r="L4341" t="str">
        <f t="shared" si="67"/>
        <v>http://www.badatelna.eu/reprodukce/?fondId=1073&amp;zaznamId=1108951&amp;reproId=3778755</v>
      </c>
      <c r="M4341">
        <f>VLOOKUP(F4341,Sheet2!$B$1:$E$19,2,FALSE)</f>
        <v>1073</v>
      </c>
      <c r="N4341">
        <f>VLOOKUP(F4341,Sheet2!$B$1:$E$19,3,FALSE)</f>
        <v>1108951</v>
      </c>
      <c r="O4341">
        <f>IF(G4341="Not available","",VLOOKUP(F4341,Sheet2!$B$1:$E$19,4,FALSE)+(G4341-1))</f>
        <v>3778755</v>
      </c>
    </row>
    <row r="4342" spans="1:15" s="1" customFormat="1" ht="15" customHeight="1" x14ac:dyDescent="0.25">
      <c r="A4342" s="18" t="s">
        <v>514</v>
      </c>
      <c r="B4342" s="18" t="s">
        <v>75</v>
      </c>
      <c r="C4342" s="5">
        <v>1811</v>
      </c>
      <c r="D4342" s="4" t="s">
        <v>3308</v>
      </c>
      <c r="E4342" s="1" t="s">
        <v>2</v>
      </c>
      <c r="F4342" s="18">
        <v>2173</v>
      </c>
      <c r="G4342" s="18">
        <v>58</v>
      </c>
      <c r="H4342" s="5">
        <v>111</v>
      </c>
      <c r="I4342" s="1">
        <v>116</v>
      </c>
      <c r="J4342" s="1">
        <v>253</v>
      </c>
      <c r="L4342" t="str">
        <f t="shared" si="67"/>
        <v>http://www.badatelna.eu/reprodukce/?fondId=1073&amp;zaznamId=1108959&amp;reproId=3780051</v>
      </c>
      <c r="M4342">
        <f>VLOOKUP(F4342,Sheet2!$B$1:$E$19,2,FALSE)</f>
        <v>1073</v>
      </c>
      <c r="N4342">
        <f>VLOOKUP(F4342,Sheet2!$B$1:$E$19,3,FALSE)</f>
        <v>1108959</v>
      </c>
      <c r="O4342">
        <f>IF(G4342="Not available","",VLOOKUP(F4342,Sheet2!$B$1:$E$19,4,FALSE)+(G4342-1))</f>
        <v>3780051</v>
      </c>
    </row>
    <row r="4343" spans="1:15" s="1" customFormat="1" ht="15" customHeight="1" x14ac:dyDescent="0.25">
      <c r="A4343" s="18" t="s">
        <v>514</v>
      </c>
      <c r="B4343" s="18" t="s">
        <v>532</v>
      </c>
      <c r="C4343" s="5">
        <v>1792</v>
      </c>
      <c r="D4343" s="1" t="s">
        <v>26</v>
      </c>
      <c r="E4343" s="1" t="s">
        <v>2</v>
      </c>
      <c r="F4343" s="18">
        <v>2173</v>
      </c>
      <c r="G4343" s="18">
        <v>26</v>
      </c>
      <c r="H4343" s="5">
        <v>46</v>
      </c>
      <c r="I4343" s="1">
        <v>115</v>
      </c>
      <c r="J4343" s="1">
        <v>259</v>
      </c>
      <c r="L4343" t="str">
        <f t="shared" si="67"/>
        <v>http://www.badatelna.eu/reprodukce/?fondId=1073&amp;zaznamId=1108959&amp;reproId=3780019</v>
      </c>
      <c r="M4343">
        <f>VLOOKUP(F4343,Sheet2!$B$1:$E$19,2,FALSE)</f>
        <v>1073</v>
      </c>
      <c r="N4343">
        <f>VLOOKUP(F4343,Sheet2!$B$1:$E$19,3,FALSE)</f>
        <v>1108959</v>
      </c>
      <c r="O4343">
        <f>IF(G4343="Not available","",VLOOKUP(F4343,Sheet2!$B$1:$E$19,4,FALSE)+(G4343-1))</f>
        <v>3780019</v>
      </c>
    </row>
    <row r="4344" spans="1:15" s="1" customFormat="1" ht="15" customHeight="1" x14ac:dyDescent="0.25">
      <c r="A4344" s="18" t="s">
        <v>514</v>
      </c>
      <c r="B4344" s="18" t="s">
        <v>1052</v>
      </c>
      <c r="C4344" s="10" t="s">
        <v>2036</v>
      </c>
      <c r="D4344" s="3" t="s">
        <v>2682</v>
      </c>
      <c r="E4344" s="4" t="s">
        <v>2</v>
      </c>
      <c r="F4344" s="18">
        <v>2176</v>
      </c>
      <c r="G4344" s="18" t="s">
        <v>3271</v>
      </c>
      <c r="H4344" s="10" t="s">
        <v>2230</v>
      </c>
      <c r="I4344" s="3">
        <v>41</v>
      </c>
      <c r="J4344" s="3" t="s">
        <v>3271</v>
      </c>
      <c r="K4344" s="3"/>
      <c r="L4344" t="str">
        <f t="shared" si="67"/>
        <v/>
      </c>
      <c r="M4344">
        <f>VLOOKUP(F4344,Sheet2!$B$1:$E$19,2,FALSE)</f>
        <v>1073</v>
      </c>
      <c r="N4344">
        <f>VLOOKUP(F4344,Sheet2!$B$1:$E$19,3,FALSE)</f>
        <v>1108963</v>
      </c>
      <c r="O4344" t="str">
        <f>IF(G4344="Not available","",VLOOKUP(F4344,Sheet2!$B$1:$E$19,4,FALSE)+(G4344-1))</f>
        <v/>
      </c>
    </row>
    <row r="4345" spans="1:15" s="1" customFormat="1" ht="15" customHeight="1" x14ac:dyDescent="0.25">
      <c r="A4345" s="18" t="s">
        <v>514</v>
      </c>
      <c r="B4345" s="18" t="s">
        <v>1052</v>
      </c>
      <c r="C4345" s="5">
        <v>1883</v>
      </c>
      <c r="D4345" s="1" t="s">
        <v>422</v>
      </c>
      <c r="E4345" s="1" t="s">
        <v>2</v>
      </c>
      <c r="F4345" s="18">
        <v>2165</v>
      </c>
      <c r="G4345" s="18">
        <v>187</v>
      </c>
      <c r="H4345" s="5">
        <v>3</v>
      </c>
      <c r="I4345" s="1">
        <v>191</v>
      </c>
      <c r="J4345" s="1">
        <v>168</v>
      </c>
      <c r="L4345" t="str">
        <f t="shared" si="67"/>
        <v>http://www.badatelna.eu/reprodukce/?fondId=1073&amp;zaznamId=1108952&amp;reproId=3779048</v>
      </c>
      <c r="M4345">
        <f>VLOOKUP(F4345,Sheet2!$B$1:$E$19,2,FALSE)</f>
        <v>1073</v>
      </c>
      <c r="N4345">
        <f>VLOOKUP(F4345,Sheet2!$B$1:$E$19,3,FALSE)</f>
        <v>1108952</v>
      </c>
      <c r="O4345">
        <f>IF(G4345="Not available","",VLOOKUP(F4345,Sheet2!$B$1:$E$19,4,FALSE)+(G4345-1))</f>
        <v>3779048</v>
      </c>
    </row>
    <row r="4346" spans="1:15" s="1" customFormat="1" ht="15" customHeight="1" x14ac:dyDescent="0.25">
      <c r="A4346" s="18" t="s">
        <v>514</v>
      </c>
      <c r="B4346" s="18" t="s">
        <v>1052</v>
      </c>
      <c r="C4346" s="10" t="s">
        <v>2041</v>
      </c>
      <c r="D4346" s="3" t="s">
        <v>2693</v>
      </c>
      <c r="E4346" s="4" t="s">
        <v>2</v>
      </c>
      <c r="F4346" s="18">
        <v>2176</v>
      </c>
      <c r="G4346" s="18" t="s">
        <v>3271</v>
      </c>
      <c r="H4346" s="10" t="s">
        <v>1955</v>
      </c>
      <c r="I4346" s="3">
        <v>41</v>
      </c>
      <c r="J4346" s="3" t="s">
        <v>3271</v>
      </c>
      <c r="K4346" s="3"/>
      <c r="L4346" t="str">
        <f t="shared" si="67"/>
        <v/>
      </c>
      <c r="M4346">
        <f>VLOOKUP(F4346,Sheet2!$B$1:$E$19,2,FALSE)</f>
        <v>1073</v>
      </c>
      <c r="N4346">
        <f>VLOOKUP(F4346,Sheet2!$B$1:$E$19,3,FALSE)</f>
        <v>1108963</v>
      </c>
      <c r="O4346" t="str">
        <f>IF(G4346="Not available","",VLOOKUP(F4346,Sheet2!$B$1:$E$19,4,FALSE)+(G4346-1))</f>
        <v/>
      </c>
    </row>
    <row r="4347" spans="1:15" s="1" customFormat="1" ht="15" customHeight="1" x14ac:dyDescent="0.25">
      <c r="A4347" s="18" t="s">
        <v>514</v>
      </c>
      <c r="B4347" s="18" t="s">
        <v>1052</v>
      </c>
      <c r="C4347" s="5">
        <v>1884</v>
      </c>
      <c r="D4347" s="1" t="s">
        <v>545</v>
      </c>
      <c r="E4347" s="1" t="s">
        <v>2</v>
      </c>
      <c r="F4347" s="18">
        <v>2165</v>
      </c>
      <c r="G4347" s="18">
        <v>193</v>
      </c>
      <c r="H4347" s="5">
        <v>1</v>
      </c>
      <c r="I4347" s="1">
        <v>197</v>
      </c>
      <c r="J4347" s="1">
        <v>174</v>
      </c>
      <c r="L4347" t="str">
        <f t="shared" si="67"/>
        <v>http://www.badatelna.eu/reprodukce/?fondId=1073&amp;zaznamId=1108952&amp;reproId=3779054</v>
      </c>
      <c r="M4347">
        <f>VLOOKUP(F4347,Sheet2!$B$1:$E$19,2,FALSE)</f>
        <v>1073</v>
      </c>
      <c r="N4347">
        <f>VLOOKUP(F4347,Sheet2!$B$1:$E$19,3,FALSE)</f>
        <v>1108952</v>
      </c>
      <c r="O4347">
        <f>IF(G4347="Not available","",VLOOKUP(F4347,Sheet2!$B$1:$E$19,4,FALSE)+(G4347-1))</f>
        <v>3779054</v>
      </c>
    </row>
    <row r="4348" spans="1:15" s="1" customFormat="1" ht="15" customHeight="1" x14ac:dyDescent="0.25">
      <c r="A4348" s="18" t="s">
        <v>514</v>
      </c>
      <c r="B4348" s="18" t="s">
        <v>809</v>
      </c>
      <c r="C4348" s="5">
        <v>1851</v>
      </c>
      <c r="D4348" s="1" t="s">
        <v>495</v>
      </c>
      <c r="E4348" s="1" t="s">
        <v>2</v>
      </c>
      <c r="F4348" s="18">
        <v>2164</v>
      </c>
      <c r="G4348" s="18">
        <v>76</v>
      </c>
      <c r="H4348" s="5">
        <v>74</v>
      </c>
      <c r="I4348" s="1">
        <v>139</v>
      </c>
      <c r="J4348" s="3" t="s">
        <v>3271</v>
      </c>
      <c r="L4348" t="str">
        <f t="shared" si="67"/>
        <v>http://www.badatelna.eu/reprodukce/?fondId=1073&amp;zaznamId=1108951&amp;reproId=3778790</v>
      </c>
      <c r="M4348">
        <f>VLOOKUP(F4348,Sheet2!$B$1:$E$19,2,FALSE)</f>
        <v>1073</v>
      </c>
      <c r="N4348">
        <f>VLOOKUP(F4348,Sheet2!$B$1:$E$19,3,FALSE)</f>
        <v>1108951</v>
      </c>
      <c r="O4348">
        <f>IF(G4348="Not available","",VLOOKUP(F4348,Sheet2!$B$1:$E$19,4,FALSE)+(G4348-1))</f>
        <v>3778790</v>
      </c>
    </row>
    <row r="4349" spans="1:15" s="1" customFormat="1" ht="15" customHeight="1" x14ac:dyDescent="0.25">
      <c r="A4349" s="18" t="s">
        <v>514</v>
      </c>
      <c r="B4349" s="18" t="s">
        <v>809</v>
      </c>
      <c r="C4349" s="5">
        <v>1862</v>
      </c>
      <c r="D4349" s="4" t="s">
        <v>1093</v>
      </c>
      <c r="E4349" s="1" t="s">
        <v>939</v>
      </c>
      <c r="F4349" s="18">
        <v>999</v>
      </c>
      <c r="G4349" s="18">
        <v>34</v>
      </c>
      <c r="H4349" s="5">
        <v>32</v>
      </c>
      <c r="I4349" s="1">
        <v>76</v>
      </c>
      <c r="J4349" s="1">
        <v>110</v>
      </c>
      <c r="L4349" t="str">
        <f t="shared" si="67"/>
        <v>http://www.badatelna.eu/reprodukce/?fondId=241&amp;zaznamId=1133739&amp;reproId=3885763</v>
      </c>
      <c r="M4349">
        <f>VLOOKUP(F4349,Sheet2!$B$1:$E$19,2,FALSE)</f>
        <v>241</v>
      </c>
      <c r="N4349">
        <f>VLOOKUP(F4349,Sheet2!$B$1:$E$19,3,FALSE)</f>
        <v>1133739</v>
      </c>
      <c r="O4349">
        <f>IF(G4349="Not available","",VLOOKUP(F4349,Sheet2!$B$1:$E$19,4,FALSE)+(G4349-1))</f>
        <v>3885763</v>
      </c>
    </row>
    <row r="4350" spans="1:15" s="1" customFormat="1" ht="15" customHeight="1" x14ac:dyDescent="0.25">
      <c r="A4350" s="18" t="s">
        <v>514</v>
      </c>
      <c r="B4350" s="18" t="s">
        <v>65</v>
      </c>
      <c r="C4350" s="5">
        <v>1807</v>
      </c>
      <c r="D4350" s="4" t="s">
        <v>3308</v>
      </c>
      <c r="E4350" s="1" t="s">
        <v>2</v>
      </c>
      <c r="F4350" s="18">
        <v>2173</v>
      </c>
      <c r="G4350" s="18">
        <v>52</v>
      </c>
      <c r="H4350" s="14" t="s">
        <v>2958</v>
      </c>
      <c r="I4350" s="1">
        <v>116</v>
      </c>
      <c r="J4350" s="1">
        <v>252</v>
      </c>
      <c r="L4350" t="str">
        <f t="shared" si="67"/>
        <v>http://www.badatelna.eu/reprodukce/?fondId=1073&amp;zaznamId=1108959&amp;reproId=3780045</v>
      </c>
      <c r="M4350">
        <f>VLOOKUP(F4350,Sheet2!$B$1:$E$19,2,FALSE)</f>
        <v>1073</v>
      </c>
      <c r="N4350">
        <f>VLOOKUP(F4350,Sheet2!$B$1:$E$19,3,FALSE)</f>
        <v>1108959</v>
      </c>
      <c r="O4350">
        <f>IF(G4350="Not available","",VLOOKUP(F4350,Sheet2!$B$1:$E$19,4,FALSE)+(G4350-1))</f>
        <v>3780045</v>
      </c>
    </row>
    <row r="4351" spans="1:15" s="1" customFormat="1" ht="15" customHeight="1" x14ac:dyDescent="0.25">
      <c r="A4351" s="18" t="s">
        <v>514</v>
      </c>
      <c r="B4351" s="18" t="s">
        <v>12</v>
      </c>
      <c r="C4351" s="5">
        <v>1805</v>
      </c>
      <c r="D4351" s="4" t="s">
        <v>3308</v>
      </c>
      <c r="E4351" s="1" t="s">
        <v>2</v>
      </c>
      <c r="F4351" s="18">
        <v>2173</v>
      </c>
      <c r="G4351" s="18">
        <v>50</v>
      </c>
      <c r="H4351" s="14" t="s">
        <v>3003</v>
      </c>
      <c r="I4351" s="1">
        <v>116</v>
      </c>
      <c r="J4351" s="1">
        <v>252</v>
      </c>
      <c r="L4351" t="str">
        <f t="shared" si="67"/>
        <v>http://www.badatelna.eu/reprodukce/?fondId=1073&amp;zaznamId=1108959&amp;reproId=3780043</v>
      </c>
      <c r="M4351">
        <f>VLOOKUP(F4351,Sheet2!$B$1:$E$19,2,FALSE)</f>
        <v>1073</v>
      </c>
      <c r="N4351">
        <f>VLOOKUP(F4351,Sheet2!$B$1:$E$19,3,FALSE)</f>
        <v>1108959</v>
      </c>
      <c r="O4351">
        <f>IF(G4351="Not available","",VLOOKUP(F4351,Sheet2!$B$1:$E$19,4,FALSE)+(G4351-1))</f>
        <v>3780043</v>
      </c>
    </row>
    <row r="4352" spans="1:15" s="1" customFormat="1" ht="15" customHeight="1" x14ac:dyDescent="0.25">
      <c r="A4352" s="18" t="s">
        <v>514</v>
      </c>
      <c r="B4352" s="18" t="s">
        <v>2000</v>
      </c>
      <c r="C4352" s="10" t="s">
        <v>1987</v>
      </c>
      <c r="D4352" s="3" t="s">
        <v>2650</v>
      </c>
      <c r="E4352" s="4" t="s">
        <v>2</v>
      </c>
      <c r="F4352" s="18">
        <v>2176</v>
      </c>
      <c r="G4352" s="18" t="s">
        <v>3271</v>
      </c>
      <c r="H4352" s="10" t="s">
        <v>2381</v>
      </c>
      <c r="I4352" s="3">
        <v>40</v>
      </c>
      <c r="J4352" s="3" t="s">
        <v>3271</v>
      </c>
      <c r="L4352" t="str">
        <f t="shared" si="67"/>
        <v/>
      </c>
      <c r="M4352">
        <f>VLOOKUP(F4352,Sheet2!$B$1:$E$19,2,FALSE)</f>
        <v>1073</v>
      </c>
      <c r="N4352">
        <f>VLOOKUP(F4352,Sheet2!$B$1:$E$19,3,FALSE)</f>
        <v>1108963</v>
      </c>
      <c r="O4352" t="str">
        <f>IF(G4352="Not available","",VLOOKUP(F4352,Sheet2!$B$1:$E$19,4,FALSE)+(G4352-1))</f>
        <v/>
      </c>
    </row>
    <row r="4353" spans="1:15" s="1" customFormat="1" ht="15" customHeight="1" x14ac:dyDescent="0.25">
      <c r="A4353" s="18" t="s">
        <v>514</v>
      </c>
      <c r="B4353" s="18" t="s">
        <v>2007</v>
      </c>
      <c r="C4353" s="10" t="s">
        <v>2015</v>
      </c>
      <c r="D4353" s="3" t="s">
        <v>2677</v>
      </c>
      <c r="E4353" s="4" t="s">
        <v>2</v>
      </c>
      <c r="F4353" s="18">
        <v>2176</v>
      </c>
      <c r="G4353" s="18" t="s">
        <v>3271</v>
      </c>
      <c r="H4353" s="10" t="s">
        <v>2332</v>
      </c>
      <c r="I4353" s="3">
        <v>41</v>
      </c>
      <c r="J4353" s="3" t="s">
        <v>3271</v>
      </c>
      <c r="K4353" s="3"/>
      <c r="L4353" t="str">
        <f t="shared" si="67"/>
        <v/>
      </c>
      <c r="M4353">
        <f>VLOOKUP(F4353,Sheet2!$B$1:$E$19,2,FALSE)</f>
        <v>1073</v>
      </c>
      <c r="N4353">
        <f>VLOOKUP(F4353,Sheet2!$B$1:$E$19,3,FALSE)</f>
        <v>1108963</v>
      </c>
      <c r="O4353" t="str">
        <f>IF(G4353="Not available","",VLOOKUP(F4353,Sheet2!$B$1:$E$19,4,FALSE)+(G4353-1))</f>
        <v/>
      </c>
    </row>
    <row r="4354" spans="1:15" s="1" customFormat="1" ht="15" customHeight="1" x14ac:dyDescent="0.25">
      <c r="A4354" s="18" t="s">
        <v>514</v>
      </c>
      <c r="B4354" s="18" t="s">
        <v>2173</v>
      </c>
      <c r="C4354" s="10" t="s">
        <v>2015</v>
      </c>
      <c r="D4354" s="3" t="s">
        <v>2676</v>
      </c>
      <c r="E4354" s="4" t="s">
        <v>2</v>
      </c>
      <c r="F4354" s="18">
        <v>2176</v>
      </c>
      <c r="G4354" s="18" t="s">
        <v>3271</v>
      </c>
      <c r="H4354" s="10" t="s">
        <v>1974</v>
      </c>
      <c r="I4354" s="3">
        <v>40</v>
      </c>
      <c r="J4354" s="3" t="s">
        <v>3271</v>
      </c>
      <c r="K4354" s="3"/>
      <c r="L4354" t="str">
        <f t="shared" si="67"/>
        <v/>
      </c>
      <c r="M4354">
        <f>VLOOKUP(F4354,Sheet2!$B$1:$E$19,2,FALSE)</f>
        <v>1073</v>
      </c>
      <c r="N4354">
        <f>VLOOKUP(F4354,Sheet2!$B$1:$E$19,3,FALSE)</f>
        <v>1108963</v>
      </c>
      <c r="O4354" t="str">
        <f>IF(G4354="Not available","",VLOOKUP(F4354,Sheet2!$B$1:$E$19,4,FALSE)+(G4354-1))</f>
        <v/>
      </c>
    </row>
    <row r="4355" spans="1:15" s="1" customFormat="1" ht="15" customHeight="1" x14ac:dyDescent="0.25">
      <c r="A4355" s="18" t="s">
        <v>514</v>
      </c>
      <c r="B4355" s="18" t="s">
        <v>120</v>
      </c>
      <c r="C4355" s="5">
        <v>1826</v>
      </c>
      <c r="D4355" s="4" t="s">
        <v>49</v>
      </c>
      <c r="E4355" s="1" t="s">
        <v>2</v>
      </c>
      <c r="F4355" s="18">
        <v>2173</v>
      </c>
      <c r="G4355" s="18">
        <v>78</v>
      </c>
      <c r="H4355" s="5">
        <v>148</v>
      </c>
      <c r="I4355" s="1">
        <v>117</v>
      </c>
      <c r="J4355" s="1">
        <v>254</v>
      </c>
      <c r="L4355" t="str">
        <f t="shared" ref="L4355:L4418" si="68">IF(G4355="Not available","","http://www.badatelna.eu/reprodukce/?fondId="&amp;M4355&amp;"&amp;zaznamId="&amp;N4355&amp;"&amp;reproId="&amp;O4355)</f>
        <v>http://www.badatelna.eu/reprodukce/?fondId=1073&amp;zaznamId=1108959&amp;reproId=3780071</v>
      </c>
      <c r="M4355">
        <f>VLOOKUP(F4355,Sheet2!$B$1:$E$19,2,FALSE)</f>
        <v>1073</v>
      </c>
      <c r="N4355">
        <f>VLOOKUP(F4355,Sheet2!$B$1:$E$19,3,FALSE)</f>
        <v>1108959</v>
      </c>
      <c r="O4355">
        <f>IF(G4355="Not available","",VLOOKUP(F4355,Sheet2!$B$1:$E$19,4,FALSE)+(G4355-1))</f>
        <v>3780071</v>
      </c>
    </row>
    <row r="4356" spans="1:15" s="1" customFormat="1" ht="15" customHeight="1" x14ac:dyDescent="0.25">
      <c r="A4356" s="18" t="s">
        <v>514</v>
      </c>
      <c r="B4356" s="18" t="s">
        <v>51</v>
      </c>
      <c r="C4356" s="5" t="s">
        <v>1641</v>
      </c>
      <c r="D4356" s="1" t="s">
        <v>1090</v>
      </c>
      <c r="E4356" s="1" t="s">
        <v>2</v>
      </c>
      <c r="F4356" s="18">
        <v>2165</v>
      </c>
      <c r="G4356" s="18">
        <v>50</v>
      </c>
      <c r="H4356" s="5">
        <v>47</v>
      </c>
      <c r="I4356" s="1">
        <v>93</v>
      </c>
      <c r="J4356" s="1" t="s">
        <v>3271</v>
      </c>
      <c r="L4356" t="str">
        <f t="shared" si="68"/>
        <v>http://www.badatelna.eu/reprodukce/?fondId=1073&amp;zaznamId=1108952&amp;reproId=3778911</v>
      </c>
      <c r="M4356">
        <f>VLOOKUP(F4356,Sheet2!$B$1:$E$19,2,FALSE)</f>
        <v>1073</v>
      </c>
      <c r="N4356">
        <f>VLOOKUP(F4356,Sheet2!$B$1:$E$19,3,FALSE)</f>
        <v>1108952</v>
      </c>
      <c r="O4356">
        <f>IF(G4356="Not available","",VLOOKUP(F4356,Sheet2!$B$1:$E$19,4,FALSE)+(G4356-1))</f>
        <v>3778911</v>
      </c>
    </row>
    <row r="4357" spans="1:15" s="1" customFormat="1" ht="15" customHeight="1" x14ac:dyDescent="0.25">
      <c r="A4357" s="18" t="s">
        <v>514</v>
      </c>
      <c r="B4357" s="18" t="s">
        <v>1011</v>
      </c>
      <c r="C4357" s="10" t="s">
        <v>2005</v>
      </c>
      <c r="D4357" s="3" t="s">
        <v>2650</v>
      </c>
      <c r="E4357" s="4" t="s">
        <v>2</v>
      </c>
      <c r="F4357" s="18">
        <v>2176</v>
      </c>
      <c r="G4357" s="18" t="s">
        <v>3271</v>
      </c>
      <c r="H4357" s="10" t="s">
        <v>2674</v>
      </c>
      <c r="I4357" s="3">
        <v>40</v>
      </c>
      <c r="J4357" s="3" t="s">
        <v>3271</v>
      </c>
      <c r="K4357" s="3"/>
      <c r="L4357" t="str">
        <f t="shared" si="68"/>
        <v/>
      </c>
      <c r="M4357">
        <f>VLOOKUP(F4357,Sheet2!$B$1:$E$19,2,FALSE)</f>
        <v>1073</v>
      </c>
      <c r="N4357">
        <f>VLOOKUP(F4357,Sheet2!$B$1:$E$19,3,FALSE)</f>
        <v>1108963</v>
      </c>
      <c r="O4357" t="str">
        <f>IF(G4357="Not available","",VLOOKUP(F4357,Sheet2!$B$1:$E$19,4,FALSE)+(G4357-1))</f>
        <v/>
      </c>
    </row>
    <row r="4358" spans="1:15" s="1" customFormat="1" ht="15" customHeight="1" x14ac:dyDescent="0.25">
      <c r="A4358" s="18" t="s">
        <v>514</v>
      </c>
      <c r="B4358" s="18" t="s">
        <v>26</v>
      </c>
      <c r="C4358" s="6" t="s">
        <v>3313</v>
      </c>
      <c r="D4358" s="4" t="s">
        <v>3312</v>
      </c>
      <c r="E4358" s="1" t="s">
        <v>2</v>
      </c>
      <c r="F4358" s="18">
        <v>2173</v>
      </c>
      <c r="G4358" s="18">
        <v>60</v>
      </c>
      <c r="H4358" s="5">
        <v>114</v>
      </c>
      <c r="I4358" s="1">
        <v>116</v>
      </c>
      <c r="J4358" s="1">
        <v>253</v>
      </c>
      <c r="L4358" t="str">
        <f t="shared" si="68"/>
        <v>http://www.badatelna.eu/reprodukce/?fondId=1073&amp;zaznamId=1108959&amp;reproId=3780053</v>
      </c>
      <c r="M4358">
        <f>VLOOKUP(F4358,Sheet2!$B$1:$E$19,2,FALSE)</f>
        <v>1073</v>
      </c>
      <c r="N4358">
        <f>VLOOKUP(F4358,Sheet2!$B$1:$E$19,3,FALSE)</f>
        <v>1108959</v>
      </c>
      <c r="O4358">
        <f>IF(G4358="Not available","",VLOOKUP(F4358,Sheet2!$B$1:$E$19,4,FALSE)+(G4358-1))</f>
        <v>3780053</v>
      </c>
    </row>
    <row r="4359" spans="1:15" s="1" customFormat="1" ht="15" customHeight="1" x14ac:dyDescent="0.25">
      <c r="A4359" s="18" t="s">
        <v>514</v>
      </c>
      <c r="B4359" s="18" t="s">
        <v>26</v>
      </c>
      <c r="C4359" s="5">
        <v>1827</v>
      </c>
      <c r="D4359" s="4" t="s">
        <v>49</v>
      </c>
      <c r="E4359" s="1" t="s">
        <v>2</v>
      </c>
      <c r="F4359" s="18">
        <v>2173</v>
      </c>
      <c r="G4359" s="18">
        <v>79</v>
      </c>
      <c r="H4359" s="5">
        <v>151</v>
      </c>
      <c r="I4359" s="1">
        <v>117</v>
      </c>
      <c r="J4359" s="1">
        <v>254</v>
      </c>
      <c r="L4359" t="str">
        <f t="shared" si="68"/>
        <v>http://www.badatelna.eu/reprodukce/?fondId=1073&amp;zaznamId=1108959&amp;reproId=3780072</v>
      </c>
      <c r="M4359">
        <f>VLOOKUP(F4359,Sheet2!$B$1:$E$19,2,FALSE)</f>
        <v>1073</v>
      </c>
      <c r="N4359">
        <f>VLOOKUP(F4359,Sheet2!$B$1:$E$19,3,FALSE)</f>
        <v>1108959</v>
      </c>
      <c r="O4359">
        <f>IF(G4359="Not available","",VLOOKUP(F4359,Sheet2!$B$1:$E$19,4,FALSE)+(G4359-1))</f>
        <v>3780072</v>
      </c>
    </row>
    <row r="4360" spans="1:15" s="1" customFormat="1" ht="15" customHeight="1" x14ac:dyDescent="0.25">
      <c r="A4360" s="18" t="s">
        <v>514</v>
      </c>
      <c r="B4360" s="18" t="s">
        <v>26</v>
      </c>
      <c r="C4360" s="5">
        <v>1831</v>
      </c>
      <c r="D4360" s="1" t="s">
        <v>50</v>
      </c>
      <c r="E4360" s="1" t="s">
        <v>2</v>
      </c>
      <c r="F4360" s="18">
        <v>2174</v>
      </c>
      <c r="G4360" s="18">
        <v>65</v>
      </c>
      <c r="H4360" s="6" t="s">
        <v>3109</v>
      </c>
      <c r="I4360" s="1">
        <v>201</v>
      </c>
      <c r="J4360" s="1">
        <v>236</v>
      </c>
      <c r="L4360" t="str">
        <f t="shared" si="68"/>
        <v>http://www.badatelna.eu/reprodukce/?fondId=1073&amp;zaznamId=1108960&amp;reproId=3780289</v>
      </c>
      <c r="M4360">
        <f>VLOOKUP(F4360,Sheet2!$B$1:$E$19,2,FALSE)</f>
        <v>1073</v>
      </c>
      <c r="N4360">
        <f>VLOOKUP(F4360,Sheet2!$B$1:$E$19,3,FALSE)</f>
        <v>1108960</v>
      </c>
      <c r="O4360">
        <f>IF(G4360="Not available","",VLOOKUP(F4360,Sheet2!$B$1:$E$19,4,FALSE)+(G4360-1))</f>
        <v>3780289</v>
      </c>
    </row>
    <row r="4361" spans="1:15" s="1" customFormat="1" ht="15" customHeight="1" x14ac:dyDescent="0.25">
      <c r="A4361" s="18" t="s">
        <v>514</v>
      </c>
      <c r="B4361" s="18" t="s">
        <v>26</v>
      </c>
      <c r="C4361" s="5">
        <v>1844</v>
      </c>
      <c r="D4361" s="1" t="s">
        <v>166</v>
      </c>
      <c r="E4361" s="1" t="s">
        <v>2</v>
      </c>
      <c r="F4361" s="18">
        <v>2174</v>
      </c>
      <c r="G4361" s="18">
        <v>148</v>
      </c>
      <c r="H4361" s="6" t="s">
        <v>3214</v>
      </c>
      <c r="I4361" s="1">
        <v>202</v>
      </c>
      <c r="J4361" s="1">
        <v>238</v>
      </c>
      <c r="L4361" t="str">
        <f t="shared" si="68"/>
        <v>http://www.badatelna.eu/reprodukce/?fondId=1073&amp;zaznamId=1108960&amp;reproId=3780372</v>
      </c>
      <c r="M4361">
        <f>VLOOKUP(F4361,Sheet2!$B$1:$E$19,2,FALSE)</f>
        <v>1073</v>
      </c>
      <c r="N4361">
        <f>VLOOKUP(F4361,Sheet2!$B$1:$E$19,3,FALSE)</f>
        <v>1108960</v>
      </c>
      <c r="O4361">
        <f>IF(G4361="Not available","",VLOOKUP(F4361,Sheet2!$B$1:$E$19,4,FALSE)+(G4361-1))</f>
        <v>3780372</v>
      </c>
    </row>
    <row r="4362" spans="1:15" s="1" customFormat="1" ht="15" customHeight="1" x14ac:dyDescent="0.25">
      <c r="A4362" s="18" t="s">
        <v>514</v>
      </c>
      <c r="B4362" s="18" t="s">
        <v>287</v>
      </c>
      <c r="C4362" s="6" t="s">
        <v>3364</v>
      </c>
      <c r="D4362" s="1" t="s">
        <v>495</v>
      </c>
      <c r="E4362" s="1" t="s">
        <v>2</v>
      </c>
      <c r="F4362" s="18">
        <v>2164</v>
      </c>
      <c r="G4362" s="18">
        <v>98</v>
      </c>
      <c r="H4362" s="5">
        <v>98</v>
      </c>
      <c r="I4362" s="1">
        <v>139</v>
      </c>
      <c r="J4362" s="3" t="s">
        <v>3271</v>
      </c>
      <c r="L4362" t="str">
        <f t="shared" si="68"/>
        <v>http://www.badatelna.eu/reprodukce/?fondId=1073&amp;zaznamId=1108951&amp;reproId=3778812</v>
      </c>
      <c r="M4362">
        <f>VLOOKUP(F4362,Sheet2!$B$1:$E$19,2,FALSE)</f>
        <v>1073</v>
      </c>
      <c r="N4362">
        <f>VLOOKUP(F4362,Sheet2!$B$1:$E$19,3,FALSE)</f>
        <v>1108951</v>
      </c>
      <c r="O4362">
        <f>IF(G4362="Not available","",VLOOKUP(F4362,Sheet2!$B$1:$E$19,4,FALSE)+(G4362-1))</f>
        <v>3778812</v>
      </c>
    </row>
    <row r="4363" spans="1:15" s="1" customFormat="1" ht="15" customHeight="1" x14ac:dyDescent="0.25">
      <c r="A4363" s="18" t="s">
        <v>514</v>
      </c>
      <c r="B4363" s="18" t="s">
        <v>137</v>
      </c>
      <c r="C4363" s="5">
        <v>1817</v>
      </c>
      <c r="D4363" s="4" t="s">
        <v>3308</v>
      </c>
      <c r="E4363" s="1" t="s">
        <v>2</v>
      </c>
      <c r="F4363" s="18">
        <v>2173</v>
      </c>
      <c r="G4363" s="18">
        <v>67</v>
      </c>
      <c r="H4363" s="6" t="s">
        <v>338</v>
      </c>
      <c r="I4363" s="1">
        <v>116</v>
      </c>
      <c r="J4363" s="1">
        <v>253</v>
      </c>
      <c r="L4363" t="str">
        <f t="shared" si="68"/>
        <v>http://www.badatelna.eu/reprodukce/?fondId=1073&amp;zaznamId=1108959&amp;reproId=3780060</v>
      </c>
      <c r="M4363">
        <f>VLOOKUP(F4363,Sheet2!$B$1:$E$19,2,FALSE)</f>
        <v>1073</v>
      </c>
      <c r="N4363">
        <f>VLOOKUP(F4363,Sheet2!$B$1:$E$19,3,FALSE)</f>
        <v>1108959</v>
      </c>
      <c r="O4363">
        <f>IF(G4363="Not available","",VLOOKUP(F4363,Sheet2!$B$1:$E$19,4,FALSE)+(G4363-1))</f>
        <v>3780060</v>
      </c>
    </row>
    <row r="4364" spans="1:15" s="1" customFormat="1" ht="15" customHeight="1" x14ac:dyDescent="0.25">
      <c r="A4364" s="18" t="s">
        <v>514</v>
      </c>
      <c r="B4364" s="18" t="s">
        <v>437</v>
      </c>
      <c r="C4364" s="14" t="s">
        <v>3241</v>
      </c>
      <c r="D4364" s="4" t="s">
        <v>81</v>
      </c>
      <c r="E4364" s="1" t="s">
        <v>2</v>
      </c>
      <c r="F4364" s="18">
        <v>2174</v>
      </c>
      <c r="G4364" s="18">
        <v>85</v>
      </c>
      <c r="H4364" s="6" t="s">
        <v>3152</v>
      </c>
      <c r="I4364" s="1">
        <v>202</v>
      </c>
      <c r="J4364" s="1">
        <v>237</v>
      </c>
      <c r="L4364" t="str">
        <f t="shared" si="68"/>
        <v>http://www.badatelna.eu/reprodukce/?fondId=1073&amp;zaznamId=1108960&amp;reproId=3780309</v>
      </c>
      <c r="M4364">
        <f>VLOOKUP(F4364,Sheet2!$B$1:$E$19,2,FALSE)</f>
        <v>1073</v>
      </c>
      <c r="N4364">
        <f>VLOOKUP(F4364,Sheet2!$B$1:$E$19,3,FALSE)</f>
        <v>1108960</v>
      </c>
      <c r="O4364">
        <f>IF(G4364="Not available","",VLOOKUP(F4364,Sheet2!$B$1:$E$19,4,FALSE)+(G4364-1))</f>
        <v>3780309</v>
      </c>
    </row>
    <row r="4365" spans="1:15" s="1" customFormat="1" ht="15" customHeight="1" x14ac:dyDescent="0.25">
      <c r="A4365" s="18" t="s">
        <v>514</v>
      </c>
      <c r="B4365" s="18" t="s">
        <v>929</v>
      </c>
      <c r="C4365" s="5">
        <v>1856</v>
      </c>
      <c r="D4365" s="1" t="s">
        <v>26</v>
      </c>
      <c r="E4365" s="1" t="s">
        <v>2</v>
      </c>
      <c r="F4365" s="18">
        <v>2164</v>
      </c>
      <c r="G4365" s="18">
        <v>112</v>
      </c>
      <c r="H4365" s="5">
        <v>110</v>
      </c>
      <c r="I4365" s="1">
        <v>140</v>
      </c>
      <c r="J4365" s="3" t="s">
        <v>3271</v>
      </c>
      <c r="L4365" t="str">
        <f t="shared" si="68"/>
        <v>http://www.badatelna.eu/reprodukce/?fondId=1073&amp;zaznamId=1108951&amp;reproId=3778826</v>
      </c>
      <c r="M4365">
        <f>VLOOKUP(F4365,Sheet2!$B$1:$E$19,2,FALSE)</f>
        <v>1073</v>
      </c>
      <c r="N4365">
        <f>VLOOKUP(F4365,Sheet2!$B$1:$E$19,3,FALSE)</f>
        <v>1108951</v>
      </c>
      <c r="O4365">
        <f>IF(G4365="Not available","",VLOOKUP(F4365,Sheet2!$B$1:$E$19,4,FALSE)+(G4365-1))</f>
        <v>3778826</v>
      </c>
    </row>
    <row r="4366" spans="1:15" s="1" customFormat="1" ht="15" customHeight="1" x14ac:dyDescent="0.25">
      <c r="A4366" s="18" t="s">
        <v>514</v>
      </c>
      <c r="B4366" s="18" t="s">
        <v>863</v>
      </c>
      <c r="C4366" s="5">
        <v>1854</v>
      </c>
      <c r="D4366" s="1" t="s">
        <v>26</v>
      </c>
      <c r="E4366" s="1" t="s">
        <v>2</v>
      </c>
      <c r="F4366" s="18">
        <v>2164</v>
      </c>
      <c r="G4366" s="18">
        <v>95</v>
      </c>
      <c r="H4366" s="5">
        <v>93</v>
      </c>
      <c r="I4366" s="1">
        <v>139</v>
      </c>
      <c r="J4366" s="3" t="s">
        <v>3271</v>
      </c>
      <c r="L4366" t="str">
        <f t="shared" si="68"/>
        <v>http://www.badatelna.eu/reprodukce/?fondId=1073&amp;zaznamId=1108951&amp;reproId=3778809</v>
      </c>
      <c r="M4366">
        <f>VLOOKUP(F4366,Sheet2!$B$1:$E$19,2,FALSE)</f>
        <v>1073</v>
      </c>
      <c r="N4366">
        <f>VLOOKUP(F4366,Sheet2!$B$1:$E$19,3,FALSE)</f>
        <v>1108951</v>
      </c>
      <c r="O4366">
        <f>IF(G4366="Not available","",VLOOKUP(F4366,Sheet2!$B$1:$E$19,4,FALSE)+(G4366-1))</f>
        <v>3778809</v>
      </c>
    </row>
    <row r="4367" spans="1:15" s="1" customFormat="1" ht="15" customHeight="1" x14ac:dyDescent="0.25">
      <c r="A4367" s="18" t="s">
        <v>514</v>
      </c>
      <c r="B4367" s="18" t="s">
        <v>863</v>
      </c>
      <c r="C4367" s="5">
        <v>1861</v>
      </c>
      <c r="D4367" s="4" t="s">
        <v>16</v>
      </c>
      <c r="E4367" s="1" t="s">
        <v>939</v>
      </c>
      <c r="F4367" s="18">
        <v>999</v>
      </c>
      <c r="G4367" s="18">
        <v>27</v>
      </c>
      <c r="H4367" s="5">
        <v>25</v>
      </c>
      <c r="I4367" s="1">
        <v>76</v>
      </c>
      <c r="J4367" s="1">
        <v>110</v>
      </c>
      <c r="L4367" t="str">
        <f t="shared" si="68"/>
        <v>http://www.badatelna.eu/reprodukce/?fondId=241&amp;zaznamId=1133739&amp;reproId=3885756</v>
      </c>
      <c r="M4367">
        <f>VLOOKUP(F4367,Sheet2!$B$1:$E$19,2,FALSE)</f>
        <v>241</v>
      </c>
      <c r="N4367">
        <f>VLOOKUP(F4367,Sheet2!$B$1:$E$19,3,FALSE)</f>
        <v>1133739</v>
      </c>
      <c r="O4367">
        <f>IF(G4367="Not available","",VLOOKUP(F4367,Sheet2!$B$1:$E$19,4,FALSE)+(G4367-1))</f>
        <v>3885756</v>
      </c>
    </row>
    <row r="4368" spans="1:15" s="1" customFormat="1" ht="15" customHeight="1" x14ac:dyDescent="0.25">
      <c r="A4368" s="18" t="s">
        <v>514</v>
      </c>
      <c r="B4368" s="18" t="s">
        <v>863</v>
      </c>
      <c r="C4368" s="5" t="s">
        <v>1645</v>
      </c>
      <c r="D4368" s="1" t="s">
        <v>566</v>
      </c>
      <c r="E4368" s="1" t="s">
        <v>2</v>
      </c>
      <c r="F4368" s="18">
        <v>2165</v>
      </c>
      <c r="G4368" s="18">
        <v>54</v>
      </c>
      <c r="H4368" s="5">
        <v>51</v>
      </c>
      <c r="I4368" s="1">
        <v>93</v>
      </c>
      <c r="J4368" s="1" t="s">
        <v>3271</v>
      </c>
      <c r="L4368" t="str">
        <f t="shared" si="68"/>
        <v>http://www.badatelna.eu/reprodukce/?fondId=1073&amp;zaznamId=1108952&amp;reproId=3778915</v>
      </c>
      <c r="M4368">
        <f>VLOOKUP(F4368,Sheet2!$B$1:$E$19,2,FALSE)</f>
        <v>1073</v>
      </c>
      <c r="N4368">
        <f>VLOOKUP(F4368,Sheet2!$B$1:$E$19,3,FALSE)</f>
        <v>1108952</v>
      </c>
      <c r="O4368">
        <f>IF(G4368="Not available","",VLOOKUP(F4368,Sheet2!$B$1:$E$19,4,FALSE)+(G4368-1))</f>
        <v>3778915</v>
      </c>
    </row>
    <row r="4369" spans="1:15" s="1" customFormat="1" ht="15" customHeight="1" x14ac:dyDescent="0.25">
      <c r="A4369" s="18" t="s">
        <v>514</v>
      </c>
      <c r="B4369" s="18" t="s">
        <v>602</v>
      </c>
      <c r="C4369" s="5">
        <v>1852</v>
      </c>
      <c r="D4369" s="1" t="s">
        <v>21</v>
      </c>
      <c r="E4369" s="1" t="s">
        <v>2</v>
      </c>
      <c r="F4369" s="18">
        <v>2164</v>
      </c>
      <c r="G4369" s="18">
        <v>83</v>
      </c>
      <c r="H4369" s="5">
        <v>81</v>
      </c>
      <c r="I4369" s="1">
        <v>139</v>
      </c>
      <c r="J4369" s="3" t="s">
        <v>3271</v>
      </c>
      <c r="L4369" t="str">
        <f t="shared" si="68"/>
        <v>http://www.badatelna.eu/reprodukce/?fondId=1073&amp;zaznamId=1108951&amp;reproId=3778797</v>
      </c>
      <c r="M4369">
        <f>VLOOKUP(F4369,Sheet2!$B$1:$E$19,2,FALSE)</f>
        <v>1073</v>
      </c>
      <c r="N4369">
        <f>VLOOKUP(F4369,Sheet2!$B$1:$E$19,3,FALSE)</f>
        <v>1108951</v>
      </c>
      <c r="O4369">
        <f>IF(G4369="Not available","",VLOOKUP(F4369,Sheet2!$B$1:$E$19,4,FALSE)+(G4369-1))</f>
        <v>3778797</v>
      </c>
    </row>
    <row r="4370" spans="1:15" s="1" customFormat="1" ht="15" customHeight="1" x14ac:dyDescent="0.25">
      <c r="A4370" s="18" t="s">
        <v>514</v>
      </c>
      <c r="B4370" s="18" t="s">
        <v>602</v>
      </c>
      <c r="C4370" s="5" t="s">
        <v>1531</v>
      </c>
      <c r="D4370" s="1" t="s">
        <v>1090</v>
      </c>
      <c r="E4370" s="1" t="s">
        <v>2</v>
      </c>
      <c r="F4370" s="18">
        <v>2165</v>
      </c>
      <c r="G4370" s="18">
        <v>24</v>
      </c>
      <c r="H4370" s="5">
        <v>21</v>
      </c>
      <c r="I4370" s="1">
        <v>92</v>
      </c>
      <c r="J4370" s="1" t="s">
        <v>3271</v>
      </c>
      <c r="L4370" t="str">
        <f t="shared" si="68"/>
        <v>http://www.badatelna.eu/reprodukce/?fondId=1073&amp;zaznamId=1108952&amp;reproId=3778885</v>
      </c>
      <c r="M4370">
        <f>VLOOKUP(F4370,Sheet2!$B$1:$E$19,2,FALSE)</f>
        <v>1073</v>
      </c>
      <c r="N4370">
        <f>VLOOKUP(F4370,Sheet2!$B$1:$E$19,3,FALSE)</f>
        <v>1108952</v>
      </c>
      <c r="O4370">
        <f>IF(G4370="Not available","",VLOOKUP(F4370,Sheet2!$B$1:$E$19,4,FALSE)+(G4370-1))</f>
        <v>3778885</v>
      </c>
    </row>
    <row r="4371" spans="1:15" s="1" customFormat="1" ht="15" customHeight="1" x14ac:dyDescent="0.25">
      <c r="A4371" s="18" t="s">
        <v>514</v>
      </c>
      <c r="B4371" s="18" t="s">
        <v>56</v>
      </c>
      <c r="C4371" s="5" t="s">
        <v>1642</v>
      </c>
      <c r="D4371" s="1" t="s">
        <v>233</v>
      </c>
      <c r="E4371" s="1" t="s">
        <v>2</v>
      </c>
      <c r="F4371" s="18">
        <v>2165</v>
      </c>
      <c r="G4371" s="18">
        <v>50</v>
      </c>
      <c r="H4371" s="5">
        <v>47</v>
      </c>
      <c r="I4371" s="1">
        <v>93</v>
      </c>
      <c r="J4371" s="1" t="s">
        <v>3271</v>
      </c>
      <c r="L4371" t="str">
        <f t="shared" si="68"/>
        <v>http://www.badatelna.eu/reprodukce/?fondId=1073&amp;zaznamId=1108952&amp;reproId=3778911</v>
      </c>
      <c r="M4371">
        <f>VLOOKUP(F4371,Sheet2!$B$1:$E$19,2,FALSE)</f>
        <v>1073</v>
      </c>
      <c r="N4371">
        <f>VLOOKUP(F4371,Sheet2!$B$1:$E$19,3,FALSE)</f>
        <v>1108952</v>
      </c>
      <c r="O4371">
        <f>IF(G4371="Not available","",VLOOKUP(F4371,Sheet2!$B$1:$E$19,4,FALSE)+(G4371-1))</f>
        <v>3778911</v>
      </c>
    </row>
    <row r="4372" spans="1:15" s="1" customFormat="1" ht="15" customHeight="1" x14ac:dyDescent="0.25">
      <c r="A4372" s="18" t="s">
        <v>514</v>
      </c>
      <c r="B4372" s="18" t="s">
        <v>49</v>
      </c>
      <c r="C4372" s="5">
        <v>1787</v>
      </c>
      <c r="D4372" s="1" t="s">
        <v>26</v>
      </c>
      <c r="E4372" s="1" t="s">
        <v>2</v>
      </c>
      <c r="F4372" s="18">
        <v>2173</v>
      </c>
      <c r="G4372" s="18">
        <v>16</v>
      </c>
      <c r="H4372" s="5">
        <v>26</v>
      </c>
      <c r="I4372" s="1">
        <v>115</v>
      </c>
      <c r="J4372" s="1">
        <v>259</v>
      </c>
      <c r="L4372" t="str">
        <f t="shared" si="68"/>
        <v>http://www.badatelna.eu/reprodukce/?fondId=1073&amp;zaznamId=1108959&amp;reproId=3780009</v>
      </c>
      <c r="M4372">
        <f>VLOOKUP(F4372,Sheet2!$B$1:$E$19,2,FALSE)</f>
        <v>1073</v>
      </c>
      <c r="N4372">
        <f>VLOOKUP(F4372,Sheet2!$B$1:$E$19,3,FALSE)</f>
        <v>1108959</v>
      </c>
      <c r="O4372">
        <f>IF(G4372="Not available","",VLOOKUP(F4372,Sheet2!$B$1:$E$19,4,FALSE)+(G4372-1))</f>
        <v>3780009</v>
      </c>
    </row>
    <row r="4373" spans="1:15" s="1" customFormat="1" ht="15" customHeight="1" x14ac:dyDescent="0.25">
      <c r="A4373" s="18" t="s">
        <v>514</v>
      </c>
      <c r="B4373" s="18" t="s">
        <v>233</v>
      </c>
      <c r="C4373" s="5">
        <v>1839</v>
      </c>
      <c r="D4373" s="1" t="s">
        <v>50</v>
      </c>
      <c r="E4373" s="1" t="s">
        <v>2</v>
      </c>
      <c r="F4373" s="18">
        <v>2174</v>
      </c>
      <c r="G4373" s="18">
        <v>103</v>
      </c>
      <c r="H4373" s="6" t="s">
        <v>3172</v>
      </c>
      <c r="I4373" s="1">
        <v>202</v>
      </c>
      <c r="J4373" s="1">
        <v>237</v>
      </c>
      <c r="L4373" t="str">
        <f t="shared" si="68"/>
        <v>http://www.badatelna.eu/reprodukce/?fondId=1073&amp;zaznamId=1108960&amp;reproId=3780327</v>
      </c>
      <c r="M4373">
        <f>VLOOKUP(F4373,Sheet2!$B$1:$E$19,2,FALSE)</f>
        <v>1073</v>
      </c>
      <c r="N4373">
        <f>VLOOKUP(F4373,Sheet2!$B$1:$E$19,3,FALSE)</f>
        <v>1108960</v>
      </c>
      <c r="O4373">
        <f>IF(G4373="Not available","",VLOOKUP(F4373,Sheet2!$B$1:$E$19,4,FALSE)+(G4373-1))</f>
        <v>3780327</v>
      </c>
    </row>
    <row r="4374" spans="1:15" s="1" customFormat="1" ht="15" customHeight="1" x14ac:dyDescent="0.25">
      <c r="A4374" s="18" t="s">
        <v>514</v>
      </c>
      <c r="B4374" s="18" t="s">
        <v>233</v>
      </c>
      <c r="C4374" s="5">
        <v>1858</v>
      </c>
      <c r="D4374" s="4" t="s">
        <v>930</v>
      </c>
      <c r="E4374" s="1" t="s">
        <v>939</v>
      </c>
      <c r="F4374" s="18">
        <v>999</v>
      </c>
      <c r="G4374" s="18">
        <v>10</v>
      </c>
      <c r="H4374" s="5">
        <v>8</v>
      </c>
      <c r="I4374" s="1">
        <v>76</v>
      </c>
      <c r="J4374" s="1">
        <v>110</v>
      </c>
      <c r="L4374" t="str">
        <f t="shared" si="68"/>
        <v>http://www.badatelna.eu/reprodukce/?fondId=241&amp;zaznamId=1133739&amp;reproId=3885739</v>
      </c>
      <c r="M4374">
        <f>VLOOKUP(F4374,Sheet2!$B$1:$E$19,2,FALSE)</f>
        <v>241</v>
      </c>
      <c r="N4374">
        <f>VLOOKUP(F4374,Sheet2!$B$1:$E$19,3,FALSE)</f>
        <v>1133739</v>
      </c>
      <c r="O4374">
        <f>IF(G4374="Not available","",VLOOKUP(F4374,Sheet2!$B$1:$E$19,4,FALSE)+(G4374-1))</f>
        <v>3885739</v>
      </c>
    </row>
    <row r="4375" spans="1:15" s="1" customFormat="1" ht="15" customHeight="1" x14ac:dyDescent="0.25">
      <c r="A4375" s="18" t="s">
        <v>514</v>
      </c>
      <c r="B4375" s="18" t="s">
        <v>7</v>
      </c>
      <c r="C4375" s="6" t="s">
        <v>2960</v>
      </c>
      <c r="D4375" s="4" t="s">
        <v>81</v>
      </c>
      <c r="E4375" s="1" t="s">
        <v>2</v>
      </c>
      <c r="F4375" s="18">
        <v>2173</v>
      </c>
      <c r="G4375" s="18">
        <v>68</v>
      </c>
      <c r="H4375" s="6" t="s">
        <v>3023</v>
      </c>
      <c r="I4375" s="1">
        <v>116</v>
      </c>
      <c r="J4375" s="1">
        <v>253</v>
      </c>
      <c r="L4375" t="str">
        <f t="shared" si="68"/>
        <v>http://www.badatelna.eu/reprodukce/?fondId=1073&amp;zaznamId=1108959&amp;reproId=3780061</v>
      </c>
      <c r="M4375">
        <f>VLOOKUP(F4375,Sheet2!$B$1:$E$19,2,FALSE)</f>
        <v>1073</v>
      </c>
      <c r="N4375">
        <f>VLOOKUP(F4375,Sheet2!$B$1:$E$19,3,FALSE)</f>
        <v>1108959</v>
      </c>
      <c r="O4375">
        <f>IF(G4375="Not available","",VLOOKUP(F4375,Sheet2!$B$1:$E$19,4,FALSE)+(G4375-1))</f>
        <v>3780061</v>
      </c>
    </row>
    <row r="4376" spans="1:15" s="1" customFormat="1" ht="15" customHeight="1" x14ac:dyDescent="0.25">
      <c r="A4376" s="18" t="s">
        <v>514</v>
      </c>
      <c r="B4376" s="18" t="s">
        <v>7</v>
      </c>
      <c r="C4376" s="14" t="s">
        <v>2960</v>
      </c>
      <c r="D4376" s="4" t="s">
        <v>81</v>
      </c>
      <c r="E4376" s="1" t="s">
        <v>2</v>
      </c>
      <c r="F4376" s="18">
        <v>2174</v>
      </c>
      <c r="G4376" s="18">
        <v>85</v>
      </c>
      <c r="H4376" s="6" t="s">
        <v>3152</v>
      </c>
      <c r="I4376" s="1">
        <v>202</v>
      </c>
      <c r="J4376" s="1">
        <v>237</v>
      </c>
      <c r="L4376" t="str">
        <f t="shared" si="68"/>
        <v>http://www.badatelna.eu/reprodukce/?fondId=1073&amp;zaznamId=1108960&amp;reproId=3780309</v>
      </c>
      <c r="M4376">
        <f>VLOOKUP(F4376,Sheet2!$B$1:$E$19,2,FALSE)</f>
        <v>1073</v>
      </c>
      <c r="N4376">
        <f>VLOOKUP(F4376,Sheet2!$B$1:$E$19,3,FALSE)</f>
        <v>1108960</v>
      </c>
      <c r="O4376">
        <f>IF(G4376="Not available","",VLOOKUP(F4376,Sheet2!$B$1:$E$19,4,FALSE)+(G4376-1))</f>
        <v>3780309</v>
      </c>
    </row>
    <row r="4377" spans="1:15" s="1" customFormat="1" ht="15" customHeight="1" x14ac:dyDescent="0.25">
      <c r="A4377" s="18" t="s">
        <v>514</v>
      </c>
      <c r="B4377" s="18" t="s">
        <v>873</v>
      </c>
      <c r="C4377" s="5" t="s">
        <v>1623</v>
      </c>
      <c r="D4377" s="1" t="s">
        <v>1093</v>
      </c>
      <c r="E4377" s="1" t="s">
        <v>2</v>
      </c>
      <c r="F4377" s="18">
        <v>2165</v>
      </c>
      <c r="G4377" s="18">
        <v>31</v>
      </c>
      <c r="H4377" s="5">
        <v>28</v>
      </c>
      <c r="I4377" s="1">
        <v>92</v>
      </c>
      <c r="J4377" s="1" t="s">
        <v>3271</v>
      </c>
      <c r="L4377" t="str">
        <f t="shared" si="68"/>
        <v>http://www.badatelna.eu/reprodukce/?fondId=1073&amp;zaznamId=1108952&amp;reproId=3778892</v>
      </c>
      <c r="M4377">
        <f>VLOOKUP(F4377,Sheet2!$B$1:$E$19,2,FALSE)</f>
        <v>1073</v>
      </c>
      <c r="N4377">
        <f>VLOOKUP(F4377,Sheet2!$B$1:$E$19,3,FALSE)</f>
        <v>1108952</v>
      </c>
      <c r="O4377">
        <f>IF(G4377="Not available","",VLOOKUP(F4377,Sheet2!$B$1:$E$19,4,FALSE)+(G4377-1))</f>
        <v>3778892</v>
      </c>
    </row>
    <row r="4378" spans="1:15" s="1" customFormat="1" ht="15" customHeight="1" x14ac:dyDescent="0.25">
      <c r="A4378" s="18" t="s">
        <v>514</v>
      </c>
      <c r="B4378" s="18" t="s">
        <v>2077</v>
      </c>
      <c r="C4378" s="10" t="s">
        <v>2257</v>
      </c>
      <c r="D4378" s="3" t="s">
        <v>2726</v>
      </c>
      <c r="E4378" s="4" t="s">
        <v>2</v>
      </c>
      <c r="F4378" s="18">
        <v>2176</v>
      </c>
      <c r="G4378" s="18" t="s">
        <v>3271</v>
      </c>
      <c r="H4378" s="10" t="s">
        <v>1954</v>
      </c>
      <c r="I4378" s="3">
        <v>42</v>
      </c>
      <c r="J4378" s="3" t="s">
        <v>3271</v>
      </c>
      <c r="K4378" s="3"/>
      <c r="L4378" t="str">
        <f t="shared" si="68"/>
        <v/>
      </c>
      <c r="M4378">
        <f>VLOOKUP(F4378,Sheet2!$B$1:$E$19,2,FALSE)</f>
        <v>1073</v>
      </c>
      <c r="N4378">
        <f>VLOOKUP(F4378,Sheet2!$B$1:$E$19,3,FALSE)</f>
        <v>1108963</v>
      </c>
      <c r="O4378" t="str">
        <f>IF(G4378="Not available","",VLOOKUP(F4378,Sheet2!$B$1:$E$19,4,FALSE)+(G4378-1))</f>
        <v/>
      </c>
    </row>
    <row r="4379" spans="1:15" s="1" customFormat="1" ht="15" customHeight="1" x14ac:dyDescent="0.25">
      <c r="A4379" s="18" t="s">
        <v>514</v>
      </c>
      <c r="B4379" s="18" t="s">
        <v>21</v>
      </c>
      <c r="C4379" s="5">
        <v>1809</v>
      </c>
      <c r="D4379" s="4" t="s">
        <v>3308</v>
      </c>
      <c r="E4379" s="1" t="s">
        <v>2</v>
      </c>
      <c r="F4379" s="18">
        <v>2173</v>
      </c>
      <c r="G4379" s="18">
        <v>55</v>
      </c>
      <c r="H4379" s="14" t="s">
        <v>2803</v>
      </c>
      <c r="I4379" s="1">
        <v>116</v>
      </c>
      <c r="J4379" s="1">
        <v>252</v>
      </c>
      <c r="L4379" t="str">
        <f t="shared" si="68"/>
        <v>http://www.badatelna.eu/reprodukce/?fondId=1073&amp;zaznamId=1108959&amp;reproId=3780048</v>
      </c>
      <c r="M4379">
        <f>VLOOKUP(F4379,Sheet2!$B$1:$E$19,2,FALSE)</f>
        <v>1073</v>
      </c>
      <c r="N4379">
        <f>VLOOKUP(F4379,Sheet2!$B$1:$E$19,3,FALSE)</f>
        <v>1108959</v>
      </c>
      <c r="O4379">
        <f>IF(G4379="Not available","",VLOOKUP(F4379,Sheet2!$B$1:$E$19,4,FALSE)+(G4379-1))</f>
        <v>3780048</v>
      </c>
    </row>
    <row r="4380" spans="1:15" s="1" customFormat="1" ht="15" customHeight="1" x14ac:dyDescent="0.25">
      <c r="A4380" s="18" t="s">
        <v>514</v>
      </c>
      <c r="B4380" s="18" t="s">
        <v>432</v>
      </c>
      <c r="C4380" s="10" t="s">
        <v>1987</v>
      </c>
      <c r="D4380" s="3" t="s">
        <v>2379</v>
      </c>
      <c r="E4380" s="4" t="s">
        <v>2</v>
      </c>
      <c r="F4380" s="18">
        <v>2176</v>
      </c>
      <c r="G4380" s="18" t="s">
        <v>3271</v>
      </c>
      <c r="H4380" s="10" t="s">
        <v>2668</v>
      </c>
      <c r="I4380" s="3">
        <v>40</v>
      </c>
      <c r="J4380" s="3" t="s">
        <v>3271</v>
      </c>
      <c r="L4380" t="str">
        <f t="shared" si="68"/>
        <v/>
      </c>
      <c r="M4380">
        <f>VLOOKUP(F4380,Sheet2!$B$1:$E$19,2,FALSE)</f>
        <v>1073</v>
      </c>
      <c r="N4380">
        <f>VLOOKUP(F4380,Sheet2!$B$1:$E$19,3,FALSE)</f>
        <v>1108963</v>
      </c>
      <c r="O4380" t="str">
        <f>IF(G4380="Not available","",VLOOKUP(F4380,Sheet2!$B$1:$E$19,4,FALSE)+(G4380-1))</f>
        <v/>
      </c>
    </row>
    <row r="4381" spans="1:15" s="1" customFormat="1" ht="15" customHeight="1" x14ac:dyDescent="0.25">
      <c r="A4381" s="18" t="s">
        <v>514</v>
      </c>
      <c r="B4381" s="18" t="s">
        <v>432</v>
      </c>
      <c r="C4381" s="5" t="s">
        <v>1657</v>
      </c>
      <c r="D4381" s="1" t="s">
        <v>566</v>
      </c>
      <c r="E4381" s="1" t="s">
        <v>2</v>
      </c>
      <c r="F4381" s="18">
        <v>2165</v>
      </c>
      <c r="G4381" s="18">
        <v>67</v>
      </c>
      <c r="H4381" s="5">
        <v>64</v>
      </c>
      <c r="I4381" s="1">
        <v>93</v>
      </c>
      <c r="J4381" s="1" t="s">
        <v>3271</v>
      </c>
      <c r="L4381" t="str">
        <f t="shared" si="68"/>
        <v>http://www.badatelna.eu/reprodukce/?fondId=1073&amp;zaznamId=1108952&amp;reproId=3778928</v>
      </c>
      <c r="M4381">
        <f>VLOOKUP(F4381,Sheet2!$B$1:$E$19,2,FALSE)</f>
        <v>1073</v>
      </c>
      <c r="N4381">
        <f>VLOOKUP(F4381,Sheet2!$B$1:$E$19,3,FALSE)</f>
        <v>1108952</v>
      </c>
      <c r="O4381">
        <f>IF(G4381="Not available","",VLOOKUP(F4381,Sheet2!$B$1:$E$19,4,FALSE)+(G4381-1))</f>
        <v>3778928</v>
      </c>
    </row>
    <row r="4382" spans="1:15" s="1" customFormat="1" ht="15" customHeight="1" x14ac:dyDescent="0.25">
      <c r="A4382" s="18" t="s">
        <v>514</v>
      </c>
      <c r="B4382" s="18" t="s">
        <v>434</v>
      </c>
      <c r="C4382" s="5">
        <v>1852</v>
      </c>
      <c r="D4382" s="1" t="s">
        <v>495</v>
      </c>
      <c r="E4382" s="1" t="s">
        <v>2</v>
      </c>
      <c r="F4382" s="18">
        <v>2164</v>
      </c>
      <c r="G4382" s="18">
        <v>85</v>
      </c>
      <c r="H4382" s="5">
        <v>83</v>
      </c>
      <c r="I4382" s="1">
        <v>139</v>
      </c>
      <c r="J4382" s="3" t="s">
        <v>3271</v>
      </c>
      <c r="L4382" t="str">
        <f t="shared" si="68"/>
        <v>http://www.badatelna.eu/reprodukce/?fondId=1073&amp;zaznamId=1108951&amp;reproId=3778799</v>
      </c>
      <c r="M4382">
        <f>VLOOKUP(F4382,Sheet2!$B$1:$E$19,2,FALSE)</f>
        <v>1073</v>
      </c>
      <c r="N4382">
        <f>VLOOKUP(F4382,Sheet2!$B$1:$E$19,3,FALSE)</f>
        <v>1108951</v>
      </c>
      <c r="O4382">
        <f>IF(G4382="Not available","",VLOOKUP(F4382,Sheet2!$B$1:$E$19,4,FALSE)+(G4382-1))</f>
        <v>3778799</v>
      </c>
    </row>
    <row r="4383" spans="1:15" s="1" customFormat="1" ht="15" customHeight="1" x14ac:dyDescent="0.25">
      <c r="A4383" s="18" t="s">
        <v>514</v>
      </c>
      <c r="B4383" s="18" t="s">
        <v>434</v>
      </c>
      <c r="C4383" s="5" t="s">
        <v>1616</v>
      </c>
      <c r="D4383" s="1" t="s">
        <v>233</v>
      </c>
      <c r="E4383" s="1" t="s">
        <v>2</v>
      </c>
      <c r="F4383" s="18">
        <v>2165</v>
      </c>
      <c r="G4383" s="18">
        <v>23</v>
      </c>
      <c r="H4383" s="5">
        <v>20</v>
      </c>
      <c r="I4383" s="1">
        <v>92</v>
      </c>
      <c r="J4383" s="1" t="s">
        <v>3271</v>
      </c>
      <c r="L4383" t="str">
        <f t="shared" si="68"/>
        <v>http://www.badatelna.eu/reprodukce/?fondId=1073&amp;zaznamId=1108952&amp;reproId=3778884</v>
      </c>
      <c r="M4383">
        <f>VLOOKUP(F4383,Sheet2!$B$1:$E$19,2,FALSE)</f>
        <v>1073</v>
      </c>
      <c r="N4383">
        <f>VLOOKUP(F4383,Sheet2!$B$1:$E$19,3,FALSE)</f>
        <v>1108952</v>
      </c>
      <c r="O4383">
        <f>IF(G4383="Not available","",VLOOKUP(F4383,Sheet2!$B$1:$E$19,4,FALSE)+(G4383-1))</f>
        <v>3778884</v>
      </c>
    </row>
    <row r="4384" spans="1:15" s="1" customFormat="1" ht="15" customHeight="1" x14ac:dyDescent="0.25">
      <c r="A4384" s="18" t="s">
        <v>514</v>
      </c>
      <c r="B4384" s="18" t="s">
        <v>422</v>
      </c>
      <c r="C4384" s="5">
        <v>1842</v>
      </c>
      <c r="D4384" s="1" t="s">
        <v>166</v>
      </c>
      <c r="E4384" s="1" t="s">
        <v>2</v>
      </c>
      <c r="F4384" s="18">
        <v>2174</v>
      </c>
      <c r="G4384" s="18">
        <v>127</v>
      </c>
      <c r="H4384" s="6" t="s">
        <v>3190</v>
      </c>
      <c r="I4384" s="1">
        <v>202</v>
      </c>
      <c r="J4384" s="1">
        <v>238</v>
      </c>
      <c r="L4384" t="str">
        <f t="shared" si="68"/>
        <v>http://www.badatelna.eu/reprodukce/?fondId=1073&amp;zaznamId=1108960&amp;reproId=3780351</v>
      </c>
      <c r="M4384">
        <f>VLOOKUP(F4384,Sheet2!$B$1:$E$19,2,FALSE)</f>
        <v>1073</v>
      </c>
      <c r="N4384">
        <f>VLOOKUP(F4384,Sheet2!$B$1:$E$19,3,FALSE)</f>
        <v>1108960</v>
      </c>
      <c r="O4384">
        <f>IF(G4384="Not available","",VLOOKUP(F4384,Sheet2!$B$1:$E$19,4,FALSE)+(G4384-1))</f>
        <v>3780351</v>
      </c>
    </row>
    <row r="4385" spans="1:15" s="1" customFormat="1" ht="15" customHeight="1" x14ac:dyDescent="0.25">
      <c r="A4385" s="18" t="s">
        <v>514</v>
      </c>
      <c r="B4385" s="18" t="s">
        <v>1161</v>
      </c>
      <c r="C4385" s="5">
        <v>1887</v>
      </c>
      <c r="D4385" s="1" t="s">
        <v>484</v>
      </c>
      <c r="E4385" s="1" t="s">
        <v>2</v>
      </c>
      <c r="F4385" s="18">
        <v>2165</v>
      </c>
      <c r="G4385" s="18">
        <v>212</v>
      </c>
      <c r="H4385" s="5">
        <v>1</v>
      </c>
      <c r="I4385" s="1">
        <v>216</v>
      </c>
      <c r="J4385" s="1">
        <v>192</v>
      </c>
      <c r="L4385" t="str">
        <f t="shared" si="68"/>
        <v>http://www.badatelna.eu/reprodukce/?fondId=1073&amp;zaznamId=1108952&amp;reproId=3779073</v>
      </c>
      <c r="M4385">
        <f>VLOOKUP(F4385,Sheet2!$B$1:$E$19,2,FALSE)</f>
        <v>1073</v>
      </c>
      <c r="N4385">
        <f>VLOOKUP(F4385,Sheet2!$B$1:$E$19,3,FALSE)</f>
        <v>1108952</v>
      </c>
      <c r="O4385">
        <f>IF(G4385="Not available","",VLOOKUP(F4385,Sheet2!$B$1:$E$19,4,FALSE)+(G4385-1))</f>
        <v>3779073</v>
      </c>
    </row>
    <row r="4386" spans="1:15" s="1" customFormat="1" ht="15" customHeight="1" x14ac:dyDescent="0.25">
      <c r="A4386" s="18" t="s">
        <v>514</v>
      </c>
      <c r="B4386" s="18" t="s">
        <v>1033</v>
      </c>
      <c r="C4386" s="10" t="s">
        <v>2055</v>
      </c>
      <c r="D4386" s="3" t="s">
        <v>2701</v>
      </c>
      <c r="E4386" s="4" t="s">
        <v>2</v>
      </c>
      <c r="F4386" s="18">
        <v>2176</v>
      </c>
      <c r="G4386" s="18" t="s">
        <v>3271</v>
      </c>
      <c r="H4386" s="10" t="s">
        <v>2142</v>
      </c>
      <c r="I4386" s="3">
        <v>41</v>
      </c>
      <c r="J4386" s="3" t="s">
        <v>3271</v>
      </c>
      <c r="K4386" s="3"/>
      <c r="L4386" t="str">
        <f t="shared" si="68"/>
        <v/>
      </c>
      <c r="M4386">
        <f>VLOOKUP(F4386,Sheet2!$B$1:$E$19,2,FALSE)</f>
        <v>1073</v>
      </c>
      <c r="N4386">
        <f>VLOOKUP(F4386,Sheet2!$B$1:$E$19,3,FALSE)</f>
        <v>1108963</v>
      </c>
      <c r="O4386" t="str">
        <f>IF(G4386="Not available","",VLOOKUP(F4386,Sheet2!$B$1:$E$19,4,FALSE)+(G4386-1))</f>
        <v/>
      </c>
    </row>
    <row r="4387" spans="1:15" s="1" customFormat="1" ht="15" customHeight="1" x14ac:dyDescent="0.25">
      <c r="A4387" s="18" t="s">
        <v>514</v>
      </c>
      <c r="B4387" s="18" t="s">
        <v>1178</v>
      </c>
      <c r="C4387" s="5">
        <v>1885</v>
      </c>
      <c r="D4387" s="1" t="s">
        <v>233</v>
      </c>
      <c r="E4387" s="1" t="s">
        <v>2</v>
      </c>
      <c r="F4387" s="18">
        <v>2165</v>
      </c>
      <c r="G4387" s="18">
        <v>203</v>
      </c>
      <c r="H4387" s="5">
        <v>5</v>
      </c>
      <c r="I4387" s="1">
        <v>204</v>
      </c>
      <c r="J4387" s="1">
        <v>187</v>
      </c>
      <c r="L4387" t="str">
        <f t="shared" si="68"/>
        <v>http://www.badatelna.eu/reprodukce/?fondId=1073&amp;zaznamId=1108952&amp;reproId=3779064</v>
      </c>
      <c r="M4387">
        <f>VLOOKUP(F4387,Sheet2!$B$1:$E$19,2,FALSE)</f>
        <v>1073</v>
      </c>
      <c r="N4387">
        <f>VLOOKUP(F4387,Sheet2!$B$1:$E$19,3,FALSE)</f>
        <v>1108952</v>
      </c>
      <c r="O4387">
        <f>IF(G4387="Not available","",VLOOKUP(F4387,Sheet2!$B$1:$E$19,4,FALSE)+(G4387-1))</f>
        <v>3779064</v>
      </c>
    </row>
    <row r="4388" spans="1:15" s="1" customFormat="1" ht="15" customHeight="1" x14ac:dyDescent="0.25">
      <c r="A4388" s="18" t="s">
        <v>514</v>
      </c>
      <c r="B4388" s="18" t="s">
        <v>1178</v>
      </c>
      <c r="C4388" s="10" t="s">
        <v>2043</v>
      </c>
      <c r="D4388" s="3" t="s">
        <v>2650</v>
      </c>
      <c r="E4388" s="4" t="s">
        <v>2</v>
      </c>
      <c r="F4388" s="18">
        <v>2176</v>
      </c>
      <c r="G4388" s="18" t="s">
        <v>3271</v>
      </c>
      <c r="H4388" s="10" t="s">
        <v>2414</v>
      </c>
      <c r="I4388" s="3">
        <v>41</v>
      </c>
      <c r="J4388" s="3" t="s">
        <v>3271</v>
      </c>
      <c r="K4388" s="3"/>
      <c r="L4388" t="str">
        <f t="shared" si="68"/>
        <v/>
      </c>
      <c r="M4388">
        <f>VLOOKUP(F4388,Sheet2!$B$1:$E$19,2,FALSE)</f>
        <v>1073</v>
      </c>
      <c r="N4388">
        <f>VLOOKUP(F4388,Sheet2!$B$1:$E$19,3,FALSE)</f>
        <v>1108963</v>
      </c>
      <c r="O4388" t="str">
        <f>IF(G4388="Not available","",VLOOKUP(F4388,Sheet2!$B$1:$E$19,4,FALSE)+(G4388-1))</f>
        <v/>
      </c>
    </row>
    <row r="4389" spans="1:15" s="1" customFormat="1" ht="15" customHeight="1" x14ac:dyDescent="0.25">
      <c r="A4389" s="18" t="s">
        <v>514</v>
      </c>
      <c r="B4389" s="18" t="s">
        <v>536</v>
      </c>
      <c r="C4389" s="5">
        <v>1847</v>
      </c>
      <c r="D4389" s="1" t="s">
        <v>481</v>
      </c>
      <c r="E4389" s="1" t="s">
        <v>2</v>
      </c>
      <c r="F4389" s="18">
        <v>2164</v>
      </c>
      <c r="G4389" s="18">
        <v>20</v>
      </c>
      <c r="H4389" s="5">
        <v>18</v>
      </c>
      <c r="I4389" s="1">
        <v>139</v>
      </c>
      <c r="J4389" s="3" t="s">
        <v>3271</v>
      </c>
      <c r="L4389" t="str">
        <f t="shared" si="68"/>
        <v>http://www.badatelna.eu/reprodukce/?fondId=1073&amp;zaznamId=1108951&amp;reproId=3778734</v>
      </c>
      <c r="M4389">
        <f>VLOOKUP(F4389,Sheet2!$B$1:$E$19,2,FALSE)</f>
        <v>1073</v>
      </c>
      <c r="N4389">
        <f>VLOOKUP(F4389,Sheet2!$B$1:$E$19,3,FALSE)</f>
        <v>1108951</v>
      </c>
      <c r="O4389">
        <f>IF(G4389="Not available","",VLOOKUP(F4389,Sheet2!$B$1:$E$19,4,FALSE)+(G4389-1))</f>
        <v>3778734</v>
      </c>
    </row>
    <row r="4390" spans="1:15" s="1" customFormat="1" ht="15" customHeight="1" x14ac:dyDescent="0.25">
      <c r="A4390" s="18" t="s">
        <v>514</v>
      </c>
      <c r="B4390" s="18" t="s">
        <v>536</v>
      </c>
      <c r="C4390" s="5">
        <v>1854</v>
      </c>
      <c r="D4390" s="1" t="s">
        <v>26</v>
      </c>
      <c r="E4390" s="1" t="s">
        <v>2</v>
      </c>
      <c r="F4390" s="18">
        <v>2164</v>
      </c>
      <c r="G4390" s="18">
        <v>96</v>
      </c>
      <c r="H4390" s="5">
        <v>94</v>
      </c>
      <c r="I4390" s="1">
        <v>139</v>
      </c>
      <c r="J4390" s="3" t="s">
        <v>3271</v>
      </c>
      <c r="L4390" t="str">
        <f t="shared" si="68"/>
        <v>http://www.badatelna.eu/reprodukce/?fondId=1073&amp;zaznamId=1108951&amp;reproId=3778810</v>
      </c>
      <c r="M4390">
        <f>VLOOKUP(F4390,Sheet2!$B$1:$E$19,2,FALSE)</f>
        <v>1073</v>
      </c>
      <c r="N4390">
        <f>VLOOKUP(F4390,Sheet2!$B$1:$E$19,3,FALSE)</f>
        <v>1108951</v>
      </c>
      <c r="O4390">
        <f>IF(G4390="Not available","",VLOOKUP(F4390,Sheet2!$B$1:$E$19,4,FALSE)+(G4390-1))</f>
        <v>3778810</v>
      </c>
    </row>
    <row r="4391" spans="1:15" s="1" customFormat="1" ht="15" customHeight="1" x14ac:dyDescent="0.25">
      <c r="A4391" s="18" t="s">
        <v>514</v>
      </c>
      <c r="B4391" s="18" t="s">
        <v>96</v>
      </c>
      <c r="C4391" s="5">
        <v>1846</v>
      </c>
      <c r="D4391" s="1" t="s">
        <v>21</v>
      </c>
      <c r="E4391" s="1" t="s">
        <v>2</v>
      </c>
      <c r="F4391" s="18">
        <v>2174</v>
      </c>
      <c r="G4391" s="18">
        <v>173</v>
      </c>
      <c r="H4391" s="6" t="s">
        <v>3237</v>
      </c>
      <c r="I4391" s="1">
        <v>203</v>
      </c>
      <c r="J4391" s="1">
        <v>238</v>
      </c>
      <c r="L4391" t="str">
        <f t="shared" si="68"/>
        <v>http://www.badatelna.eu/reprodukce/?fondId=1073&amp;zaznamId=1108960&amp;reproId=3780397</v>
      </c>
      <c r="M4391">
        <f>VLOOKUP(F4391,Sheet2!$B$1:$E$19,2,FALSE)</f>
        <v>1073</v>
      </c>
      <c r="N4391">
        <f>VLOOKUP(F4391,Sheet2!$B$1:$E$19,3,FALSE)</f>
        <v>1108960</v>
      </c>
      <c r="O4391">
        <f>IF(G4391="Not available","",VLOOKUP(F4391,Sheet2!$B$1:$E$19,4,FALSE)+(G4391-1))</f>
        <v>3780397</v>
      </c>
    </row>
    <row r="4392" spans="1:15" s="1" customFormat="1" ht="15" customHeight="1" x14ac:dyDescent="0.25">
      <c r="A4392" s="18" t="s">
        <v>514</v>
      </c>
      <c r="B4392" s="18" t="s">
        <v>96</v>
      </c>
      <c r="C4392" s="5">
        <v>1851</v>
      </c>
      <c r="D4392" s="1" t="s">
        <v>21</v>
      </c>
      <c r="E4392" s="1" t="s">
        <v>2</v>
      </c>
      <c r="F4392" s="18">
        <v>2164</v>
      </c>
      <c r="G4392" s="18">
        <v>74</v>
      </c>
      <c r="H4392" s="5">
        <v>72</v>
      </c>
      <c r="I4392" s="1">
        <v>139</v>
      </c>
      <c r="J4392" s="3" t="s">
        <v>3271</v>
      </c>
      <c r="L4392" t="str">
        <f t="shared" si="68"/>
        <v>http://www.badatelna.eu/reprodukce/?fondId=1073&amp;zaznamId=1108951&amp;reproId=3778788</v>
      </c>
      <c r="M4392">
        <f>VLOOKUP(F4392,Sheet2!$B$1:$E$19,2,FALSE)</f>
        <v>1073</v>
      </c>
      <c r="N4392">
        <f>VLOOKUP(F4392,Sheet2!$B$1:$E$19,3,FALSE)</f>
        <v>1108951</v>
      </c>
      <c r="O4392">
        <f>IF(G4392="Not available","",VLOOKUP(F4392,Sheet2!$B$1:$E$19,4,FALSE)+(G4392-1))</f>
        <v>3778788</v>
      </c>
    </row>
    <row r="4393" spans="1:15" s="1" customFormat="1" ht="15" customHeight="1" x14ac:dyDescent="0.25">
      <c r="A4393" s="18" t="s">
        <v>514</v>
      </c>
      <c r="B4393" s="18" t="s">
        <v>18</v>
      </c>
      <c r="C4393" s="5">
        <v>1801</v>
      </c>
      <c r="D4393" s="4" t="s">
        <v>3314</v>
      </c>
      <c r="E4393" s="1" t="s">
        <v>2</v>
      </c>
      <c r="F4393" s="18">
        <v>2173</v>
      </c>
      <c r="G4393" s="18">
        <v>44</v>
      </c>
      <c r="H4393" s="5">
        <v>82</v>
      </c>
      <c r="I4393" s="1">
        <v>116</v>
      </c>
      <c r="J4393" s="1">
        <v>252</v>
      </c>
      <c r="K4393" s="4" t="s">
        <v>363</v>
      </c>
      <c r="L4393" t="str">
        <f t="shared" si="68"/>
        <v>http://www.badatelna.eu/reprodukce/?fondId=1073&amp;zaznamId=1108959&amp;reproId=3780037</v>
      </c>
      <c r="M4393">
        <f>VLOOKUP(F4393,Sheet2!$B$1:$E$19,2,FALSE)</f>
        <v>1073</v>
      </c>
      <c r="N4393">
        <f>VLOOKUP(F4393,Sheet2!$B$1:$E$19,3,FALSE)</f>
        <v>1108959</v>
      </c>
      <c r="O4393">
        <f>IF(G4393="Not available","",VLOOKUP(F4393,Sheet2!$B$1:$E$19,4,FALSE)+(G4393-1))</f>
        <v>3780037</v>
      </c>
    </row>
    <row r="4394" spans="1:15" s="1" customFormat="1" ht="15" customHeight="1" x14ac:dyDescent="0.25">
      <c r="A4394" s="18" t="s">
        <v>514</v>
      </c>
      <c r="B4394" s="18" t="s">
        <v>11</v>
      </c>
      <c r="C4394" s="5">
        <v>1801</v>
      </c>
      <c r="D4394" s="4" t="s">
        <v>3314</v>
      </c>
      <c r="E4394" s="1" t="s">
        <v>2</v>
      </c>
      <c r="F4394" s="18">
        <v>2173</v>
      </c>
      <c r="G4394" s="18">
        <v>44</v>
      </c>
      <c r="H4394" s="5">
        <v>82</v>
      </c>
      <c r="I4394" s="1">
        <v>116</v>
      </c>
      <c r="J4394" s="1">
        <v>252</v>
      </c>
      <c r="K4394" s="4" t="s">
        <v>363</v>
      </c>
      <c r="L4394" t="str">
        <f t="shared" si="68"/>
        <v>http://www.badatelna.eu/reprodukce/?fondId=1073&amp;zaznamId=1108959&amp;reproId=3780037</v>
      </c>
      <c r="M4394">
        <f>VLOOKUP(F4394,Sheet2!$B$1:$E$19,2,FALSE)</f>
        <v>1073</v>
      </c>
      <c r="N4394">
        <f>VLOOKUP(F4394,Sheet2!$B$1:$E$19,3,FALSE)</f>
        <v>1108959</v>
      </c>
      <c r="O4394">
        <f>IF(G4394="Not available","",VLOOKUP(F4394,Sheet2!$B$1:$E$19,4,FALSE)+(G4394-1))</f>
        <v>3780037</v>
      </c>
    </row>
    <row r="4395" spans="1:15" s="1" customFormat="1" ht="15" customHeight="1" x14ac:dyDescent="0.25">
      <c r="A4395" s="18" t="s">
        <v>514</v>
      </c>
      <c r="B4395" s="18" t="s">
        <v>398</v>
      </c>
      <c r="C4395" s="10" t="s">
        <v>1952</v>
      </c>
      <c r="D4395" s="3" t="s">
        <v>2701</v>
      </c>
      <c r="E4395" s="4" t="s">
        <v>2</v>
      </c>
      <c r="F4395" s="18">
        <v>2176</v>
      </c>
      <c r="G4395" s="18" t="s">
        <v>3271</v>
      </c>
      <c r="H4395" s="10" t="s">
        <v>2053</v>
      </c>
      <c r="I4395" s="3">
        <v>42</v>
      </c>
      <c r="J4395" s="3" t="s">
        <v>3271</v>
      </c>
      <c r="K4395" s="3"/>
      <c r="L4395" t="str">
        <f t="shared" si="68"/>
        <v/>
      </c>
      <c r="M4395">
        <f>VLOOKUP(F4395,Sheet2!$B$1:$E$19,2,FALSE)</f>
        <v>1073</v>
      </c>
      <c r="N4395">
        <f>VLOOKUP(F4395,Sheet2!$B$1:$E$19,3,FALSE)</f>
        <v>1108963</v>
      </c>
      <c r="O4395" t="str">
        <f>IF(G4395="Not available","",VLOOKUP(F4395,Sheet2!$B$1:$E$19,4,FALSE)+(G4395-1))</f>
        <v/>
      </c>
    </row>
    <row r="4396" spans="1:15" s="1" customFormat="1" ht="15" customHeight="1" x14ac:dyDescent="0.25">
      <c r="A4396" s="18" t="s">
        <v>514</v>
      </c>
      <c r="B4396" s="18" t="s">
        <v>949</v>
      </c>
      <c r="C4396" s="5" t="s">
        <v>1857</v>
      </c>
      <c r="D4396" s="1" t="s">
        <v>484</v>
      </c>
      <c r="E4396" s="1" t="s">
        <v>2</v>
      </c>
      <c r="F4396" s="18">
        <v>2165</v>
      </c>
      <c r="G4396" s="18">
        <v>255</v>
      </c>
      <c r="H4396" s="5">
        <v>2</v>
      </c>
      <c r="I4396" s="1">
        <v>253</v>
      </c>
      <c r="J4396" s="1">
        <v>229</v>
      </c>
      <c r="L4396" t="str">
        <f t="shared" si="68"/>
        <v>http://www.badatelna.eu/reprodukce/?fondId=1073&amp;zaznamId=1108952&amp;reproId=3779116</v>
      </c>
      <c r="M4396">
        <f>VLOOKUP(F4396,Sheet2!$B$1:$E$19,2,FALSE)</f>
        <v>1073</v>
      </c>
      <c r="N4396">
        <f>VLOOKUP(F4396,Sheet2!$B$1:$E$19,3,FALSE)</f>
        <v>1108952</v>
      </c>
      <c r="O4396">
        <f>IF(G4396="Not available","",VLOOKUP(F4396,Sheet2!$B$1:$E$19,4,FALSE)+(G4396-1))</f>
        <v>3779116</v>
      </c>
    </row>
    <row r="4397" spans="1:15" s="1" customFormat="1" ht="15" customHeight="1" x14ac:dyDescent="0.25">
      <c r="A4397" s="18" t="s">
        <v>514</v>
      </c>
      <c r="B4397" s="18" t="s">
        <v>1277</v>
      </c>
      <c r="C4397" s="6" t="s">
        <v>2100</v>
      </c>
      <c r="D4397" s="4" t="s">
        <v>992</v>
      </c>
      <c r="E4397" s="1" t="s">
        <v>2</v>
      </c>
      <c r="F4397" s="18">
        <v>2165</v>
      </c>
      <c r="G4397" s="18">
        <v>309</v>
      </c>
      <c r="H4397" s="5">
        <v>2</v>
      </c>
      <c r="I4397" s="1">
        <v>311</v>
      </c>
      <c r="J4397" s="1">
        <v>284</v>
      </c>
      <c r="L4397" t="str">
        <f t="shared" si="68"/>
        <v>http://www.badatelna.eu/reprodukce/?fondId=1073&amp;zaznamId=1108952&amp;reproId=3779170</v>
      </c>
      <c r="M4397">
        <f>VLOOKUP(F4397,Sheet2!$B$1:$E$19,2,FALSE)</f>
        <v>1073</v>
      </c>
      <c r="N4397">
        <f>VLOOKUP(F4397,Sheet2!$B$1:$E$19,3,FALSE)</f>
        <v>1108952</v>
      </c>
      <c r="O4397">
        <f>IF(G4397="Not available","",VLOOKUP(F4397,Sheet2!$B$1:$E$19,4,FALSE)+(G4397-1))</f>
        <v>3779170</v>
      </c>
    </row>
    <row r="4398" spans="1:15" s="1" customFormat="1" ht="15" customHeight="1" x14ac:dyDescent="0.25">
      <c r="A4398" s="18" t="s">
        <v>514</v>
      </c>
      <c r="B4398" s="18" t="s">
        <v>1277</v>
      </c>
      <c r="C4398" s="10" t="s">
        <v>2100</v>
      </c>
      <c r="D4398" s="3" t="s">
        <v>2722</v>
      </c>
      <c r="E4398" s="4" t="s">
        <v>2</v>
      </c>
      <c r="F4398" s="18">
        <v>2176</v>
      </c>
      <c r="G4398" s="18" t="s">
        <v>3271</v>
      </c>
      <c r="H4398" s="10" t="s">
        <v>2006</v>
      </c>
      <c r="I4398" s="3">
        <v>42</v>
      </c>
      <c r="J4398" s="3" t="s">
        <v>3271</v>
      </c>
      <c r="K4398" s="3"/>
      <c r="L4398" t="str">
        <f t="shared" si="68"/>
        <v/>
      </c>
      <c r="M4398">
        <f>VLOOKUP(F4398,Sheet2!$B$1:$E$19,2,FALSE)</f>
        <v>1073</v>
      </c>
      <c r="N4398">
        <f>VLOOKUP(F4398,Sheet2!$B$1:$E$19,3,FALSE)</f>
        <v>1108963</v>
      </c>
      <c r="O4398" t="str">
        <f>IF(G4398="Not available","",VLOOKUP(F4398,Sheet2!$B$1:$E$19,4,FALSE)+(G4398-1))</f>
        <v/>
      </c>
    </row>
    <row r="4399" spans="1:15" s="1" customFormat="1" ht="15" customHeight="1" x14ac:dyDescent="0.25">
      <c r="A4399" s="18" t="s">
        <v>514</v>
      </c>
      <c r="B4399" s="18" t="s">
        <v>1113</v>
      </c>
      <c r="C4399" s="10" t="s">
        <v>2072</v>
      </c>
      <c r="D4399" s="3" t="s">
        <v>2701</v>
      </c>
      <c r="E4399" s="4" t="s">
        <v>2</v>
      </c>
      <c r="F4399" s="18">
        <v>2176</v>
      </c>
      <c r="G4399" s="18" t="s">
        <v>3271</v>
      </c>
      <c r="H4399" s="10" t="s">
        <v>2146</v>
      </c>
      <c r="I4399" s="3">
        <v>42</v>
      </c>
      <c r="J4399" s="3" t="s">
        <v>3271</v>
      </c>
      <c r="K4399" s="3"/>
      <c r="L4399" t="str">
        <f t="shared" si="68"/>
        <v/>
      </c>
      <c r="M4399">
        <f>VLOOKUP(F4399,Sheet2!$B$1:$E$19,2,FALSE)</f>
        <v>1073</v>
      </c>
      <c r="N4399">
        <f>VLOOKUP(F4399,Sheet2!$B$1:$E$19,3,FALSE)</f>
        <v>1108963</v>
      </c>
      <c r="O4399" t="str">
        <f>IF(G4399="Not available","",VLOOKUP(F4399,Sheet2!$B$1:$E$19,4,FALSE)+(G4399-1))</f>
        <v/>
      </c>
    </row>
    <row r="4400" spans="1:15" s="1" customFormat="1" ht="15" customHeight="1" x14ac:dyDescent="0.25">
      <c r="A4400" s="18" t="s">
        <v>514</v>
      </c>
      <c r="B4400" s="18" t="s">
        <v>1113</v>
      </c>
      <c r="C4400" s="5" t="s">
        <v>1763</v>
      </c>
      <c r="D4400" s="1" t="s">
        <v>484</v>
      </c>
      <c r="E4400" s="1" t="s">
        <v>2</v>
      </c>
      <c r="F4400" s="18">
        <v>2165</v>
      </c>
      <c r="G4400" s="18">
        <v>228</v>
      </c>
      <c r="H4400" s="5">
        <v>1</v>
      </c>
      <c r="I4400" s="1">
        <v>232</v>
      </c>
      <c r="J4400" s="1">
        <v>208</v>
      </c>
      <c r="L4400" t="str">
        <f t="shared" si="68"/>
        <v>http://www.badatelna.eu/reprodukce/?fondId=1073&amp;zaznamId=1108952&amp;reproId=3779089</v>
      </c>
      <c r="M4400">
        <f>VLOOKUP(F4400,Sheet2!$B$1:$E$19,2,FALSE)</f>
        <v>1073</v>
      </c>
      <c r="N4400">
        <f>VLOOKUP(F4400,Sheet2!$B$1:$E$19,3,FALSE)</f>
        <v>1108952</v>
      </c>
      <c r="O4400">
        <f>IF(G4400="Not available","",VLOOKUP(F4400,Sheet2!$B$1:$E$19,4,FALSE)+(G4400-1))</f>
        <v>3779089</v>
      </c>
    </row>
    <row r="4401" spans="1:15" s="1" customFormat="1" ht="15" customHeight="1" x14ac:dyDescent="0.25">
      <c r="A4401" s="18" t="s">
        <v>514</v>
      </c>
      <c r="B4401" s="18" t="s">
        <v>593</v>
      </c>
      <c r="C4401" s="5">
        <v>1860</v>
      </c>
      <c r="D4401" s="4" t="s">
        <v>3309</v>
      </c>
      <c r="E4401" s="1" t="s">
        <v>939</v>
      </c>
      <c r="F4401" s="18">
        <v>999</v>
      </c>
      <c r="G4401" s="18">
        <v>24</v>
      </c>
      <c r="H4401" s="5">
        <v>22</v>
      </c>
      <c r="I4401" s="1">
        <v>76</v>
      </c>
      <c r="J4401" s="1">
        <v>110</v>
      </c>
      <c r="L4401" t="str">
        <f t="shared" si="68"/>
        <v>http://www.badatelna.eu/reprodukce/?fondId=241&amp;zaznamId=1133739&amp;reproId=3885753</v>
      </c>
      <c r="M4401">
        <f>VLOOKUP(F4401,Sheet2!$B$1:$E$19,2,FALSE)</f>
        <v>241</v>
      </c>
      <c r="N4401">
        <f>VLOOKUP(F4401,Sheet2!$B$1:$E$19,3,FALSE)</f>
        <v>1133739</v>
      </c>
      <c r="O4401">
        <f>IF(G4401="Not available","",VLOOKUP(F4401,Sheet2!$B$1:$E$19,4,FALSE)+(G4401-1))</f>
        <v>3885753</v>
      </c>
    </row>
    <row r="4402" spans="1:15" s="1" customFormat="1" ht="15" customHeight="1" x14ac:dyDescent="0.25">
      <c r="A4402" s="18" t="s">
        <v>514</v>
      </c>
      <c r="B4402" s="18" t="s">
        <v>593</v>
      </c>
      <c r="C4402" s="5">
        <v>1882</v>
      </c>
      <c r="D4402" s="1" t="s">
        <v>233</v>
      </c>
      <c r="E4402" s="1" t="s">
        <v>2</v>
      </c>
      <c r="F4402" s="18">
        <v>2165</v>
      </c>
      <c r="G4402" s="18">
        <v>181</v>
      </c>
      <c r="H4402" s="5">
        <v>5</v>
      </c>
      <c r="I4402" s="1">
        <v>183</v>
      </c>
      <c r="J4402" s="1">
        <v>160</v>
      </c>
      <c r="L4402" t="str">
        <f t="shared" si="68"/>
        <v>http://www.badatelna.eu/reprodukce/?fondId=1073&amp;zaznamId=1108952&amp;reproId=3779042</v>
      </c>
      <c r="M4402">
        <f>VLOOKUP(F4402,Sheet2!$B$1:$E$19,2,FALSE)</f>
        <v>1073</v>
      </c>
      <c r="N4402">
        <f>VLOOKUP(F4402,Sheet2!$B$1:$E$19,3,FALSE)</f>
        <v>1108952</v>
      </c>
      <c r="O4402">
        <f>IF(G4402="Not available","",VLOOKUP(F4402,Sheet2!$B$1:$E$19,4,FALSE)+(G4402-1))</f>
        <v>3779042</v>
      </c>
    </row>
    <row r="4403" spans="1:15" s="1" customFormat="1" ht="15" customHeight="1" x14ac:dyDescent="0.25">
      <c r="A4403" s="18" t="s">
        <v>514</v>
      </c>
      <c r="B4403" s="18" t="s">
        <v>593</v>
      </c>
      <c r="C4403" s="10" t="s">
        <v>1285</v>
      </c>
      <c r="D4403" s="3" t="s">
        <v>2650</v>
      </c>
      <c r="E4403" s="4" t="s">
        <v>2</v>
      </c>
      <c r="F4403" s="18">
        <v>2176</v>
      </c>
      <c r="G4403" s="18" t="s">
        <v>3271</v>
      </c>
      <c r="H4403" s="10" t="s">
        <v>2283</v>
      </c>
      <c r="I4403" s="3">
        <v>41</v>
      </c>
      <c r="J4403" s="3" t="s">
        <v>3271</v>
      </c>
      <c r="K4403" s="3"/>
      <c r="L4403" t="str">
        <f t="shared" si="68"/>
        <v/>
      </c>
      <c r="M4403">
        <f>VLOOKUP(F4403,Sheet2!$B$1:$E$19,2,FALSE)</f>
        <v>1073</v>
      </c>
      <c r="N4403">
        <f>VLOOKUP(F4403,Sheet2!$B$1:$E$19,3,FALSE)</f>
        <v>1108963</v>
      </c>
      <c r="O4403" t="str">
        <f>IF(G4403="Not available","",VLOOKUP(F4403,Sheet2!$B$1:$E$19,4,FALSE)+(G4403-1))</f>
        <v/>
      </c>
    </row>
    <row r="4404" spans="1:15" s="1" customFormat="1" ht="15" customHeight="1" x14ac:dyDescent="0.25">
      <c r="A4404" s="18" t="s">
        <v>514</v>
      </c>
      <c r="B4404" s="18" t="s">
        <v>593</v>
      </c>
      <c r="C4404" s="5" t="s">
        <v>1658</v>
      </c>
      <c r="D4404" s="1" t="s">
        <v>422</v>
      </c>
      <c r="E4404" s="1" t="s">
        <v>2</v>
      </c>
      <c r="F4404" s="18">
        <v>2165</v>
      </c>
      <c r="G4404" s="18">
        <v>70</v>
      </c>
      <c r="H4404" s="5">
        <v>67</v>
      </c>
      <c r="I4404" s="1">
        <v>93</v>
      </c>
      <c r="J4404" s="1" t="s">
        <v>3271</v>
      </c>
      <c r="L4404" t="str">
        <f t="shared" si="68"/>
        <v>http://www.badatelna.eu/reprodukce/?fondId=1073&amp;zaznamId=1108952&amp;reproId=3778931</v>
      </c>
      <c r="M4404">
        <f>VLOOKUP(F4404,Sheet2!$B$1:$E$19,2,FALSE)</f>
        <v>1073</v>
      </c>
      <c r="N4404">
        <f>VLOOKUP(F4404,Sheet2!$B$1:$E$19,3,FALSE)</f>
        <v>1108952</v>
      </c>
      <c r="O4404">
        <f>IF(G4404="Not available","",VLOOKUP(F4404,Sheet2!$B$1:$E$19,4,FALSE)+(G4404-1))</f>
        <v>3778931</v>
      </c>
    </row>
    <row r="4405" spans="1:15" s="1" customFormat="1" ht="15" customHeight="1" x14ac:dyDescent="0.25">
      <c r="A4405" s="18" t="s">
        <v>514</v>
      </c>
      <c r="B4405" s="18" t="s">
        <v>145</v>
      </c>
      <c r="C4405" s="5">
        <v>1829</v>
      </c>
      <c r="D4405" s="4" t="s">
        <v>49</v>
      </c>
      <c r="E4405" s="1" t="s">
        <v>2</v>
      </c>
      <c r="F4405" s="18">
        <v>2173</v>
      </c>
      <c r="G4405" s="18">
        <v>81</v>
      </c>
      <c r="H4405" s="5">
        <v>155</v>
      </c>
      <c r="I4405" s="1">
        <v>117</v>
      </c>
      <c r="J4405" s="1">
        <v>254</v>
      </c>
      <c r="L4405" t="str">
        <f t="shared" si="68"/>
        <v>http://www.badatelna.eu/reprodukce/?fondId=1073&amp;zaznamId=1108959&amp;reproId=3780074</v>
      </c>
      <c r="M4405">
        <f>VLOOKUP(F4405,Sheet2!$B$1:$E$19,2,FALSE)</f>
        <v>1073</v>
      </c>
      <c r="N4405">
        <f>VLOOKUP(F4405,Sheet2!$B$1:$E$19,3,FALSE)</f>
        <v>1108959</v>
      </c>
      <c r="O4405">
        <f>IF(G4405="Not available","",VLOOKUP(F4405,Sheet2!$B$1:$E$19,4,FALSE)+(G4405-1))</f>
        <v>3780074</v>
      </c>
    </row>
    <row r="4406" spans="1:15" s="1" customFormat="1" ht="15" customHeight="1" x14ac:dyDescent="0.25">
      <c r="A4406" s="18" t="s">
        <v>514</v>
      </c>
      <c r="B4406" s="18" t="s">
        <v>519</v>
      </c>
      <c r="C4406" s="5">
        <v>1786</v>
      </c>
      <c r="D4406" s="1" t="s">
        <v>4</v>
      </c>
      <c r="E4406" s="1" t="s">
        <v>2</v>
      </c>
      <c r="F4406" s="18">
        <v>2173</v>
      </c>
      <c r="G4406" s="18">
        <v>12</v>
      </c>
      <c r="H4406" s="5">
        <v>18</v>
      </c>
      <c r="I4406" s="1">
        <v>115</v>
      </c>
      <c r="J4406" s="1">
        <v>259</v>
      </c>
      <c r="L4406" t="str">
        <f t="shared" si="68"/>
        <v>http://www.badatelna.eu/reprodukce/?fondId=1073&amp;zaznamId=1108959&amp;reproId=3780005</v>
      </c>
      <c r="M4406">
        <f>VLOOKUP(F4406,Sheet2!$B$1:$E$19,2,FALSE)</f>
        <v>1073</v>
      </c>
      <c r="N4406">
        <f>VLOOKUP(F4406,Sheet2!$B$1:$E$19,3,FALSE)</f>
        <v>1108959</v>
      </c>
      <c r="O4406">
        <f>IF(G4406="Not available","",VLOOKUP(F4406,Sheet2!$B$1:$E$19,4,FALSE)+(G4406-1))</f>
        <v>3780005</v>
      </c>
    </row>
    <row r="4407" spans="1:15" s="1" customFormat="1" ht="15" customHeight="1" x14ac:dyDescent="0.25">
      <c r="A4407" s="18" t="s">
        <v>514</v>
      </c>
      <c r="B4407" s="18" t="s">
        <v>663</v>
      </c>
      <c r="C4407" s="5">
        <v>1852</v>
      </c>
      <c r="D4407" s="1" t="s">
        <v>26</v>
      </c>
      <c r="E4407" s="1" t="s">
        <v>2</v>
      </c>
      <c r="F4407" s="18">
        <v>2164</v>
      </c>
      <c r="G4407" s="18">
        <v>82</v>
      </c>
      <c r="H4407" s="5">
        <v>80</v>
      </c>
      <c r="I4407" s="1">
        <v>139</v>
      </c>
      <c r="J4407" s="3" t="s">
        <v>3271</v>
      </c>
      <c r="L4407" t="str">
        <f t="shared" si="68"/>
        <v>http://www.badatelna.eu/reprodukce/?fondId=1073&amp;zaznamId=1108951&amp;reproId=3778796</v>
      </c>
      <c r="M4407">
        <f>VLOOKUP(F4407,Sheet2!$B$1:$E$19,2,FALSE)</f>
        <v>1073</v>
      </c>
      <c r="N4407">
        <f>VLOOKUP(F4407,Sheet2!$B$1:$E$19,3,FALSE)</f>
        <v>1108951</v>
      </c>
      <c r="O4407">
        <f>IF(G4407="Not available","",VLOOKUP(F4407,Sheet2!$B$1:$E$19,4,FALSE)+(G4407-1))</f>
        <v>3778796</v>
      </c>
    </row>
    <row r="4408" spans="1:15" s="1" customFormat="1" ht="15" customHeight="1" x14ac:dyDescent="0.25">
      <c r="A4408" s="18" t="s">
        <v>514</v>
      </c>
      <c r="B4408" s="18" t="s">
        <v>24</v>
      </c>
      <c r="C4408" s="5" t="s">
        <v>1615</v>
      </c>
      <c r="D4408" s="1" t="s">
        <v>566</v>
      </c>
      <c r="E4408" s="1" t="s">
        <v>2</v>
      </c>
      <c r="F4408" s="18">
        <v>2165</v>
      </c>
      <c r="G4408" s="18">
        <v>25</v>
      </c>
      <c r="H4408" s="5">
        <v>22</v>
      </c>
      <c r="I4408" s="1">
        <v>92</v>
      </c>
      <c r="J4408" s="3" t="s">
        <v>3271</v>
      </c>
      <c r="L4408" t="str">
        <f t="shared" si="68"/>
        <v>http://www.badatelna.eu/reprodukce/?fondId=1073&amp;zaznamId=1108952&amp;reproId=3778886</v>
      </c>
      <c r="M4408">
        <f>VLOOKUP(F4408,Sheet2!$B$1:$E$19,2,FALSE)</f>
        <v>1073</v>
      </c>
      <c r="N4408">
        <f>VLOOKUP(F4408,Sheet2!$B$1:$E$19,3,FALSE)</f>
        <v>1108952</v>
      </c>
      <c r="O4408">
        <f>IF(G4408="Not available","",VLOOKUP(F4408,Sheet2!$B$1:$E$19,4,FALSE)+(G4408-1))</f>
        <v>3778886</v>
      </c>
    </row>
    <row r="4409" spans="1:15" s="1" customFormat="1" ht="15" customHeight="1" x14ac:dyDescent="0.25">
      <c r="A4409" s="18" t="s">
        <v>514</v>
      </c>
      <c r="B4409" s="18" t="s">
        <v>44</v>
      </c>
      <c r="C4409" s="5">
        <v>1865</v>
      </c>
      <c r="D4409" s="4" t="s">
        <v>233</v>
      </c>
      <c r="E4409" s="1" t="s">
        <v>939</v>
      </c>
      <c r="F4409" s="18">
        <v>999</v>
      </c>
      <c r="G4409" s="18">
        <v>53</v>
      </c>
      <c r="H4409" s="5">
        <v>51</v>
      </c>
      <c r="I4409" s="1">
        <v>77</v>
      </c>
      <c r="J4409" s="1">
        <v>112</v>
      </c>
      <c r="L4409" t="str">
        <f t="shared" si="68"/>
        <v>http://www.badatelna.eu/reprodukce/?fondId=241&amp;zaznamId=1133739&amp;reproId=3885782</v>
      </c>
      <c r="M4409">
        <f>VLOOKUP(F4409,Sheet2!$B$1:$E$19,2,FALSE)</f>
        <v>241</v>
      </c>
      <c r="N4409">
        <f>VLOOKUP(F4409,Sheet2!$B$1:$E$19,3,FALSE)</f>
        <v>1133739</v>
      </c>
      <c r="O4409">
        <f>IF(G4409="Not available","",VLOOKUP(F4409,Sheet2!$B$1:$E$19,4,FALSE)+(G4409-1))</f>
        <v>3885782</v>
      </c>
    </row>
    <row r="4410" spans="1:15" s="1" customFormat="1" ht="15" customHeight="1" x14ac:dyDescent="0.25">
      <c r="A4410" s="18" t="s">
        <v>514</v>
      </c>
      <c r="B4410" s="18" t="s">
        <v>44</v>
      </c>
      <c r="C4410" s="5" t="s">
        <v>1601</v>
      </c>
      <c r="D4410" s="1" t="s">
        <v>233</v>
      </c>
      <c r="E4410" s="1" t="s">
        <v>2</v>
      </c>
      <c r="F4410" s="18">
        <v>2165</v>
      </c>
      <c r="G4410" s="18">
        <v>5</v>
      </c>
      <c r="H4410" s="5">
        <v>2</v>
      </c>
      <c r="I4410" s="1">
        <v>92</v>
      </c>
      <c r="J4410" s="1" t="s">
        <v>3271</v>
      </c>
      <c r="L4410" t="str">
        <f t="shared" si="68"/>
        <v>http://www.badatelna.eu/reprodukce/?fondId=1073&amp;zaznamId=1108952&amp;reproId=3778866</v>
      </c>
      <c r="M4410">
        <f>VLOOKUP(F4410,Sheet2!$B$1:$E$19,2,FALSE)</f>
        <v>1073</v>
      </c>
      <c r="N4410">
        <f>VLOOKUP(F4410,Sheet2!$B$1:$E$19,3,FALSE)</f>
        <v>1108952</v>
      </c>
      <c r="O4410">
        <f>IF(G4410="Not available","",VLOOKUP(F4410,Sheet2!$B$1:$E$19,4,FALSE)+(G4410-1))</f>
        <v>3778866</v>
      </c>
    </row>
    <row r="4411" spans="1:15" s="1" customFormat="1" ht="15" customHeight="1" x14ac:dyDescent="0.25">
      <c r="A4411" s="18" t="s">
        <v>514</v>
      </c>
      <c r="B4411" s="18" t="s">
        <v>23</v>
      </c>
      <c r="C4411" s="6" t="s">
        <v>3313</v>
      </c>
      <c r="D4411" s="4" t="s">
        <v>3308</v>
      </c>
      <c r="E4411" s="1" t="s">
        <v>2</v>
      </c>
      <c r="F4411" s="18">
        <v>2173</v>
      </c>
      <c r="G4411" s="18">
        <v>60</v>
      </c>
      <c r="H4411" s="5">
        <v>115</v>
      </c>
      <c r="I4411" s="1">
        <v>116</v>
      </c>
      <c r="J4411" s="1">
        <v>253</v>
      </c>
      <c r="L4411" t="str">
        <f t="shared" si="68"/>
        <v>http://www.badatelna.eu/reprodukce/?fondId=1073&amp;zaznamId=1108959&amp;reproId=3780053</v>
      </c>
      <c r="M4411">
        <f>VLOOKUP(F4411,Sheet2!$B$1:$E$19,2,FALSE)</f>
        <v>1073</v>
      </c>
      <c r="N4411">
        <f>VLOOKUP(F4411,Sheet2!$B$1:$E$19,3,FALSE)</f>
        <v>1108959</v>
      </c>
      <c r="O4411">
        <f>IF(G4411="Not available","",VLOOKUP(F4411,Sheet2!$B$1:$E$19,4,FALSE)+(G4411-1))</f>
        <v>3780053</v>
      </c>
    </row>
    <row r="4412" spans="1:15" s="1" customFormat="1" ht="15" customHeight="1" x14ac:dyDescent="0.25">
      <c r="A4412" s="18" t="s">
        <v>514</v>
      </c>
      <c r="B4412" s="18" t="s">
        <v>10</v>
      </c>
      <c r="C4412" s="5">
        <v>1789</v>
      </c>
      <c r="D4412" s="1" t="s">
        <v>4</v>
      </c>
      <c r="E4412" s="1" t="s">
        <v>2</v>
      </c>
      <c r="F4412" s="18">
        <v>2173</v>
      </c>
      <c r="G4412" s="18">
        <v>20</v>
      </c>
      <c r="H4412" s="5">
        <v>35</v>
      </c>
      <c r="I4412" s="1">
        <v>115</v>
      </c>
      <c r="J4412" s="1">
        <v>259</v>
      </c>
      <c r="L4412" t="str">
        <f t="shared" si="68"/>
        <v>http://www.badatelna.eu/reprodukce/?fondId=1073&amp;zaznamId=1108959&amp;reproId=3780013</v>
      </c>
      <c r="M4412">
        <f>VLOOKUP(F4412,Sheet2!$B$1:$E$19,2,FALSE)</f>
        <v>1073</v>
      </c>
      <c r="N4412">
        <f>VLOOKUP(F4412,Sheet2!$B$1:$E$19,3,FALSE)</f>
        <v>1108959</v>
      </c>
      <c r="O4412">
        <f>IF(G4412="Not available","",VLOOKUP(F4412,Sheet2!$B$1:$E$19,4,FALSE)+(G4412-1))</f>
        <v>3780013</v>
      </c>
    </row>
    <row r="4413" spans="1:15" s="1" customFormat="1" ht="15" customHeight="1" x14ac:dyDescent="0.25">
      <c r="A4413" s="18" t="s">
        <v>514</v>
      </c>
      <c r="B4413" s="18" t="s">
        <v>998</v>
      </c>
      <c r="C4413" s="5" t="s">
        <v>1610</v>
      </c>
      <c r="D4413" s="1" t="s">
        <v>233</v>
      </c>
      <c r="E4413" s="1" t="s">
        <v>2</v>
      </c>
      <c r="F4413" s="18">
        <v>2165</v>
      </c>
      <c r="G4413" s="18">
        <v>16</v>
      </c>
      <c r="H4413" s="5">
        <v>13</v>
      </c>
      <c r="I4413" s="1">
        <v>92</v>
      </c>
      <c r="J4413" s="1" t="s">
        <v>3271</v>
      </c>
      <c r="L4413" t="str">
        <f t="shared" si="68"/>
        <v>http://www.badatelna.eu/reprodukce/?fondId=1073&amp;zaznamId=1108952&amp;reproId=3778877</v>
      </c>
      <c r="M4413">
        <f>VLOOKUP(F4413,Sheet2!$B$1:$E$19,2,FALSE)</f>
        <v>1073</v>
      </c>
      <c r="N4413">
        <f>VLOOKUP(F4413,Sheet2!$B$1:$E$19,3,FALSE)</f>
        <v>1108952</v>
      </c>
      <c r="O4413">
        <f>IF(G4413="Not available","",VLOOKUP(F4413,Sheet2!$B$1:$E$19,4,FALSE)+(G4413-1))</f>
        <v>3778877</v>
      </c>
    </row>
    <row r="4414" spans="1:15" s="1" customFormat="1" ht="15" customHeight="1" x14ac:dyDescent="0.25">
      <c r="A4414" s="18" t="s">
        <v>514</v>
      </c>
      <c r="B4414" s="18" t="s">
        <v>304</v>
      </c>
      <c r="C4414" s="5">
        <v>1866</v>
      </c>
      <c r="D4414" s="4" t="s">
        <v>233</v>
      </c>
      <c r="E4414" s="1" t="s">
        <v>939</v>
      </c>
      <c r="F4414" s="18">
        <v>999</v>
      </c>
      <c r="G4414" s="18">
        <v>61</v>
      </c>
      <c r="H4414" s="5">
        <v>59</v>
      </c>
      <c r="I4414" s="1">
        <v>77</v>
      </c>
      <c r="J4414" s="1">
        <v>112</v>
      </c>
      <c r="L4414" t="str">
        <f t="shared" si="68"/>
        <v>http://www.badatelna.eu/reprodukce/?fondId=241&amp;zaznamId=1133739&amp;reproId=3885790</v>
      </c>
      <c r="M4414">
        <f>VLOOKUP(F4414,Sheet2!$B$1:$E$19,2,FALSE)</f>
        <v>241</v>
      </c>
      <c r="N4414">
        <f>VLOOKUP(F4414,Sheet2!$B$1:$E$19,3,FALSE)</f>
        <v>1133739</v>
      </c>
      <c r="O4414">
        <f>IF(G4414="Not available","",VLOOKUP(F4414,Sheet2!$B$1:$E$19,4,FALSE)+(G4414-1))</f>
        <v>3885790</v>
      </c>
    </row>
    <row r="4415" spans="1:15" s="1" customFormat="1" ht="15" customHeight="1" x14ac:dyDescent="0.25">
      <c r="A4415" s="18" t="s">
        <v>514</v>
      </c>
      <c r="B4415" s="19" t="s">
        <v>58</v>
      </c>
      <c r="C4415" s="6" t="s">
        <v>3365</v>
      </c>
      <c r="D4415" s="4" t="s">
        <v>3366</v>
      </c>
      <c r="E4415" s="4" t="s">
        <v>939</v>
      </c>
      <c r="F4415" s="18">
        <v>2164</v>
      </c>
      <c r="G4415" s="18">
        <v>48</v>
      </c>
      <c r="H4415" s="6" t="s">
        <v>3367</v>
      </c>
      <c r="I4415" s="1">
        <v>139</v>
      </c>
      <c r="J4415" s="4" t="s">
        <v>3271</v>
      </c>
      <c r="L4415" t="str">
        <f t="shared" si="68"/>
        <v>http://www.badatelna.eu/reprodukce/?fondId=1073&amp;zaznamId=1108951&amp;reproId=3778762</v>
      </c>
      <c r="M4415">
        <f>VLOOKUP(F4415,Sheet2!$B$1:$E$19,2,FALSE)</f>
        <v>1073</v>
      </c>
      <c r="N4415">
        <f>VLOOKUP(F4415,Sheet2!$B$1:$E$19,3,FALSE)</f>
        <v>1108951</v>
      </c>
      <c r="O4415">
        <f>IF(G4415="Not available","",VLOOKUP(F4415,Sheet2!$B$1:$E$19,4,FALSE)+(G4415-1))</f>
        <v>3778762</v>
      </c>
    </row>
    <row r="4416" spans="1:15" s="1" customFormat="1" ht="15" customHeight="1" x14ac:dyDescent="0.25">
      <c r="A4416" s="18" t="s">
        <v>514</v>
      </c>
      <c r="B4416" s="18" t="s">
        <v>58</v>
      </c>
      <c r="C4416" s="5">
        <v>1863</v>
      </c>
      <c r="D4416" s="4" t="s">
        <v>2653</v>
      </c>
      <c r="E4416" s="1" t="s">
        <v>939</v>
      </c>
      <c r="F4416" s="18">
        <v>999</v>
      </c>
      <c r="G4416" s="18">
        <v>43</v>
      </c>
      <c r="H4416" s="5">
        <v>41</v>
      </c>
      <c r="I4416" s="1">
        <v>76</v>
      </c>
      <c r="J4416" s="1">
        <v>110</v>
      </c>
      <c r="L4416" t="str">
        <f t="shared" si="68"/>
        <v>http://www.badatelna.eu/reprodukce/?fondId=241&amp;zaznamId=1133739&amp;reproId=3885772</v>
      </c>
      <c r="M4416">
        <f>VLOOKUP(F4416,Sheet2!$B$1:$E$19,2,FALSE)</f>
        <v>241</v>
      </c>
      <c r="N4416">
        <f>VLOOKUP(F4416,Sheet2!$B$1:$E$19,3,FALSE)</f>
        <v>1133739</v>
      </c>
      <c r="O4416">
        <f>IF(G4416="Not available","",VLOOKUP(F4416,Sheet2!$B$1:$E$19,4,FALSE)+(G4416-1))</f>
        <v>3885772</v>
      </c>
    </row>
    <row r="4417" spans="1:15" s="1" customFormat="1" ht="15" customHeight="1" x14ac:dyDescent="0.25">
      <c r="A4417" s="18" t="s">
        <v>514</v>
      </c>
      <c r="B4417" s="18" t="s">
        <v>288</v>
      </c>
      <c r="C4417" s="5">
        <v>1859</v>
      </c>
      <c r="D4417" s="4" t="s">
        <v>16</v>
      </c>
      <c r="E4417" s="1" t="s">
        <v>939</v>
      </c>
      <c r="F4417" s="18">
        <v>999</v>
      </c>
      <c r="G4417" s="18">
        <v>14</v>
      </c>
      <c r="H4417" s="5">
        <v>12</v>
      </c>
      <c r="I4417" s="1">
        <v>76</v>
      </c>
      <c r="J4417" s="1">
        <v>110</v>
      </c>
      <c r="L4417" t="str">
        <f t="shared" si="68"/>
        <v>http://www.badatelna.eu/reprodukce/?fondId=241&amp;zaznamId=1133739&amp;reproId=3885743</v>
      </c>
      <c r="M4417">
        <f>VLOOKUP(F4417,Sheet2!$B$1:$E$19,2,FALSE)</f>
        <v>241</v>
      </c>
      <c r="N4417">
        <f>VLOOKUP(F4417,Sheet2!$B$1:$E$19,3,FALSE)</f>
        <v>1133739</v>
      </c>
      <c r="O4417">
        <f>IF(G4417="Not available","",VLOOKUP(F4417,Sheet2!$B$1:$E$19,4,FALSE)+(G4417-1))</f>
        <v>3885743</v>
      </c>
    </row>
    <row r="4418" spans="1:15" s="1" customFormat="1" ht="15" customHeight="1" x14ac:dyDescent="0.25">
      <c r="A4418" s="18" t="s">
        <v>514</v>
      </c>
      <c r="B4418" s="18" t="s">
        <v>542</v>
      </c>
      <c r="C4418" s="5">
        <v>1863</v>
      </c>
      <c r="D4418" s="4" t="s">
        <v>16</v>
      </c>
      <c r="E4418" s="1" t="s">
        <v>939</v>
      </c>
      <c r="F4418" s="18">
        <v>999</v>
      </c>
      <c r="G4418" s="18">
        <v>45</v>
      </c>
      <c r="H4418" s="5">
        <v>43</v>
      </c>
      <c r="I4418" s="1">
        <v>76</v>
      </c>
      <c r="J4418" s="1">
        <v>110</v>
      </c>
      <c r="L4418" t="str">
        <f t="shared" si="68"/>
        <v>http://www.badatelna.eu/reprodukce/?fondId=241&amp;zaznamId=1133739&amp;reproId=3885774</v>
      </c>
      <c r="M4418">
        <f>VLOOKUP(F4418,Sheet2!$B$1:$E$19,2,FALSE)</f>
        <v>241</v>
      </c>
      <c r="N4418">
        <f>VLOOKUP(F4418,Sheet2!$B$1:$E$19,3,FALSE)</f>
        <v>1133739</v>
      </c>
      <c r="O4418">
        <f>IF(G4418="Not available","",VLOOKUP(F4418,Sheet2!$B$1:$E$19,4,FALSE)+(G4418-1))</f>
        <v>3885774</v>
      </c>
    </row>
    <row r="4419" spans="1:15" s="1" customFormat="1" ht="15" customHeight="1" x14ac:dyDescent="0.25">
      <c r="A4419" s="18" t="s">
        <v>514</v>
      </c>
      <c r="B4419" s="18" t="s">
        <v>542</v>
      </c>
      <c r="C4419" s="5">
        <v>1843</v>
      </c>
      <c r="D4419" s="1" t="s">
        <v>21</v>
      </c>
      <c r="E4419" s="1" t="s">
        <v>2</v>
      </c>
      <c r="F4419" s="18">
        <v>2174</v>
      </c>
      <c r="G4419" s="18">
        <v>139</v>
      </c>
      <c r="H4419" s="6" t="s">
        <v>3206</v>
      </c>
      <c r="I4419" s="1">
        <v>202</v>
      </c>
      <c r="J4419" s="1">
        <v>238</v>
      </c>
      <c r="L4419" t="str">
        <f t="shared" ref="L4419:L4482" si="69">IF(G4419="Not available","","http://www.badatelna.eu/reprodukce/?fondId="&amp;M4419&amp;"&amp;zaznamId="&amp;N4419&amp;"&amp;reproId="&amp;O4419)</f>
        <v>http://www.badatelna.eu/reprodukce/?fondId=1073&amp;zaznamId=1108960&amp;reproId=3780363</v>
      </c>
      <c r="M4419">
        <f>VLOOKUP(F4419,Sheet2!$B$1:$E$19,2,FALSE)</f>
        <v>1073</v>
      </c>
      <c r="N4419">
        <f>VLOOKUP(F4419,Sheet2!$B$1:$E$19,3,FALSE)</f>
        <v>1108960</v>
      </c>
      <c r="O4419">
        <f>IF(G4419="Not available","",VLOOKUP(F4419,Sheet2!$B$1:$E$19,4,FALSE)+(G4419-1))</f>
        <v>3780363</v>
      </c>
    </row>
    <row r="4420" spans="1:15" s="1" customFormat="1" ht="15" customHeight="1" x14ac:dyDescent="0.25">
      <c r="A4420" s="18" t="s">
        <v>514</v>
      </c>
      <c r="B4420" s="18" t="s">
        <v>566</v>
      </c>
      <c r="C4420" s="5">
        <v>1829</v>
      </c>
      <c r="D4420" s="4" t="s">
        <v>50</v>
      </c>
      <c r="E4420" s="1" t="s">
        <v>2</v>
      </c>
      <c r="F4420" s="18">
        <v>2173</v>
      </c>
      <c r="G4420" s="18">
        <v>82</v>
      </c>
      <c r="H4420" s="5">
        <v>157</v>
      </c>
      <c r="I4420" s="1">
        <v>117</v>
      </c>
      <c r="J4420" s="1">
        <v>254</v>
      </c>
      <c r="L4420" t="str">
        <f t="shared" si="69"/>
        <v>http://www.badatelna.eu/reprodukce/?fondId=1073&amp;zaznamId=1108959&amp;reproId=3780075</v>
      </c>
      <c r="M4420">
        <f>VLOOKUP(F4420,Sheet2!$B$1:$E$19,2,FALSE)</f>
        <v>1073</v>
      </c>
      <c r="N4420">
        <f>VLOOKUP(F4420,Sheet2!$B$1:$E$19,3,FALSE)</f>
        <v>1108959</v>
      </c>
      <c r="O4420">
        <f>IF(G4420="Not available","",VLOOKUP(F4420,Sheet2!$B$1:$E$19,4,FALSE)+(G4420-1))</f>
        <v>3780075</v>
      </c>
    </row>
    <row r="4421" spans="1:15" s="1" customFormat="1" ht="15" customHeight="1" x14ac:dyDescent="0.25">
      <c r="A4421" s="18" t="s">
        <v>514</v>
      </c>
      <c r="B4421" s="18" t="s">
        <v>1171</v>
      </c>
      <c r="C4421" s="10" t="s">
        <v>2024</v>
      </c>
      <c r="D4421" s="3" t="s">
        <v>2685</v>
      </c>
      <c r="E4421" s="4" t="s">
        <v>2</v>
      </c>
      <c r="F4421" s="18">
        <v>2176</v>
      </c>
      <c r="G4421" s="18" t="s">
        <v>3271</v>
      </c>
      <c r="H4421" s="10" t="s">
        <v>2686</v>
      </c>
      <c r="I4421" s="3">
        <v>41</v>
      </c>
      <c r="J4421" s="3" t="s">
        <v>3271</v>
      </c>
      <c r="K4421" s="3"/>
      <c r="L4421" t="str">
        <f t="shared" si="69"/>
        <v/>
      </c>
      <c r="M4421">
        <f>VLOOKUP(F4421,Sheet2!$B$1:$E$19,2,FALSE)</f>
        <v>1073</v>
      </c>
      <c r="N4421">
        <f>VLOOKUP(F4421,Sheet2!$B$1:$E$19,3,FALSE)</f>
        <v>1108963</v>
      </c>
      <c r="O4421" t="str">
        <f>IF(G4421="Not available","",VLOOKUP(F4421,Sheet2!$B$1:$E$19,4,FALSE)+(G4421-1))</f>
        <v/>
      </c>
    </row>
    <row r="4422" spans="1:15" s="1" customFormat="1" ht="15" customHeight="1" x14ac:dyDescent="0.25">
      <c r="A4422" s="18" t="s">
        <v>514</v>
      </c>
      <c r="B4422" s="18" t="s">
        <v>545</v>
      </c>
      <c r="C4422" s="5">
        <v>1860</v>
      </c>
      <c r="D4422" s="4" t="s">
        <v>2653</v>
      </c>
      <c r="E4422" s="1" t="s">
        <v>939</v>
      </c>
      <c r="F4422" s="18">
        <v>999</v>
      </c>
      <c r="G4422" s="18">
        <v>24</v>
      </c>
      <c r="H4422" s="5">
        <v>22</v>
      </c>
      <c r="I4422" s="1">
        <v>76</v>
      </c>
      <c r="J4422" s="1">
        <v>110</v>
      </c>
      <c r="L4422" t="str">
        <f t="shared" si="69"/>
        <v>http://www.badatelna.eu/reprodukce/?fondId=241&amp;zaznamId=1133739&amp;reproId=3885753</v>
      </c>
      <c r="M4422">
        <f>VLOOKUP(F4422,Sheet2!$B$1:$E$19,2,FALSE)</f>
        <v>241</v>
      </c>
      <c r="N4422">
        <f>VLOOKUP(F4422,Sheet2!$B$1:$E$19,3,FALSE)</f>
        <v>1133739</v>
      </c>
      <c r="O4422">
        <f>IF(G4422="Not available","",VLOOKUP(F4422,Sheet2!$B$1:$E$19,4,FALSE)+(G4422-1))</f>
        <v>3885753</v>
      </c>
    </row>
    <row r="4423" spans="1:15" s="1" customFormat="1" ht="15" customHeight="1" x14ac:dyDescent="0.25">
      <c r="A4423" s="18" t="s">
        <v>514</v>
      </c>
      <c r="B4423" s="18" t="s">
        <v>773</v>
      </c>
      <c r="C4423" s="5">
        <v>1845</v>
      </c>
      <c r="D4423" s="1" t="s">
        <v>495</v>
      </c>
      <c r="E4423" s="1" t="s">
        <v>2</v>
      </c>
      <c r="F4423" s="18">
        <v>2174</v>
      </c>
      <c r="G4423" s="18">
        <v>154</v>
      </c>
      <c r="H4423" s="14" t="s">
        <v>3220</v>
      </c>
      <c r="I4423" s="1">
        <v>202</v>
      </c>
      <c r="J4423" s="1">
        <v>238</v>
      </c>
      <c r="L4423" t="str">
        <f t="shared" si="69"/>
        <v>http://www.badatelna.eu/reprodukce/?fondId=1073&amp;zaznamId=1108960&amp;reproId=3780378</v>
      </c>
      <c r="M4423">
        <f>VLOOKUP(F4423,Sheet2!$B$1:$E$19,2,FALSE)</f>
        <v>1073</v>
      </c>
      <c r="N4423">
        <f>VLOOKUP(F4423,Sheet2!$B$1:$E$19,3,FALSE)</f>
        <v>1108960</v>
      </c>
      <c r="O4423">
        <f>IF(G4423="Not available","",VLOOKUP(F4423,Sheet2!$B$1:$E$19,4,FALSE)+(G4423-1))</f>
        <v>3780378</v>
      </c>
    </row>
    <row r="4424" spans="1:15" s="1" customFormat="1" ht="15" customHeight="1" x14ac:dyDescent="0.25">
      <c r="A4424" s="18" t="s">
        <v>514</v>
      </c>
      <c r="B4424" s="18" t="s">
        <v>1972</v>
      </c>
      <c r="C4424" s="10" t="s">
        <v>2024</v>
      </c>
      <c r="D4424" s="3" t="s">
        <v>2677</v>
      </c>
      <c r="E4424" s="4" t="s">
        <v>2</v>
      </c>
      <c r="F4424" s="18">
        <v>2176</v>
      </c>
      <c r="G4424" s="18" t="s">
        <v>3271</v>
      </c>
      <c r="H4424" s="10" t="s">
        <v>2684</v>
      </c>
      <c r="I4424" s="3">
        <v>41</v>
      </c>
      <c r="J4424" s="3" t="s">
        <v>3271</v>
      </c>
      <c r="K4424" s="3"/>
      <c r="L4424" t="str">
        <f t="shared" si="69"/>
        <v/>
      </c>
      <c r="M4424">
        <f>VLOOKUP(F4424,Sheet2!$B$1:$E$19,2,FALSE)</f>
        <v>1073</v>
      </c>
      <c r="N4424">
        <f>VLOOKUP(F4424,Sheet2!$B$1:$E$19,3,FALSE)</f>
        <v>1108963</v>
      </c>
      <c r="O4424" t="str">
        <f>IF(G4424="Not available","",VLOOKUP(F4424,Sheet2!$B$1:$E$19,4,FALSE)+(G4424-1))</f>
        <v/>
      </c>
    </row>
    <row r="4425" spans="1:15" s="1" customFormat="1" ht="15" customHeight="1" x14ac:dyDescent="0.25">
      <c r="A4425" s="18" t="s">
        <v>2826</v>
      </c>
      <c r="B4425" s="18" t="s">
        <v>569</v>
      </c>
      <c r="C4425" s="5">
        <v>1830</v>
      </c>
      <c r="D4425" s="4" t="s">
        <v>3315</v>
      </c>
      <c r="E4425" s="1" t="s">
        <v>2</v>
      </c>
      <c r="F4425" s="18">
        <v>2173</v>
      </c>
      <c r="G4425" s="18">
        <v>88</v>
      </c>
      <c r="H4425" s="5">
        <v>163</v>
      </c>
      <c r="I4425" s="1">
        <v>117</v>
      </c>
      <c r="J4425" s="1">
        <v>254</v>
      </c>
      <c r="L4425" t="str">
        <f t="shared" si="69"/>
        <v>http://www.badatelna.eu/reprodukce/?fondId=1073&amp;zaznamId=1108959&amp;reproId=3780081</v>
      </c>
      <c r="M4425">
        <f>VLOOKUP(F4425,Sheet2!$B$1:$E$19,2,FALSE)</f>
        <v>1073</v>
      </c>
      <c r="N4425">
        <f>VLOOKUP(F4425,Sheet2!$B$1:$E$19,3,FALSE)</f>
        <v>1108959</v>
      </c>
      <c r="O4425">
        <f>IF(G4425="Not available","",VLOOKUP(F4425,Sheet2!$B$1:$E$19,4,FALSE)+(G4425-1))</f>
        <v>3780081</v>
      </c>
    </row>
    <row r="4426" spans="1:15" s="1" customFormat="1" ht="15" customHeight="1" x14ac:dyDescent="0.25">
      <c r="A4426" s="18" t="s">
        <v>1125</v>
      </c>
      <c r="B4426" s="18" t="s">
        <v>1278</v>
      </c>
      <c r="C4426" s="10" t="s">
        <v>2100</v>
      </c>
      <c r="D4426" s="3" t="s">
        <v>2723</v>
      </c>
      <c r="E4426" s="4" t="s">
        <v>2</v>
      </c>
      <c r="F4426" s="18">
        <v>2176</v>
      </c>
      <c r="G4426" s="18" t="s">
        <v>3271</v>
      </c>
      <c r="H4426" s="10" t="s">
        <v>2285</v>
      </c>
      <c r="I4426" s="3">
        <v>42</v>
      </c>
      <c r="J4426" s="3" t="s">
        <v>3271</v>
      </c>
      <c r="K4426" s="3"/>
      <c r="L4426" t="str">
        <f t="shared" si="69"/>
        <v/>
      </c>
      <c r="M4426">
        <f>VLOOKUP(F4426,Sheet2!$B$1:$E$19,2,FALSE)</f>
        <v>1073</v>
      </c>
      <c r="N4426">
        <f>VLOOKUP(F4426,Sheet2!$B$1:$E$19,3,FALSE)</f>
        <v>1108963</v>
      </c>
      <c r="O4426" t="str">
        <f>IF(G4426="Not available","",VLOOKUP(F4426,Sheet2!$B$1:$E$19,4,FALSE)+(G4426-1))</f>
        <v/>
      </c>
    </row>
    <row r="4427" spans="1:15" s="1" customFormat="1" ht="15" customHeight="1" x14ac:dyDescent="0.25">
      <c r="A4427" s="18" t="s">
        <v>1125</v>
      </c>
      <c r="B4427" s="18" t="s">
        <v>1278</v>
      </c>
      <c r="C4427" s="6" t="s">
        <v>2100</v>
      </c>
      <c r="D4427" s="4" t="s">
        <v>99</v>
      </c>
      <c r="E4427" s="1" t="s">
        <v>2</v>
      </c>
      <c r="F4427" s="18">
        <v>2165</v>
      </c>
      <c r="G4427" s="18">
        <v>310</v>
      </c>
      <c r="H4427" s="5">
        <v>3</v>
      </c>
      <c r="I4427" s="1">
        <v>311</v>
      </c>
      <c r="J4427" s="1">
        <v>284</v>
      </c>
      <c r="L4427" t="str">
        <f t="shared" si="69"/>
        <v>http://www.badatelna.eu/reprodukce/?fondId=1073&amp;zaznamId=1108952&amp;reproId=3779171</v>
      </c>
      <c r="M4427">
        <f>VLOOKUP(F4427,Sheet2!$B$1:$E$19,2,FALSE)</f>
        <v>1073</v>
      </c>
      <c r="N4427">
        <f>VLOOKUP(F4427,Sheet2!$B$1:$E$19,3,FALSE)</f>
        <v>1108952</v>
      </c>
      <c r="O4427">
        <f>IF(G4427="Not available","",VLOOKUP(F4427,Sheet2!$B$1:$E$19,4,FALSE)+(G4427-1))</f>
        <v>3779171</v>
      </c>
    </row>
    <row r="4428" spans="1:15" s="1" customFormat="1" ht="15" customHeight="1" x14ac:dyDescent="0.25">
      <c r="A4428" s="18" t="s">
        <v>1125</v>
      </c>
      <c r="B4428" s="18" t="s">
        <v>1223</v>
      </c>
      <c r="C4428" s="10" t="s">
        <v>2102</v>
      </c>
      <c r="D4428" s="3" t="s">
        <v>2724</v>
      </c>
      <c r="E4428" s="4" t="s">
        <v>2</v>
      </c>
      <c r="F4428" s="18">
        <v>2176</v>
      </c>
      <c r="G4428" s="18" t="s">
        <v>3271</v>
      </c>
      <c r="H4428" s="10" t="s">
        <v>2075</v>
      </c>
      <c r="I4428" s="3">
        <v>42</v>
      </c>
      <c r="J4428" s="3" t="s">
        <v>3271</v>
      </c>
      <c r="K4428" s="3"/>
      <c r="L4428" t="str">
        <f t="shared" si="69"/>
        <v/>
      </c>
      <c r="M4428">
        <f>VLOOKUP(F4428,Sheet2!$B$1:$E$19,2,FALSE)</f>
        <v>1073</v>
      </c>
      <c r="N4428">
        <f>VLOOKUP(F4428,Sheet2!$B$1:$E$19,3,FALSE)</f>
        <v>1108963</v>
      </c>
      <c r="O4428" t="str">
        <f>IF(G4428="Not available","",VLOOKUP(F4428,Sheet2!$B$1:$E$19,4,FALSE)+(G4428-1))</f>
        <v/>
      </c>
    </row>
    <row r="4429" spans="1:15" s="1" customFormat="1" ht="15" customHeight="1" x14ac:dyDescent="0.25">
      <c r="A4429" s="18" t="s">
        <v>974</v>
      </c>
      <c r="B4429" s="18" t="s">
        <v>632</v>
      </c>
      <c r="C4429" s="5" t="s">
        <v>1647</v>
      </c>
      <c r="D4429" s="1" t="s">
        <v>24</v>
      </c>
      <c r="E4429" s="1" t="s">
        <v>2</v>
      </c>
      <c r="F4429" s="18">
        <v>2165</v>
      </c>
      <c r="G4429" s="18">
        <v>55</v>
      </c>
      <c r="H4429" s="5">
        <v>52</v>
      </c>
      <c r="I4429" s="1">
        <v>93</v>
      </c>
      <c r="J4429" s="1" t="s">
        <v>3271</v>
      </c>
      <c r="L4429" t="str">
        <f t="shared" si="69"/>
        <v>http://www.badatelna.eu/reprodukce/?fondId=1073&amp;zaznamId=1108952&amp;reproId=3778916</v>
      </c>
      <c r="M4429">
        <f>VLOOKUP(F4429,Sheet2!$B$1:$E$19,2,FALSE)</f>
        <v>1073</v>
      </c>
      <c r="N4429">
        <f>VLOOKUP(F4429,Sheet2!$B$1:$E$19,3,FALSE)</f>
        <v>1108952</v>
      </c>
      <c r="O4429">
        <f>IF(G4429="Not available","",VLOOKUP(F4429,Sheet2!$B$1:$E$19,4,FALSE)+(G4429-1))</f>
        <v>3778916</v>
      </c>
    </row>
    <row r="4430" spans="1:15" s="1" customFormat="1" ht="15" customHeight="1" x14ac:dyDescent="0.25">
      <c r="A4430" s="18" t="s">
        <v>974</v>
      </c>
      <c r="B4430" s="18" t="s">
        <v>2189</v>
      </c>
      <c r="C4430" s="10" t="s">
        <v>2025</v>
      </c>
      <c r="D4430" s="3" t="s">
        <v>2678</v>
      </c>
      <c r="E4430" s="4" t="s">
        <v>2</v>
      </c>
      <c r="F4430" s="18">
        <v>2176</v>
      </c>
      <c r="G4430" s="18" t="s">
        <v>3271</v>
      </c>
      <c r="H4430" s="10" t="s">
        <v>2088</v>
      </c>
      <c r="I4430" s="3">
        <v>41</v>
      </c>
      <c r="J4430" s="3" t="s">
        <v>3271</v>
      </c>
      <c r="K4430" s="3"/>
      <c r="L4430" t="str">
        <f t="shared" si="69"/>
        <v/>
      </c>
      <c r="M4430">
        <f>VLOOKUP(F4430,Sheet2!$B$1:$E$19,2,FALSE)</f>
        <v>1073</v>
      </c>
      <c r="N4430">
        <f>VLOOKUP(F4430,Sheet2!$B$1:$E$19,3,FALSE)</f>
        <v>1108963</v>
      </c>
      <c r="O4430" t="str">
        <f>IF(G4430="Not available","",VLOOKUP(F4430,Sheet2!$B$1:$E$19,4,FALSE)+(G4430-1))</f>
        <v/>
      </c>
    </row>
    <row r="4431" spans="1:15" s="1" customFormat="1" ht="15" customHeight="1" x14ac:dyDescent="0.25">
      <c r="A4431" s="18" t="s">
        <v>974</v>
      </c>
      <c r="B4431" s="18" t="s">
        <v>439</v>
      </c>
      <c r="C4431" s="5" t="s">
        <v>1618</v>
      </c>
      <c r="D4431" s="1" t="s">
        <v>24</v>
      </c>
      <c r="E4431" s="1" t="s">
        <v>2</v>
      </c>
      <c r="F4431" s="18">
        <v>2165</v>
      </c>
      <c r="G4431" s="18">
        <v>27</v>
      </c>
      <c r="H4431" s="5">
        <v>24</v>
      </c>
      <c r="I4431" s="1">
        <v>92</v>
      </c>
      <c r="J4431" s="1" t="s">
        <v>3271</v>
      </c>
      <c r="L4431" t="str">
        <f t="shared" si="69"/>
        <v>http://www.badatelna.eu/reprodukce/?fondId=1073&amp;zaznamId=1108952&amp;reproId=3778888</v>
      </c>
      <c r="M4431">
        <f>VLOOKUP(F4431,Sheet2!$B$1:$E$19,2,FALSE)</f>
        <v>1073</v>
      </c>
      <c r="N4431">
        <f>VLOOKUP(F4431,Sheet2!$B$1:$E$19,3,FALSE)</f>
        <v>1108952</v>
      </c>
      <c r="O4431">
        <f>IF(G4431="Not available","",VLOOKUP(F4431,Sheet2!$B$1:$E$19,4,FALSE)+(G4431-1))</f>
        <v>3778888</v>
      </c>
    </row>
    <row r="4432" spans="1:15" s="1" customFormat="1" ht="15" customHeight="1" x14ac:dyDescent="0.25">
      <c r="A4432" s="18" t="s">
        <v>974</v>
      </c>
      <c r="B4432" s="18" t="s">
        <v>774</v>
      </c>
      <c r="C4432" s="5" t="s">
        <v>1655</v>
      </c>
      <c r="D4432" s="1" t="s">
        <v>24</v>
      </c>
      <c r="E4432" s="1" t="s">
        <v>2</v>
      </c>
      <c r="F4432" s="18">
        <v>2165</v>
      </c>
      <c r="G4432" s="18">
        <v>65</v>
      </c>
      <c r="H4432" s="5">
        <v>62</v>
      </c>
      <c r="I4432" s="1">
        <v>93</v>
      </c>
      <c r="J4432" s="1" t="s">
        <v>3271</v>
      </c>
      <c r="L4432" t="str">
        <f t="shared" si="69"/>
        <v>http://www.badatelna.eu/reprodukce/?fondId=1073&amp;zaznamId=1108952&amp;reproId=3778926</v>
      </c>
      <c r="M4432">
        <f>VLOOKUP(F4432,Sheet2!$B$1:$E$19,2,FALSE)</f>
        <v>1073</v>
      </c>
      <c r="N4432">
        <f>VLOOKUP(F4432,Sheet2!$B$1:$E$19,3,FALSE)</f>
        <v>1108952</v>
      </c>
      <c r="O4432">
        <f>IF(G4432="Not available","",VLOOKUP(F4432,Sheet2!$B$1:$E$19,4,FALSE)+(G4432-1))</f>
        <v>3778926</v>
      </c>
    </row>
    <row r="4433" spans="1:15" s="1" customFormat="1" ht="15" customHeight="1" x14ac:dyDescent="0.25">
      <c r="A4433" s="18" t="s">
        <v>974</v>
      </c>
      <c r="B4433" s="18" t="s">
        <v>436</v>
      </c>
      <c r="C4433" s="5">
        <v>1864</v>
      </c>
      <c r="E4433" s="1" t="s">
        <v>939</v>
      </c>
      <c r="F4433" s="18">
        <v>999</v>
      </c>
      <c r="G4433" s="18">
        <v>46</v>
      </c>
      <c r="H4433" s="5">
        <v>44</v>
      </c>
      <c r="I4433" s="1">
        <v>76</v>
      </c>
      <c r="J4433" s="1">
        <v>110</v>
      </c>
      <c r="L4433" t="str">
        <f t="shared" si="69"/>
        <v>http://www.badatelna.eu/reprodukce/?fondId=241&amp;zaznamId=1133739&amp;reproId=3885775</v>
      </c>
      <c r="M4433">
        <f>VLOOKUP(F4433,Sheet2!$B$1:$E$19,2,FALSE)</f>
        <v>241</v>
      </c>
      <c r="N4433">
        <f>VLOOKUP(F4433,Sheet2!$B$1:$E$19,3,FALSE)</f>
        <v>1133739</v>
      </c>
      <c r="O4433">
        <f>IF(G4433="Not available","",VLOOKUP(F4433,Sheet2!$B$1:$E$19,4,FALSE)+(G4433-1))</f>
        <v>3885775</v>
      </c>
    </row>
    <row r="4434" spans="1:15" s="1" customFormat="1" ht="15" customHeight="1" x14ac:dyDescent="0.25">
      <c r="A4434" s="18" t="s">
        <v>974</v>
      </c>
      <c r="B4434" s="18" t="s">
        <v>129</v>
      </c>
      <c r="C4434" s="5" t="s">
        <v>1632</v>
      </c>
      <c r="D4434" s="1" t="s">
        <v>24</v>
      </c>
      <c r="E4434" s="1" t="s">
        <v>2</v>
      </c>
      <c r="F4434" s="18">
        <v>2165</v>
      </c>
      <c r="G4434" s="18">
        <v>43</v>
      </c>
      <c r="H4434" s="5">
        <v>40</v>
      </c>
      <c r="I4434" s="1">
        <v>93</v>
      </c>
      <c r="J4434" s="1" t="s">
        <v>3271</v>
      </c>
      <c r="L4434" t="str">
        <f t="shared" si="69"/>
        <v>http://www.badatelna.eu/reprodukce/?fondId=1073&amp;zaznamId=1108952&amp;reproId=3778904</v>
      </c>
      <c r="M4434">
        <f>VLOOKUP(F4434,Sheet2!$B$1:$E$19,2,FALSE)</f>
        <v>1073</v>
      </c>
      <c r="N4434">
        <f>VLOOKUP(F4434,Sheet2!$B$1:$E$19,3,FALSE)</f>
        <v>1108952</v>
      </c>
      <c r="O4434">
        <f>IF(G4434="Not available","",VLOOKUP(F4434,Sheet2!$B$1:$E$19,4,FALSE)+(G4434-1))</f>
        <v>3778904</v>
      </c>
    </row>
    <row r="4435" spans="1:15" s="1" customFormat="1" ht="15" customHeight="1" x14ac:dyDescent="0.25">
      <c r="A4435" s="18" t="s">
        <v>974</v>
      </c>
      <c r="B4435" s="18" t="s">
        <v>809</v>
      </c>
      <c r="C4435" s="10" t="s">
        <v>1969</v>
      </c>
      <c r="D4435" s="3" t="s">
        <v>2649</v>
      </c>
      <c r="E4435" s="4" t="s">
        <v>2</v>
      </c>
      <c r="F4435" s="18">
        <v>2176</v>
      </c>
      <c r="G4435" s="18" t="s">
        <v>3271</v>
      </c>
      <c r="H4435" s="10" t="s">
        <v>1955</v>
      </c>
      <c r="I4435" s="3">
        <v>40</v>
      </c>
      <c r="J4435" s="3" t="s">
        <v>3271</v>
      </c>
      <c r="L4435" t="str">
        <f t="shared" si="69"/>
        <v/>
      </c>
      <c r="M4435">
        <f>VLOOKUP(F4435,Sheet2!$B$1:$E$19,2,FALSE)</f>
        <v>1073</v>
      </c>
      <c r="N4435">
        <f>VLOOKUP(F4435,Sheet2!$B$1:$E$19,3,FALSE)</f>
        <v>1108963</v>
      </c>
      <c r="O4435" t="str">
        <f>IF(G4435="Not available","",VLOOKUP(F4435,Sheet2!$B$1:$E$19,4,FALSE)+(G4435-1))</f>
        <v/>
      </c>
    </row>
    <row r="4436" spans="1:15" s="1" customFormat="1" ht="15" customHeight="1" x14ac:dyDescent="0.25">
      <c r="A4436" s="18" t="s">
        <v>974</v>
      </c>
      <c r="B4436" s="18" t="s">
        <v>924</v>
      </c>
      <c r="C4436" s="5">
        <v>1866</v>
      </c>
      <c r="E4436" s="1" t="s">
        <v>939</v>
      </c>
      <c r="F4436" s="18">
        <v>999</v>
      </c>
      <c r="G4436" s="18">
        <v>60</v>
      </c>
      <c r="H4436" s="5">
        <v>58</v>
      </c>
      <c r="I4436" s="1">
        <v>77</v>
      </c>
      <c r="J4436" s="1">
        <v>112</v>
      </c>
      <c r="L4436" t="str">
        <f t="shared" si="69"/>
        <v>http://www.badatelna.eu/reprodukce/?fondId=241&amp;zaznamId=1133739&amp;reproId=3885789</v>
      </c>
      <c r="M4436">
        <f>VLOOKUP(F4436,Sheet2!$B$1:$E$19,2,FALSE)</f>
        <v>241</v>
      </c>
      <c r="N4436">
        <f>VLOOKUP(F4436,Sheet2!$B$1:$E$19,3,FALSE)</f>
        <v>1133739</v>
      </c>
      <c r="O4436">
        <f>IF(G4436="Not available","",VLOOKUP(F4436,Sheet2!$B$1:$E$19,4,FALSE)+(G4436-1))</f>
        <v>3885789</v>
      </c>
    </row>
    <row r="4437" spans="1:15" s="1" customFormat="1" ht="15" customHeight="1" x14ac:dyDescent="0.25">
      <c r="A4437" s="18" t="s">
        <v>974</v>
      </c>
      <c r="B4437" s="18" t="s">
        <v>924</v>
      </c>
      <c r="C4437" s="5" t="s">
        <v>1609</v>
      </c>
      <c r="D4437" s="1" t="s">
        <v>24</v>
      </c>
      <c r="E4437" s="1" t="s">
        <v>2</v>
      </c>
      <c r="F4437" s="18">
        <v>2165</v>
      </c>
      <c r="G4437" s="18">
        <v>15</v>
      </c>
      <c r="H4437" s="5">
        <v>12</v>
      </c>
      <c r="I4437" s="1">
        <v>92</v>
      </c>
      <c r="J4437" s="1" t="s">
        <v>3271</v>
      </c>
      <c r="L4437" t="str">
        <f t="shared" si="69"/>
        <v>http://www.badatelna.eu/reprodukce/?fondId=1073&amp;zaznamId=1108952&amp;reproId=3778876</v>
      </c>
      <c r="M4437">
        <f>VLOOKUP(F4437,Sheet2!$B$1:$E$19,2,FALSE)</f>
        <v>1073</v>
      </c>
      <c r="N4437">
        <f>VLOOKUP(F4437,Sheet2!$B$1:$E$19,3,FALSE)</f>
        <v>1108952</v>
      </c>
      <c r="O4437">
        <f>IF(G4437="Not available","",VLOOKUP(F4437,Sheet2!$B$1:$E$19,4,FALSE)+(G4437-1))</f>
        <v>3778876</v>
      </c>
    </row>
    <row r="4438" spans="1:15" s="1" customFormat="1" ht="15" customHeight="1" x14ac:dyDescent="0.25">
      <c r="A4438" s="18" t="s">
        <v>756</v>
      </c>
      <c r="B4438" s="18" t="s">
        <v>99</v>
      </c>
      <c r="C4438" s="5">
        <v>1837</v>
      </c>
      <c r="D4438" s="1" t="s">
        <v>760</v>
      </c>
      <c r="E4438" s="1" t="s">
        <v>2</v>
      </c>
      <c r="F4438" s="18">
        <v>2174</v>
      </c>
      <c r="G4438" s="18">
        <v>90</v>
      </c>
      <c r="H4438" s="6" t="s">
        <v>3156</v>
      </c>
      <c r="I4438" s="1">
        <v>202</v>
      </c>
      <c r="J4438" s="1">
        <v>237</v>
      </c>
      <c r="L4438" t="str">
        <f t="shared" si="69"/>
        <v>http://www.badatelna.eu/reprodukce/?fondId=1073&amp;zaznamId=1108960&amp;reproId=3780314</v>
      </c>
      <c r="M4438">
        <f>VLOOKUP(F4438,Sheet2!$B$1:$E$19,2,FALSE)</f>
        <v>1073</v>
      </c>
      <c r="N4438">
        <f>VLOOKUP(F4438,Sheet2!$B$1:$E$19,3,FALSE)</f>
        <v>1108960</v>
      </c>
      <c r="O4438">
        <f>IF(G4438="Not available","",VLOOKUP(F4438,Sheet2!$B$1:$E$19,4,FALSE)+(G4438-1))</f>
        <v>3780314</v>
      </c>
    </row>
    <row r="4439" spans="1:15" s="1" customFormat="1" ht="15" customHeight="1" x14ac:dyDescent="0.25">
      <c r="A4439" s="18" t="s">
        <v>756</v>
      </c>
      <c r="B4439" s="18" t="s">
        <v>700</v>
      </c>
      <c r="C4439" s="5">
        <v>1843</v>
      </c>
      <c r="D4439" s="1" t="s">
        <v>767</v>
      </c>
      <c r="E4439" s="1" t="s">
        <v>2</v>
      </c>
      <c r="F4439" s="18">
        <v>2174</v>
      </c>
      <c r="G4439" s="18">
        <v>132</v>
      </c>
      <c r="H4439" s="6" t="s">
        <v>3200</v>
      </c>
      <c r="I4439" s="1">
        <v>202</v>
      </c>
      <c r="J4439" s="1">
        <v>238</v>
      </c>
      <c r="L4439" t="str">
        <f t="shared" si="69"/>
        <v>http://www.badatelna.eu/reprodukce/?fondId=1073&amp;zaznamId=1108960&amp;reproId=3780356</v>
      </c>
      <c r="M4439">
        <f>VLOOKUP(F4439,Sheet2!$B$1:$E$19,2,FALSE)</f>
        <v>1073</v>
      </c>
      <c r="N4439">
        <f>VLOOKUP(F4439,Sheet2!$B$1:$E$19,3,FALSE)</f>
        <v>1108960</v>
      </c>
      <c r="O4439">
        <f>IF(G4439="Not available","",VLOOKUP(F4439,Sheet2!$B$1:$E$19,4,FALSE)+(G4439-1))</f>
        <v>3780356</v>
      </c>
    </row>
    <row r="4440" spans="1:15" s="1" customFormat="1" ht="15" customHeight="1" x14ac:dyDescent="0.25">
      <c r="A4440" s="18" t="s">
        <v>756</v>
      </c>
      <c r="B4440" s="18" t="s">
        <v>22</v>
      </c>
      <c r="C4440" s="5">
        <v>1833</v>
      </c>
      <c r="D4440" s="12" t="s">
        <v>3248</v>
      </c>
      <c r="E4440" s="1" t="s">
        <v>2</v>
      </c>
      <c r="F4440" s="18">
        <v>2174</v>
      </c>
      <c r="G4440" s="18">
        <v>74</v>
      </c>
      <c r="H4440" s="14" t="s">
        <v>3136</v>
      </c>
      <c r="I4440" s="1">
        <v>201</v>
      </c>
      <c r="J4440" s="1">
        <v>236</v>
      </c>
      <c r="L4440" t="str">
        <f t="shared" si="69"/>
        <v>http://www.badatelna.eu/reprodukce/?fondId=1073&amp;zaznamId=1108960&amp;reproId=3780298</v>
      </c>
      <c r="M4440">
        <f>VLOOKUP(F4440,Sheet2!$B$1:$E$19,2,FALSE)</f>
        <v>1073</v>
      </c>
      <c r="N4440">
        <f>VLOOKUP(F4440,Sheet2!$B$1:$E$19,3,FALSE)</f>
        <v>1108960</v>
      </c>
      <c r="O4440">
        <f>IF(G4440="Not available","",VLOOKUP(F4440,Sheet2!$B$1:$E$19,4,FALSE)+(G4440-1))</f>
        <v>3780298</v>
      </c>
    </row>
    <row r="4441" spans="1:15" s="1" customFormat="1" ht="15" customHeight="1" x14ac:dyDescent="0.25">
      <c r="A4441" s="18" t="s">
        <v>1203</v>
      </c>
      <c r="B4441" s="18" t="s">
        <v>1008</v>
      </c>
      <c r="C4441" s="5" t="s">
        <v>1761</v>
      </c>
      <c r="D4441" s="1" t="s">
        <v>545</v>
      </c>
      <c r="E4441" s="1" t="s">
        <v>2</v>
      </c>
      <c r="F4441" s="18">
        <v>2165</v>
      </c>
      <c r="G4441" s="18">
        <v>228</v>
      </c>
      <c r="H4441" s="5">
        <v>1</v>
      </c>
      <c r="I4441" s="1">
        <v>232</v>
      </c>
      <c r="J4441" s="1">
        <v>208</v>
      </c>
      <c r="L4441" t="str">
        <f t="shared" si="69"/>
        <v>http://www.badatelna.eu/reprodukce/?fondId=1073&amp;zaznamId=1108952&amp;reproId=3779089</v>
      </c>
      <c r="M4441">
        <f>VLOOKUP(F4441,Sheet2!$B$1:$E$19,2,FALSE)</f>
        <v>1073</v>
      </c>
      <c r="N4441">
        <f>VLOOKUP(F4441,Sheet2!$B$1:$E$19,3,FALSE)</f>
        <v>1108952</v>
      </c>
      <c r="O4441">
        <f>IF(G4441="Not available","",VLOOKUP(F4441,Sheet2!$B$1:$E$19,4,FALSE)+(G4441-1))</f>
        <v>3779089</v>
      </c>
    </row>
    <row r="4442" spans="1:15" s="1" customFormat="1" ht="15" customHeight="1" x14ac:dyDescent="0.25">
      <c r="A4442" s="18" t="s">
        <v>1203</v>
      </c>
      <c r="B4442" s="18" t="s">
        <v>2703</v>
      </c>
      <c r="C4442" s="10" t="s">
        <v>2072</v>
      </c>
      <c r="D4442" s="3" t="s">
        <v>2704</v>
      </c>
      <c r="E4442" s="4" t="s">
        <v>2</v>
      </c>
      <c r="F4442" s="18">
        <v>2176</v>
      </c>
      <c r="G4442" s="18" t="s">
        <v>3271</v>
      </c>
      <c r="H4442" s="10" t="s">
        <v>1954</v>
      </c>
      <c r="I4442" s="3">
        <v>41</v>
      </c>
      <c r="J4442" s="3" t="s">
        <v>3271</v>
      </c>
      <c r="K4442" s="3"/>
      <c r="L4442" t="str">
        <f t="shared" si="69"/>
        <v/>
      </c>
      <c r="M4442">
        <f>VLOOKUP(F4442,Sheet2!$B$1:$E$19,2,FALSE)</f>
        <v>1073</v>
      </c>
      <c r="N4442">
        <f>VLOOKUP(F4442,Sheet2!$B$1:$E$19,3,FALSE)</f>
        <v>1108963</v>
      </c>
      <c r="O4442" t="str">
        <f>IF(G4442="Not available","",VLOOKUP(F4442,Sheet2!$B$1:$E$19,4,FALSE)+(G4442-1))</f>
        <v/>
      </c>
    </row>
    <row r="4443" spans="1:15" s="1" customFormat="1" ht="15" customHeight="1" x14ac:dyDescent="0.25">
      <c r="A4443" s="18" t="s">
        <v>1203</v>
      </c>
      <c r="B4443" s="18" t="s">
        <v>1152</v>
      </c>
      <c r="C4443" s="10" t="s">
        <v>2092</v>
      </c>
      <c r="D4443" s="3" t="s">
        <v>2715</v>
      </c>
      <c r="E4443" s="4" t="s">
        <v>2</v>
      </c>
      <c r="F4443" s="18">
        <v>2176</v>
      </c>
      <c r="G4443" s="18" t="s">
        <v>3271</v>
      </c>
      <c r="H4443" s="10" t="s">
        <v>2088</v>
      </c>
      <c r="I4443" s="3">
        <v>42</v>
      </c>
      <c r="J4443" s="3" t="s">
        <v>3271</v>
      </c>
      <c r="K4443" s="3"/>
      <c r="L4443" t="str">
        <f t="shared" si="69"/>
        <v/>
      </c>
      <c r="M4443">
        <f>VLOOKUP(F4443,Sheet2!$B$1:$E$19,2,FALSE)</f>
        <v>1073</v>
      </c>
      <c r="N4443">
        <f>VLOOKUP(F4443,Sheet2!$B$1:$E$19,3,FALSE)</f>
        <v>1108963</v>
      </c>
      <c r="O4443" t="str">
        <f>IF(G4443="Not available","",VLOOKUP(F4443,Sheet2!$B$1:$E$19,4,FALSE)+(G4443-1))</f>
        <v/>
      </c>
    </row>
    <row r="4444" spans="1:15" s="1" customFormat="1" ht="15" customHeight="1" x14ac:dyDescent="0.25">
      <c r="A4444" s="18" t="s">
        <v>1203</v>
      </c>
      <c r="B4444" s="18" t="s">
        <v>1152</v>
      </c>
      <c r="C4444" s="5" t="s">
        <v>1902</v>
      </c>
      <c r="D4444" s="1" t="s">
        <v>545</v>
      </c>
      <c r="E4444" s="1" t="s">
        <v>2</v>
      </c>
      <c r="F4444" s="18">
        <v>2165</v>
      </c>
      <c r="G4444" s="18">
        <v>269</v>
      </c>
      <c r="H4444" s="5">
        <v>1</v>
      </c>
      <c r="I4444" s="1">
        <v>273</v>
      </c>
      <c r="J4444" s="1">
        <v>247</v>
      </c>
      <c r="L4444" t="str">
        <f t="shared" si="69"/>
        <v>http://www.badatelna.eu/reprodukce/?fondId=1073&amp;zaznamId=1108952&amp;reproId=3779130</v>
      </c>
      <c r="M4444">
        <f>VLOOKUP(F4444,Sheet2!$B$1:$E$19,2,FALSE)</f>
        <v>1073</v>
      </c>
      <c r="N4444">
        <f>VLOOKUP(F4444,Sheet2!$B$1:$E$19,3,FALSE)</f>
        <v>1108952</v>
      </c>
      <c r="O4444">
        <f>IF(G4444="Not available","",VLOOKUP(F4444,Sheet2!$B$1:$E$19,4,FALSE)+(G4444-1))</f>
        <v>3779130</v>
      </c>
    </row>
    <row r="4445" spans="1:15" s="1" customFormat="1" ht="15" customHeight="1" x14ac:dyDescent="0.25">
      <c r="A4445" s="18" t="s">
        <v>1203</v>
      </c>
      <c r="B4445" s="18" t="s">
        <v>2027</v>
      </c>
      <c r="C4445" s="10" t="s">
        <v>1952</v>
      </c>
      <c r="D4445" s="3" t="s">
        <v>2715</v>
      </c>
      <c r="E4445" s="4" t="s">
        <v>2</v>
      </c>
      <c r="F4445" s="18">
        <v>2176</v>
      </c>
      <c r="G4445" s="18" t="s">
        <v>3271</v>
      </c>
      <c r="H4445" s="10" t="s">
        <v>1976</v>
      </c>
      <c r="I4445" s="3">
        <v>42</v>
      </c>
      <c r="J4445" s="3" t="s">
        <v>3271</v>
      </c>
      <c r="K4445" s="3"/>
      <c r="L4445" t="str">
        <f t="shared" si="69"/>
        <v/>
      </c>
      <c r="M4445">
        <f>VLOOKUP(F4445,Sheet2!$B$1:$E$19,2,FALSE)</f>
        <v>1073</v>
      </c>
      <c r="N4445">
        <f>VLOOKUP(F4445,Sheet2!$B$1:$E$19,3,FALSE)</f>
        <v>1108963</v>
      </c>
      <c r="O4445" t="str">
        <f>IF(G4445="Not available","",VLOOKUP(F4445,Sheet2!$B$1:$E$19,4,FALSE)+(G4445-1))</f>
        <v/>
      </c>
    </row>
    <row r="4446" spans="1:15" s="1" customFormat="1" ht="15" customHeight="1" x14ac:dyDescent="0.25">
      <c r="A4446" s="18" t="s">
        <v>1203</v>
      </c>
      <c r="B4446" s="18" t="s">
        <v>847</v>
      </c>
      <c r="C4446" s="5" t="s">
        <v>1856</v>
      </c>
      <c r="D4446" s="1" t="s">
        <v>545</v>
      </c>
      <c r="E4446" s="1" t="s">
        <v>2</v>
      </c>
      <c r="F4446" s="18">
        <v>2165</v>
      </c>
      <c r="G4446" s="18">
        <v>255</v>
      </c>
      <c r="H4446" s="5">
        <v>2</v>
      </c>
      <c r="I4446" s="1">
        <v>253</v>
      </c>
      <c r="J4446" s="1">
        <v>229</v>
      </c>
      <c r="L4446" t="str">
        <f t="shared" si="69"/>
        <v>http://www.badatelna.eu/reprodukce/?fondId=1073&amp;zaznamId=1108952&amp;reproId=3779116</v>
      </c>
      <c r="M4446">
        <f>VLOOKUP(F4446,Sheet2!$B$1:$E$19,2,FALSE)</f>
        <v>1073</v>
      </c>
      <c r="N4446">
        <f>VLOOKUP(F4446,Sheet2!$B$1:$E$19,3,FALSE)</f>
        <v>1108952</v>
      </c>
      <c r="O4446">
        <f>IF(G4446="Not available","",VLOOKUP(F4446,Sheet2!$B$1:$E$19,4,FALSE)+(G4446-1))</f>
        <v>3779116</v>
      </c>
    </row>
    <row r="4447" spans="1:15" s="1" customFormat="1" ht="15" customHeight="1" x14ac:dyDescent="0.25">
      <c r="A4447" s="18" t="s">
        <v>1203</v>
      </c>
      <c r="B4447" s="18" t="s">
        <v>1055</v>
      </c>
      <c r="C4447" s="10" t="s">
        <v>2095</v>
      </c>
      <c r="D4447" s="3" t="s">
        <v>2715</v>
      </c>
      <c r="E4447" s="4" t="s">
        <v>2</v>
      </c>
      <c r="F4447" s="18">
        <v>2176</v>
      </c>
      <c r="G4447" s="18" t="s">
        <v>3271</v>
      </c>
      <c r="H4447" s="10" t="s">
        <v>1979</v>
      </c>
      <c r="I4447" s="3">
        <v>42</v>
      </c>
      <c r="J4447" s="3" t="s">
        <v>3271</v>
      </c>
      <c r="K4447" s="3"/>
      <c r="L4447" t="str">
        <f t="shared" si="69"/>
        <v/>
      </c>
      <c r="M4447">
        <f>VLOOKUP(F4447,Sheet2!$B$1:$E$19,2,FALSE)</f>
        <v>1073</v>
      </c>
      <c r="N4447">
        <f>VLOOKUP(F4447,Sheet2!$B$1:$E$19,3,FALSE)</f>
        <v>1108963</v>
      </c>
      <c r="O4447" t="str">
        <f>IF(G4447="Not available","",VLOOKUP(F4447,Sheet2!$B$1:$E$19,4,FALSE)+(G4447-1))</f>
        <v/>
      </c>
    </row>
    <row r="4448" spans="1:15" s="1" customFormat="1" ht="15" customHeight="1" x14ac:dyDescent="0.25">
      <c r="A4448" s="18" t="s">
        <v>1203</v>
      </c>
      <c r="B4448" s="18" t="s">
        <v>1055</v>
      </c>
      <c r="C4448" s="14" t="s">
        <v>2095</v>
      </c>
      <c r="D4448" s="1" t="s">
        <v>545</v>
      </c>
      <c r="E4448" s="1" t="s">
        <v>2</v>
      </c>
      <c r="F4448" s="18">
        <v>2165</v>
      </c>
      <c r="G4448" s="18">
        <v>290</v>
      </c>
      <c r="H4448" s="5">
        <v>3</v>
      </c>
      <c r="I4448" s="1">
        <v>287</v>
      </c>
      <c r="J4448" s="1">
        <v>261</v>
      </c>
      <c r="L4448" t="str">
        <f t="shared" si="69"/>
        <v>http://www.badatelna.eu/reprodukce/?fondId=1073&amp;zaznamId=1108952&amp;reproId=3779151</v>
      </c>
      <c r="M4448">
        <f>VLOOKUP(F4448,Sheet2!$B$1:$E$19,2,FALSE)</f>
        <v>1073</v>
      </c>
      <c r="N4448">
        <f>VLOOKUP(F4448,Sheet2!$B$1:$E$19,3,FALSE)</f>
        <v>1108952</v>
      </c>
      <c r="O4448">
        <f>IF(G4448="Not available","",VLOOKUP(F4448,Sheet2!$B$1:$E$19,4,FALSE)+(G4448-1))</f>
        <v>3779151</v>
      </c>
    </row>
    <row r="4449" spans="1:15" s="1" customFormat="1" ht="15" customHeight="1" x14ac:dyDescent="0.25">
      <c r="A4449" s="18" t="s">
        <v>552</v>
      </c>
      <c r="B4449" s="18" t="s">
        <v>50</v>
      </c>
      <c r="C4449" s="5">
        <v>1831</v>
      </c>
      <c r="D4449" s="12" t="s">
        <v>18</v>
      </c>
      <c r="E4449" s="1" t="s">
        <v>2</v>
      </c>
      <c r="F4449" s="18">
        <v>2174</v>
      </c>
      <c r="G4449" s="18">
        <v>62</v>
      </c>
      <c r="H4449" s="6" t="s">
        <v>3106</v>
      </c>
      <c r="I4449" s="1">
        <v>201</v>
      </c>
      <c r="J4449" s="1">
        <v>236</v>
      </c>
      <c r="L4449" t="str">
        <f t="shared" si="69"/>
        <v>http://www.badatelna.eu/reprodukce/?fondId=1073&amp;zaznamId=1108960&amp;reproId=3780286</v>
      </c>
      <c r="M4449">
        <f>VLOOKUP(F4449,Sheet2!$B$1:$E$19,2,FALSE)</f>
        <v>1073</v>
      </c>
      <c r="N4449">
        <f>VLOOKUP(F4449,Sheet2!$B$1:$E$19,3,FALSE)</f>
        <v>1108960</v>
      </c>
      <c r="O4449">
        <f>IF(G4449="Not available","",VLOOKUP(F4449,Sheet2!$B$1:$E$19,4,FALSE)+(G4449-1))</f>
        <v>3780286</v>
      </c>
    </row>
    <row r="4450" spans="1:15" s="1" customFormat="1" ht="15" customHeight="1" x14ac:dyDescent="0.25">
      <c r="A4450" s="18" t="s">
        <v>552</v>
      </c>
      <c r="B4450" s="18" t="s">
        <v>478</v>
      </c>
      <c r="C4450" s="5">
        <v>1861</v>
      </c>
      <c r="E4450" s="1" t="s">
        <v>939</v>
      </c>
      <c r="F4450" s="18">
        <v>999</v>
      </c>
      <c r="G4450" s="18">
        <v>26</v>
      </c>
      <c r="H4450" s="5">
        <v>24</v>
      </c>
      <c r="I4450" s="1">
        <v>76</v>
      </c>
      <c r="J4450" s="1">
        <v>110</v>
      </c>
      <c r="L4450" t="str">
        <f t="shared" si="69"/>
        <v>http://www.badatelna.eu/reprodukce/?fondId=241&amp;zaznamId=1133739&amp;reproId=3885755</v>
      </c>
      <c r="M4450">
        <f>VLOOKUP(F4450,Sheet2!$B$1:$E$19,2,FALSE)</f>
        <v>241</v>
      </c>
      <c r="N4450">
        <f>VLOOKUP(F4450,Sheet2!$B$1:$E$19,3,FALSE)</f>
        <v>1133739</v>
      </c>
      <c r="O4450">
        <f>IF(G4450="Not available","",VLOOKUP(F4450,Sheet2!$B$1:$E$19,4,FALSE)+(G4450-1))</f>
        <v>3885755</v>
      </c>
    </row>
    <row r="4451" spans="1:15" s="1" customFormat="1" ht="15" customHeight="1" x14ac:dyDescent="0.25">
      <c r="A4451" s="18" t="s">
        <v>552</v>
      </c>
      <c r="B4451" s="18" t="s">
        <v>334</v>
      </c>
      <c r="C4451" s="5">
        <v>1824</v>
      </c>
      <c r="E4451" s="1" t="s">
        <v>2</v>
      </c>
      <c r="F4451" s="18">
        <v>2173</v>
      </c>
      <c r="G4451" s="18">
        <v>75</v>
      </c>
      <c r="H4451" s="5">
        <v>143</v>
      </c>
      <c r="I4451" s="1">
        <v>116</v>
      </c>
      <c r="J4451" s="1">
        <v>253</v>
      </c>
      <c r="L4451" t="str">
        <f t="shared" si="69"/>
        <v>http://www.badatelna.eu/reprodukce/?fondId=1073&amp;zaznamId=1108959&amp;reproId=3780068</v>
      </c>
      <c r="M4451">
        <f>VLOOKUP(F4451,Sheet2!$B$1:$E$19,2,FALSE)</f>
        <v>1073</v>
      </c>
      <c r="N4451">
        <f>VLOOKUP(F4451,Sheet2!$B$1:$E$19,3,FALSE)</f>
        <v>1108959</v>
      </c>
      <c r="O4451">
        <f>IF(G4451="Not available","",VLOOKUP(F4451,Sheet2!$B$1:$E$19,4,FALSE)+(G4451-1))</f>
        <v>3780068</v>
      </c>
    </row>
    <row r="4452" spans="1:15" s="1" customFormat="1" ht="15" customHeight="1" x14ac:dyDescent="0.25">
      <c r="A4452" s="19" t="s">
        <v>552</v>
      </c>
      <c r="B4452" s="18" t="s">
        <v>231</v>
      </c>
      <c r="C4452" s="5">
        <v>1802</v>
      </c>
      <c r="E4452" s="1" t="s">
        <v>2</v>
      </c>
      <c r="F4452" s="18">
        <v>2173</v>
      </c>
      <c r="G4452" s="18">
        <v>45</v>
      </c>
      <c r="H4452" s="5">
        <v>85</v>
      </c>
      <c r="I4452" s="1">
        <v>116</v>
      </c>
      <c r="J4452" s="1">
        <v>252</v>
      </c>
      <c r="L4452" t="str">
        <f t="shared" si="69"/>
        <v>http://www.badatelna.eu/reprodukce/?fondId=1073&amp;zaznamId=1108959&amp;reproId=3780038</v>
      </c>
      <c r="M4452">
        <f>VLOOKUP(F4452,Sheet2!$B$1:$E$19,2,FALSE)</f>
        <v>1073</v>
      </c>
      <c r="N4452">
        <f>VLOOKUP(F4452,Sheet2!$B$1:$E$19,3,FALSE)</f>
        <v>1108959</v>
      </c>
      <c r="O4452">
        <f>IF(G4452="Not available","",VLOOKUP(F4452,Sheet2!$B$1:$E$19,4,FALSE)+(G4452-1))</f>
        <v>3780038</v>
      </c>
    </row>
    <row r="4453" spans="1:15" s="1" customFormat="1" ht="15" customHeight="1" x14ac:dyDescent="0.25">
      <c r="A4453" s="18" t="s">
        <v>552</v>
      </c>
      <c r="B4453" s="18" t="s">
        <v>12</v>
      </c>
      <c r="C4453" s="5">
        <v>1864</v>
      </c>
      <c r="E4453" s="1" t="s">
        <v>939</v>
      </c>
      <c r="F4453" s="18">
        <v>999</v>
      </c>
      <c r="G4453" s="18">
        <v>48</v>
      </c>
      <c r="H4453" s="5">
        <v>46</v>
      </c>
      <c r="I4453" s="1">
        <v>76</v>
      </c>
      <c r="J4453" s="1">
        <v>110</v>
      </c>
      <c r="L4453" t="str">
        <f t="shared" si="69"/>
        <v>http://www.badatelna.eu/reprodukce/?fondId=241&amp;zaznamId=1133739&amp;reproId=3885777</v>
      </c>
      <c r="M4453">
        <f>VLOOKUP(F4453,Sheet2!$B$1:$E$19,2,FALSE)</f>
        <v>241</v>
      </c>
      <c r="N4453">
        <f>VLOOKUP(F4453,Sheet2!$B$1:$E$19,3,FALSE)</f>
        <v>1133739</v>
      </c>
      <c r="O4453">
        <f>IF(G4453="Not available","",VLOOKUP(F4453,Sheet2!$B$1:$E$19,4,FALSE)+(G4453-1))</f>
        <v>3885777</v>
      </c>
    </row>
    <row r="4454" spans="1:15" s="1" customFormat="1" ht="15" customHeight="1" x14ac:dyDescent="0.25">
      <c r="A4454" s="18" t="s">
        <v>552</v>
      </c>
      <c r="B4454" s="18" t="s">
        <v>2880</v>
      </c>
      <c r="C4454" s="5">
        <v>1862</v>
      </c>
      <c r="E4454" s="1" t="s">
        <v>939</v>
      </c>
      <c r="F4454" s="18">
        <v>999</v>
      </c>
      <c r="G4454" s="18">
        <v>39</v>
      </c>
      <c r="H4454" s="5">
        <v>37</v>
      </c>
      <c r="I4454" s="1">
        <v>76</v>
      </c>
      <c r="J4454" s="1">
        <v>110</v>
      </c>
      <c r="L4454" t="str">
        <f t="shared" si="69"/>
        <v>http://www.badatelna.eu/reprodukce/?fondId=241&amp;zaznamId=1133739&amp;reproId=3885768</v>
      </c>
      <c r="M4454">
        <f>VLOOKUP(F4454,Sheet2!$B$1:$E$19,2,FALSE)</f>
        <v>241</v>
      </c>
      <c r="N4454">
        <f>VLOOKUP(F4454,Sheet2!$B$1:$E$19,3,FALSE)</f>
        <v>1133739</v>
      </c>
      <c r="O4454">
        <f>IF(G4454="Not available","",VLOOKUP(F4454,Sheet2!$B$1:$E$19,4,FALSE)+(G4454-1))</f>
        <v>3885768</v>
      </c>
    </row>
    <row r="4455" spans="1:15" s="1" customFormat="1" ht="15" customHeight="1" x14ac:dyDescent="0.25">
      <c r="A4455" s="18" t="s">
        <v>552</v>
      </c>
      <c r="B4455" s="18" t="s">
        <v>25</v>
      </c>
      <c r="C4455" s="5">
        <v>1818</v>
      </c>
      <c r="E4455" s="1" t="s">
        <v>2</v>
      </c>
      <c r="F4455" s="18">
        <v>2173</v>
      </c>
      <c r="G4455" s="18">
        <v>68</v>
      </c>
      <c r="H4455" s="5">
        <v>128</v>
      </c>
      <c r="I4455" s="1">
        <v>116</v>
      </c>
      <c r="J4455" s="1">
        <v>253</v>
      </c>
      <c r="L4455" t="str">
        <f t="shared" si="69"/>
        <v>http://www.badatelna.eu/reprodukce/?fondId=1073&amp;zaznamId=1108959&amp;reproId=3780061</v>
      </c>
      <c r="M4455">
        <f>VLOOKUP(F4455,Sheet2!$B$1:$E$19,2,FALSE)</f>
        <v>1073</v>
      </c>
      <c r="N4455">
        <f>VLOOKUP(F4455,Sheet2!$B$1:$E$19,3,FALSE)</f>
        <v>1108959</v>
      </c>
      <c r="O4455">
        <f>IF(G4455="Not available","",VLOOKUP(F4455,Sheet2!$B$1:$E$19,4,FALSE)+(G4455-1))</f>
        <v>3780061</v>
      </c>
    </row>
    <row r="4456" spans="1:15" s="1" customFormat="1" ht="15" customHeight="1" x14ac:dyDescent="0.25">
      <c r="A4456" s="18" t="s">
        <v>552</v>
      </c>
      <c r="B4456" s="18" t="s">
        <v>434</v>
      </c>
      <c r="C4456" s="5">
        <v>1854</v>
      </c>
      <c r="D4456" s="1" t="s">
        <v>24</v>
      </c>
      <c r="E4456" s="1" t="s">
        <v>2</v>
      </c>
      <c r="F4456" s="18">
        <v>2164</v>
      </c>
      <c r="G4456" s="18">
        <v>100</v>
      </c>
      <c r="H4456" s="5">
        <v>98</v>
      </c>
      <c r="I4456" s="1">
        <v>139</v>
      </c>
      <c r="J4456" s="3" t="s">
        <v>3271</v>
      </c>
      <c r="L4456" t="str">
        <f t="shared" si="69"/>
        <v>http://www.badatelna.eu/reprodukce/?fondId=1073&amp;zaznamId=1108951&amp;reproId=3778814</v>
      </c>
      <c r="M4456">
        <f>VLOOKUP(F4456,Sheet2!$B$1:$E$19,2,FALSE)</f>
        <v>1073</v>
      </c>
      <c r="N4456">
        <f>VLOOKUP(F4456,Sheet2!$B$1:$E$19,3,FALSE)</f>
        <v>1108951</v>
      </c>
      <c r="O4456">
        <f>IF(G4456="Not available","",VLOOKUP(F4456,Sheet2!$B$1:$E$19,4,FALSE)+(G4456-1))</f>
        <v>3778814</v>
      </c>
    </row>
    <row r="4457" spans="1:15" s="1" customFormat="1" ht="15" customHeight="1" x14ac:dyDescent="0.25">
      <c r="A4457" s="18" t="s">
        <v>552</v>
      </c>
      <c r="B4457" s="18" t="s">
        <v>17</v>
      </c>
      <c r="C4457" s="5">
        <v>1810</v>
      </c>
      <c r="E4457" s="1" t="s">
        <v>2</v>
      </c>
      <c r="F4457" s="18">
        <v>2173</v>
      </c>
      <c r="G4457" s="18">
        <v>56</v>
      </c>
      <c r="H4457" s="14" t="s">
        <v>2980</v>
      </c>
      <c r="I4457" s="1">
        <v>116</v>
      </c>
      <c r="J4457" s="1">
        <v>252</v>
      </c>
      <c r="L4457" t="str">
        <f t="shared" si="69"/>
        <v>http://www.badatelna.eu/reprodukce/?fondId=1073&amp;zaznamId=1108959&amp;reproId=3780049</v>
      </c>
      <c r="M4457">
        <f>VLOOKUP(F4457,Sheet2!$B$1:$E$19,2,FALSE)</f>
        <v>1073</v>
      </c>
      <c r="N4457">
        <f>VLOOKUP(F4457,Sheet2!$B$1:$E$19,3,FALSE)</f>
        <v>1108959</v>
      </c>
      <c r="O4457">
        <f>IF(G4457="Not available","",VLOOKUP(F4457,Sheet2!$B$1:$E$19,4,FALSE)+(G4457-1))</f>
        <v>3780049</v>
      </c>
    </row>
    <row r="4458" spans="1:15" s="1" customFormat="1" ht="15" customHeight="1" x14ac:dyDescent="0.25">
      <c r="A4458" s="18" t="s">
        <v>552</v>
      </c>
      <c r="B4458" s="18" t="s">
        <v>134</v>
      </c>
      <c r="C4458" s="5">
        <v>1829</v>
      </c>
      <c r="E4458" s="1" t="s">
        <v>2</v>
      </c>
      <c r="F4458" s="18">
        <v>2173</v>
      </c>
      <c r="G4458" s="18">
        <v>82</v>
      </c>
      <c r="H4458" s="5">
        <v>156</v>
      </c>
      <c r="I4458" s="1">
        <v>117</v>
      </c>
      <c r="J4458" s="1">
        <v>254</v>
      </c>
      <c r="L4458" t="str">
        <f t="shared" si="69"/>
        <v>http://www.badatelna.eu/reprodukce/?fondId=1073&amp;zaznamId=1108959&amp;reproId=3780075</v>
      </c>
      <c r="M4458">
        <f>VLOOKUP(F4458,Sheet2!$B$1:$E$19,2,FALSE)</f>
        <v>1073</v>
      </c>
      <c r="N4458">
        <f>VLOOKUP(F4458,Sheet2!$B$1:$E$19,3,FALSE)</f>
        <v>1108959</v>
      </c>
      <c r="O4458">
        <f>IF(G4458="Not available","",VLOOKUP(F4458,Sheet2!$B$1:$E$19,4,FALSE)+(G4458-1))</f>
        <v>3780075</v>
      </c>
    </row>
    <row r="4459" spans="1:15" s="1" customFormat="1" ht="15" customHeight="1" x14ac:dyDescent="0.25">
      <c r="A4459" s="18" t="s">
        <v>552</v>
      </c>
      <c r="B4459" s="18" t="s">
        <v>44</v>
      </c>
      <c r="C4459" s="5">
        <v>1856</v>
      </c>
      <c r="D4459" s="1" t="s">
        <v>24</v>
      </c>
      <c r="E4459" s="1" t="s">
        <v>2</v>
      </c>
      <c r="F4459" s="18">
        <v>2164</v>
      </c>
      <c r="G4459" s="18">
        <v>112</v>
      </c>
      <c r="H4459" s="5">
        <v>110</v>
      </c>
      <c r="I4459" s="1">
        <v>140</v>
      </c>
      <c r="J4459" s="3" t="s">
        <v>3271</v>
      </c>
      <c r="L4459" t="str">
        <f t="shared" si="69"/>
        <v>http://www.badatelna.eu/reprodukce/?fondId=1073&amp;zaznamId=1108951&amp;reproId=3778826</v>
      </c>
      <c r="M4459">
        <f>VLOOKUP(F4459,Sheet2!$B$1:$E$19,2,FALSE)</f>
        <v>1073</v>
      </c>
      <c r="N4459">
        <f>VLOOKUP(F4459,Sheet2!$B$1:$E$19,3,FALSE)</f>
        <v>1108951</v>
      </c>
      <c r="O4459">
        <f>IF(G4459="Not available","",VLOOKUP(F4459,Sheet2!$B$1:$E$19,4,FALSE)+(G4459-1))</f>
        <v>3778826</v>
      </c>
    </row>
    <row r="4460" spans="1:15" s="1" customFormat="1" ht="15" customHeight="1" x14ac:dyDescent="0.25">
      <c r="A4460" s="18" t="s">
        <v>552</v>
      </c>
      <c r="B4460" s="18" t="s">
        <v>304</v>
      </c>
      <c r="C4460" s="5">
        <v>1858</v>
      </c>
      <c r="E4460" s="1" t="s">
        <v>939</v>
      </c>
      <c r="F4460" s="18">
        <v>999</v>
      </c>
      <c r="G4460" s="18">
        <v>10</v>
      </c>
      <c r="H4460" s="5">
        <v>8</v>
      </c>
      <c r="I4460" s="1">
        <v>76</v>
      </c>
      <c r="J4460" s="1">
        <v>110</v>
      </c>
      <c r="L4460" t="str">
        <f t="shared" si="69"/>
        <v>http://www.badatelna.eu/reprodukce/?fondId=241&amp;zaznamId=1133739&amp;reproId=3885739</v>
      </c>
      <c r="M4460">
        <f>VLOOKUP(F4460,Sheet2!$B$1:$E$19,2,FALSE)</f>
        <v>241</v>
      </c>
      <c r="N4460">
        <f>VLOOKUP(F4460,Sheet2!$B$1:$E$19,3,FALSE)</f>
        <v>1133739</v>
      </c>
      <c r="O4460">
        <f>IF(G4460="Not available","",VLOOKUP(F4460,Sheet2!$B$1:$E$19,4,FALSE)+(G4460-1))</f>
        <v>3885739</v>
      </c>
    </row>
    <row r="4461" spans="1:15" s="1" customFormat="1" ht="15" customHeight="1" x14ac:dyDescent="0.25">
      <c r="A4461" s="18" t="s">
        <v>1124</v>
      </c>
      <c r="B4461" s="18" t="s">
        <v>963</v>
      </c>
      <c r="C4461" s="10" t="s">
        <v>2026</v>
      </c>
      <c r="D4461" s="3" t="s">
        <v>2336</v>
      </c>
      <c r="E4461" s="4" t="s">
        <v>2</v>
      </c>
      <c r="F4461" s="18">
        <v>2176</v>
      </c>
      <c r="G4461" s="18" t="s">
        <v>3271</v>
      </c>
      <c r="H4461" s="10" t="s">
        <v>2470</v>
      </c>
      <c r="I4461" s="3">
        <v>41</v>
      </c>
      <c r="J4461" s="3" t="s">
        <v>3271</v>
      </c>
      <c r="K4461" s="3"/>
      <c r="L4461" t="str">
        <f t="shared" si="69"/>
        <v/>
      </c>
      <c r="M4461">
        <f>VLOOKUP(F4461,Sheet2!$B$1:$E$19,2,FALSE)</f>
        <v>1073</v>
      </c>
      <c r="N4461">
        <f>VLOOKUP(F4461,Sheet2!$B$1:$E$19,3,FALSE)</f>
        <v>1108963</v>
      </c>
      <c r="O4461" t="str">
        <f>IF(G4461="Not available","",VLOOKUP(F4461,Sheet2!$B$1:$E$19,4,FALSE)+(G4461-1))</f>
        <v/>
      </c>
    </row>
    <row r="4462" spans="1:15" s="1" customFormat="1" ht="15" customHeight="1" x14ac:dyDescent="0.25">
      <c r="A4462" s="18" t="s">
        <v>1124</v>
      </c>
      <c r="B4462" s="18" t="s">
        <v>963</v>
      </c>
      <c r="C4462" s="5" t="s">
        <v>1739</v>
      </c>
      <c r="D4462" s="1" t="s">
        <v>24</v>
      </c>
      <c r="E4462" s="1" t="s">
        <v>2</v>
      </c>
      <c r="F4462" s="18">
        <v>2165</v>
      </c>
      <c r="G4462" s="18">
        <v>168</v>
      </c>
      <c r="H4462" s="5">
        <v>4</v>
      </c>
      <c r="I4462" s="1">
        <v>171</v>
      </c>
      <c r="J4462" s="1">
        <v>149</v>
      </c>
      <c r="L4462" t="str">
        <f t="shared" si="69"/>
        <v>http://www.badatelna.eu/reprodukce/?fondId=1073&amp;zaznamId=1108952&amp;reproId=3779029</v>
      </c>
      <c r="M4462">
        <f>VLOOKUP(F4462,Sheet2!$B$1:$E$19,2,FALSE)</f>
        <v>1073</v>
      </c>
      <c r="N4462">
        <f>VLOOKUP(F4462,Sheet2!$B$1:$E$19,3,FALSE)</f>
        <v>1108952</v>
      </c>
      <c r="O4462">
        <f>IF(G4462="Not available","",VLOOKUP(F4462,Sheet2!$B$1:$E$19,4,FALSE)+(G4462-1))</f>
        <v>3779029</v>
      </c>
    </row>
    <row r="4463" spans="1:15" s="1" customFormat="1" ht="15" customHeight="1" x14ac:dyDescent="0.25">
      <c r="A4463" s="18" t="s">
        <v>1124</v>
      </c>
      <c r="B4463" s="18" t="s">
        <v>92</v>
      </c>
      <c r="C4463" s="10" t="s">
        <v>2081</v>
      </c>
      <c r="D4463" s="3" t="s">
        <v>2336</v>
      </c>
      <c r="E4463" s="4" t="s">
        <v>2</v>
      </c>
      <c r="F4463" s="18">
        <v>2176</v>
      </c>
      <c r="G4463" s="18" t="s">
        <v>3271</v>
      </c>
      <c r="H4463" s="10" t="s">
        <v>2069</v>
      </c>
      <c r="I4463" s="3">
        <v>42</v>
      </c>
      <c r="J4463" s="3" t="s">
        <v>3271</v>
      </c>
      <c r="K4463" s="3"/>
      <c r="L4463" t="str">
        <f t="shared" si="69"/>
        <v/>
      </c>
      <c r="M4463">
        <f>VLOOKUP(F4463,Sheet2!$B$1:$E$19,2,FALSE)</f>
        <v>1073</v>
      </c>
      <c r="N4463">
        <f>VLOOKUP(F4463,Sheet2!$B$1:$E$19,3,FALSE)</f>
        <v>1108963</v>
      </c>
      <c r="O4463" t="str">
        <f>IF(G4463="Not available","",VLOOKUP(F4463,Sheet2!$B$1:$E$19,4,FALSE)+(G4463-1))</f>
        <v/>
      </c>
    </row>
    <row r="4464" spans="1:15" s="1" customFormat="1" ht="15" customHeight="1" x14ac:dyDescent="0.25">
      <c r="A4464" s="18" t="s">
        <v>1124</v>
      </c>
      <c r="B4464" s="18" t="s">
        <v>92</v>
      </c>
      <c r="C4464" s="5" t="s">
        <v>1826</v>
      </c>
      <c r="D4464" s="1" t="s">
        <v>24</v>
      </c>
      <c r="E4464" s="1" t="s">
        <v>2</v>
      </c>
      <c r="F4464" s="18">
        <v>2165</v>
      </c>
      <c r="G4464" s="18">
        <v>247</v>
      </c>
      <c r="H4464" s="5">
        <v>1</v>
      </c>
      <c r="I4464" s="1">
        <v>251</v>
      </c>
      <c r="J4464" s="1">
        <v>227</v>
      </c>
      <c r="L4464" t="str">
        <f t="shared" si="69"/>
        <v>http://www.badatelna.eu/reprodukce/?fondId=1073&amp;zaznamId=1108952&amp;reproId=3779108</v>
      </c>
      <c r="M4464">
        <f>VLOOKUP(F4464,Sheet2!$B$1:$E$19,2,FALSE)</f>
        <v>1073</v>
      </c>
      <c r="N4464">
        <f>VLOOKUP(F4464,Sheet2!$B$1:$E$19,3,FALSE)</f>
        <v>1108952</v>
      </c>
      <c r="O4464">
        <f>IF(G4464="Not available","",VLOOKUP(F4464,Sheet2!$B$1:$E$19,4,FALSE)+(G4464-1))</f>
        <v>3779108</v>
      </c>
    </row>
    <row r="4465" spans="1:15" s="1" customFormat="1" ht="15" customHeight="1" x14ac:dyDescent="0.25">
      <c r="A4465" s="18" t="s">
        <v>1124</v>
      </c>
      <c r="B4465" s="18" t="s">
        <v>1043</v>
      </c>
      <c r="C4465" s="10" t="s">
        <v>2043</v>
      </c>
      <c r="D4465" s="3" t="s">
        <v>2336</v>
      </c>
      <c r="E4465" s="4" t="s">
        <v>2</v>
      </c>
      <c r="F4465" s="18">
        <v>2176</v>
      </c>
      <c r="G4465" s="18" t="s">
        <v>3271</v>
      </c>
      <c r="H4465" s="10" t="s">
        <v>2700</v>
      </c>
      <c r="I4465" s="3">
        <v>41</v>
      </c>
      <c r="J4465" s="3" t="s">
        <v>3271</v>
      </c>
      <c r="K4465" s="3"/>
      <c r="L4465" t="str">
        <f t="shared" si="69"/>
        <v/>
      </c>
      <c r="M4465">
        <f>VLOOKUP(F4465,Sheet2!$B$1:$E$19,2,FALSE)</f>
        <v>1073</v>
      </c>
      <c r="N4465">
        <f>VLOOKUP(F4465,Sheet2!$B$1:$E$19,3,FALSE)</f>
        <v>1108963</v>
      </c>
      <c r="O4465" t="str">
        <f>IF(G4465="Not available","",VLOOKUP(F4465,Sheet2!$B$1:$E$19,4,FALSE)+(G4465-1))</f>
        <v/>
      </c>
    </row>
    <row r="4466" spans="1:15" s="1" customFormat="1" ht="15" customHeight="1" x14ac:dyDescent="0.25">
      <c r="A4466" s="18" t="s">
        <v>1124</v>
      </c>
      <c r="B4466" s="18" t="s">
        <v>849</v>
      </c>
      <c r="C4466" s="5">
        <v>1885</v>
      </c>
      <c r="D4466" s="1" t="s">
        <v>24</v>
      </c>
      <c r="E4466" s="1" t="s">
        <v>2</v>
      </c>
      <c r="F4466" s="18">
        <v>2165</v>
      </c>
      <c r="G4466" s="18">
        <v>202</v>
      </c>
      <c r="H4466" s="5">
        <v>4</v>
      </c>
      <c r="I4466" s="1">
        <v>204</v>
      </c>
      <c r="J4466" s="1">
        <v>187</v>
      </c>
      <c r="L4466" t="str">
        <f t="shared" si="69"/>
        <v>http://www.badatelna.eu/reprodukce/?fondId=1073&amp;zaznamId=1108952&amp;reproId=3779063</v>
      </c>
      <c r="M4466">
        <f>VLOOKUP(F4466,Sheet2!$B$1:$E$19,2,FALSE)</f>
        <v>1073</v>
      </c>
      <c r="N4466">
        <f>VLOOKUP(F4466,Sheet2!$B$1:$E$19,3,FALSE)</f>
        <v>1108952</v>
      </c>
      <c r="O4466">
        <f>IF(G4466="Not available","",VLOOKUP(F4466,Sheet2!$B$1:$E$19,4,FALSE)+(G4466-1))</f>
        <v>3779063</v>
      </c>
    </row>
    <row r="4467" spans="1:15" s="1" customFormat="1" ht="15" customHeight="1" x14ac:dyDescent="0.25">
      <c r="A4467" s="18" t="s">
        <v>1124</v>
      </c>
      <c r="B4467" s="18" t="s">
        <v>2143</v>
      </c>
      <c r="C4467" s="10" t="s">
        <v>2036</v>
      </c>
      <c r="D4467" s="3" t="s">
        <v>2336</v>
      </c>
      <c r="E4467" s="4" t="s">
        <v>2</v>
      </c>
      <c r="F4467" s="18">
        <v>2176</v>
      </c>
      <c r="G4467" s="18" t="s">
        <v>3271</v>
      </c>
      <c r="H4467" s="10" t="s">
        <v>2065</v>
      </c>
      <c r="I4467" s="3">
        <v>41</v>
      </c>
      <c r="J4467" s="3" t="s">
        <v>3271</v>
      </c>
      <c r="K4467" s="3"/>
      <c r="L4467" t="str">
        <f t="shared" si="69"/>
        <v/>
      </c>
      <c r="M4467">
        <f>VLOOKUP(F4467,Sheet2!$B$1:$E$19,2,FALSE)</f>
        <v>1073</v>
      </c>
      <c r="N4467">
        <f>VLOOKUP(F4467,Sheet2!$B$1:$E$19,3,FALSE)</f>
        <v>1108963</v>
      </c>
      <c r="O4467" t="str">
        <f>IF(G4467="Not available","",VLOOKUP(F4467,Sheet2!$B$1:$E$19,4,FALSE)+(G4467-1))</f>
        <v/>
      </c>
    </row>
    <row r="4468" spans="1:15" s="1" customFormat="1" ht="15" customHeight="1" x14ac:dyDescent="0.25">
      <c r="A4468" s="18" t="s">
        <v>1124</v>
      </c>
      <c r="B4468" s="18" t="s">
        <v>873</v>
      </c>
      <c r="C4468" s="5">
        <v>1883</v>
      </c>
      <c r="D4468" s="1" t="s">
        <v>24</v>
      </c>
      <c r="E4468" s="1" t="s">
        <v>2</v>
      </c>
      <c r="F4468" s="18">
        <v>2165</v>
      </c>
      <c r="G4468" s="18">
        <v>188</v>
      </c>
      <c r="H4468" s="5">
        <v>4</v>
      </c>
      <c r="I4468" s="1">
        <v>191</v>
      </c>
      <c r="J4468" s="1">
        <v>168</v>
      </c>
      <c r="L4468" t="str">
        <f t="shared" si="69"/>
        <v>http://www.badatelna.eu/reprodukce/?fondId=1073&amp;zaznamId=1108952&amp;reproId=3779049</v>
      </c>
      <c r="M4468">
        <f>VLOOKUP(F4468,Sheet2!$B$1:$E$19,2,FALSE)</f>
        <v>1073</v>
      </c>
      <c r="N4468">
        <f>VLOOKUP(F4468,Sheet2!$B$1:$E$19,3,FALSE)</f>
        <v>1108952</v>
      </c>
      <c r="O4468">
        <f>IF(G4468="Not available","",VLOOKUP(F4468,Sheet2!$B$1:$E$19,4,FALSE)+(G4468-1))</f>
        <v>3779049</v>
      </c>
    </row>
    <row r="4469" spans="1:15" s="1" customFormat="1" ht="15" customHeight="1" x14ac:dyDescent="0.25">
      <c r="A4469" s="18" t="s">
        <v>1124</v>
      </c>
      <c r="B4469" s="18" t="s">
        <v>1186</v>
      </c>
      <c r="C4469" s="5">
        <v>1887</v>
      </c>
      <c r="D4469" s="1" t="s">
        <v>24</v>
      </c>
      <c r="E4469" s="1" t="s">
        <v>2</v>
      </c>
      <c r="F4469" s="18">
        <v>2165</v>
      </c>
      <c r="G4469" s="18">
        <v>212</v>
      </c>
      <c r="H4469" s="5">
        <v>1</v>
      </c>
      <c r="I4469" s="1">
        <v>216</v>
      </c>
      <c r="J4469" s="1">
        <v>192</v>
      </c>
      <c r="L4469" t="str">
        <f t="shared" si="69"/>
        <v>http://www.badatelna.eu/reprodukce/?fondId=1073&amp;zaznamId=1108952&amp;reproId=3779073</v>
      </c>
      <c r="M4469">
        <f>VLOOKUP(F4469,Sheet2!$B$1:$E$19,2,FALSE)</f>
        <v>1073</v>
      </c>
      <c r="N4469">
        <f>VLOOKUP(F4469,Sheet2!$B$1:$E$19,3,FALSE)</f>
        <v>1108952</v>
      </c>
      <c r="O4469">
        <f>IF(G4469="Not available","",VLOOKUP(F4469,Sheet2!$B$1:$E$19,4,FALSE)+(G4469-1))</f>
        <v>3779073</v>
      </c>
    </row>
    <row r="4470" spans="1:15" s="1" customFormat="1" ht="15" customHeight="1" x14ac:dyDescent="0.25">
      <c r="A4470" s="18" t="s">
        <v>1124</v>
      </c>
      <c r="B4470" s="18" t="s">
        <v>2253</v>
      </c>
      <c r="C4470" s="10" t="s">
        <v>2055</v>
      </c>
      <c r="D4470" s="3" t="s">
        <v>2336</v>
      </c>
      <c r="E4470" s="4" t="s">
        <v>2</v>
      </c>
      <c r="F4470" s="18">
        <v>2176</v>
      </c>
      <c r="G4470" s="18" t="s">
        <v>3271</v>
      </c>
      <c r="H4470" s="10" t="s">
        <v>2083</v>
      </c>
      <c r="I4470" s="3">
        <v>41</v>
      </c>
      <c r="J4470" s="3" t="s">
        <v>3271</v>
      </c>
      <c r="K4470" s="3"/>
      <c r="L4470" t="str">
        <f t="shared" si="69"/>
        <v/>
      </c>
      <c r="M4470">
        <f>VLOOKUP(F4470,Sheet2!$B$1:$E$19,2,FALSE)</f>
        <v>1073</v>
      </c>
      <c r="N4470">
        <f>VLOOKUP(F4470,Sheet2!$B$1:$E$19,3,FALSE)</f>
        <v>1108963</v>
      </c>
      <c r="O4470" t="str">
        <f>IF(G4470="Not available","",VLOOKUP(F4470,Sheet2!$B$1:$E$19,4,FALSE)+(G4470-1))</f>
        <v/>
      </c>
    </row>
    <row r="4471" spans="1:15" s="1" customFormat="1" ht="15" customHeight="1" x14ac:dyDescent="0.25">
      <c r="A4471" s="18" t="s">
        <v>1124</v>
      </c>
      <c r="B4471" s="18" t="s">
        <v>1007</v>
      </c>
      <c r="C4471" s="10" t="s">
        <v>2072</v>
      </c>
      <c r="D4471" s="3" t="s">
        <v>2336</v>
      </c>
      <c r="E4471" s="4" t="s">
        <v>2</v>
      </c>
      <c r="F4471" s="18">
        <v>2176</v>
      </c>
      <c r="G4471" s="18" t="s">
        <v>3271</v>
      </c>
      <c r="H4471" s="10" t="s">
        <v>2707</v>
      </c>
      <c r="I4471" s="3">
        <v>42</v>
      </c>
      <c r="J4471" s="3" t="s">
        <v>3271</v>
      </c>
      <c r="K4471" s="3"/>
      <c r="L4471" t="str">
        <f t="shared" si="69"/>
        <v/>
      </c>
      <c r="M4471">
        <f>VLOOKUP(F4471,Sheet2!$B$1:$E$19,2,FALSE)</f>
        <v>1073</v>
      </c>
      <c r="N4471">
        <f>VLOOKUP(F4471,Sheet2!$B$1:$E$19,3,FALSE)</f>
        <v>1108963</v>
      </c>
      <c r="O4471" t="str">
        <f>IF(G4471="Not available","",VLOOKUP(F4471,Sheet2!$B$1:$E$19,4,FALSE)+(G4471-1))</f>
        <v/>
      </c>
    </row>
    <row r="4472" spans="1:15" s="1" customFormat="1" ht="15" customHeight="1" x14ac:dyDescent="0.25">
      <c r="A4472" s="18" t="s">
        <v>1124</v>
      </c>
      <c r="B4472" s="18" t="s">
        <v>1007</v>
      </c>
      <c r="C4472" s="5" t="s">
        <v>1788</v>
      </c>
      <c r="D4472" s="1" t="s">
        <v>24</v>
      </c>
      <c r="E4472" s="1" t="s">
        <v>2</v>
      </c>
      <c r="F4472" s="18">
        <v>2165</v>
      </c>
      <c r="G4472" s="18">
        <v>235</v>
      </c>
      <c r="H4472" s="5">
        <v>2</v>
      </c>
      <c r="I4472" s="1">
        <v>238</v>
      </c>
      <c r="J4472" s="1">
        <v>214</v>
      </c>
      <c r="L4472" t="str">
        <f t="shared" si="69"/>
        <v>http://www.badatelna.eu/reprodukce/?fondId=1073&amp;zaznamId=1108952&amp;reproId=3779096</v>
      </c>
      <c r="M4472">
        <f>VLOOKUP(F4472,Sheet2!$B$1:$E$19,2,FALSE)</f>
        <v>1073</v>
      </c>
      <c r="N4472">
        <f>VLOOKUP(F4472,Sheet2!$B$1:$E$19,3,FALSE)</f>
        <v>1108952</v>
      </c>
      <c r="O4472">
        <f>IF(G4472="Not available","",VLOOKUP(F4472,Sheet2!$B$1:$E$19,4,FALSE)+(G4472-1))</f>
        <v>3779096</v>
      </c>
    </row>
    <row r="4473" spans="1:15" s="1" customFormat="1" ht="15" customHeight="1" x14ac:dyDescent="0.25">
      <c r="A4473" s="18" t="s">
        <v>1124</v>
      </c>
      <c r="B4473" s="18" t="s">
        <v>1055</v>
      </c>
      <c r="C4473" s="10" t="s">
        <v>2087</v>
      </c>
      <c r="D4473" s="3" t="s">
        <v>2336</v>
      </c>
      <c r="E4473" s="4" t="s">
        <v>2</v>
      </c>
      <c r="F4473" s="18">
        <v>2176</v>
      </c>
      <c r="G4473" s="18" t="s">
        <v>3271</v>
      </c>
      <c r="H4473" s="10" t="s">
        <v>2016</v>
      </c>
      <c r="I4473" s="3">
        <v>42</v>
      </c>
      <c r="J4473" s="3" t="s">
        <v>3271</v>
      </c>
      <c r="K4473" s="3"/>
      <c r="L4473" t="str">
        <f t="shared" si="69"/>
        <v/>
      </c>
      <c r="M4473">
        <f>VLOOKUP(F4473,Sheet2!$B$1:$E$19,2,FALSE)</f>
        <v>1073</v>
      </c>
      <c r="N4473">
        <f>VLOOKUP(F4473,Sheet2!$B$1:$E$19,3,FALSE)</f>
        <v>1108963</v>
      </c>
      <c r="O4473" t="str">
        <f>IF(G4473="Not available","",VLOOKUP(F4473,Sheet2!$B$1:$E$19,4,FALSE)+(G4473-1))</f>
        <v/>
      </c>
    </row>
    <row r="4474" spans="1:15" s="1" customFormat="1" ht="15" customHeight="1" x14ac:dyDescent="0.25">
      <c r="A4474" s="18" t="s">
        <v>1124</v>
      </c>
      <c r="B4474" s="18" t="s">
        <v>1055</v>
      </c>
      <c r="C4474" s="5" t="s">
        <v>1878</v>
      </c>
      <c r="D4474" s="1" t="s">
        <v>24</v>
      </c>
      <c r="E4474" s="1" t="s">
        <v>2</v>
      </c>
      <c r="F4474" s="18">
        <v>2165</v>
      </c>
      <c r="G4474" s="18">
        <v>261</v>
      </c>
      <c r="H4474" s="5">
        <v>2</v>
      </c>
      <c r="I4474" s="1">
        <v>266</v>
      </c>
      <c r="J4474" s="1">
        <v>240</v>
      </c>
      <c r="L4474" t="str">
        <f t="shared" si="69"/>
        <v>http://www.badatelna.eu/reprodukce/?fondId=1073&amp;zaznamId=1108952&amp;reproId=3779122</v>
      </c>
      <c r="M4474">
        <f>VLOOKUP(F4474,Sheet2!$B$1:$E$19,2,FALSE)</f>
        <v>1073</v>
      </c>
      <c r="N4474">
        <f>VLOOKUP(F4474,Sheet2!$B$1:$E$19,3,FALSE)</f>
        <v>1108952</v>
      </c>
      <c r="O4474">
        <f>IF(G4474="Not available","",VLOOKUP(F4474,Sheet2!$B$1:$E$19,4,FALSE)+(G4474-1))</f>
        <v>3779122</v>
      </c>
    </row>
    <row r="4475" spans="1:15" s="1" customFormat="1" ht="15" customHeight="1" x14ac:dyDescent="0.25">
      <c r="A4475" s="18" t="s">
        <v>1124</v>
      </c>
      <c r="B4475" s="18" t="s">
        <v>1171</v>
      </c>
      <c r="C4475" s="10" t="s">
        <v>2068</v>
      </c>
      <c r="D4475" s="3" t="s">
        <v>2336</v>
      </c>
      <c r="E4475" s="4" t="s">
        <v>2</v>
      </c>
      <c r="F4475" s="18">
        <v>2176</v>
      </c>
      <c r="G4475" s="18" t="s">
        <v>3271</v>
      </c>
      <c r="H4475" s="10" t="s">
        <v>1971</v>
      </c>
      <c r="I4475" s="3">
        <v>41</v>
      </c>
      <c r="J4475" s="3" t="s">
        <v>3271</v>
      </c>
      <c r="K4475" s="3"/>
      <c r="L4475" t="str">
        <f t="shared" si="69"/>
        <v/>
      </c>
      <c r="M4475">
        <f>VLOOKUP(F4475,Sheet2!$B$1:$E$19,2,FALSE)</f>
        <v>1073</v>
      </c>
      <c r="N4475">
        <f>VLOOKUP(F4475,Sheet2!$B$1:$E$19,3,FALSE)</f>
        <v>1108963</v>
      </c>
      <c r="O4475" t="str">
        <f>IF(G4475="Not available","",VLOOKUP(F4475,Sheet2!$B$1:$E$19,4,FALSE)+(G4475-1))</f>
        <v/>
      </c>
    </row>
    <row r="4476" spans="1:15" s="1" customFormat="1" ht="15" customHeight="1" x14ac:dyDescent="0.25">
      <c r="A4476" s="18" t="s">
        <v>1124</v>
      </c>
      <c r="B4476" s="18" t="s">
        <v>1197</v>
      </c>
      <c r="C4476" s="5">
        <v>1889</v>
      </c>
      <c r="D4476" s="1" t="s">
        <v>24</v>
      </c>
      <c r="E4476" s="1" t="s">
        <v>2</v>
      </c>
      <c r="F4476" s="18">
        <v>2165</v>
      </c>
      <c r="G4476" s="18">
        <v>221</v>
      </c>
      <c r="H4476" s="5">
        <v>1</v>
      </c>
      <c r="I4476" s="1">
        <v>225</v>
      </c>
      <c r="J4476" s="1">
        <v>201</v>
      </c>
      <c r="L4476" t="str">
        <f t="shared" si="69"/>
        <v>http://www.badatelna.eu/reprodukce/?fondId=1073&amp;zaznamId=1108952&amp;reproId=3779082</v>
      </c>
      <c r="M4476">
        <f>VLOOKUP(F4476,Sheet2!$B$1:$E$19,2,FALSE)</f>
        <v>1073</v>
      </c>
      <c r="N4476">
        <f>VLOOKUP(F4476,Sheet2!$B$1:$E$19,3,FALSE)</f>
        <v>1108952</v>
      </c>
      <c r="O4476">
        <f>IF(G4476="Not available","",VLOOKUP(F4476,Sheet2!$B$1:$E$19,4,FALSE)+(G4476-1))</f>
        <v>3779082</v>
      </c>
    </row>
    <row r="4477" spans="1:15" s="1" customFormat="1" ht="15" customHeight="1" x14ac:dyDescent="0.25">
      <c r="A4477" s="18" t="s">
        <v>1204</v>
      </c>
      <c r="B4477" s="18" t="s">
        <v>1126</v>
      </c>
      <c r="C4477" s="10" t="s">
        <v>2072</v>
      </c>
      <c r="D4477" s="3" t="s">
        <v>2705</v>
      </c>
      <c r="E4477" s="4" t="s">
        <v>2</v>
      </c>
      <c r="F4477" s="18">
        <v>2176</v>
      </c>
      <c r="G4477" s="18" t="s">
        <v>3271</v>
      </c>
      <c r="H4477" s="10" t="s">
        <v>1971</v>
      </c>
      <c r="I4477" s="3">
        <v>41</v>
      </c>
      <c r="J4477" s="3" t="s">
        <v>3271</v>
      </c>
      <c r="K4477" s="3"/>
      <c r="L4477" t="str">
        <f t="shared" si="69"/>
        <v/>
      </c>
      <c r="M4477">
        <f>VLOOKUP(F4477,Sheet2!$B$1:$E$19,2,FALSE)</f>
        <v>1073</v>
      </c>
      <c r="N4477">
        <f>VLOOKUP(F4477,Sheet2!$B$1:$E$19,3,FALSE)</f>
        <v>1108963</v>
      </c>
      <c r="O4477" t="str">
        <f>IF(G4477="Not available","",VLOOKUP(F4477,Sheet2!$B$1:$E$19,4,FALSE)+(G4477-1))</f>
        <v/>
      </c>
    </row>
    <row r="4478" spans="1:15" s="1" customFormat="1" ht="15" customHeight="1" x14ac:dyDescent="0.25">
      <c r="A4478" s="18" t="s">
        <v>1204</v>
      </c>
      <c r="B4478" s="18" t="s">
        <v>1126</v>
      </c>
      <c r="C4478" s="5" t="s">
        <v>1762</v>
      </c>
      <c r="D4478" s="12" t="s">
        <v>2891</v>
      </c>
      <c r="E4478" s="1" t="s">
        <v>2</v>
      </c>
      <c r="F4478" s="18">
        <v>2165</v>
      </c>
      <c r="G4478" s="18">
        <v>228</v>
      </c>
      <c r="H4478" s="5">
        <v>1</v>
      </c>
      <c r="I4478" s="1">
        <v>232</v>
      </c>
      <c r="J4478" s="1">
        <v>208</v>
      </c>
      <c r="L4478" t="str">
        <f t="shared" si="69"/>
        <v>http://www.badatelna.eu/reprodukce/?fondId=1073&amp;zaznamId=1108952&amp;reproId=3779089</v>
      </c>
      <c r="M4478">
        <f>VLOOKUP(F4478,Sheet2!$B$1:$E$19,2,FALSE)</f>
        <v>1073</v>
      </c>
      <c r="N4478">
        <f>VLOOKUP(F4478,Sheet2!$B$1:$E$19,3,FALSE)</f>
        <v>1108952</v>
      </c>
      <c r="O4478">
        <f>IF(G4478="Not available","",VLOOKUP(F4478,Sheet2!$B$1:$E$19,4,FALSE)+(G4478-1))</f>
        <v>3779089</v>
      </c>
    </row>
    <row r="4479" spans="1:15" s="1" customFormat="1" ht="15" customHeight="1" x14ac:dyDescent="0.25">
      <c r="A4479" s="18" t="s">
        <v>1204</v>
      </c>
      <c r="B4479" s="18" t="s">
        <v>25</v>
      </c>
      <c r="C4479" s="10" t="s">
        <v>1952</v>
      </c>
      <c r="D4479" s="3" t="s">
        <v>2705</v>
      </c>
      <c r="E4479" s="4" t="s">
        <v>2</v>
      </c>
      <c r="F4479" s="18">
        <v>2176</v>
      </c>
      <c r="G4479" s="18" t="s">
        <v>3271</v>
      </c>
      <c r="H4479" s="10" t="s">
        <v>1971</v>
      </c>
      <c r="I4479" s="3">
        <v>42</v>
      </c>
      <c r="J4479" s="3" t="s">
        <v>3271</v>
      </c>
      <c r="K4479" s="3"/>
      <c r="L4479" t="str">
        <f t="shared" si="69"/>
        <v/>
      </c>
      <c r="M4479">
        <f>VLOOKUP(F4479,Sheet2!$B$1:$E$19,2,FALSE)</f>
        <v>1073</v>
      </c>
      <c r="N4479">
        <f>VLOOKUP(F4479,Sheet2!$B$1:$E$19,3,FALSE)</f>
        <v>1108963</v>
      </c>
      <c r="O4479" t="str">
        <f>IF(G4479="Not available","",VLOOKUP(F4479,Sheet2!$B$1:$E$19,4,FALSE)+(G4479-1))</f>
        <v/>
      </c>
    </row>
    <row r="4480" spans="1:15" s="1" customFormat="1" ht="15" customHeight="1" x14ac:dyDescent="0.25">
      <c r="A4480" s="18" t="s">
        <v>1204</v>
      </c>
      <c r="B4480" s="18" t="s">
        <v>25</v>
      </c>
      <c r="C4480" s="5" t="s">
        <v>1853</v>
      </c>
      <c r="D4480" s="1" t="s">
        <v>873</v>
      </c>
      <c r="E4480" s="1" t="s">
        <v>2</v>
      </c>
      <c r="F4480" s="18">
        <v>2165</v>
      </c>
      <c r="G4480" s="18">
        <v>254</v>
      </c>
      <c r="H4480" s="5">
        <v>1</v>
      </c>
      <c r="I4480" s="1">
        <v>253</v>
      </c>
      <c r="J4480" s="1">
        <v>229</v>
      </c>
      <c r="L4480" t="str">
        <f t="shared" si="69"/>
        <v>http://www.badatelna.eu/reprodukce/?fondId=1073&amp;zaznamId=1108952&amp;reproId=3779115</v>
      </c>
      <c r="M4480">
        <f>VLOOKUP(F4480,Sheet2!$B$1:$E$19,2,FALSE)</f>
        <v>1073</v>
      </c>
      <c r="N4480">
        <f>VLOOKUP(F4480,Sheet2!$B$1:$E$19,3,FALSE)</f>
        <v>1108952</v>
      </c>
      <c r="O4480">
        <f>IF(G4480="Not available","",VLOOKUP(F4480,Sheet2!$B$1:$E$19,4,FALSE)+(G4480-1))</f>
        <v>3779115</v>
      </c>
    </row>
    <row r="4481" spans="1:15" s="1" customFormat="1" ht="15" customHeight="1" x14ac:dyDescent="0.25">
      <c r="A4481" s="18" t="s">
        <v>1204</v>
      </c>
      <c r="B4481" s="18" t="s">
        <v>1121</v>
      </c>
      <c r="C4481" s="10" t="s">
        <v>2079</v>
      </c>
      <c r="D4481" s="3" t="s">
        <v>2705</v>
      </c>
      <c r="E4481" s="4" t="s">
        <v>2</v>
      </c>
      <c r="F4481" s="18">
        <v>2176</v>
      </c>
      <c r="G4481" s="18" t="s">
        <v>3271</v>
      </c>
      <c r="H4481" s="10" t="s">
        <v>2069</v>
      </c>
      <c r="I4481" s="3">
        <v>42</v>
      </c>
      <c r="J4481" s="3" t="s">
        <v>3271</v>
      </c>
      <c r="K4481" s="3"/>
      <c r="L4481" t="str">
        <f t="shared" si="69"/>
        <v/>
      </c>
      <c r="M4481">
        <f>VLOOKUP(F4481,Sheet2!$B$1:$E$19,2,FALSE)</f>
        <v>1073</v>
      </c>
      <c r="N4481">
        <f>VLOOKUP(F4481,Sheet2!$B$1:$E$19,3,FALSE)</f>
        <v>1108963</v>
      </c>
      <c r="O4481" t="str">
        <f>IF(G4481="Not available","",VLOOKUP(F4481,Sheet2!$B$1:$E$19,4,FALSE)+(G4481-1))</f>
        <v/>
      </c>
    </row>
    <row r="4482" spans="1:15" s="1" customFormat="1" ht="15" customHeight="1" x14ac:dyDescent="0.25">
      <c r="A4482" s="18" t="s">
        <v>1221</v>
      </c>
      <c r="B4482" s="18" t="s">
        <v>992</v>
      </c>
      <c r="C4482" s="10" t="s">
        <v>2081</v>
      </c>
      <c r="D4482" s="3" t="s">
        <v>2710</v>
      </c>
      <c r="E4482" s="4" t="s">
        <v>2</v>
      </c>
      <c r="F4482" s="18">
        <v>2176</v>
      </c>
      <c r="G4482" s="18" t="s">
        <v>3271</v>
      </c>
      <c r="H4482" s="10" t="s">
        <v>1981</v>
      </c>
      <c r="I4482" s="3">
        <v>42</v>
      </c>
      <c r="J4482" s="3" t="s">
        <v>3271</v>
      </c>
      <c r="K4482" s="3"/>
      <c r="L4482" t="str">
        <f t="shared" si="69"/>
        <v/>
      </c>
      <c r="M4482">
        <f>VLOOKUP(F4482,Sheet2!$B$1:$E$19,2,FALSE)</f>
        <v>1073</v>
      </c>
      <c r="N4482">
        <f>VLOOKUP(F4482,Sheet2!$B$1:$E$19,3,FALSE)</f>
        <v>1108963</v>
      </c>
      <c r="O4482" t="str">
        <f>IF(G4482="Not available","",VLOOKUP(F4482,Sheet2!$B$1:$E$19,4,FALSE)+(G4482-1))</f>
        <v/>
      </c>
    </row>
    <row r="4483" spans="1:15" s="1" customFormat="1" ht="15" customHeight="1" x14ac:dyDescent="0.25">
      <c r="A4483" s="18" t="s">
        <v>1221</v>
      </c>
      <c r="B4483" s="18" t="s">
        <v>992</v>
      </c>
      <c r="C4483" s="5" t="s">
        <v>1830</v>
      </c>
      <c r="D4483" s="1" t="s">
        <v>998</v>
      </c>
      <c r="E4483" s="1" t="s">
        <v>2</v>
      </c>
      <c r="F4483" s="18">
        <v>2165</v>
      </c>
      <c r="G4483" s="18">
        <v>249</v>
      </c>
      <c r="H4483" s="5">
        <v>3</v>
      </c>
      <c r="I4483" s="1">
        <v>251</v>
      </c>
      <c r="J4483" s="1">
        <v>227</v>
      </c>
      <c r="L4483" t="str">
        <f t="shared" ref="L4483:L4546" si="70">IF(G4483="Not available","","http://www.badatelna.eu/reprodukce/?fondId="&amp;M4483&amp;"&amp;zaznamId="&amp;N4483&amp;"&amp;reproId="&amp;O4483)</f>
        <v>http://www.badatelna.eu/reprodukce/?fondId=1073&amp;zaznamId=1108952&amp;reproId=3779110</v>
      </c>
      <c r="M4483">
        <f>VLOOKUP(F4483,Sheet2!$B$1:$E$19,2,FALSE)</f>
        <v>1073</v>
      </c>
      <c r="N4483">
        <f>VLOOKUP(F4483,Sheet2!$B$1:$E$19,3,FALSE)</f>
        <v>1108952</v>
      </c>
      <c r="O4483">
        <f>IF(G4483="Not available","",VLOOKUP(F4483,Sheet2!$B$1:$E$19,4,FALSE)+(G4483-1))</f>
        <v>3779110</v>
      </c>
    </row>
    <row r="4484" spans="1:15" s="3" customFormat="1" ht="15" customHeight="1" x14ac:dyDescent="0.25">
      <c r="A4484" s="19" t="s">
        <v>3019</v>
      </c>
      <c r="B4484" s="18" t="s">
        <v>14</v>
      </c>
      <c r="C4484" s="5">
        <v>1803</v>
      </c>
      <c r="D4484" s="1"/>
      <c r="E4484" s="1" t="s">
        <v>2</v>
      </c>
      <c r="F4484" s="18">
        <v>2173</v>
      </c>
      <c r="G4484" s="18">
        <v>47</v>
      </c>
      <c r="H4484" s="5">
        <v>89</v>
      </c>
      <c r="I4484" s="1">
        <v>116</v>
      </c>
      <c r="J4484" s="1">
        <v>252</v>
      </c>
      <c r="K4484" s="1"/>
      <c r="L4484" t="str">
        <f t="shared" si="70"/>
        <v>http://www.badatelna.eu/reprodukce/?fondId=1073&amp;zaznamId=1108959&amp;reproId=3780040</v>
      </c>
      <c r="M4484">
        <f>VLOOKUP(F4484,Sheet2!$B$1:$E$19,2,FALSE)</f>
        <v>1073</v>
      </c>
      <c r="N4484">
        <f>VLOOKUP(F4484,Sheet2!$B$1:$E$19,3,FALSE)</f>
        <v>1108959</v>
      </c>
      <c r="O4484">
        <f>IF(G4484="Not available","",VLOOKUP(F4484,Sheet2!$B$1:$E$19,4,FALSE)+(G4484-1))</f>
        <v>3780040</v>
      </c>
    </row>
    <row r="4485" spans="1:15" s="3" customFormat="1" ht="15" customHeight="1" x14ac:dyDescent="0.25">
      <c r="A4485" s="19" t="s">
        <v>902</v>
      </c>
      <c r="B4485" s="18" t="s">
        <v>162</v>
      </c>
      <c r="C4485" s="5">
        <v>1809</v>
      </c>
      <c r="D4485" s="1"/>
      <c r="E4485" s="1" t="s">
        <v>2</v>
      </c>
      <c r="F4485" s="18">
        <v>2173</v>
      </c>
      <c r="G4485" s="18">
        <v>55</v>
      </c>
      <c r="H4485" s="14" t="s">
        <v>3013</v>
      </c>
      <c r="I4485" s="1">
        <v>116</v>
      </c>
      <c r="J4485" s="1">
        <v>252</v>
      </c>
      <c r="K4485" s="1"/>
      <c r="L4485" t="str">
        <f t="shared" si="70"/>
        <v>http://www.badatelna.eu/reprodukce/?fondId=1073&amp;zaznamId=1108959&amp;reproId=3780048</v>
      </c>
      <c r="M4485">
        <f>VLOOKUP(F4485,Sheet2!$B$1:$E$19,2,FALSE)</f>
        <v>1073</v>
      </c>
      <c r="N4485">
        <f>VLOOKUP(F4485,Sheet2!$B$1:$E$19,3,FALSE)</f>
        <v>1108959</v>
      </c>
      <c r="O4485">
        <f>IF(G4485="Not available","",VLOOKUP(F4485,Sheet2!$B$1:$E$19,4,FALSE)+(G4485-1))</f>
        <v>3780048</v>
      </c>
    </row>
    <row r="4486" spans="1:15" s="3" customFormat="1" ht="15" customHeight="1" x14ac:dyDescent="0.25">
      <c r="A4486" s="18" t="s">
        <v>902</v>
      </c>
      <c r="B4486" s="19" t="s">
        <v>249</v>
      </c>
      <c r="C4486" s="5">
        <v>1810</v>
      </c>
      <c r="D4486" s="1"/>
      <c r="E4486" s="1" t="s">
        <v>2</v>
      </c>
      <c r="F4486" s="18">
        <v>2173</v>
      </c>
      <c r="G4486" s="18">
        <v>56</v>
      </c>
      <c r="H4486" s="14" t="s">
        <v>2982</v>
      </c>
      <c r="I4486" s="1">
        <v>116</v>
      </c>
      <c r="J4486" s="1">
        <v>252</v>
      </c>
      <c r="K4486" s="1"/>
      <c r="L4486" t="str">
        <f t="shared" si="70"/>
        <v>http://www.badatelna.eu/reprodukce/?fondId=1073&amp;zaznamId=1108959&amp;reproId=3780049</v>
      </c>
      <c r="M4486">
        <f>VLOOKUP(F4486,Sheet2!$B$1:$E$19,2,FALSE)</f>
        <v>1073</v>
      </c>
      <c r="N4486">
        <f>VLOOKUP(F4486,Sheet2!$B$1:$E$19,3,FALSE)</f>
        <v>1108959</v>
      </c>
      <c r="O4486">
        <f>IF(G4486="Not available","",VLOOKUP(F4486,Sheet2!$B$1:$E$19,4,FALSE)+(G4486-1))</f>
        <v>3780049</v>
      </c>
    </row>
    <row r="4487" spans="1:15" s="3" customFormat="1" ht="15" customHeight="1" x14ac:dyDescent="0.25">
      <c r="A4487" s="18" t="s">
        <v>902</v>
      </c>
      <c r="B4487" s="18" t="s">
        <v>920</v>
      </c>
      <c r="C4487" s="5">
        <v>1853</v>
      </c>
      <c r="D4487" s="1" t="s">
        <v>921</v>
      </c>
      <c r="E4487" s="1" t="s">
        <v>2</v>
      </c>
      <c r="F4487" s="18">
        <v>2164</v>
      </c>
      <c r="G4487" s="18">
        <v>90</v>
      </c>
      <c r="H4487" s="5">
        <v>88</v>
      </c>
      <c r="I4487" s="1">
        <v>139</v>
      </c>
      <c r="J4487" s="3" t="s">
        <v>3271</v>
      </c>
      <c r="K4487" s="1"/>
      <c r="L4487" t="str">
        <f t="shared" si="70"/>
        <v>http://www.badatelna.eu/reprodukce/?fondId=1073&amp;zaznamId=1108951&amp;reproId=3778804</v>
      </c>
      <c r="M4487">
        <f>VLOOKUP(F4487,Sheet2!$B$1:$E$19,2,FALSE)</f>
        <v>1073</v>
      </c>
      <c r="N4487">
        <f>VLOOKUP(F4487,Sheet2!$B$1:$E$19,3,FALSE)</f>
        <v>1108951</v>
      </c>
      <c r="O4487">
        <f>IF(G4487="Not available","",VLOOKUP(F4487,Sheet2!$B$1:$E$19,4,FALSE)+(G4487-1))</f>
        <v>3778804</v>
      </c>
    </row>
    <row r="4488" spans="1:15" s="3" customFormat="1" ht="15" customHeight="1" x14ac:dyDescent="0.25">
      <c r="A4488" s="19" t="s">
        <v>902</v>
      </c>
      <c r="B4488" s="18" t="s">
        <v>75</v>
      </c>
      <c r="C4488" s="5">
        <v>1807</v>
      </c>
      <c r="D4488" s="1"/>
      <c r="E4488" s="1" t="s">
        <v>2</v>
      </c>
      <c r="F4488" s="18">
        <v>2173</v>
      </c>
      <c r="G4488" s="18">
        <v>47</v>
      </c>
      <c r="H4488" s="14" t="s">
        <v>3020</v>
      </c>
      <c r="I4488" s="1">
        <v>116</v>
      </c>
      <c r="J4488" s="1">
        <v>252</v>
      </c>
      <c r="K4488" s="1"/>
      <c r="L4488" t="str">
        <f t="shared" si="70"/>
        <v>http://www.badatelna.eu/reprodukce/?fondId=1073&amp;zaznamId=1108959&amp;reproId=3780040</v>
      </c>
      <c r="M4488">
        <f>VLOOKUP(F4488,Sheet2!$B$1:$E$19,2,FALSE)</f>
        <v>1073</v>
      </c>
      <c r="N4488">
        <f>VLOOKUP(F4488,Sheet2!$B$1:$E$19,3,FALSE)</f>
        <v>1108959</v>
      </c>
      <c r="O4488">
        <f>IF(G4488="Not available","",VLOOKUP(F4488,Sheet2!$B$1:$E$19,4,FALSE)+(G4488-1))</f>
        <v>3780040</v>
      </c>
    </row>
    <row r="4489" spans="1:15" s="3" customFormat="1" ht="15" customHeight="1" x14ac:dyDescent="0.25">
      <c r="A4489" s="18" t="s">
        <v>902</v>
      </c>
      <c r="B4489" s="18" t="s">
        <v>847</v>
      </c>
      <c r="C4489" s="6" t="s">
        <v>2100</v>
      </c>
      <c r="D4489" s="4" t="s">
        <v>964</v>
      </c>
      <c r="E4489" s="1" t="s">
        <v>2</v>
      </c>
      <c r="F4489" s="18">
        <v>2165</v>
      </c>
      <c r="G4489" s="18">
        <v>308</v>
      </c>
      <c r="H4489" s="5">
        <v>1</v>
      </c>
      <c r="I4489" s="1">
        <v>311</v>
      </c>
      <c r="J4489" s="1">
        <v>284</v>
      </c>
      <c r="K4489" s="1"/>
      <c r="L4489" t="str">
        <f t="shared" si="70"/>
        <v>http://www.badatelna.eu/reprodukce/?fondId=1073&amp;zaznamId=1108952&amp;reproId=3779169</v>
      </c>
      <c r="M4489">
        <f>VLOOKUP(F4489,Sheet2!$B$1:$E$19,2,FALSE)</f>
        <v>1073</v>
      </c>
      <c r="N4489">
        <f>VLOOKUP(F4489,Sheet2!$B$1:$E$19,3,FALSE)</f>
        <v>1108952</v>
      </c>
      <c r="O4489">
        <f>IF(G4489="Not available","",VLOOKUP(F4489,Sheet2!$B$1:$E$19,4,FALSE)+(G4489-1))</f>
        <v>3779169</v>
      </c>
    </row>
    <row r="4490" spans="1:15" s="3" customFormat="1" ht="15" customHeight="1" x14ac:dyDescent="0.25">
      <c r="A4490" s="18" t="s">
        <v>902</v>
      </c>
      <c r="B4490" s="18" t="s">
        <v>1186</v>
      </c>
      <c r="C4490" s="14" t="s">
        <v>2098</v>
      </c>
      <c r="D4490" s="4" t="s">
        <v>1273</v>
      </c>
      <c r="E4490" s="1" t="s">
        <v>2</v>
      </c>
      <c r="F4490" s="18">
        <v>2165</v>
      </c>
      <c r="G4490" s="18">
        <v>302</v>
      </c>
      <c r="H4490" s="5">
        <v>1</v>
      </c>
      <c r="I4490" s="1">
        <v>306</v>
      </c>
      <c r="J4490" s="1">
        <v>279</v>
      </c>
      <c r="K4490" s="1"/>
      <c r="L4490" t="str">
        <f t="shared" si="70"/>
        <v>http://www.badatelna.eu/reprodukce/?fondId=1073&amp;zaznamId=1108952&amp;reproId=3779163</v>
      </c>
      <c r="M4490">
        <f>VLOOKUP(F4490,Sheet2!$B$1:$E$19,2,FALSE)</f>
        <v>1073</v>
      </c>
      <c r="N4490">
        <f>VLOOKUP(F4490,Sheet2!$B$1:$E$19,3,FALSE)</f>
        <v>1108952</v>
      </c>
      <c r="O4490">
        <f>IF(G4490="Not available","",VLOOKUP(F4490,Sheet2!$B$1:$E$19,4,FALSE)+(G4490-1))</f>
        <v>3779163</v>
      </c>
    </row>
    <row r="4491" spans="1:15" s="3" customFormat="1" ht="15" customHeight="1" x14ac:dyDescent="0.25">
      <c r="A4491" s="18" t="s">
        <v>902</v>
      </c>
      <c r="B4491" s="18" t="s">
        <v>665</v>
      </c>
      <c r="C4491" s="5">
        <v>1847</v>
      </c>
      <c r="D4491" s="1" t="s">
        <v>489</v>
      </c>
      <c r="E4491" s="1" t="s">
        <v>2</v>
      </c>
      <c r="F4491" s="18">
        <v>2164</v>
      </c>
      <c r="G4491" s="18">
        <v>10</v>
      </c>
      <c r="H4491" s="5">
        <v>8</v>
      </c>
      <c r="I4491" s="1">
        <v>139</v>
      </c>
      <c r="J4491" s="3" t="s">
        <v>3271</v>
      </c>
      <c r="K4491" s="1"/>
      <c r="L4491" t="str">
        <f t="shared" si="70"/>
        <v>http://www.badatelna.eu/reprodukce/?fondId=1073&amp;zaznamId=1108951&amp;reproId=3778724</v>
      </c>
      <c r="M4491">
        <f>VLOOKUP(F4491,Sheet2!$B$1:$E$19,2,FALSE)</f>
        <v>1073</v>
      </c>
      <c r="N4491">
        <f>VLOOKUP(F4491,Sheet2!$B$1:$E$19,3,FALSE)</f>
        <v>1108951</v>
      </c>
      <c r="O4491">
        <f>IF(G4491="Not available","",VLOOKUP(F4491,Sheet2!$B$1:$E$19,4,FALSE)+(G4491-1))</f>
        <v>3778724</v>
      </c>
    </row>
    <row r="4492" spans="1:15" s="3" customFormat="1" ht="15" customHeight="1" x14ac:dyDescent="0.25">
      <c r="A4492" s="18" t="s">
        <v>771</v>
      </c>
      <c r="B4492" s="18" t="s">
        <v>1043</v>
      </c>
      <c r="C4492" s="10" t="s">
        <v>2026</v>
      </c>
      <c r="D4492" s="3" t="s">
        <v>2511</v>
      </c>
      <c r="E4492" s="4" t="s">
        <v>2</v>
      </c>
      <c r="F4492" s="18">
        <v>2176</v>
      </c>
      <c r="G4492" s="18" t="s">
        <v>3271</v>
      </c>
      <c r="H4492" s="10" t="s">
        <v>1979</v>
      </c>
      <c r="I4492" s="3">
        <v>41</v>
      </c>
      <c r="J4492" s="3" t="s">
        <v>3271</v>
      </c>
      <c r="L4492" t="str">
        <f t="shared" si="70"/>
        <v/>
      </c>
      <c r="M4492">
        <f>VLOOKUP(F4492,Sheet2!$B$1:$E$19,2,FALSE)</f>
        <v>1073</v>
      </c>
      <c r="N4492">
        <f>VLOOKUP(F4492,Sheet2!$B$1:$E$19,3,FALSE)</f>
        <v>1108963</v>
      </c>
      <c r="O4492" t="str">
        <f>IF(G4492="Not available","",VLOOKUP(F4492,Sheet2!$B$1:$E$19,4,FALSE)+(G4492-1))</f>
        <v/>
      </c>
    </row>
    <row r="4493" spans="1:15" s="3" customFormat="1" ht="15" customHeight="1" x14ac:dyDescent="0.25">
      <c r="A4493" s="18" t="s">
        <v>771</v>
      </c>
      <c r="B4493" s="18" t="s">
        <v>135</v>
      </c>
      <c r="C4493" s="5">
        <v>1844</v>
      </c>
      <c r="D4493" s="1" t="s">
        <v>489</v>
      </c>
      <c r="E4493" s="1" t="s">
        <v>2</v>
      </c>
      <c r="F4493" s="18">
        <v>2174</v>
      </c>
      <c r="G4493" s="18">
        <v>152</v>
      </c>
      <c r="H4493" s="6" t="s">
        <v>3219</v>
      </c>
      <c r="I4493" s="1">
        <v>202</v>
      </c>
      <c r="J4493" s="1">
        <v>238</v>
      </c>
      <c r="K4493" s="1"/>
      <c r="L4493" t="str">
        <f t="shared" si="70"/>
        <v>http://www.badatelna.eu/reprodukce/?fondId=1073&amp;zaznamId=1108960&amp;reproId=3780376</v>
      </c>
      <c r="M4493">
        <f>VLOOKUP(F4493,Sheet2!$B$1:$E$19,2,FALSE)</f>
        <v>1073</v>
      </c>
      <c r="N4493">
        <f>VLOOKUP(F4493,Sheet2!$B$1:$E$19,3,FALSE)</f>
        <v>1108960</v>
      </c>
      <c r="O4493">
        <f>IF(G4493="Not available","",VLOOKUP(F4493,Sheet2!$B$1:$E$19,4,FALSE)+(G4493-1))</f>
        <v>3780376</v>
      </c>
    </row>
    <row r="4494" spans="1:15" s="3" customFormat="1" ht="15" customHeight="1" x14ac:dyDescent="0.25">
      <c r="A4494" s="18" t="s">
        <v>771</v>
      </c>
      <c r="B4494" s="18" t="s">
        <v>100</v>
      </c>
      <c r="C4494" s="5">
        <v>1849</v>
      </c>
      <c r="D4494" s="1" t="s">
        <v>495</v>
      </c>
      <c r="E4494" s="1" t="s">
        <v>2</v>
      </c>
      <c r="F4494" s="18">
        <v>2164</v>
      </c>
      <c r="G4494" s="18">
        <v>53</v>
      </c>
      <c r="H4494" s="5">
        <v>51</v>
      </c>
      <c r="I4494" s="1">
        <v>139</v>
      </c>
      <c r="J4494" s="3" t="s">
        <v>3271</v>
      </c>
      <c r="K4494" s="1"/>
      <c r="L4494" t="str">
        <f t="shared" si="70"/>
        <v>http://www.badatelna.eu/reprodukce/?fondId=1073&amp;zaznamId=1108951&amp;reproId=3778767</v>
      </c>
      <c r="M4494">
        <f>VLOOKUP(F4494,Sheet2!$B$1:$E$19,2,FALSE)</f>
        <v>1073</v>
      </c>
      <c r="N4494">
        <f>VLOOKUP(F4494,Sheet2!$B$1:$E$19,3,FALSE)</f>
        <v>1108951</v>
      </c>
      <c r="O4494">
        <f>IF(G4494="Not available","",VLOOKUP(F4494,Sheet2!$B$1:$E$19,4,FALSE)+(G4494-1))</f>
        <v>3778767</v>
      </c>
    </row>
    <row r="4495" spans="1:15" s="3" customFormat="1" ht="15" customHeight="1" x14ac:dyDescent="0.25">
      <c r="A4495" s="18" t="s">
        <v>534</v>
      </c>
      <c r="B4495" s="18" t="s">
        <v>74</v>
      </c>
      <c r="C4495" s="5">
        <v>1801</v>
      </c>
      <c r="D4495" s="1"/>
      <c r="E4495" s="1" t="s">
        <v>2</v>
      </c>
      <c r="F4495" s="18">
        <v>2173</v>
      </c>
      <c r="G4495" s="18">
        <v>43</v>
      </c>
      <c r="H4495" s="5">
        <v>80</v>
      </c>
      <c r="I4495" s="1">
        <v>116</v>
      </c>
      <c r="J4495" s="1">
        <v>252</v>
      </c>
      <c r="K4495" s="1"/>
      <c r="L4495" t="str">
        <f t="shared" si="70"/>
        <v>http://www.badatelna.eu/reprodukce/?fondId=1073&amp;zaznamId=1108959&amp;reproId=3780036</v>
      </c>
      <c r="M4495">
        <f>VLOOKUP(F4495,Sheet2!$B$1:$E$19,2,FALSE)</f>
        <v>1073</v>
      </c>
      <c r="N4495">
        <f>VLOOKUP(F4495,Sheet2!$B$1:$E$19,3,FALSE)</f>
        <v>1108959</v>
      </c>
      <c r="O4495">
        <f>IF(G4495="Not available","",VLOOKUP(F4495,Sheet2!$B$1:$E$19,4,FALSE)+(G4495-1))</f>
        <v>3780036</v>
      </c>
    </row>
    <row r="4496" spans="1:15" s="3" customFormat="1" ht="15" customHeight="1" x14ac:dyDescent="0.25">
      <c r="A4496" s="19" t="s">
        <v>534</v>
      </c>
      <c r="B4496" s="18" t="s">
        <v>74</v>
      </c>
      <c r="C4496" s="5">
        <v>1812</v>
      </c>
      <c r="D4496" s="1"/>
      <c r="E4496" s="1" t="s">
        <v>2</v>
      </c>
      <c r="F4496" s="18">
        <v>2173</v>
      </c>
      <c r="G4496" s="18">
        <v>59</v>
      </c>
      <c r="H4496" s="5">
        <v>113</v>
      </c>
      <c r="I4496" s="1">
        <v>116</v>
      </c>
      <c r="J4496" s="1">
        <v>253</v>
      </c>
      <c r="K4496" s="1"/>
      <c r="L4496" t="str">
        <f t="shared" si="70"/>
        <v>http://www.badatelna.eu/reprodukce/?fondId=1073&amp;zaznamId=1108959&amp;reproId=3780052</v>
      </c>
      <c r="M4496">
        <f>VLOOKUP(F4496,Sheet2!$B$1:$E$19,2,FALSE)</f>
        <v>1073</v>
      </c>
      <c r="N4496">
        <f>VLOOKUP(F4496,Sheet2!$B$1:$E$19,3,FALSE)</f>
        <v>1108959</v>
      </c>
      <c r="O4496">
        <f>IF(G4496="Not available","",VLOOKUP(F4496,Sheet2!$B$1:$E$19,4,FALSE)+(G4496-1))</f>
        <v>3780052</v>
      </c>
    </row>
    <row r="4497" spans="1:15" s="3" customFormat="1" ht="15" customHeight="1" x14ac:dyDescent="0.25">
      <c r="A4497" s="18" t="s">
        <v>534</v>
      </c>
      <c r="B4497" s="18" t="s">
        <v>144</v>
      </c>
      <c r="C4497" s="5">
        <v>1854</v>
      </c>
      <c r="D4497" s="1" t="s">
        <v>481</v>
      </c>
      <c r="E4497" s="1" t="s">
        <v>2</v>
      </c>
      <c r="F4497" s="18">
        <v>2164</v>
      </c>
      <c r="G4497" s="18">
        <v>95</v>
      </c>
      <c r="H4497" s="5">
        <v>93</v>
      </c>
      <c r="I4497" s="1">
        <v>139</v>
      </c>
      <c r="J4497" s="3" t="s">
        <v>3271</v>
      </c>
      <c r="K4497" s="1"/>
      <c r="L4497" t="str">
        <f t="shared" si="70"/>
        <v>http://www.badatelna.eu/reprodukce/?fondId=1073&amp;zaznamId=1108951&amp;reproId=3778809</v>
      </c>
      <c r="M4497">
        <f>VLOOKUP(F4497,Sheet2!$B$1:$E$19,2,FALSE)</f>
        <v>1073</v>
      </c>
      <c r="N4497">
        <f>VLOOKUP(F4497,Sheet2!$B$1:$E$19,3,FALSE)</f>
        <v>1108951</v>
      </c>
      <c r="O4497">
        <f>IF(G4497="Not available","",VLOOKUP(F4497,Sheet2!$B$1:$E$19,4,FALSE)+(G4497-1))</f>
        <v>3778809</v>
      </c>
    </row>
    <row r="4498" spans="1:15" s="3" customFormat="1" ht="15" customHeight="1" x14ac:dyDescent="0.25">
      <c r="A4498" s="18" t="s">
        <v>534</v>
      </c>
      <c r="B4498" s="18" t="s">
        <v>478</v>
      </c>
      <c r="C4498" s="5">
        <v>1851</v>
      </c>
      <c r="D4498" s="1" t="s">
        <v>495</v>
      </c>
      <c r="E4498" s="1" t="s">
        <v>2</v>
      </c>
      <c r="F4498" s="18">
        <v>2164</v>
      </c>
      <c r="G4498" s="18">
        <v>77</v>
      </c>
      <c r="H4498" s="5">
        <v>75</v>
      </c>
      <c r="I4498" s="1">
        <v>139</v>
      </c>
      <c r="J4498" s="3" t="s">
        <v>3271</v>
      </c>
      <c r="K4498" s="1"/>
      <c r="L4498" t="str">
        <f t="shared" si="70"/>
        <v>http://www.badatelna.eu/reprodukce/?fondId=1073&amp;zaznamId=1108951&amp;reproId=3778791</v>
      </c>
      <c r="M4498">
        <f>VLOOKUP(F4498,Sheet2!$B$1:$E$19,2,FALSE)</f>
        <v>1073</v>
      </c>
      <c r="N4498">
        <f>VLOOKUP(F4498,Sheet2!$B$1:$E$19,3,FALSE)</f>
        <v>1108951</v>
      </c>
      <c r="O4498">
        <f>IF(G4498="Not available","",VLOOKUP(F4498,Sheet2!$B$1:$E$19,4,FALSE)+(G4498-1))</f>
        <v>3778791</v>
      </c>
    </row>
    <row r="4499" spans="1:15" s="3" customFormat="1" ht="15" customHeight="1" x14ac:dyDescent="0.25">
      <c r="A4499" s="18" t="s">
        <v>534</v>
      </c>
      <c r="B4499" s="18" t="s">
        <v>564</v>
      </c>
      <c r="C4499" s="5">
        <v>1821</v>
      </c>
      <c r="D4499" s="1"/>
      <c r="E4499" s="1" t="s">
        <v>2</v>
      </c>
      <c r="F4499" s="18">
        <v>2173</v>
      </c>
      <c r="G4499" s="18">
        <v>71</v>
      </c>
      <c r="H4499" s="5">
        <v>135</v>
      </c>
      <c r="I4499" s="1">
        <v>116</v>
      </c>
      <c r="J4499" s="1">
        <v>253</v>
      </c>
      <c r="K4499" s="1"/>
      <c r="L4499" t="str">
        <f t="shared" si="70"/>
        <v>http://www.badatelna.eu/reprodukce/?fondId=1073&amp;zaznamId=1108959&amp;reproId=3780064</v>
      </c>
      <c r="M4499">
        <f>VLOOKUP(F4499,Sheet2!$B$1:$E$19,2,FALSE)</f>
        <v>1073</v>
      </c>
      <c r="N4499">
        <f>VLOOKUP(F4499,Sheet2!$B$1:$E$19,3,FALSE)</f>
        <v>1108959</v>
      </c>
      <c r="O4499">
        <f>IF(G4499="Not available","",VLOOKUP(F4499,Sheet2!$B$1:$E$19,4,FALSE)+(G4499-1))</f>
        <v>3780064</v>
      </c>
    </row>
    <row r="4500" spans="1:15" s="3" customFormat="1" ht="15" customHeight="1" x14ac:dyDescent="0.25">
      <c r="A4500" s="18" t="s">
        <v>534</v>
      </c>
      <c r="B4500" s="18" t="s">
        <v>484</v>
      </c>
      <c r="C4500" s="5">
        <v>1855</v>
      </c>
      <c r="D4500" s="1" t="s">
        <v>715</v>
      </c>
      <c r="E4500" s="1" t="s">
        <v>2</v>
      </c>
      <c r="F4500" s="18">
        <v>2164</v>
      </c>
      <c r="G4500" s="18">
        <v>104</v>
      </c>
      <c r="H4500" s="5">
        <v>102</v>
      </c>
      <c r="I4500" s="1">
        <v>140</v>
      </c>
      <c r="J4500" s="3" t="s">
        <v>3271</v>
      </c>
      <c r="K4500" s="1"/>
      <c r="L4500" t="str">
        <f t="shared" si="70"/>
        <v>http://www.badatelna.eu/reprodukce/?fondId=1073&amp;zaznamId=1108951&amp;reproId=3778818</v>
      </c>
      <c r="M4500">
        <f>VLOOKUP(F4500,Sheet2!$B$1:$E$19,2,FALSE)</f>
        <v>1073</v>
      </c>
      <c r="N4500">
        <f>VLOOKUP(F4500,Sheet2!$B$1:$E$19,3,FALSE)</f>
        <v>1108951</v>
      </c>
      <c r="O4500">
        <f>IF(G4500="Not available","",VLOOKUP(F4500,Sheet2!$B$1:$E$19,4,FALSE)+(G4500-1))</f>
        <v>3778818</v>
      </c>
    </row>
    <row r="4501" spans="1:15" s="3" customFormat="1" ht="15" customHeight="1" x14ac:dyDescent="0.25">
      <c r="A4501" s="18" t="s">
        <v>534</v>
      </c>
      <c r="B4501" s="18" t="s">
        <v>12</v>
      </c>
      <c r="C4501" s="5">
        <v>1793</v>
      </c>
      <c r="D4501" s="1" t="s">
        <v>17</v>
      </c>
      <c r="E4501" s="1" t="s">
        <v>2</v>
      </c>
      <c r="F4501" s="18">
        <v>2173</v>
      </c>
      <c r="G4501" s="18">
        <v>29</v>
      </c>
      <c r="H4501" s="5">
        <v>52</v>
      </c>
      <c r="I4501" s="1">
        <v>115</v>
      </c>
      <c r="J4501" s="1">
        <v>259</v>
      </c>
      <c r="K4501" s="1"/>
      <c r="L4501" t="str">
        <f t="shared" si="70"/>
        <v>http://www.badatelna.eu/reprodukce/?fondId=1073&amp;zaznamId=1108959&amp;reproId=3780022</v>
      </c>
      <c r="M4501">
        <f>VLOOKUP(F4501,Sheet2!$B$1:$E$19,2,FALSE)</f>
        <v>1073</v>
      </c>
      <c r="N4501">
        <f>VLOOKUP(F4501,Sheet2!$B$1:$E$19,3,FALSE)</f>
        <v>1108959</v>
      </c>
      <c r="O4501">
        <f>IF(G4501="Not available","",VLOOKUP(F4501,Sheet2!$B$1:$E$19,4,FALSE)+(G4501-1))</f>
        <v>3780022</v>
      </c>
    </row>
    <row r="4502" spans="1:15" s="3" customFormat="1" ht="15" customHeight="1" x14ac:dyDescent="0.25">
      <c r="A4502" s="19" t="s">
        <v>534</v>
      </c>
      <c r="B4502" s="18" t="s">
        <v>12</v>
      </c>
      <c r="C4502" s="5">
        <v>1816</v>
      </c>
      <c r="D4502" s="1"/>
      <c r="E4502" s="1" t="s">
        <v>2</v>
      </c>
      <c r="F4502" s="18">
        <v>2173</v>
      </c>
      <c r="G4502" s="18">
        <v>65</v>
      </c>
      <c r="H4502" s="5">
        <v>125</v>
      </c>
      <c r="I4502" s="1">
        <v>116</v>
      </c>
      <c r="J4502" s="1">
        <v>253</v>
      </c>
      <c r="K4502" s="1"/>
      <c r="L4502" t="str">
        <f t="shared" si="70"/>
        <v>http://www.badatelna.eu/reprodukce/?fondId=1073&amp;zaznamId=1108959&amp;reproId=3780058</v>
      </c>
      <c r="M4502">
        <f>VLOOKUP(F4502,Sheet2!$B$1:$E$19,2,FALSE)</f>
        <v>1073</v>
      </c>
      <c r="N4502">
        <f>VLOOKUP(F4502,Sheet2!$B$1:$E$19,3,FALSE)</f>
        <v>1108959</v>
      </c>
      <c r="O4502">
        <f>IF(G4502="Not available","",VLOOKUP(F4502,Sheet2!$B$1:$E$19,4,FALSE)+(G4502-1))</f>
        <v>3780058</v>
      </c>
    </row>
    <row r="4503" spans="1:15" s="3" customFormat="1" ht="15" customHeight="1" x14ac:dyDescent="0.25">
      <c r="A4503" s="18" t="s">
        <v>534</v>
      </c>
      <c r="B4503" s="18" t="s">
        <v>12</v>
      </c>
      <c r="C4503" s="5">
        <v>1851</v>
      </c>
      <c r="D4503" s="1" t="s">
        <v>489</v>
      </c>
      <c r="E4503" s="1" t="s">
        <v>2</v>
      </c>
      <c r="F4503" s="18">
        <v>2164</v>
      </c>
      <c r="G4503" s="18">
        <v>78</v>
      </c>
      <c r="H4503" s="5">
        <v>76</v>
      </c>
      <c r="I4503" s="1">
        <v>139</v>
      </c>
      <c r="J4503" s="3" t="s">
        <v>3271</v>
      </c>
      <c r="K4503" s="1"/>
      <c r="L4503" t="str">
        <f t="shared" si="70"/>
        <v>http://www.badatelna.eu/reprodukce/?fondId=1073&amp;zaznamId=1108951&amp;reproId=3778792</v>
      </c>
      <c r="M4503">
        <f>VLOOKUP(F4503,Sheet2!$B$1:$E$19,2,FALSE)</f>
        <v>1073</v>
      </c>
      <c r="N4503">
        <f>VLOOKUP(F4503,Sheet2!$B$1:$E$19,3,FALSE)</f>
        <v>1108951</v>
      </c>
      <c r="O4503">
        <f>IF(G4503="Not available","",VLOOKUP(F4503,Sheet2!$B$1:$E$19,4,FALSE)+(G4503-1))</f>
        <v>3778792</v>
      </c>
    </row>
    <row r="4504" spans="1:15" s="3" customFormat="1" ht="15" customHeight="1" x14ac:dyDescent="0.25">
      <c r="A4504" s="18" t="s">
        <v>534</v>
      </c>
      <c r="B4504" s="18" t="s">
        <v>2027</v>
      </c>
      <c r="C4504" s="10" t="s">
        <v>2098</v>
      </c>
      <c r="D4504" s="3" t="s">
        <v>2721</v>
      </c>
      <c r="E4504" s="4" t="s">
        <v>2</v>
      </c>
      <c r="F4504" s="18">
        <v>2176</v>
      </c>
      <c r="G4504" s="18" t="s">
        <v>3271</v>
      </c>
      <c r="H4504" s="10" t="s">
        <v>1954</v>
      </c>
      <c r="I4504" s="3">
        <v>42</v>
      </c>
      <c r="J4504" s="3" t="s">
        <v>3271</v>
      </c>
      <c r="L4504" t="str">
        <f t="shared" si="70"/>
        <v/>
      </c>
      <c r="M4504">
        <f>VLOOKUP(F4504,Sheet2!$B$1:$E$19,2,FALSE)</f>
        <v>1073</v>
      </c>
      <c r="N4504">
        <f>VLOOKUP(F4504,Sheet2!$B$1:$E$19,3,FALSE)</f>
        <v>1108963</v>
      </c>
      <c r="O4504" t="str">
        <f>IF(G4504="Not available","",VLOOKUP(F4504,Sheet2!$B$1:$E$19,4,FALSE)+(G4504-1))</f>
        <v/>
      </c>
    </row>
    <row r="4505" spans="1:15" s="3" customFormat="1" ht="15" customHeight="1" x14ac:dyDescent="0.25">
      <c r="A4505" s="18" t="s">
        <v>534</v>
      </c>
      <c r="B4505" s="18" t="s">
        <v>21</v>
      </c>
      <c r="C4505" s="5">
        <v>1798</v>
      </c>
      <c r="D4505" s="1" t="s">
        <v>81</v>
      </c>
      <c r="E4505" s="1" t="s">
        <v>2</v>
      </c>
      <c r="F4505" s="18">
        <v>2173</v>
      </c>
      <c r="G4505" s="18">
        <v>37</v>
      </c>
      <c r="H4505" s="5">
        <v>68</v>
      </c>
      <c r="I4505" s="1">
        <v>116</v>
      </c>
      <c r="J4505" s="1">
        <v>252</v>
      </c>
      <c r="K4505" s="1"/>
      <c r="L4505" t="str">
        <f t="shared" si="70"/>
        <v>http://www.badatelna.eu/reprodukce/?fondId=1073&amp;zaznamId=1108959&amp;reproId=3780030</v>
      </c>
      <c r="M4505">
        <f>VLOOKUP(F4505,Sheet2!$B$1:$E$19,2,FALSE)</f>
        <v>1073</v>
      </c>
      <c r="N4505">
        <f>VLOOKUP(F4505,Sheet2!$B$1:$E$19,3,FALSE)</f>
        <v>1108959</v>
      </c>
      <c r="O4505">
        <f>IF(G4505="Not available","",VLOOKUP(F4505,Sheet2!$B$1:$E$19,4,FALSE)+(G4505-1))</f>
        <v>3780030</v>
      </c>
    </row>
    <row r="4506" spans="1:15" s="3" customFormat="1" ht="15" customHeight="1" x14ac:dyDescent="0.25">
      <c r="A4506" s="19" t="s">
        <v>534</v>
      </c>
      <c r="B4506" s="18" t="s">
        <v>182</v>
      </c>
      <c r="C4506" s="5">
        <v>1818</v>
      </c>
      <c r="D4506" s="1"/>
      <c r="E4506" s="1" t="s">
        <v>2</v>
      </c>
      <c r="F4506" s="18">
        <v>2173</v>
      </c>
      <c r="G4506" s="18">
        <v>67</v>
      </c>
      <c r="H4506" s="6" t="s">
        <v>2999</v>
      </c>
      <c r="I4506" s="1">
        <v>116</v>
      </c>
      <c r="J4506" s="1">
        <v>253</v>
      </c>
      <c r="K4506" s="1"/>
      <c r="L4506" t="str">
        <f t="shared" si="70"/>
        <v>http://www.badatelna.eu/reprodukce/?fondId=1073&amp;zaznamId=1108959&amp;reproId=3780060</v>
      </c>
      <c r="M4506">
        <f>VLOOKUP(F4506,Sheet2!$B$1:$E$19,2,FALSE)</f>
        <v>1073</v>
      </c>
      <c r="N4506">
        <f>VLOOKUP(F4506,Sheet2!$B$1:$E$19,3,FALSE)</f>
        <v>1108959</v>
      </c>
      <c r="O4506">
        <f>IF(G4506="Not available","",VLOOKUP(F4506,Sheet2!$B$1:$E$19,4,FALSE)+(G4506-1))</f>
        <v>3780060</v>
      </c>
    </row>
    <row r="4507" spans="1:15" s="3" customFormat="1" ht="15" customHeight="1" x14ac:dyDescent="0.25">
      <c r="A4507" s="19" t="s">
        <v>534</v>
      </c>
      <c r="B4507" s="18" t="s">
        <v>76</v>
      </c>
      <c r="C4507" s="5">
        <v>1814</v>
      </c>
      <c r="D4507" s="1"/>
      <c r="E4507" s="1" t="s">
        <v>2</v>
      </c>
      <c r="F4507" s="18">
        <v>2173</v>
      </c>
      <c r="G4507" s="18">
        <v>63</v>
      </c>
      <c r="H4507" s="5">
        <v>120</v>
      </c>
      <c r="I4507" s="1">
        <v>116</v>
      </c>
      <c r="J4507" s="1">
        <v>253</v>
      </c>
      <c r="K4507" s="1"/>
      <c r="L4507" t="str">
        <f t="shared" si="70"/>
        <v>http://www.badatelna.eu/reprodukce/?fondId=1073&amp;zaznamId=1108959&amp;reproId=3780056</v>
      </c>
      <c r="M4507">
        <f>VLOOKUP(F4507,Sheet2!$B$1:$E$19,2,FALSE)</f>
        <v>1073</v>
      </c>
      <c r="N4507">
        <f>VLOOKUP(F4507,Sheet2!$B$1:$E$19,3,FALSE)</f>
        <v>1108959</v>
      </c>
      <c r="O4507">
        <f>IF(G4507="Not available","",VLOOKUP(F4507,Sheet2!$B$1:$E$19,4,FALSE)+(G4507-1))</f>
        <v>3780056</v>
      </c>
    </row>
    <row r="4508" spans="1:15" s="3" customFormat="1" ht="15" customHeight="1" x14ac:dyDescent="0.25">
      <c r="A4508" s="18" t="s">
        <v>1094</v>
      </c>
      <c r="B4508" s="18" t="s">
        <v>593</v>
      </c>
      <c r="C4508" s="5" t="s">
        <v>1633</v>
      </c>
      <c r="D4508" s="1" t="s">
        <v>233</v>
      </c>
      <c r="E4508" s="1" t="s">
        <v>2</v>
      </c>
      <c r="F4508" s="18">
        <v>2165</v>
      </c>
      <c r="G4508" s="18">
        <v>26</v>
      </c>
      <c r="H4508" s="5">
        <v>23</v>
      </c>
      <c r="I4508" s="1">
        <v>93</v>
      </c>
      <c r="J4508" s="1" t="s">
        <v>3271</v>
      </c>
      <c r="K4508" s="1"/>
      <c r="L4508" t="str">
        <f t="shared" si="70"/>
        <v>http://www.badatelna.eu/reprodukce/?fondId=1073&amp;zaznamId=1108952&amp;reproId=3778887</v>
      </c>
      <c r="M4508">
        <f>VLOOKUP(F4508,Sheet2!$B$1:$E$19,2,FALSE)</f>
        <v>1073</v>
      </c>
      <c r="N4508">
        <f>VLOOKUP(F4508,Sheet2!$B$1:$E$19,3,FALSE)</f>
        <v>1108952</v>
      </c>
      <c r="O4508">
        <f>IF(G4508="Not available","",VLOOKUP(F4508,Sheet2!$B$1:$E$19,4,FALSE)+(G4508-1))</f>
        <v>3778887</v>
      </c>
    </row>
    <row r="4509" spans="1:15" s="3" customFormat="1" ht="15" customHeight="1" x14ac:dyDescent="0.25">
      <c r="A4509" s="18" t="s">
        <v>1094</v>
      </c>
      <c r="B4509" s="18" t="s">
        <v>1061</v>
      </c>
      <c r="C4509" s="5" t="s">
        <v>1634</v>
      </c>
      <c r="D4509" s="1" t="s">
        <v>233</v>
      </c>
      <c r="E4509" s="1" t="s">
        <v>2</v>
      </c>
      <c r="F4509" s="18">
        <v>2165</v>
      </c>
      <c r="G4509" s="18">
        <v>43</v>
      </c>
      <c r="H4509" s="5">
        <v>40</v>
      </c>
      <c r="I4509" s="1">
        <v>93</v>
      </c>
      <c r="J4509" s="1" t="s">
        <v>3271</v>
      </c>
      <c r="K4509" s="1"/>
      <c r="L4509" t="str">
        <f t="shared" si="70"/>
        <v>http://www.badatelna.eu/reprodukce/?fondId=1073&amp;zaznamId=1108952&amp;reproId=3778904</v>
      </c>
      <c r="M4509">
        <f>VLOOKUP(F4509,Sheet2!$B$1:$E$19,2,FALSE)</f>
        <v>1073</v>
      </c>
      <c r="N4509">
        <f>VLOOKUP(F4509,Sheet2!$B$1:$E$19,3,FALSE)</f>
        <v>1108952</v>
      </c>
      <c r="O4509">
        <f>IF(G4509="Not available","",VLOOKUP(F4509,Sheet2!$B$1:$E$19,4,FALSE)+(G4509-1))</f>
        <v>3778904</v>
      </c>
    </row>
    <row r="4510" spans="1:15" s="3" customFormat="1" ht="15" customHeight="1" x14ac:dyDescent="0.25">
      <c r="A4510" s="18" t="s">
        <v>511</v>
      </c>
      <c r="B4510" s="18" t="s">
        <v>738</v>
      </c>
      <c r="C4510" s="10" t="s">
        <v>2596</v>
      </c>
      <c r="D4510" s="3" t="s">
        <v>2658</v>
      </c>
      <c r="E4510" s="4" t="s">
        <v>2</v>
      </c>
      <c r="F4510" s="18">
        <v>2176</v>
      </c>
      <c r="G4510" s="18" t="s">
        <v>3271</v>
      </c>
      <c r="H4510" s="10" t="s">
        <v>2033</v>
      </c>
      <c r="I4510" s="3">
        <v>40</v>
      </c>
      <c r="J4510" s="3" t="s">
        <v>3271</v>
      </c>
      <c r="K4510" s="1"/>
      <c r="L4510" t="str">
        <f t="shared" si="70"/>
        <v/>
      </c>
      <c r="M4510">
        <f>VLOOKUP(F4510,Sheet2!$B$1:$E$19,2,FALSE)</f>
        <v>1073</v>
      </c>
      <c r="N4510">
        <f>VLOOKUP(F4510,Sheet2!$B$1:$E$19,3,FALSE)</f>
        <v>1108963</v>
      </c>
      <c r="O4510" t="str">
        <f>IF(G4510="Not available","",VLOOKUP(F4510,Sheet2!$B$1:$E$19,4,FALSE)+(G4510-1))</f>
        <v/>
      </c>
    </row>
    <row r="4511" spans="1:15" s="3" customFormat="1" ht="15" customHeight="1" x14ac:dyDescent="0.25">
      <c r="A4511" s="18" t="s">
        <v>511</v>
      </c>
      <c r="B4511" s="18" t="s">
        <v>932</v>
      </c>
      <c r="C4511" s="5">
        <v>1857</v>
      </c>
      <c r="D4511" s="1" t="s">
        <v>304</v>
      </c>
      <c r="E4511" s="1" t="s">
        <v>2</v>
      </c>
      <c r="F4511" s="18">
        <v>2164</v>
      </c>
      <c r="G4511" s="18">
        <v>118</v>
      </c>
      <c r="H4511" s="5">
        <v>116</v>
      </c>
      <c r="I4511" s="1">
        <v>140</v>
      </c>
      <c r="J4511" s="3" t="s">
        <v>3271</v>
      </c>
      <c r="K4511" s="1"/>
      <c r="L4511" t="str">
        <f t="shared" si="70"/>
        <v>http://www.badatelna.eu/reprodukce/?fondId=1073&amp;zaznamId=1108951&amp;reproId=3778832</v>
      </c>
      <c r="M4511">
        <f>VLOOKUP(F4511,Sheet2!$B$1:$E$19,2,FALSE)</f>
        <v>1073</v>
      </c>
      <c r="N4511">
        <f>VLOOKUP(F4511,Sheet2!$B$1:$E$19,3,FALSE)</f>
        <v>1108951</v>
      </c>
      <c r="O4511">
        <f>IF(G4511="Not available","",VLOOKUP(F4511,Sheet2!$B$1:$E$19,4,FALSE)+(G4511-1))</f>
        <v>3778832</v>
      </c>
    </row>
    <row r="4512" spans="1:15" s="3" customFormat="1" ht="15" customHeight="1" x14ac:dyDescent="0.25">
      <c r="A4512" s="18" t="s">
        <v>511</v>
      </c>
      <c r="B4512" s="18" t="s">
        <v>963</v>
      </c>
      <c r="C4512" s="5" t="s">
        <v>1614</v>
      </c>
      <c r="D4512" s="1" t="s">
        <v>1074</v>
      </c>
      <c r="E4512" s="1" t="s">
        <v>2</v>
      </c>
      <c r="F4512" s="18">
        <v>2165</v>
      </c>
      <c r="G4512" s="18">
        <v>22</v>
      </c>
      <c r="H4512" s="5">
        <v>19</v>
      </c>
      <c r="I4512" s="1">
        <v>92</v>
      </c>
      <c r="J4512" s="1" t="s">
        <v>3271</v>
      </c>
      <c r="K4512" s="1"/>
      <c r="L4512" t="str">
        <f t="shared" si="70"/>
        <v>http://www.badatelna.eu/reprodukce/?fondId=1073&amp;zaznamId=1108952&amp;reproId=3778883</v>
      </c>
      <c r="M4512">
        <f>VLOOKUP(F4512,Sheet2!$B$1:$E$19,2,FALSE)</f>
        <v>1073</v>
      </c>
      <c r="N4512">
        <f>VLOOKUP(F4512,Sheet2!$B$1:$E$19,3,FALSE)</f>
        <v>1108952</v>
      </c>
      <c r="O4512">
        <f>IF(G4512="Not available","",VLOOKUP(F4512,Sheet2!$B$1:$E$19,4,FALSE)+(G4512-1))</f>
        <v>3778883</v>
      </c>
    </row>
    <row r="4513" spans="1:15" s="3" customFormat="1" ht="15" customHeight="1" x14ac:dyDescent="0.25">
      <c r="A4513" s="18" t="s">
        <v>511</v>
      </c>
      <c r="B4513" s="18" t="s">
        <v>973</v>
      </c>
      <c r="C4513" s="5">
        <v>1863</v>
      </c>
      <c r="D4513" s="1"/>
      <c r="E4513" s="1" t="s">
        <v>939</v>
      </c>
      <c r="F4513" s="18">
        <v>999</v>
      </c>
      <c r="G4513" s="18">
        <v>44</v>
      </c>
      <c r="H4513" s="5">
        <v>42</v>
      </c>
      <c r="I4513" s="1">
        <v>76</v>
      </c>
      <c r="J4513" s="1">
        <v>110</v>
      </c>
      <c r="K4513" s="1"/>
      <c r="L4513" t="str">
        <f t="shared" si="70"/>
        <v>http://www.badatelna.eu/reprodukce/?fondId=241&amp;zaznamId=1133739&amp;reproId=3885773</v>
      </c>
      <c r="M4513">
        <f>VLOOKUP(F4513,Sheet2!$B$1:$E$19,2,FALSE)</f>
        <v>241</v>
      </c>
      <c r="N4513">
        <f>VLOOKUP(F4513,Sheet2!$B$1:$E$19,3,FALSE)</f>
        <v>1133739</v>
      </c>
      <c r="O4513">
        <f>IF(G4513="Not available","",VLOOKUP(F4513,Sheet2!$B$1:$E$19,4,FALSE)+(G4513-1))</f>
        <v>3885773</v>
      </c>
    </row>
    <row r="4514" spans="1:15" s="3" customFormat="1" ht="15" customHeight="1" x14ac:dyDescent="0.25">
      <c r="A4514" s="18" t="s">
        <v>511</v>
      </c>
      <c r="B4514" s="18" t="s">
        <v>92</v>
      </c>
      <c r="C4514" s="5">
        <v>1862</v>
      </c>
      <c r="D4514" s="1"/>
      <c r="E4514" s="1" t="s">
        <v>939</v>
      </c>
      <c r="F4514" s="18">
        <v>999</v>
      </c>
      <c r="G4514" s="18">
        <v>37</v>
      </c>
      <c r="H4514" s="5">
        <v>35</v>
      </c>
      <c r="I4514" s="1">
        <v>76</v>
      </c>
      <c r="J4514" s="1">
        <v>110</v>
      </c>
      <c r="K4514" s="1"/>
      <c r="L4514" t="str">
        <f t="shared" si="70"/>
        <v>http://www.badatelna.eu/reprodukce/?fondId=241&amp;zaznamId=1133739&amp;reproId=3885766</v>
      </c>
      <c r="M4514">
        <f>VLOOKUP(F4514,Sheet2!$B$1:$E$19,2,FALSE)</f>
        <v>241</v>
      </c>
      <c r="N4514">
        <f>VLOOKUP(F4514,Sheet2!$B$1:$E$19,3,FALSE)</f>
        <v>1133739</v>
      </c>
      <c r="O4514">
        <f>IF(G4514="Not available","",VLOOKUP(F4514,Sheet2!$B$1:$E$19,4,FALSE)+(G4514-1))</f>
        <v>3885766</v>
      </c>
    </row>
    <row r="4515" spans="1:15" s="3" customFormat="1" ht="15" customHeight="1" x14ac:dyDescent="0.25">
      <c r="A4515" s="18" t="s">
        <v>511</v>
      </c>
      <c r="B4515" s="18" t="s">
        <v>92</v>
      </c>
      <c r="C4515" s="5" t="s">
        <v>1615</v>
      </c>
      <c r="D4515" s="1" t="s">
        <v>9</v>
      </c>
      <c r="E4515" s="1" t="s">
        <v>2</v>
      </c>
      <c r="F4515" s="18">
        <v>2165</v>
      </c>
      <c r="G4515" s="18">
        <v>25</v>
      </c>
      <c r="H4515" s="5">
        <v>22</v>
      </c>
      <c r="I4515" s="1">
        <v>92</v>
      </c>
      <c r="J4515" s="1" t="s">
        <v>3271</v>
      </c>
      <c r="K4515" s="1"/>
      <c r="L4515" t="str">
        <f t="shared" si="70"/>
        <v>http://www.badatelna.eu/reprodukce/?fondId=1073&amp;zaznamId=1108952&amp;reproId=3778886</v>
      </c>
      <c r="M4515">
        <f>VLOOKUP(F4515,Sheet2!$B$1:$E$19,2,FALSE)</f>
        <v>1073</v>
      </c>
      <c r="N4515">
        <f>VLOOKUP(F4515,Sheet2!$B$1:$E$19,3,FALSE)</f>
        <v>1108952</v>
      </c>
      <c r="O4515">
        <f>IF(G4515="Not available","",VLOOKUP(F4515,Sheet2!$B$1:$E$19,4,FALSE)+(G4515-1))</f>
        <v>3778886</v>
      </c>
    </row>
    <row r="4516" spans="1:15" s="3" customFormat="1" ht="15" customHeight="1" x14ac:dyDescent="0.25">
      <c r="A4516" s="18" t="s">
        <v>511</v>
      </c>
      <c r="B4516" s="18" t="s">
        <v>1968</v>
      </c>
      <c r="C4516" s="10" t="s">
        <v>2026</v>
      </c>
      <c r="D4516" s="3" t="s">
        <v>2680</v>
      </c>
      <c r="E4516" s="4" t="s">
        <v>2</v>
      </c>
      <c r="F4516" s="18">
        <v>2176</v>
      </c>
      <c r="G4516" s="18" t="s">
        <v>3271</v>
      </c>
      <c r="H4516" s="10" t="s">
        <v>2086</v>
      </c>
      <c r="I4516" s="3">
        <v>41</v>
      </c>
      <c r="J4516" s="3" t="s">
        <v>3271</v>
      </c>
      <c r="L4516" t="str">
        <f t="shared" si="70"/>
        <v/>
      </c>
      <c r="M4516">
        <f>VLOOKUP(F4516,Sheet2!$B$1:$E$19,2,FALSE)</f>
        <v>1073</v>
      </c>
      <c r="N4516">
        <f>VLOOKUP(F4516,Sheet2!$B$1:$E$19,3,FALSE)</f>
        <v>1108963</v>
      </c>
      <c r="O4516" t="str">
        <f>IF(G4516="Not available","",VLOOKUP(F4516,Sheet2!$B$1:$E$19,4,FALSE)+(G4516-1))</f>
        <v/>
      </c>
    </row>
    <row r="4517" spans="1:15" s="3" customFormat="1" ht="15" customHeight="1" x14ac:dyDescent="0.25">
      <c r="A4517" s="18" t="s">
        <v>511</v>
      </c>
      <c r="B4517" s="18" t="s">
        <v>144</v>
      </c>
      <c r="C4517" s="5">
        <v>1850</v>
      </c>
      <c r="D4517" s="1" t="s">
        <v>913</v>
      </c>
      <c r="E4517" s="1" t="s">
        <v>2</v>
      </c>
      <c r="F4517" s="18">
        <v>2164</v>
      </c>
      <c r="G4517" s="18">
        <v>69</v>
      </c>
      <c r="H4517" s="5">
        <v>67</v>
      </c>
      <c r="I4517" s="1">
        <v>139</v>
      </c>
      <c r="J4517" s="3" t="s">
        <v>3271</v>
      </c>
      <c r="K4517" s="1"/>
      <c r="L4517" t="str">
        <f t="shared" si="70"/>
        <v>http://www.badatelna.eu/reprodukce/?fondId=1073&amp;zaznamId=1108951&amp;reproId=3778783</v>
      </c>
      <c r="M4517">
        <f>VLOOKUP(F4517,Sheet2!$B$1:$E$19,2,FALSE)</f>
        <v>1073</v>
      </c>
      <c r="N4517">
        <f>VLOOKUP(F4517,Sheet2!$B$1:$E$19,3,FALSE)</f>
        <v>1108951</v>
      </c>
      <c r="O4517">
        <f>IF(G4517="Not available","",VLOOKUP(F4517,Sheet2!$B$1:$E$19,4,FALSE)+(G4517-1))</f>
        <v>3778783</v>
      </c>
    </row>
    <row r="4518" spans="1:15" s="3" customFormat="1" ht="15" customHeight="1" x14ac:dyDescent="0.25">
      <c r="A4518" s="18" t="s">
        <v>511</v>
      </c>
      <c r="B4518" s="18" t="s">
        <v>136</v>
      </c>
      <c r="C4518" s="5">
        <v>1825</v>
      </c>
      <c r="D4518" s="1"/>
      <c r="E4518" s="1" t="s">
        <v>2</v>
      </c>
      <c r="F4518" s="18">
        <v>2173</v>
      </c>
      <c r="G4518" s="18">
        <v>77</v>
      </c>
      <c r="H4518" s="5">
        <v>146</v>
      </c>
      <c r="I4518" s="1">
        <v>116</v>
      </c>
      <c r="J4518" s="1">
        <v>253</v>
      </c>
      <c r="K4518" s="1"/>
      <c r="L4518" t="str">
        <f t="shared" si="70"/>
        <v>http://www.badatelna.eu/reprodukce/?fondId=1073&amp;zaznamId=1108959&amp;reproId=3780070</v>
      </c>
      <c r="M4518">
        <f>VLOOKUP(F4518,Sheet2!$B$1:$E$19,2,FALSE)</f>
        <v>1073</v>
      </c>
      <c r="N4518">
        <f>VLOOKUP(F4518,Sheet2!$B$1:$E$19,3,FALSE)</f>
        <v>1108959</v>
      </c>
      <c r="O4518">
        <f>IF(G4518="Not available","",VLOOKUP(F4518,Sheet2!$B$1:$E$19,4,FALSE)+(G4518-1))</f>
        <v>3780070</v>
      </c>
    </row>
    <row r="4519" spans="1:15" s="3" customFormat="1" ht="15" customHeight="1" x14ac:dyDescent="0.25">
      <c r="A4519" s="18" t="s">
        <v>511</v>
      </c>
      <c r="B4519" s="18" t="s">
        <v>478</v>
      </c>
      <c r="C4519" s="5">
        <v>1846</v>
      </c>
      <c r="D4519" s="1"/>
      <c r="E4519" s="1" t="s">
        <v>2</v>
      </c>
      <c r="F4519" s="18">
        <v>2174</v>
      </c>
      <c r="G4519" s="18">
        <v>184</v>
      </c>
      <c r="H4519" s="6" t="s">
        <v>3231</v>
      </c>
      <c r="I4519" s="1">
        <v>203</v>
      </c>
      <c r="J4519" s="1">
        <v>238</v>
      </c>
      <c r="K4519" s="1"/>
      <c r="L4519" t="str">
        <f t="shared" si="70"/>
        <v>http://www.badatelna.eu/reprodukce/?fondId=1073&amp;zaznamId=1108960&amp;reproId=3780408</v>
      </c>
      <c r="M4519">
        <f>VLOOKUP(F4519,Sheet2!$B$1:$E$19,2,FALSE)</f>
        <v>1073</v>
      </c>
      <c r="N4519">
        <f>VLOOKUP(F4519,Sheet2!$B$1:$E$19,3,FALSE)</f>
        <v>1108960</v>
      </c>
      <c r="O4519">
        <f>IF(G4519="Not available","",VLOOKUP(F4519,Sheet2!$B$1:$E$19,4,FALSE)+(G4519-1))</f>
        <v>3780408</v>
      </c>
    </row>
    <row r="4520" spans="1:15" s="3" customFormat="1" ht="15" customHeight="1" x14ac:dyDescent="0.25">
      <c r="A4520" s="19" t="s">
        <v>511</v>
      </c>
      <c r="B4520" s="19" t="s">
        <v>1043</v>
      </c>
      <c r="C4520" s="5">
        <v>1866</v>
      </c>
      <c r="D4520" s="1"/>
      <c r="E4520" s="1" t="s">
        <v>939</v>
      </c>
      <c r="F4520" s="18">
        <v>999</v>
      </c>
      <c r="G4520" s="18">
        <v>57</v>
      </c>
      <c r="H4520" s="5">
        <v>55</v>
      </c>
      <c r="I4520" s="1">
        <v>77</v>
      </c>
      <c r="J4520" s="1">
        <v>112</v>
      </c>
      <c r="K4520" s="1"/>
      <c r="L4520" t="str">
        <f t="shared" si="70"/>
        <v>http://www.badatelna.eu/reprodukce/?fondId=241&amp;zaznamId=1133739&amp;reproId=3885786</v>
      </c>
      <c r="M4520">
        <f>VLOOKUP(F4520,Sheet2!$B$1:$E$19,2,FALSE)</f>
        <v>241</v>
      </c>
      <c r="N4520">
        <f>VLOOKUP(F4520,Sheet2!$B$1:$E$19,3,FALSE)</f>
        <v>1133739</v>
      </c>
      <c r="O4520">
        <f>IF(G4520="Not available","",VLOOKUP(F4520,Sheet2!$B$1:$E$19,4,FALSE)+(G4520-1))</f>
        <v>3885786</v>
      </c>
    </row>
    <row r="4521" spans="1:15" s="3" customFormat="1" ht="15" customHeight="1" x14ac:dyDescent="0.25">
      <c r="A4521" s="18" t="s">
        <v>511</v>
      </c>
      <c r="B4521" s="18" t="s">
        <v>849</v>
      </c>
      <c r="C4521" s="5">
        <v>1860</v>
      </c>
      <c r="D4521" s="1"/>
      <c r="E4521" s="1" t="s">
        <v>939</v>
      </c>
      <c r="F4521" s="18">
        <v>999</v>
      </c>
      <c r="G4521" s="18">
        <v>23</v>
      </c>
      <c r="H4521" s="5">
        <v>21</v>
      </c>
      <c r="I4521" s="1">
        <v>76</v>
      </c>
      <c r="J4521" s="1">
        <v>110</v>
      </c>
      <c r="K4521" s="1"/>
      <c r="L4521" t="str">
        <f t="shared" si="70"/>
        <v>http://www.badatelna.eu/reprodukce/?fondId=241&amp;zaznamId=1133739&amp;reproId=3885752</v>
      </c>
      <c r="M4521">
        <f>VLOOKUP(F4521,Sheet2!$B$1:$E$19,2,FALSE)</f>
        <v>241</v>
      </c>
      <c r="N4521">
        <f>VLOOKUP(F4521,Sheet2!$B$1:$E$19,3,FALSE)</f>
        <v>1133739</v>
      </c>
      <c r="O4521">
        <f>IF(G4521="Not available","",VLOOKUP(F4521,Sheet2!$B$1:$E$19,4,FALSE)+(G4521-1))</f>
        <v>3885752</v>
      </c>
    </row>
    <row r="4522" spans="1:15" s="3" customFormat="1" ht="15" customHeight="1" x14ac:dyDescent="0.25">
      <c r="A4522" s="18" t="s">
        <v>511</v>
      </c>
      <c r="B4522" s="18" t="s">
        <v>849</v>
      </c>
      <c r="C4522" s="5" t="s">
        <v>1605</v>
      </c>
      <c r="D4522" s="1" t="s">
        <v>1088</v>
      </c>
      <c r="E4522" s="1" t="s">
        <v>2</v>
      </c>
      <c r="F4522" s="18">
        <v>2165</v>
      </c>
      <c r="G4522" s="18">
        <v>11</v>
      </c>
      <c r="H4522" s="5">
        <v>8</v>
      </c>
      <c r="I4522" s="1">
        <v>92</v>
      </c>
      <c r="J4522" s="1" t="s">
        <v>3271</v>
      </c>
      <c r="K4522" s="1"/>
      <c r="L4522" t="str">
        <f t="shared" si="70"/>
        <v>http://www.badatelna.eu/reprodukce/?fondId=1073&amp;zaznamId=1108952&amp;reproId=3778872</v>
      </c>
      <c r="M4522">
        <f>VLOOKUP(F4522,Sheet2!$B$1:$E$19,2,FALSE)</f>
        <v>1073</v>
      </c>
      <c r="N4522">
        <f>VLOOKUP(F4522,Sheet2!$B$1:$E$19,3,FALSE)</f>
        <v>1108952</v>
      </c>
      <c r="O4522">
        <f>IF(G4522="Not available","",VLOOKUP(F4522,Sheet2!$B$1:$E$19,4,FALSE)+(G4522-1))</f>
        <v>3778872</v>
      </c>
    </row>
    <row r="4523" spans="1:15" s="3" customFormat="1" ht="15" customHeight="1" x14ac:dyDescent="0.25">
      <c r="A4523" s="18" t="s">
        <v>511</v>
      </c>
      <c r="B4523" s="18" t="s">
        <v>2189</v>
      </c>
      <c r="C4523" s="10" t="s">
        <v>2659</v>
      </c>
      <c r="D4523" s="3" t="s">
        <v>2658</v>
      </c>
      <c r="E4523" s="4" t="s">
        <v>2</v>
      </c>
      <c r="F4523" s="18">
        <v>2176</v>
      </c>
      <c r="G4523" s="18" t="s">
        <v>3271</v>
      </c>
      <c r="H4523" s="10" t="s">
        <v>2199</v>
      </c>
      <c r="I4523" s="3">
        <v>40</v>
      </c>
      <c r="J4523" s="3" t="s">
        <v>3271</v>
      </c>
      <c r="K4523" s="1"/>
      <c r="L4523" t="str">
        <f t="shared" si="70"/>
        <v/>
      </c>
      <c r="M4523">
        <f>VLOOKUP(F4523,Sheet2!$B$1:$E$19,2,FALSE)</f>
        <v>1073</v>
      </c>
      <c r="N4523">
        <f>VLOOKUP(F4523,Sheet2!$B$1:$E$19,3,FALSE)</f>
        <v>1108963</v>
      </c>
      <c r="O4523" t="str">
        <f>IF(G4523="Not available","",VLOOKUP(F4523,Sheet2!$B$1:$E$19,4,FALSE)+(G4523-1))</f>
        <v/>
      </c>
    </row>
    <row r="4524" spans="1:15" s="3" customFormat="1" ht="15" customHeight="1" x14ac:dyDescent="0.25">
      <c r="A4524" s="18" t="s">
        <v>511</v>
      </c>
      <c r="B4524" s="18" t="s">
        <v>547</v>
      </c>
      <c r="C4524" s="5">
        <v>1856</v>
      </c>
      <c r="D4524" s="1" t="s">
        <v>9</v>
      </c>
      <c r="E4524" s="1" t="s">
        <v>2</v>
      </c>
      <c r="F4524" s="18">
        <v>2164</v>
      </c>
      <c r="G4524" s="18">
        <v>109</v>
      </c>
      <c r="H4524" s="5">
        <v>107</v>
      </c>
      <c r="I4524" s="1">
        <v>140</v>
      </c>
      <c r="J4524" s="3" t="s">
        <v>3271</v>
      </c>
      <c r="K4524" s="1"/>
      <c r="L4524" t="str">
        <f t="shared" si="70"/>
        <v>http://www.badatelna.eu/reprodukce/?fondId=1073&amp;zaznamId=1108951&amp;reproId=3778823</v>
      </c>
      <c r="M4524">
        <f>VLOOKUP(F4524,Sheet2!$B$1:$E$19,2,FALSE)</f>
        <v>1073</v>
      </c>
      <c r="N4524">
        <f>VLOOKUP(F4524,Sheet2!$B$1:$E$19,3,FALSE)</f>
        <v>1108951</v>
      </c>
      <c r="O4524">
        <f>IF(G4524="Not available","",VLOOKUP(F4524,Sheet2!$B$1:$E$19,4,FALSE)+(G4524-1))</f>
        <v>3778823</v>
      </c>
    </row>
    <row r="4525" spans="1:15" s="3" customFormat="1" ht="15" customHeight="1" x14ac:dyDescent="0.25">
      <c r="A4525" s="18" t="s">
        <v>511</v>
      </c>
      <c r="B4525" s="18" t="s">
        <v>816</v>
      </c>
      <c r="C4525" s="5">
        <v>1854</v>
      </c>
      <c r="D4525" s="1" t="s">
        <v>9</v>
      </c>
      <c r="E4525" s="1" t="s">
        <v>2</v>
      </c>
      <c r="F4525" s="18">
        <v>2164</v>
      </c>
      <c r="G4525" s="18">
        <v>94</v>
      </c>
      <c r="H4525" s="5">
        <v>92</v>
      </c>
      <c r="I4525" s="1">
        <v>139</v>
      </c>
      <c r="J4525" s="3" t="s">
        <v>3271</v>
      </c>
      <c r="K4525" s="1"/>
      <c r="L4525" t="str">
        <f t="shared" si="70"/>
        <v>http://www.badatelna.eu/reprodukce/?fondId=1073&amp;zaznamId=1108951&amp;reproId=3778808</v>
      </c>
      <c r="M4525">
        <f>VLOOKUP(F4525,Sheet2!$B$1:$E$19,2,FALSE)</f>
        <v>1073</v>
      </c>
      <c r="N4525">
        <f>VLOOKUP(F4525,Sheet2!$B$1:$E$19,3,FALSE)</f>
        <v>1108951</v>
      </c>
      <c r="O4525">
        <f>IF(G4525="Not available","",VLOOKUP(F4525,Sheet2!$B$1:$E$19,4,FALSE)+(G4525-1))</f>
        <v>3778808</v>
      </c>
    </row>
    <row r="4526" spans="1:15" s="3" customFormat="1" ht="15" customHeight="1" x14ac:dyDescent="0.25">
      <c r="A4526" s="18" t="s">
        <v>511</v>
      </c>
      <c r="B4526" s="18" t="s">
        <v>816</v>
      </c>
      <c r="C4526" s="5" t="s">
        <v>1613</v>
      </c>
      <c r="D4526" s="1" t="s">
        <v>1088</v>
      </c>
      <c r="E4526" s="1" t="s">
        <v>2</v>
      </c>
      <c r="F4526" s="18">
        <v>2165</v>
      </c>
      <c r="G4526" s="18">
        <v>20</v>
      </c>
      <c r="H4526" s="5">
        <v>17</v>
      </c>
      <c r="I4526" s="1">
        <v>92</v>
      </c>
      <c r="J4526" s="1" t="s">
        <v>3271</v>
      </c>
      <c r="K4526" s="1"/>
      <c r="L4526" t="str">
        <f t="shared" si="70"/>
        <v>http://www.badatelna.eu/reprodukce/?fondId=1073&amp;zaznamId=1108952&amp;reproId=3778881</v>
      </c>
      <c r="M4526">
        <f>VLOOKUP(F4526,Sheet2!$B$1:$E$19,2,FALSE)</f>
        <v>1073</v>
      </c>
      <c r="N4526">
        <f>VLOOKUP(F4526,Sheet2!$B$1:$E$19,3,FALSE)</f>
        <v>1108952</v>
      </c>
      <c r="O4526">
        <f>IF(G4526="Not available","",VLOOKUP(F4526,Sheet2!$B$1:$E$19,4,FALSE)+(G4526-1))</f>
        <v>3778881</v>
      </c>
    </row>
    <row r="4527" spans="1:15" s="3" customFormat="1" ht="15" customHeight="1" x14ac:dyDescent="0.25">
      <c r="A4527" s="18" t="s">
        <v>511</v>
      </c>
      <c r="B4527" s="18" t="s">
        <v>2017</v>
      </c>
      <c r="C4527" s="10" t="s">
        <v>2043</v>
      </c>
      <c r="D4527" s="3" t="s">
        <v>2692</v>
      </c>
      <c r="E4527" s="4" t="s">
        <v>2</v>
      </c>
      <c r="F4527" s="18">
        <v>2176</v>
      </c>
      <c r="G4527" s="18" t="s">
        <v>3271</v>
      </c>
      <c r="H4527" s="10" t="s">
        <v>2516</v>
      </c>
      <c r="I4527" s="3">
        <v>41</v>
      </c>
      <c r="J4527" s="3" t="s">
        <v>3271</v>
      </c>
      <c r="L4527" t="str">
        <f t="shared" si="70"/>
        <v/>
      </c>
      <c r="M4527">
        <f>VLOOKUP(F4527,Sheet2!$B$1:$E$19,2,FALSE)</f>
        <v>1073</v>
      </c>
      <c r="N4527">
        <f>VLOOKUP(F4527,Sheet2!$B$1:$E$19,3,FALSE)</f>
        <v>1108963</v>
      </c>
      <c r="O4527" t="str">
        <f>IF(G4527="Not available","",VLOOKUP(F4527,Sheet2!$B$1:$E$19,4,FALSE)+(G4527-1))</f>
        <v/>
      </c>
    </row>
    <row r="4528" spans="1:15" s="3" customFormat="1" ht="15" customHeight="1" x14ac:dyDescent="0.25">
      <c r="A4528" s="18" t="s">
        <v>511</v>
      </c>
      <c r="B4528" s="18" t="s">
        <v>439</v>
      </c>
      <c r="C4528" s="5">
        <v>1885</v>
      </c>
      <c r="D4528" s="1" t="s">
        <v>233</v>
      </c>
      <c r="E4528" s="1" t="s">
        <v>2</v>
      </c>
      <c r="F4528" s="18">
        <v>2165</v>
      </c>
      <c r="G4528" s="18">
        <v>203</v>
      </c>
      <c r="H4528" s="5">
        <v>5</v>
      </c>
      <c r="I4528" s="1">
        <v>204</v>
      </c>
      <c r="J4528" s="1">
        <v>187</v>
      </c>
      <c r="K4528" s="1"/>
      <c r="L4528" t="str">
        <f t="shared" si="70"/>
        <v>http://www.badatelna.eu/reprodukce/?fondId=1073&amp;zaznamId=1108952&amp;reproId=3779064</v>
      </c>
      <c r="M4528">
        <f>VLOOKUP(F4528,Sheet2!$B$1:$E$19,2,FALSE)</f>
        <v>1073</v>
      </c>
      <c r="N4528">
        <f>VLOOKUP(F4528,Sheet2!$B$1:$E$19,3,FALSE)</f>
        <v>1108952</v>
      </c>
      <c r="O4528">
        <f>IF(G4528="Not available","",VLOOKUP(F4528,Sheet2!$B$1:$E$19,4,FALSE)+(G4528-1))</f>
        <v>3779064</v>
      </c>
    </row>
    <row r="4529" spans="1:15" s="3" customFormat="1" ht="15" customHeight="1" x14ac:dyDescent="0.25">
      <c r="A4529" s="18" t="s">
        <v>511</v>
      </c>
      <c r="B4529" s="18" t="s">
        <v>439</v>
      </c>
      <c r="C4529" s="5">
        <v>1860</v>
      </c>
      <c r="D4529" s="1"/>
      <c r="E4529" s="1" t="s">
        <v>939</v>
      </c>
      <c r="F4529" s="18">
        <v>999</v>
      </c>
      <c r="G4529" s="18">
        <v>20</v>
      </c>
      <c r="H4529" s="5">
        <v>18</v>
      </c>
      <c r="I4529" s="1">
        <v>76</v>
      </c>
      <c r="J4529" s="1">
        <v>110</v>
      </c>
      <c r="K4529" s="1"/>
      <c r="L4529" t="str">
        <f t="shared" si="70"/>
        <v>http://www.badatelna.eu/reprodukce/?fondId=241&amp;zaznamId=1133739&amp;reproId=3885749</v>
      </c>
      <c r="M4529">
        <f>VLOOKUP(F4529,Sheet2!$B$1:$E$19,2,FALSE)</f>
        <v>241</v>
      </c>
      <c r="N4529">
        <f>VLOOKUP(F4529,Sheet2!$B$1:$E$19,3,FALSE)</f>
        <v>1133739</v>
      </c>
      <c r="O4529">
        <f>IF(G4529="Not available","",VLOOKUP(F4529,Sheet2!$B$1:$E$19,4,FALSE)+(G4529-1))</f>
        <v>3885749</v>
      </c>
    </row>
    <row r="4530" spans="1:15" s="3" customFormat="1" ht="15" customHeight="1" x14ac:dyDescent="0.25">
      <c r="A4530" s="18" t="s">
        <v>511</v>
      </c>
      <c r="B4530" s="18" t="s">
        <v>3316</v>
      </c>
      <c r="C4530" s="5">
        <v>1818</v>
      </c>
      <c r="D4530" s="4" t="s">
        <v>38</v>
      </c>
      <c r="E4530" s="1" t="s">
        <v>2</v>
      </c>
      <c r="F4530" s="18">
        <v>2173</v>
      </c>
      <c r="G4530" s="18">
        <v>68</v>
      </c>
      <c r="H4530" s="5">
        <v>128</v>
      </c>
      <c r="I4530" s="1">
        <v>116</v>
      </c>
      <c r="J4530" s="1">
        <v>253</v>
      </c>
      <c r="K4530" s="1"/>
      <c r="L4530" t="str">
        <f t="shared" si="70"/>
        <v>http://www.badatelna.eu/reprodukce/?fondId=1073&amp;zaznamId=1108959&amp;reproId=3780061</v>
      </c>
      <c r="M4530">
        <f>VLOOKUP(F4530,Sheet2!$B$1:$E$19,2,FALSE)</f>
        <v>1073</v>
      </c>
      <c r="N4530">
        <f>VLOOKUP(F4530,Sheet2!$B$1:$E$19,3,FALSE)</f>
        <v>1108959</v>
      </c>
      <c r="O4530">
        <f>IF(G4530="Not available","",VLOOKUP(F4530,Sheet2!$B$1:$E$19,4,FALSE)+(G4530-1))</f>
        <v>3780061</v>
      </c>
    </row>
    <row r="4531" spans="1:15" s="3" customFormat="1" ht="15" customHeight="1" x14ac:dyDescent="0.25">
      <c r="A4531" s="18" t="s">
        <v>511</v>
      </c>
      <c r="B4531" s="18" t="s">
        <v>211</v>
      </c>
      <c r="C4531" s="5">
        <v>1819</v>
      </c>
      <c r="D4531" s="4" t="s">
        <v>58</v>
      </c>
      <c r="E4531" s="1" t="s">
        <v>2</v>
      </c>
      <c r="F4531" s="18">
        <v>2173</v>
      </c>
      <c r="G4531" s="18">
        <v>70</v>
      </c>
      <c r="H4531" s="5">
        <v>132</v>
      </c>
      <c r="I4531" s="1">
        <v>116</v>
      </c>
      <c r="J4531" s="1">
        <v>253</v>
      </c>
      <c r="K4531" s="1"/>
      <c r="L4531" t="str">
        <f t="shared" si="70"/>
        <v>http://www.badatelna.eu/reprodukce/?fondId=1073&amp;zaznamId=1108959&amp;reproId=3780063</v>
      </c>
      <c r="M4531">
        <f>VLOOKUP(F4531,Sheet2!$B$1:$E$19,2,FALSE)</f>
        <v>1073</v>
      </c>
      <c r="N4531">
        <f>VLOOKUP(F4531,Sheet2!$B$1:$E$19,3,FALSE)</f>
        <v>1108959</v>
      </c>
      <c r="O4531">
        <f>IF(G4531="Not available","",VLOOKUP(F4531,Sheet2!$B$1:$E$19,4,FALSE)+(G4531-1))</f>
        <v>3780063</v>
      </c>
    </row>
    <row r="4532" spans="1:15" s="3" customFormat="1" ht="15" customHeight="1" x14ac:dyDescent="0.25">
      <c r="A4532" s="18" t="s">
        <v>511</v>
      </c>
      <c r="B4532" s="18" t="s">
        <v>1009</v>
      </c>
      <c r="C4532" s="5">
        <v>1884</v>
      </c>
      <c r="D4532" s="12" t="s">
        <v>478</v>
      </c>
      <c r="E4532" s="1" t="s">
        <v>2</v>
      </c>
      <c r="F4532" s="18">
        <v>2165</v>
      </c>
      <c r="G4532" s="18">
        <v>194</v>
      </c>
      <c r="H4532" s="5">
        <v>2</v>
      </c>
      <c r="I4532" s="1">
        <v>197</v>
      </c>
      <c r="J4532" s="1">
        <v>174</v>
      </c>
      <c r="K4532" s="1"/>
      <c r="L4532" t="str">
        <f t="shared" si="70"/>
        <v>http://www.badatelna.eu/reprodukce/?fondId=1073&amp;zaznamId=1108952&amp;reproId=3779055</v>
      </c>
      <c r="M4532">
        <f>VLOOKUP(F4532,Sheet2!$B$1:$E$19,2,FALSE)</f>
        <v>1073</v>
      </c>
      <c r="N4532">
        <f>VLOOKUP(F4532,Sheet2!$B$1:$E$19,3,FALSE)</f>
        <v>1108952</v>
      </c>
      <c r="O4532">
        <f>IF(G4532="Not available","",VLOOKUP(F4532,Sheet2!$B$1:$E$19,4,FALSE)+(G4532-1))</f>
        <v>3779055</v>
      </c>
    </row>
    <row r="4533" spans="1:15" s="3" customFormat="1" ht="15" customHeight="1" x14ac:dyDescent="0.25">
      <c r="A4533" s="18" t="s">
        <v>511</v>
      </c>
      <c r="B4533" s="18" t="s">
        <v>1009</v>
      </c>
      <c r="C4533" s="10" t="s">
        <v>2041</v>
      </c>
      <c r="D4533" s="3" t="s">
        <v>2695</v>
      </c>
      <c r="E4533" s="4" t="s">
        <v>2</v>
      </c>
      <c r="F4533" s="18">
        <v>2176</v>
      </c>
      <c r="G4533" s="18" t="s">
        <v>3271</v>
      </c>
      <c r="H4533" s="10" t="s">
        <v>1976</v>
      </c>
      <c r="I4533" s="3">
        <v>41</v>
      </c>
      <c r="J4533" s="3" t="s">
        <v>3271</v>
      </c>
      <c r="L4533" t="str">
        <f t="shared" si="70"/>
        <v/>
      </c>
      <c r="M4533">
        <f>VLOOKUP(F4533,Sheet2!$B$1:$E$19,2,FALSE)</f>
        <v>1073</v>
      </c>
      <c r="N4533">
        <f>VLOOKUP(F4533,Sheet2!$B$1:$E$19,3,FALSE)</f>
        <v>1108963</v>
      </c>
      <c r="O4533" t="str">
        <f>IF(G4533="Not available","",VLOOKUP(F4533,Sheet2!$B$1:$E$19,4,FALSE)+(G4533-1))</f>
        <v/>
      </c>
    </row>
    <row r="4534" spans="1:15" s="3" customFormat="1" ht="15" customHeight="1" x14ac:dyDescent="0.25">
      <c r="A4534" s="18" t="s">
        <v>511</v>
      </c>
      <c r="B4534" s="18" t="s">
        <v>769</v>
      </c>
      <c r="C4534" s="5">
        <v>1886</v>
      </c>
      <c r="D4534" s="1" t="s">
        <v>197</v>
      </c>
      <c r="E4534" s="1" t="s">
        <v>2</v>
      </c>
      <c r="F4534" s="18">
        <v>2165</v>
      </c>
      <c r="G4534" s="18">
        <v>209</v>
      </c>
      <c r="H4534" s="5">
        <v>3</v>
      </c>
      <c r="I4534" s="1">
        <v>211</v>
      </c>
      <c r="J4534" s="1">
        <v>187</v>
      </c>
      <c r="K4534" s="1"/>
      <c r="L4534" t="str">
        <f t="shared" si="70"/>
        <v>http://www.badatelna.eu/reprodukce/?fondId=1073&amp;zaznamId=1108952&amp;reproId=3779070</v>
      </c>
      <c r="M4534">
        <f>VLOOKUP(F4534,Sheet2!$B$1:$E$19,2,FALSE)</f>
        <v>1073</v>
      </c>
      <c r="N4534">
        <f>VLOOKUP(F4534,Sheet2!$B$1:$E$19,3,FALSE)</f>
        <v>1108952</v>
      </c>
      <c r="O4534">
        <f>IF(G4534="Not available","",VLOOKUP(F4534,Sheet2!$B$1:$E$19,4,FALSE)+(G4534-1))</f>
        <v>3779070</v>
      </c>
    </row>
    <row r="4535" spans="1:15" s="3" customFormat="1" ht="15" customHeight="1" x14ac:dyDescent="0.25">
      <c r="A4535" s="18" t="s">
        <v>511</v>
      </c>
      <c r="B4535" s="18" t="s">
        <v>769</v>
      </c>
      <c r="C4535" s="10" t="s">
        <v>2052</v>
      </c>
      <c r="D4535" s="3" t="s">
        <v>2696</v>
      </c>
      <c r="E4535" s="4" t="s">
        <v>2</v>
      </c>
      <c r="F4535" s="18">
        <v>2176</v>
      </c>
      <c r="G4535" s="18" t="s">
        <v>3271</v>
      </c>
      <c r="H4535" s="10" t="s">
        <v>2146</v>
      </c>
      <c r="I4535" s="3">
        <v>41</v>
      </c>
      <c r="J4535" s="3" t="s">
        <v>3271</v>
      </c>
      <c r="L4535" t="str">
        <f t="shared" si="70"/>
        <v/>
      </c>
      <c r="M4535">
        <f>VLOOKUP(F4535,Sheet2!$B$1:$E$19,2,FALSE)</f>
        <v>1073</v>
      </c>
      <c r="N4535">
        <f>VLOOKUP(F4535,Sheet2!$B$1:$E$19,3,FALSE)</f>
        <v>1108963</v>
      </c>
      <c r="O4535" t="str">
        <f>IF(G4535="Not available","",VLOOKUP(F4535,Sheet2!$B$1:$E$19,4,FALSE)+(G4535-1))</f>
        <v/>
      </c>
    </row>
    <row r="4536" spans="1:15" s="3" customFormat="1" ht="15" customHeight="1" x14ac:dyDescent="0.25">
      <c r="A4536" s="18" t="s">
        <v>511</v>
      </c>
      <c r="B4536" s="18" t="s">
        <v>490</v>
      </c>
      <c r="C4536" s="5" t="s">
        <v>1640</v>
      </c>
      <c r="D4536" s="1" t="s">
        <v>1074</v>
      </c>
      <c r="E4536" s="1" t="s">
        <v>2</v>
      </c>
      <c r="F4536" s="18">
        <v>2165</v>
      </c>
      <c r="G4536" s="18">
        <v>46</v>
      </c>
      <c r="H4536" s="5">
        <v>43</v>
      </c>
      <c r="I4536" s="1">
        <v>93</v>
      </c>
      <c r="J4536" s="1" t="s">
        <v>3271</v>
      </c>
      <c r="K4536" s="1"/>
      <c r="L4536" t="str">
        <f t="shared" si="70"/>
        <v>http://www.badatelna.eu/reprodukce/?fondId=1073&amp;zaznamId=1108952&amp;reproId=3778907</v>
      </c>
      <c r="M4536">
        <f>VLOOKUP(F4536,Sheet2!$B$1:$E$19,2,FALSE)</f>
        <v>1073</v>
      </c>
      <c r="N4536">
        <f>VLOOKUP(F4536,Sheet2!$B$1:$E$19,3,FALSE)</f>
        <v>1108952</v>
      </c>
      <c r="O4536">
        <f>IF(G4536="Not available","",VLOOKUP(F4536,Sheet2!$B$1:$E$19,4,FALSE)+(G4536-1))</f>
        <v>3778907</v>
      </c>
    </row>
    <row r="4537" spans="1:15" s="3" customFormat="1" ht="15" customHeight="1" x14ac:dyDescent="0.25">
      <c r="A4537" s="18" t="s">
        <v>511</v>
      </c>
      <c r="B4537" s="18" t="s">
        <v>774</v>
      </c>
      <c r="C4537" s="5">
        <v>1855</v>
      </c>
      <c r="D4537" s="1" t="s">
        <v>9</v>
      </c>
      <c r="E4537" s="1" t="s">
        <v>2</v>
      </c>
      <c r="F4537" s="18">
        <v>2164</v>
      </c>
      <c r="G4537" s="18">
        <v>101</v>
      </c>
      <c r="H4537" s="5">
        <v>99</v>
      </c>
      <c r="I4537" s="1">
        <v>140</v>
      </c>
      <c r="J4537" s="3" t="s">
        <v>3271</v>
      </c>
      <c r="K4537" s="1"/>
      <c r="L4537" t="str">
        <f t="shared" si="70"/>
        <v>http://www.badatelna.eu/reprodukce/?fondId=1073&amp;zaznamId=1108951&amp;reproId=3778815</v>
      </c>
      <c r="M4537">
        <f>VLOOKUP(F4537,Sheet2!$B$1:$E$19,2,FALSE)</f>
        <v>1073</v>
      </c>
      <c r="N4537">
        <f>VLOOKUP(F4537,Sheet2!$B$1:$E$19,3,FALSE)</f>
        <v>1108951</v>
      </c>
      <c r="O4537">
        <f>IF(G4537="Not available","",VLOOKUP(F4537,Sheet2!$B$1:$E$19,4,FALSE)+(G4537-1))</f>
        <v>3778815</v>
      </c>
    </row>
    <row r="4538" spans="1:15" s="3" customFormat="1" ht="15" customHeight="1" x14ac:dyDescent="0.25">
      <c r="A4538" s="18" t="s">
        <v>511</v>
      </c>
      <c r="B4538" s="18" t="s">
        <v>774</v>
      </c>
      <c r="C4538" s="5">
        <v>1864</v>
      </c>
      <c r="D4538" s="1"/>
      <c r="E4538" s="1" t="s">
        <v>939</v>
      </c>
      <c r="F4538" s="18">
        <v>999</v>
      </c>
      <c r="G4538" s="18">
        <v>52</v>
      </c>
      <c r="H4538" s="5">
        <v>50</v>
      </c>
      <c r="I4538" s="1">
        <v>77</v>
      </c>
      <c r="J4538" s="1">
        <v>112</v>
      </c>
      <c r="K4538" s="1"/>
      <c r="L4538" t="str">
        <f t="shared" si="70"/>
        <v>http://www.badatelna.eu/reprodukce/?fondId=241&amp;zaznamId=1133739&amp;reproId=3885781</v>
      </c>
      <c r="M4538">
        <f>VLOOKUP(F4538,Sheet2!$B$1:$E$19,2,FALSE)</f>
        <v>241</v>
      </c>
      <c r="N4538">
        <f>VLOOKUP(F4538,Sheet2!$B$1:$E$19,3,FALSE)</f>
        <v>1133739</v>
      </c>
      <c r="O4538">
        <f>IF(G4538="Not available","",VLOOKUP(F4538,Sheet2!$B$1:$E$19,4,FALSE)+(G4538-1))</f>
        <v>3885781</v>
      </c>
    </row>
    <row r="4539" spans="1:15" s="3" customFormat="1" ht="15" customHeight="1" x14ac:dyDescent="0.25">
      <c r="A4539" s="18" t="s">
        <v>511</v>
      </c>
      <c r="B4539" s="18" t="s">
        <v>1051</v>
      </c>
      <c r="C4539" s="5" t="s">
        <v>1621</v>
      </c>
      <c r="D4539" s="1" t="s">
        <v>1074</v>
      </c>
      <c r="E4539" s="1" t="s">
        <v>2</v>
      </c>
      <c r="F4539" s="18">
        <v>2165</v>
      </c>
      <c r="G4539" s="18">
        <v>33</v>
      </c>
      <c r="H4539" s="5">
        <v>30</v>
      </c>
      <c r="I4539" s="1">
        <v>92</v>
      </c>
      <c r="J4539" s="1" t="s">
        <v>3271</v>
      </c>
      <c r="K4539" s="1"/>
      <c r="L4539" t="str">
        <f t="shared" si="70"/>
        <v>http://www.badatelna.eu/reprodukce/?fondId=1073&amp;zaznamId=1108952&amp;reproId=3778894</v>
      </c>
      <c r="M4539">
        <f>VLOOKUP(F4539,Sheet2!$B$1:$E$19,2,FALSE)</f>
        <v>1073</v>
      </c>
      <c r="N4539">
        <f>VLOOKUP(F4539,Sheet2!$B$1:$E$19,3,FALSE)</f>
        <v>1108952</v>
      </c>
      <c r="O4539">
        <f>IF(G4539="Not available","",VLOOKUP(F4539,Sheet2!$B$1:$E$19,4,FALSE)+(G4539-1))</f>
        <v>3778894</v>
      </c>
    </row>
    <row r="4540" spans="1:15" s="3" customFormat="1" ht="15" customHeight="1" x14ac:dyDescent="0.25">
      <c r="A4540" s="18" t="s">
        <v>511</v>
      </c>
      <c r="B4540" s="18" t="s">
        <v>1051</v>
      </c>
      <c r="C4540" s="5" t="s">
        <v>1738</v>
      </c>
      <c r="D4540" s="1" t="s">
        <v>58</v>
      </c>
      <c r="E4540" s="1" t="s">
        <v>2</v>
      </c>
      <c r="F4540" s="18">
        <v>2165</v>
      </c>
      <c r="G4540" s="18">
        <v>167</v>
      </c>
      <c r="H4540" s="5">
        <v>3</v>
      </c>
      <c r="I4540" s="1">
        <v>171</v>
      </c>
      <c r="J4540" s="1">
        <v>149</v>
      </c>
      <c r="K4540" s="1"/>
      <c r="L4540" t="str">
        <f t="shared" si="70"/>
        <v>http://www.badatelna.eu/reprodukce/?fondId=1073&amp;zaznamId=1108952&amp;reproId=3779028</v>
      </c>
      <c r="M4540">
        <f>VLOOKUP(F4540,Sheet2!$B$1:$E$19,2,FALSE)</f>
        <v>1073</v>
      </c>
      <c r="N4540">
        <f>VLOOKUP(F4540,Sheet2!$B$1:$E$19,3,FALSE)</f>
        <v>1108952</v>
      </c>
      <c r="O4540">
        <f>IF(G4540="Not available","",VLOOKUP(F4540,Sheet2!$B$1:$E$19,4,FALSE)+(G4540-1))</f>
        <v>3779028</v>
      </c>
    </row>
    <row r="4541" spans="1:15" s="3" customFormat="1" ht="15" customHeight="1" x14ac:dyDescent="0.25">
      <c r="A4541" s="18" t="s">
        <v>511</v>
      </c>
      <c r="B4541" s="18" t="s">
        <v>2713</v>
      </c>
      <c r="C4541" s="10" t="s">
        <v>1952</v>
      </c>
      <c r="D4541" s="3" t="s">
        <v>2714</v>
      </c>
      <c r="E4541" s="4" t="s">
        <v>2</v>
      </c>
      <c r="F4541" s="18">
        <v>2176</v>
      </c>
      <c r="G4541" s="18" t="s">
        <v>3271</v>
      </c>
      <c r="H4541" s="10" t="s">
        <v>2094</v>
      </c>
      <c r="I4541" s="3">
        <v>42</v>
      </c>
      <c r="J4541" s="3" t="s">
        <v>3271</v>
      </c>
      <c r="L4541" t="str">
        <f t="shared" si="70"/>
        <v/>
      </c>
      <c r="M4541">
        <f>VLOOKUP(F4541,Sheet2!$B$1:$E$19,2,FALSE)</f>
        <v>1073</v>
      </c>
      <c r="N4541">
        <f>VLOOKUP(F4541,Sheet2!$B$1:$E$19,3,FALSE)</f>
        <v>1108963</v>
      </c>
      <c r="O4541" t="str">
        <f>IF(G4541="Not available","",VLOOKUP(F4541,Sheet2!$B$1:$E$19,4,FALSE)+(G4541-1))</f>
        <v/>
      </c>
    </row>
    <row r="4542" spans="1:15" s="3" customFormat="1" ht="15" customHeight="1" x14ac:dyDescent="0.25">
      <c r="A4542" s="18" t="s">
        <v>511</v>
      </c>
      <c r="B4542" s="18" t="s">
        <v>1225</v>
      </c>
      <c r="C4542" s="5" t="s">
        <v>1854</v>
      </c>
      <c r="D4542" s="1" t="s">
        <v>924</v>
      </c>
      <c r="E4542" s="1" t="s">
        <v>2</v>
      </c>
      <c r="F4542" s="18">
        <v>2165</v>
      </c>
      <c r="G4542" s="18">
        <v>254</v>
      </c>
      <c r="H4542" s="5">
        <v>1</v>
      </c>
      <c r="I4542" s="1">
        <v>253</v>
      </c>
      <c r="J4542" s="1">
        <v>229</v>
      </c>
      <c r="K4542" s="1"/>
      <c r="L4542" t="str">
        <f t="shared" si="70"/>
        <v>http://www.badatelna.eu/reprodukce/?fondId=1073&amp;zaznamId=1108952&amp;reproId=3779115</v>
      </c>
      <c r="M4542">
        <f>VLOOKUP(F4542,Sheet2!$B$1:$E$19,2,FALSE)</f>
        <v>1073</v>
      </c>
      <c r="N4542">
        <f>VLOOKUP(F4542,Sheet2!$B$1:$E$19,3,FALSE)</f>
        <v>1108952</v>
      </c>
      <c r="O4542">
        <f>IF(G4542="Not available","",VLOOKUP(F4542,Sheet2!$B$1:$E$19,4,FALSE)+(G4542-1))</f>
        <v>3779115</v>
      </c>
    </row>
    <row r="4543" spans="1:15" s="3" customFormat="1" ht="15" customHeight="1" x14ac:dyDescent="0.25">
      <c r="A4543" s="18" t="s">
        <v>511</v>
      </c>
      <c r="B4543" s="18" t="s">
        <v>735</v>
      </c>
      <c r="C4543" s="5">
        <v>1860</v>
      </c>
      <c r="D4543" s="1"/>
      <c r="E4543" s="1" t="s">
        <v>939</v>
      </c>
      <c r="F4543" s="18">
        <v>999</v>
      </c>
      <c r="G4543" s="18">
        <v>24</v>
      </c>
      <c r="H4543" s="5">
        <v>22</v>
      </c>
      <c r="I4543" s="1">
        <v>76</v>
      </c>
      <c r="J4543" s="1">
        <v>110</v>
      </c>
      <c r="K4543" s="1"/>
      <c r="L4543" t="str">
        <f t="shared" si="70"/>
        <v>http://www.badatelna.eu/reprodukce/?fondId=241&amp;zaznamId=1133739&amp;reproId=3885753</v>
      </c>
      <c r="M4543">
        <f>VLOOKUP(F4543,Sheet2!$B$1:$E$19,2,FALSE)</f>
        <v>241</v>
      </c>
      <c r="N4543">
        <f>VLOOKUP(F4543,Sheet2!$B$1:$E$19,3,FALSE)</f>
        <v>1133739</v>
      </c>
      <c r="O4543">
        <f>IF(G4543="Not available","",VLOOKUP(F4543,Sheet2!$B$1:$E$19,4,FALSE)+(G4543-1))</f>
        <v>3885753</v>
      </c>
    </row>
    <row r="4544" spans="1:15" s="3" customFormat="1" ht="15" customHeight="1" x14ac:dyDescent="0.25">
      <c r="A4544" s="18" t="s">
        <v>511</v>
      </c>
      <c r="B4544" s="18" t="s">
        <v>175</v>
      </c>
      <c r="C4544" s="5">
        <v>1786</v>
      </c>
      <c r="D4544" s="1" t="s">
        <v>518</v>
      </c>
      <c r="E4544" s="1" t="s">
        <v>2</v>
      </c>
      <c r="F4544" s="18">
        <v>2173</v>
      </c>
      <c r="G4544" s="18">
        <v>11</v>
      </c>
      <c r="H4544" s="5">
        <v>17</v>
      </c>
      <c r="I4544" s="1">
        <v>115</v>
      </c>
      <c r="J4544" s="1">
        <v>259</v>
      </c>
      <c r="K4544" s="1"/>
      <c r="L4544" t="str">
        <f t="shared" si="70"/>
        <v>http://www.badatelna.eu/reprodukce/?fondId=1073&amp;zaznamId=1108959&amp;reproId=3780004</v>
      </c>
      <c r="M4544">
        <f>VLOOKUP(F4544,Sheet2!$B$1:$E$19,2,FALSE)</f>
        <v>1073</v>
      </c>
      <c r="N4544">
        <f>VLOOKUP(F4544,Sheet2!$B$1:$E$19,3,FALSE)</f>
        <v>1108959</v>
      </c>
      <c r="O4544">
        <f>IF(G4544="Not available","",VLOOKUP(F4544,Sheet2!$B$1:$E$19,4,FALSE)+(G4544-1))</f>
        <v>3780004</v>
      </c>
    </row>
    <row r="4545" spans="1:15" s="3" customFormat="1" ht="15" customHeight="1" x14ac:dyDescent="0.25">
      <c r="A4545" s="18" t="s">
        <v>511</v>
      </c>
      <c r="B4545" s="18" t="s">
        <v>2654</v>
      </c>
      <c r="C4545" s="10" t="s">
        <v>2220</v>
      </c>
      <c r="D4545" s="3" t="s">
        <v>2655</v>
      </c>
      <c r="E4545" s="4" t="s">
        <v>2</v>
      </c>
      <c r="F4545" s="18">
        <v>2176</v>
      </c>
      <c r="G4545" s="18" t="s">
        <v>3271</v>
      </c>
      <c r="H4545" s="10" t="s">
        <v>2656</v>
      </c>
      <c r="I4545" s="3">
        <v>40</v>
      </c>
      <c r="J4545" s="3" t="s">
        <v>3271</v>
      </c>
      <c r="K4545" s="1"/>
      <c r="L4545" t="str">
        <f t="shared" si="70"/>
        <v/>
      </c>
      <c r="M4545">
        <f>VLOOKUP(F4545,Sheet2!$B$1:$E$19,2,FALSE)</f>
        <v>1073</v>
      </c>
      <c r="N4545">
        <f>VLOOKUP(F4545,Sheet2!$B$1:$E$19,3,FALSE)</f>
        <v>1108963</v>
      </c>
      <c r="O4545" t="str">
        <f>IF(G4545="Not available","",VLOOKUP(F4545,Sheet2!$B$1:$E$19,4,FALSE)+(G4545-1))</f>
        <v/>
      </c>
    </row>
    <row r="4546" spans="1:15" s="3" customFormat="1" ht="15" customHeight="1" x14ac:dyDescent="0.25">
      <c r="A4546" s="18" t="s">
        <v>511</v>
      </c>
      <c r="B4546" s="18" t="s">
        <v>2426</v>
      </c>
      <c r="C4546" s="10" t="s">
        <v>2244</v>
      </c>
      <c r="D4546" s="3" t="s">
        <v>2361</v>
      </c>
      <c r="E4546" s="4" t="s">
        <v>2</v>
      </c>
      <c r="F4546" s="18">
        <v>2176</v>
      </c>
      <c r="G4546" s="18" t="s">
        <v>3271</v>
      </c>
      <c r="H4546" s="10" t="s">
        <v>2006</v>
      </c>
      <c r="I4546" s="3">
        <v>42</v>
      </c>
      <c r="J4546" s="3" t="s">
        <v>3271</v>
      </c>
      <c r="L4546" t="str">
        <f t="shared" si="70"/>
        <v/>
      </c>
      <c r="M4546">
        <f>VLOOKUP(F4546,Sheet2!$B$1:$E$19,2,FALSE)</f>
        <v>1073</v>
      </c>
      <c r="N4546">
        <f>VLOOKUP(F4546,Sheet2!$B$1:$E$19,3,FALSE)</f>
        <v>1108963</v>
      </c>
      <c r="O4546" t="str">
        <f>IF(G4546="Not available","",VLOOKUP(F4546,Sheet2!$B$1:$E$19,4,FALSE)+(G4546-1))</f>
        <v/>
      </c>
    </row>
    <row r="4547" spans="1:15" s="3" customFormat="1" ht="15" customHeight="1" x14ac:dyDescent="0.25">
      <c r="A4547" s="18" t="s">
        <v>511</v>
      </c>
      <c r="B4547" s="18" t="s">
        <v>1270</v>
      </c>
      <c r="C4547" s="14" t="s">
        <v>2244</v>
      </c>
      <c r="D4547" s="4" t="s">
        <v>897</v>
      </c>
      <c r="E4547" s="1" t="s">
        <v>2</v>
      </c>
      <c r="F4547" s="18">
        <v>2165</v>
      </c>
      <c r="G4547" s="18">
        <v>298</v>
      </c>
      <c r="H4547" s="5">
        <v>2</v>
      </c>
      <c r="I4547" s="1">
        <v>300</v>
      </c>
      <c r="J4547" s="1">
        <v>273</v>
      </c>
      <c r="K4547" s="1"/>
      <c r="L4547" t="str">
        <f t="shared" ref="L4547:L4610" si="71">IF(G4547="Not available","","http://www.badatelna.eu/reprodukce/?fondId="&amp;M4547&amp;"&amp;zaznamId="&amp;N4547&amp;"&amp;reproId="&amp;O4547)</f>
        <v>http://www.badatelna.eu/reprodukce/?fondId=1073&amp;zaznamId=1108952&amp;reproId=3779159</v>
      </c>
      <c r="M4547">
        <f>VLOOKUP(F4547,Sheet2!$B$1:$E$19,2,FALSE)</f>
        <v>1073</v>
      </c>
      <c r="N4547">
        <f>VLOOKUP(F4547,Sheet2!$B$1:$E$19,3,FALSE)</f>
        <v>1108952</v>
      </c>
      <c r="O4547">
        <f>IF(G4547="Not available","",VLOOKUP(F4547,Sheet2!$B$1:$E$19,4,FALSE)+(G4547-1))</f>
        <v>3779159</v>
      </c>
    </row>
    <row r="4548" spans="1:15" s="3" customFormat="1" ht="15" customHeight="1" x14ac:dyDescent="0.25">
      <c r="A4548" s="18" t="s">
        <v>511</v>
      </c>
      <c r="B4548" s="18" t="s">
        <v>123</v>
      </c>
      <c r="C4548" s="5">
        <v>1851</v>
      </c>
      <c r="D4548" s="1" t="s">
        <v>26</v>
      </c>
      <c r="E4548" s="1" t="s">
        <v>2</v>
      </c>
      <c r="F4548" s="18">
        <v>2164</v>
      </c>
      <c r="G4548" s="18">
        <v>80</v>
      </c>
      <c r="H4548" s="5">
        <v>78</v>
      </c>
      <c r="I4548" s="1">
        <v>139</v>
      </c>
      <c r="J4548" s="3" t="s">
        <v>3271</v>
      </c>
      <c r="K4548" s="1"/>
      <c r="L4548" t="str">
        <f t="shared" si="71"/>
        <v>http://www.badatelna.eu/reprodukce/?fondId=1073&amp;zaznamId=1108951&amp;reproId=3778794</v>
      </c>
      <c r="M4548">
        <f>VLOOKUP(F4548,Sheet2!$B$1:$E$19,2,FALSE)</f>
        <v>1073</v>
      </c>
      <c r="N4548">
        <f>VLOOKUP(F4548,Sheet2!$B$1:$E$19,3,FALSE)</f>
        <v>1108951</v>
      </c>
      <c r="O4548">
        <f>IF(G4548="Not available","",VLOOKUP(F4548,Sheet2!$B$1:$E$19,4,FALSE)+(G4548-1))</f>
        <v>3778794</v>
      </c>
    </row>
    <row r="4549" spans="1:15" s="3" customFormat="1" ht="15" customHeight="1" x14ac:dyDescent="0.25">
      <c r="A4549" s="18" t="s">
        <v>511</v>
      </c>
      <c r="B4549" s="18" t="s">
        <v>1259</v>
      </c>
      <c r="C4549" s="10" t="s">
        <v>2103</v>
      </c>
      <c r="D4549" s="3" t="s">
        <v>2725</v>
      </c>
      <c r="E4549" s="4" t="s">
        <v>2</v>
      </c>
      <c r="F4549" s="18">
        <v>2176</v>
      </c>
      <c r="G4549" s="18" t="s">
        <v>3271</v>
      </c>
      <c r="H4549" s="10" t="s">
        <v>2037</v>
      </c>
      <c r="I4549" s="3">
        <v>42</v>
      </c>
      <c r="J4549" s="3" t="s">
        <v>3271</v>
      </c>
      <c r="L4549" t="str">
        <f t="shared" si="71"/>
        <v/>
      </c>
      <c r="M4549">
        <f>VLOOKUP(F4549,Sheet2!$B$1:$E$19,2,FALSE)</f>
        <v>1073</v>
      </c>
      <c r="N4549">
        <f>VLOOKUP(F4549,Sheet2!$B$1:$E$19,3,FALSE)</f>
        <v>1108963</v>
      </c>
      <c r="O4549" t="str">
        <f>IF(G4549="Not available","",VLOOKUP(F4549,Sheet2!$B$1:$E$19,4,FALSE)+(G4549-1))</f>
        <v/>
      </c>
    </row>
    <row r="4550" spans="1:15" s="3" customFormat="1" ht="15" customHeight="1" x14ac:dyDescent="0.25">
      <c r="A4550" s="18" t="s">
        <v>511</v>
      </c>
      <c r="B4550" s="18" t="s">
        <v>1272</v>
      </c>
      <c r="C4550" s="14" t="s">
        <v>2098</v>
      </c>
      <c r="D4550" s="4" t="s">
        <v>900</v>
      </c>
      <c r="E4550" s="1" t="s">
        <v>2</v>
      </c>
      <c r="F4550" s="18">
        <v>2165</v>
      </c>
      <c r="G4550" s="18">
        <v>302</v>
      </c>
      <c r="H4550" s="5">
        <v>1</v>
      </c>
      <c r="I4550" s="1">
        <v>306</v>
      </c>
      <c r="J4550" s="1">
        <v>279</v>
      </c>
      <c r="K4550" s="1"/>
      <c r="L4550" t="str">
        <f t="shared" si="71"/>
        <v>http://www.badatelna.eu/reprodukce/?fondId=1073&amp;zaznamId=1108952&amp;reproId=3779163</v>
      </c>
      <c r="M4550">
        <f>VLOOKUP(F4550,Sheet2!$B$1:$E$19,2,FALSE)</f>
        <v>1073</v>
      </c>
      <c r="N4550">
        <f>VLOOKUP(F4550,Sheet2!$B$1:$E$19,3,FALSE)</f>
        <v>1108952</v>
      </c>
      <c r="O4550">
        <f>IF(G4550="Not available","",VLOOKUP(F4550,Sheet2!$B$1:$E$19,4,FALSE)+(G4550-1))</f>
        <v>3779163</v>
      </c>
    </row>
    <row r="4551" spans="1:15" s="3" customFormat="1" ht="15" customHeight="1" x14ac:dyDescent="0.25">
      <c r="A4551" s="18" t="s">
        <v>511</v>
      </c>
      <c r="B4551" s="18" t="s">
        <v>1049</v>
      </c>
      <c r="C4551" s="5" t="s">
        <v>1659</v>
      </c>
      <c r="D4551" s="1" t="s">
        <v>478</v>
      </c>
      <c r="E4551" s="1" t="s">
        <v>2</v>
      </c>
      <c r="F4551" s="18">
        <v>2165</v>
      </c>
      <c r="G4551" s="18">
        <v>70</v>
      </c>
      <c r="H4551" s="5">
        <v>67</v>
      </c>
      <c r="I4551" s="1">
        <v>93</v>
      </c>
      <c r="J4551" s="1" t="s">
        <v>3271</v>
      </c>
      <c r="K4551" s="1"/>
      <c r="L4551" t="str">
        <f t="shared" si="71"/>
        <v>http://www.badatelna.eu/reprodukce/?fondId=1073&amp;zaznamId=1108952&amp;reproId=3778931</v>
      </c>
      <c r="M4551">
        <f>VLOOKUP(F4551,Sheet2!$B$1:$E$19,2,FALSE)</f>
        <v>1073</v>
      </c>
      <c r="N4551">
        <f>VLOOKUP(F4551,Sheet2!$B$1:$E$19,3,FALSE)</f>
        <v>1108952</v>
      </c>
      <c r="O4551">
        <f>IF(G4551="Not available","",VLOOKUP(F4551,Sheet2!$B$1:$E$19,4,FALSE)+(G4551-1))</f>
        <v>3778931</v>
      </c>
    </row>
    <row r="4552" spans="1:15" s="3" customFormat="1" ht="15" customHeight="1" x14ac:dyDescent="0.25">
      <c r="A4552" s="18" t="s">
        <v>511</v>
      </c>
      <c r="B4552" s="18" t="s">
        <v>908</v>
      </c>
      <c r="C4552" s="5">
        <v>1849</v>
      </c>
      <c r="D4552" s="1" t="s">
        <v>9</v>
      </c>
      <c r="E4552" s="1" t="s">
        <v>2</v>
      </c>
      <c r="F4552" s="18">
        <v>2164</v>
      </c>
      <c r="G4552" s="18">
        <v>60</v>
      </c>
      <c r="H4552" s="5">
        <v>58</v>
      </c>
      <c r="I4552" s="1">
        <v>139</v>
      </c>
      <c r="J4552" s="3" t="s">
        <v>3271</v>
      </c>
      <c r="K4552" s="1"/>
      <c r="L4552" t="str">
        <f t="shared" si="71"/>
        <v>http://www.badatelna.eu/reprodukce/?fondId=1073&amp;zaznamId=1108951&amp;reproId=3778774</v>
      </c>
      <c r="M4552">
        <f>VLOOKUP(F4552,Sheet2!$B$1:$E$19,2,FALSE)</f>
        <v>1073</v>
      </c>
      <c r="N4552">
        <f>VLOOKUP(F4552,Sheet2!$B$1:$E$19,3,FALSE)</f>
        <v>1108951</v>
      </c>
      <c r="O4552">
        <f>IF(G4552="Not available","",VLOOKUP(F4552,Sheet2!$B$1:$E$19,4,FALSE)+(G4552-1))</f>
        <v>3778774</v>
      </c>
    </row>
    <row r="4553" spans="1:15" s="3" customFormat="1" ht="15" customHeight="1" x14ac:dyDescent="0.25">
      <c r="A4553" s="18" t="s">
        <v>511</v>
      </c>
      <c r="B4553" s="18" t="s">
        <v>2134</v>
      </c>
      <c r="C4553" s="10" t="s">
        <v>1987</v>
      </c>
      <c r="D4553" s="3" t="s">
        <v>2662</v>
      </c>
      <c r="E4553" s="4" t="s">
        <v>2</v>
      </c>
      <c r="F4553" s="18">
        <v>2176</v>
      </c>
      <c r="G4553" s="18" t="s">
        <v>3271</v>
      </c>
      <c r="H4553" s="10" t="s">
        <v>1954</v>
      </c>
      <c r="I4553" s="3">
        <v>40</v>
      </c>
      <c r="J4553" s="3" t="s">
        <v>3271</v>
      </c>
      <c r="K4553" s="1"/>
      <c r="L4553" t="str">
        <f t="shared" si="71"/>
        <v/>
      </c>
      <c r="M4553">
        <f>VLOOKUP(F4553,Sheet2!$B$1:$E$19,2,FALSE)</f>
        <v>1073</v>
      </c>
      <c r="N4553">
        <f>VLOOKUP(F4553,Sheet2!$B$1:$E$19,3,FALSE)</f>
        <v>1108963</v>
      </c>
      <c r="O4553" t="str">
        <f>IF(G4553="Not available","",VLOOKUP(F4553,Sheet2!$B$1:$E$19,4,FALSE)+(G4553-1))</f>
        <v/>
      </c>
    </row>
    <row r="4554" spans="1:15" s="3" customFormat="1" ht="15" customHeight="1" x14ac:dyDescent="0.25">
      <c r="A4554" s="18" t="s">
        <v>511</v>
      </c>
      <c r="B4554" s="19" t="s">
        <v>129</v>
      </c>
      <c r="C4554" s="5">
        <v>1858</v>
      </c>
      <c r="D4554" s="4" t="s">
        <v>304</v>
      </c>
      <c r="E4554" s="1" t="s">
        <v>939</v>
      </c>
      <c r="F4554" s="18">
        <v>999</v>
      </c>
      <c r="G4554" s="18">
        <v>8</v>
      </c>
      <c r="H4554" s="5">
        <v>6</v>
      </c>
      <c r="I4554" s="1">
        <v>76</v>
      </c>
      <c r="J4554" s="1">
        <v>110</v>
      </c>
      <c r="K4554" s="1"/>
      <c r="L4554" t="str">
        <f t="shared" si="71"/>
        <v>http://www.badatelna.eu/reprodukce/?fondId=241&amp;zaznamId=1133739&amp;reproId=3885737</v>
      </c>
      <c r="M4554">
        <f>VLOOKUP(F4554,Sheet2!$B$1:$E$19,2,FALSE)</f>
        <v>241</v>
      </c>
      <c r="N4554">
        <f>VLOOKUP(F4554,Sheet2!$B$1:$E$19,3,FALSE)</f>
        <v>1133739</v>
      </c>
      <c r="O4554">
        <f>IF(G4554="Not available","",VLOOKUP(F4554,Sheet2!$B$1:$E$19,4,FALSE)+(G4554-1))</f>
        <v>3885737</v>
      </c>
    </row>
    <row r="4555" spans="1:15" s="3" customFormat="1" ht="15" customHeight="1" x14ac:dyDescent="0.25">
      <c r="A4555" s="18" t="s">
        <v>511</v>
      </c>
      <c r="B4555" s="18" t="s">
        <v>129</v>
      </c>
      <c r="C4555" s="5">
        <v>1861</v>
      </c>
      <c r="D4555" s="1"/>
      <c r="E4555" s="1" t="s">
        <v>939</v>
      </c>
      <c r="F4555" s="18">
        <v>999</v>
      </c>
      <c r="G4555" s="18">
        <v>26</v>
      </c>
      <c r="H4555" s="5">
        <v>24</v>
      </c>
      <c r="I4555" s="1">
        <v>76</v>
      </c>
      <c r="J4555" s="1">
        <v>110</v>
      </c>
      <c r="K4555" s="1"/>
      <c r="L4555" t="str">
        <f t="shared" si="71"/>
        <v>http://www.badatelna.eu/reprodukce/?fondId=241&amp;zaznamId=1133739&amp;reproId=3885755</v>
      </c>
      <c r="M4555">
        <f>VLOOKUP(F4555,Sheet2!$B$1:$E$19,2,FALSE)</f>
        <v>241</v>
      </c>
      <c r="N4555">
        <f>VLOOKUP(F4555,Sheet2!$B$1:$E$19,3,FALSE)</f>
        <v>1133739</v>
      </c>
      <c r="O4555">
        <f>IF(G4555="Not available","",VLOOKUP(F4555,Sheet2!$B$1:$E$19,4,FALSE)+(G4555-1))</f>
        <v>3885755</v>
      </c>
    </row>
    <row r="4556" spans="1:15" s="3" customFormat="1" ht="15" customHeight="1" x14ac:dyDescent="0.25">
      <c r="A4556" s="18" t="s">
        <v>511</v>
      </c>
      <c r="B4556" s="18" t="s">
        <v>2719</v>
      </c>
      <c r="C4556" s="10" t="s">
        <v>2097</v>
      </c>
      <c r="D4556" s="3" t="s">
        <v>2720</v>
      </c>
      <c r="E4556" s="4" t="s">
        <v>2</v>
      </c>
      <c r="F4556" s="18">
        <v>2176</v>
      </c>
      <c r="G4556" s="18" t="s">
        <v>3271</v>
      </c>
      <c r="H4556" s="10" t="s">
        <v>2037</v>
      </c>
      <c r="I4556" s="3">
        <v>42</v>
      </c>
      <c r="J4556" s="3" t="s">
        <v>3271</v>
      </c>
      <c r="L4556" t="str">
        <f t="shared" si="71"/>
        <v/>
      </c>
      <c r="M4556">
        <f>VLOOKUP(F4556,Sheet2!$B$1:$E$19,2,FALSE)</f>
        <v>1073</v>
      </c>
      <c r="N4556">
        <f>VLOOKUP(F4556,Sheet2!$B$1:$E$19,3,FALSE)</f>
        <v>1108963</v>
      </c>
      <c r="O4556" t="str">
        <f>IF(G4556="Not available","",VLOOKUP(F4556,Sheet2!$B$1:$E$19,4,FALSE)+(G4556-1))</f>
        <v/>
      </c>
    </row>
    <row r="4557" spans="1:15" s="3" customFormat="1" ht="15" customHeight="1" x14ac:dyDescent="0.25">
      <c r="A4557" s="18" t="s">
        <v>511</v>
      </c>
      <c r="B4557" s="18" t="s">
        <v>1260</v>
      </c>
      <c r="C4557" s="14" t="s">
        <v>2097</v>
      </c>
      <c r="D4557" s="4" t="s">
        <v>58</v>
      </c>
      <c r="E4557" s="1" t="s">
        <v>2</v>
      </c>
      <c r="F4557" s="18">
        <v>2165</v>
      </c>
      <c r="G4557" s="18">
        <v>293</v>
      </c>
      <c r="H4557" s="5">
        <v>2</v>
      </c>
      <c r="I4557" s="1">
        <v>295</v>
      </c>
      <c r="J4557" s="1">
        <v>268</v>
      </c>
      <c r="K4557" s="1"/>
      <c r="L4557" t="str">
        <f t="shared" si="71"/>
        <v>http://www.badatelna.eu/reprodukce/?fondId=1073&amp;zaznamId=1108952&amp;reproId=3779154</v>
      </c>
      <c r="M4557">
        <f>VLOOKUP(F4557,Sheet2!$B$1:$E$19,2,FALSE)</f>
        <v>1073</v>
      </c>
      <c r="N4557">
        <f>VLOOKUP(F4557,Sheet2!$B$1:$E$19,3,FALSE)</f>
        <v>1108952</v>
      </c>
      <c r="O4557">
        <f>IF(G4557="Not available","",VLOOKUP(F4557,Sheet2!$B$1:$E$19,4,FALSE)+(G4557-1))</f>
        <v>3779154</v>
      </c>
    </row>
    <row r="4558" spans="1:15" s="3" customFormat="1" ht="15" customHeight="1" x14ac:dyDescent="0.25">
      <c r="A4558" s="18" t="s">
        <v>511</v>
      </c>
      <c r="B4558" s="18" t="s">
        <v>1052</v>
      </c>
      <c r="C4558" s="5">
        <v>1882</v>
      </c>
      <c r="D4558" s="1" t="s">
        <v>233</v>
      </c>
      <c r="E4558" s="1" t="s">
        <v>2</v>
      </c>
      <c r="F4558" s="18">
        <v>2165</v>
      </c>
      <c r="G4558" s="18">
        <v>180</v>
      </c>
      <c r="H4558" s="5">
        <v>4</v>
      </c>
      <c r="I4558" s="1">
        <v>183</v>
      </c>
      <c r="J4558" s="1">
        <v>160</v>
      </c>
      <c r="K4558" s="1"/>
      <c r="L4558" t="str">
        <f t="shared" si="71"/>
        <v>http://www.badatelna.eu/reprodukce/?fondId=1073&amp;zaznamId=1108952&amp;reproId=3779041</v>
      </c>
      <c r="M4558">
        <f>VLOOKUP(F4558,Sheet2!$B$1:$E$19,2,FALSE)</f>
        <v>1073</v>
      </c>
      <c r="N4558">
        <f>VLOOKUP(F4558,Sheet2!$B$1:$E$19,3,FALSE)</f>
        <v>1108952</v>
      </c>
      <c r="O4558">
        <f>IF(G4558="Not available","",VLOOKUP(F4558,Sheet2!$B$1:$E$19,4,FALSE)+(G4558-1))</f>
        <v>3779041</v>
      </c>
    </row>
    <row r="4559" spans="1:15" s="3" customFormat="1" ht="15" customHeight="1" x14ac:dyDescent="0.25">
      <c r="A4559" s="18" t="s">
        <v>511</v>
      </c>
      <c r="B4559" s="18" t="s">
        <v>1052</v>
      </c>
      <c r="C4559" s="10" t="s">
        <v>1285</v>
      </c>
      <c r="D4559" s="3" t="s">
        <v>2692</v>
      </c>
      <c r="E4559" s="4" t="s">
        <v>2</v>
      </c>
      <c r="F4559" s="18">
        <v>2176</v>
      </c>
      <c r="G4559" s="18" t="s">
        <v>3271</v>
      </c>
      <c r="H4559" s="10" t="s">
        <v>2019</v>
      </c>
      <c r="I4559" s="3">
        <v>41</v>
      </c>
      <c r="J4559" s="3" t="s">
        <v>3271</v>
      </c>
      <c r="L4559" t="str">
        <f t="shared" si="71"/>
        <v/>
      </c>
      <c r="M4559">
        <f>VLOOKUP(F4559,Sheet2!$B$1:$E$19,2,FALSE)</f>
        <v>1073</v>
      </c>
      <c r="N4559">
        <f>VLOOKUP(F4559,Sheet2!$B$1:$E$19,3,FALSE)</f>
        <v>1108963</v>
      </c>
      <c r="O4559" t="str">
        <f>IF(G4559="Not available","",VLOOKUP(F4559,Sheet2!$B$1:$E$19,4,FALSE)+(G4559-1))</f>
        <v/>
      </c>
    </row>
    <row r="4560" spans="1:15" s="3" customFormat="1" ht="15" customHeight="1" x14ac:dyDescent="0.25">
      <c r="A4560" s="18" t="s">
        <v>511</v>
      </c>
      <c r="B4560" s="18" t="s">
        <v>1102</v>
      </c>
      <c r="C4560" s="10" t="s">
        <v>2025</v>
      </c>
      <c r="D4560" s="3" t="s">
        <v>2679</v>
      </c>
      <c r="E4560" s="4" t="s">
        <v>2</v>
      </c>
      <c r="F4560" s="18">
        <v>2176</v>
      </c>
      <c r="G4560" s="18" t="s">
        <v>3271</v>
      </c>
      <c r="H4560" s="10" t="s">
        <v>2094</v>
      </c>
      <c r="I4560" s="3">
        <v>41</v>
      </c>
      <c r="J4560" s="3" t="s">
        <v>3271</v>
      </c>
      <c r="L4560" t="str">
        <f t="shared" si="71"/>
        <v/>
      </c>
      <c r="M4560">
        <f>VLOOKUP(F4560,Sheet2!$B$1:$E$19,2,FALSE)</f>
        <v>1073</v>
      </c>
      <c r="N4560">
        <f>VLOOKUP(F4560,Sheet2!$B$1:$E$19,3,FALSE)</f>
        <v>1108963</v>
      </c>
      <c r="O4560" t="str">
        <f>IF(G4560="Not available","",VLOOKUP(F4560,Sheet2!$B$1:$E$19,4,FALSE)+(G4560-1))</f>
        <v/>
      </c>
    </row>
    <row r="4561" spans="1:15" s="3" customFormat="1" ht="15" customHeight="1" x14ac:dyDescent="0.25">
      <c r="A4561" s="18" t="s">
        <v>511</v>
      </c>
      <c r="B4561" s="18" t="s">
        <v>2224</v>
      </c>
      <c r="C4561" s="10" t="s">
        <v>2102</v>
      </c>
      <c r="D4561" s="3" t="s">
        <v>2842</v>
      </c>
      <c r="E4561" s="4" t="s">
        <v>2</v>
      </c>
      <c r="F4561" s="18">
        <v>2176</v>
      </c>
      <c r="G4561" s="18" t="s">
        <v>3271</v>
      </c>
      <c r="H4561" s="10" t="s">
        <v>1971</v>
      </c>
      <c r="I4561" s="3">
        <v>42</v>
      </c>
      <c r="J4561" s="3" t="s">
        <v>3271</v>
      </c>
      <c r="L4561" t="str">
        <f t="shared" si="71"/>
        <v/>
      </c>
      <c r="M4561">
        <f>VLOOKUP(F4561,Sheet2!$B$1:$E$19,2,FALSE)</f>
        <v>1073</v>
      </c>
      <c r="N4561">
        <f>VLOOKUP(F4561,Sheet2!$B$1:$E$19,3,FALSE)</f>
        <v>1108963</v>
      </c>
      <c r="O4561" t="str">
        <f>IF(G4561="Not available","",VLOOKUP(F4561,Sheet2!$B$1:$E$19,4,FALSE)+(G4561-1))</f>
        <v/>
      </c>
    </row>
    <row r="4562" spans="1:15" s="3" customFormat="1" ht="15" customHeight="1" x14ac:dyDescent="0.25">
      <c r="A4562" s="18" t="s">
        <v>511</v>
      </c>
      <c r="B4562" s="18" t="s">
        <v>1158</v>
      </c>
      <c r="C4562" s="5">
        <v>1887</v>
      </c>
      <c r="D4562" s="1" t="s">
        <v>197</v>
      </c>
      <c r="E4562" s="1" t="s">
        <v>2</v>
      </c>
      <c r="F4562" s="18">
        <v>2165</v>
      </c>
      <c r="G4562" s="18">
        <v>214</v>
      </c>
      <c r="H4562" s="5">
        <v>3</v>
      </c>
      <c r="I4562" s="1">
        <v>216</v>
      </c>
      <c r="J4562" s="1">
        <v>192</v>
      </c>
      <c r="K4562" s="1"/>
      <c r="L4562" t="str">
        <f t="shared" si="71"/>
        <v>http://www.badatelna.eu/reprodukce/?fondId=1073&amp;zaznamId=1108952&amp;reproId=3779075</v>
      </c>
      <c r="M4562">
        <f>VLOOKUP(F4562,Sheet2!$B$1:$E$19,2,FALSE)</f>
        <v>1073</v>
      </c>
      <c r="N4562">
        <f>VLOOKUP(F4562,Sheet2!$B$1:$E$19,3,FALSE)</f>
        <v>1108952</v>
      </c>
      <c r="O4562">
        <f>IF(G4562="Not available","",VLOOKUP(F4562,Sheet2!$B$1:$E$19,4,FALSE)+(G4562-1))</f>
        <v>3779075</v>
      </c>
    </row>
    <row r="4563" spans="1:15" s="3" customFormat="1" ht="15" customHeight="1" x14ac:dyDescent="0.25">
      <c r="A4563" s="18" t="s">
        <v>511</v>
      </c>
      <c r="B4563" s="18" t="s">
        <v>34</v>
      </c>
      <c r="C4563" s="5">
        <v>1818</v>
      </c>
      <c r="D4563" s="1"/>
      <c r="E4563" s="1" t="s">
        <v>2</v>
      </c>
      <c r="F4563" s="18">
        <v>2173</v>
      </c>
      <c r="G4563" s="18">
        <v>69</v>
      </c>
      <c r="H4563" s="5">
        <v>129</v>
      </c>
      <c r="I4563" s="1">
        <v>116</v>
      </c>
      <c r="J4563" s="1">
        <v>253</v>
      </c>
      <c r="K4563" s="1"/>
      <c r="L4563" t="str">
        <f t="shared" si="71"/>
        <v>http://www.badatelna.eu/reprodukce/?fondId=1073&amp;zaznamId=1108959&amp;reproId=3780062</v>
      </c>
      <c r="M4563">
        <f>VLOOKUP(F4563,Sheet2!$B$1:$E$19,2,FALSE)</f>
        <v>1073</v>
      </c>
      <c r="N4563">
        <f>VLOOKUP(F4563,Sheet2!$B$1:$E$19,3,FALSE)</f>
        <v>1108959</v>
      </c>
      <c r="O4563">
        <f>IF(G4563="Not available","",VLOOKUP(F4563,Sheet2!$B$1:$E$19,4,FALSE)+(G4563-1))</f>
        <v>3780062</v>
      </c>
    </row>
    <row r="4564" spans="1:15" s="3" customFormat="1" ht="15" customHeight="1" x14ac:dyDescent="0.25">
      <c r="A4564" s="18" t="s">
        <v>511</v>
      </c>
      <c r="B4564" s="18" t="s">
        <v>809</v>
      </c>
      <c r="C4564" s="5">
        <v>1858</v>
      </c>
      <c r="D4564" s="1"/>
      <c r="E4564" s="1" t="s">
        <v>939</v>
      </c>
      <c r="F4564" s="18">
        <v>999</v>
      </c>
      <c r="G4564" s="18">
        <v>10</v>
      </c>
      <c r="H4564" s="5">
        <v>6</v>
      </c>
      <c r="I4564" s="1">
        <v>76</v>
      </c>
      <c r="J4564" s="1">
        <v>110</v>
      </c>
      <c r="K4564" s="1"/>
      <c r="L4564" t="str">
        <f t="shared" si="71"/>
        <v>http://www.badatelna.eu/reprodukce/?fondId=241&amp;zaznamId=1133739&amp;reproId=3885739</v>
      </c>
      <c r="M4564">
        <f>VLOOKUP(F4564,Sheet2!$B$1:$E$19,2,FALSE)</f>
        <v>241</v>
      </c>
      <c r="N4564">
        <f>VLOOKUP(F4564,Sheet2!$B$1:$E$19,3,FALSE)</f>
        <v>1133739</v>
      </c>
      <c r="O4564">
        <f>IF(G4564="Not available","",VLOOKUP(F4564,Sheet2!$B$1:$E$19,4,FALSE)+(G4564-1))</f>
        <v>3885739</v>
      </c>
    </row>
    <row r="4565" spans="1:15" s="3" customFormat="1" ht="15" customHeight="1" x14ac:dyDescent="0.25">
      <c r="A4565" s="18" t="s">
        <v>511</v>
      </c>
      <c r="B4565" s="18" t="s">
        <v>12</v>
      </c>
      <c r="C4565" s="5" t="s">
        <v>1654</v>
      </c>
      <c r="D4565" s="1" t="s">
        <v>1088</v>
      </c>
      <c r="E4565" s="1" t="s">
        <v>2</v>
      </c>
      <c r="F4565" s="18">
        <v>2165</v>
      </c>
      <c r="G4565" s="18">
        <v>64</v>
      </c>
      <c r="H4565" s="5">
        <v>61</v>
      </c>
      <c r="I4565" s="1">
        <v>93</v>
      </c>
      <c r="J4565" s="1" t="s">
        <v>3271</v>
      </c>
      <c r="K4565" s="1"/>
      <c r="L4565" t="str">
        <f t="shared" si="71"/>
        <v>http://www.badatelna.eu/reprodukce/?fondId=1073&amp;zaznamId=1108952&amp;reproId=3778925</v>
      </c>
      <c r="M4565">
        <f>VLOOKUP(F4565,Sheet2!$B$1:$E$19,2,FALSE)</f>
        <v>1073</v>
      </c>
      <c r="N4565">
        <f>VLOOKUP(F4565,Sheet2!$B$1:$E$19,3,FALSE)</f>
        <v>1108952</v>
      </c>
      <c r="O4565">
        <f>IF(G4565="Not available","",VLOOKUP(F4565,Sheet2!$B$1:$E$19,4,FALSE)+(G4565-1))</f>
        <v>3778925</v>
      </c>
    </row>
    <row r="4566" spans="1:15" s="3" customFormat="1" ht="15" customHeight="1" x14ac:dyDescent="0.25">
      <c r="A4566" s="18" t="s">
        <v>511</v>
      </c>
      <c r="B4566" s="18" t="s">
        <v>2089</v>
      </c>
      <c r="C4566" s="10" t="s">
        <v>2079</v>
      </c>
      <c r="D4566" s="3" t="s">
        <v>2708</v>
      </c>
      <c r="E4566" s="4" t="s">
        <v>2</v>
      </c>
      <c r="F4566" s="18">
        <v>2176</v>
      </c>
      <c r="G4566" s="18" t="s">
        <v>3271</v>
      </c>
      <c r="H4566" s="10" t="s">
        <v>1959</v>
      </c>
      <c r="I4566" s="3">
        <v>42</v>
      </c>
      <c r="J4566" s="3" t="s">
        <v>3271</v>
      </c>
      <c r="L4566" t="str">
        <f t="shared" si="71"/>
        <v/>
      </c>
      <c r="M4566">
        <f>VLOOKUP(F4566,Sheet2!$B$1:$E$19,2,FALSE)</f>
        <v>1073</v>
      </c>
      <c r="N4566">
        <f>VLOOKUP(F4566,Sheet2!$B$1:$E$19,3,FALSE)</f>
        <v>1108963</v>
      </c>
      <c r="O4566" t="str">
        <f>IF(G4566="Not available","",VLOOKUP(F4566,Sheet2!$B$1:$E$19,4,FALSE)+(G4566-1))</f>
        <v/>
      </c>
    </row>
    <row r="4567" spans="1:15" s="3" customFormat="1" ht="15" customHeight="1" x14ac:dyDescent="0.25">
      <c r="A4567" s="18" t="s">
        <v>511</v>
      </c>
      <c r="B4567" s="18" t="s">
        <v>431</v>
      </c>
      <c r="C4567" s="5" t="s">
        <v>1809</v>
      </c>
      <c r="D4567" s="1" t="s">
        <v>900</v>
      </c>
      <c r="E4567" s="1" t="s">
        <v>2</v>
      </c>
      <c r="F4567" s="18">
        <v>2165</v>
      </c>
      <c r="G4567" s="18">
        <v>243</v>
      </c>
      <c r="H4567" s="5">
        <v>3</v>
      </c>
      <c r="I4567" s="1">
        <v>245</v>
      </c>
      <c r="J4567" s="1">
        <v>227</v>
      </c>
      <c r="K4567" s="1"/>
      <c r="L4567" t="str">
        <f t="shared" si="71"/>
        <v>http://www.badatelna.eu/reprodukce/?fondId=1073&amp;zaznamId=1108952&amp;reproId=3779104</v>
      </c>
      <c r="M4567">
        <f>VLOOKUP(F4567,Sheet2!$B$1:$E$19,2,FALSE)</f>
        <v>1073</v>
      </c>
      <c r="N4567">
        <f>VLOOKUP(F4567,Sheet2!$B$1:$E$19,3,FALSE)</f>
        <v>1108952</v>
      </c>
      <c r="O4567">
        <f>IF(G4567="Not available","",VLOOKUP(F4567,Sheet2!$B$1:$E$19,4,FALSE)+(G4567-1))</f>
        <v>3779104</v>
      </c>
    </row>
    <row r="4568" spans="1:15" s="3" customFormat="1" ht="15" customHeight="1" x14ac:dyDescent="0.25">
      <c r="A4568" s="18" t="s">
        <v>511</v>
      </c>
      <c r="B4568" s="18" t="s">
        <v>197</v>
      </c>
      <c r="C4568" s="10" t="s">
        <v>2081</v>
      </c>
      <c r="D4568" s="3" t="s">
        <v>2711</v>
      </c>
      <c r="E4568" s="4" t="s">
        <v>2</v>
      </c>
      <c r="F4568" s="18">
        <v>2176</v>
      </c>
      <c r="G4568" s="18" t="s">
        <v>3271</v>
      </c>
      <c r="H4568" s="10" t="s">
        <v>2031</v>
      </c>
      <c r="I4568" s="3">
        <v>42</v>
      </c>
      <c r="J4568" s="3" t="s">
        <v>3271</v>
      </c>
      <c r="L4568" t="str">
        <f t="shared" si="71"/>
        <v/>
      </c>
      <c r="M4568">
        <f>VLOOKUP(F4568,Sheet2!$B$1:$E$19,2,FALSE)</f>
        <v>1073</v>
      </c>
      <c r="N4568">
        <f>VLOOKUP(F4568,Sheet2!$B$1:$E$19,3,FALSE)</f>
        <v>1108963</v>
      </c>
      <c r="O4568" t="str">
        <f>IF(G4568="Not available","",VLOOKUP(F4568,Sheet2!$B$1:$E$19,4,FALSE)+(G4568-1))</f>
        <v/>
      </c>
    </row>
    <row r="4569" spans="1:15" s="3" customFormat="1" ht="15" customHeight="1" x14ac:dyDescent="0.25">
      <c r="A4569" s="18" t="s">
        <v>511</v>
      </c>
      <c r="B4569" s="18" t="s">
        <v>197</v>
      </c>
      <c r="C4569" s="5" t="s">
        <v>1831</v>
      </c>
      <c r="D4569" s="1" t="s">
        <v>809</v>
      </c>
      <c r="E4569" s="1" t="s">
        <v>2</v>
      </c>
      <c r="F4569" s="18">
        <v>2165</v>
      </c>
      <c r="G4569" s="18">
        <v>249</v>
      </c>
      <c r="H4569" s="5">
        <v>3</v>
      </c>
      <c r="I4569" s="1">
        <v>251</v>
      </c>
      <c r="J4569" s="1">
        <v>227</v>
      </c>
      <c r="K4569" s="1"/>
      <c r="L4569" t="str">
        <f t="shared" si="71"/>
        <v>http://www.badatelna.eu/reprodukce/?fondId=1073&amp;zaznamId=1108952&amp;reproId=3779110</v>
      </c>
      <c r="M4569">
        <f>VLOOKUP(F4569,Sheet2!$B$1:$E$19,2,FALSE)</f>
        <v>1073</v>
      </c>
      <c r="N4569">
        <f>VLOOKUP(F4569,Sheet2!$B$1:$E$19,3,FALSE)</f>
        <v>1108952</v>
      </c>
      <c r="O4569">
        <f>IF(G4569="Not available","",VLOOKUP(F4569,Sheet2!$B$1:$E$19,4,FALSE)+(G4569-1))</f>
        <v>3779110</v>
      </c>
    </row>
    <row r="4570" spans="1:15" s="3" customFormat="1" ht="15" customHeight="1" x14ac:dyDescent="0.25">
      <c r="A4570" s="18" t="s">
        <v>511</v>
      </c>
      <c r="B4570" s="18" t="s">
        <v>197</v>
      </c>
      <c r="C4570" s="10" t="s">
        <v>2102</v>
      </c>
      <c r="D4570" s="3" t="s">
        <v>2841</v>
      </c>
      <c r="E4570" s="4" t="s">
        <v>2</v>
      </c>
      <c r="F4570" s="18">
        <v>2176</v>
      </c>
      <c r="G4570" s="18" t="s">
        <v>3271</v>
      </c>
      <c r="H4570" s="10" t="s">
        <v>2069</v>
      </c>
      <c r="I4570" s="3">
        <v>42</v>
      </c>
      <c r="J4570" s="3" t="s">
        <v>3271</v>
      </c>
      <c r="L4570" t="str">
        <f t="shared" si="71"/>
        <v/>
      </c>
      <c r="M4570">
        <f>VLOOKUP(F4570,Sheet2!$B$1:$E$19,2,FALSE)</f>
        <v>1073</v>
      </c>
      <c r="N4570">
        <f>VLOOKUP(F4570,Sheet2!$B$1:$E$19,3,FALSE)</f>
        <v>1108963</v>
      </c>
      <c r="O4570" t="str">
        <f>IF(G4570="Not available","",VLOOKUP(F4570,Sheet2!$B$1:$E$19,4,FALSE)+(G4570-1))</f>
        <v/>
      </c>
    </row>
    <row r="4571" spans="1:15" s="3" customFormat="1" ht="15" customHeight="1" x14ac:dyDescent="0.25">
      <c r="A4571" s="18" t="s">
        <v>511</v>
      </c>
      <c r="B4571" s="18" t="s">
        <v>969</v>
      </c>
      <c r="C4571" s="5">
        <v>1860</v>
      </c>
      <c r="D4571" s="1"/>
      <c r="E4571" s="1" t="s">
        <v>939</v>
      </c>
      <c r="F4571" s="18">
        <v>999</v>
      </c>
      <c r="G4571" s="18">
        <v>20</v>
      </c>
      <c r="H4571" s="5">
        <v>18</v>
      </c>
      <c r="I4571" s="1">
        <v>76</v>
      </c>
      <c r="J4571" s="1">
        <v>110</v>
      </c>
      <c r="K4571" s="1"/>
      <c r="L4571" t="str">
        <f t="shared" si="71"/>
        <v>http://www.badatelna.eu/reprodukce/?fondId=241&amp;zaznamId=1133739&amp;reproId=3885749</v>
      </c>
      <c r="M4571">
        <f>VLOOKUP(F4571,Sheet2!$B$1:$E$19,2,FALSE)</f>
        <v>241</v>
      </c>
      <c r="N4571">
        <f>VLOOKUP(F4571,Sheet2!$B$1:$E$19,3,FALSE)</f>
        <v>1133739</v>
      </c>
      <c r="O4571">
        <f>IF(G4571="Not available","",VLOOKUP(F4571,Sheet2!$B$1:$E$19,4,FALSE)+(G4571-1))</f>
        <v>3885749</v>
      </c>
    </row>
    <row r="4572" spans="1:15" s="3" customFormat="1" ht="15" customHeight="1" x14ac:dyDescent="0.25">
      <c r="A4572" s="18" t="s">
        <v>511</v>
      </c>
      <c r="B4572" s="18" t="s">
        <v>26</v>
      </c>
      <c r="C4572" s="5">
        <v>1851</v>
      </c>
      <c r="D4572" s="1" t="s">
        <v>34</v>
      </c>
      <c r="E4572" s="1" t="s">
        <v>2</v>
      </c>
      <c r="F4572" s="18">
        <v>2164</v>
      </c>
      <c r="G4572" s="18">
        <v>78</v>
      </c>
      <c r="H4572" s="5">
        <v>76</v>
      </c>
      <c r="I4572" s="1">
        <v>139</v>
      </c>
      <c r="J4572" s="3" t="s">
        <v>3271</v>
      </c>
      <c r="K4572" s="1"/>
      <c r="L4572" t="str">
        <f t="shared" si="71"/>
        <v>http://www.badatelna.eu/reprodukce/?fondId=1073&amp;zaznamId=1108951&amp;reproId=3778792</v>
      </c>
      <c r="M4572">
        <f>VLOOKUP(F4572,Sheet2!$B$1:$E$19,2,FALSE)</f>
        <v>1073</v>
      </c>
      <c r="N4572">
        <f>VLOOKUP(F4572,Sheet2!$B$1:$E$19,3,FALSE)</f>
        <v>1108951</v>
      </c>
      <c r="O4572">
        <f>IF(G4572="Not available","",VLOOKUP(F4572,Sheet2!$B$1:$E$19,4,FALSE)+(G4572-1))</f>
        <v>3778792</v>
      </c>
    </row>
    <row r="4573" spans="1:15" s="3" customFormat="1" ht="15" customHeight="1" x14ac:dyDescent="0.25">
      <c r="A4573" s="18" t="s">
        <v>511</v>
      </c>
      <c r="B4573" s="18" t="s">
        <v>842</v>
      </c>
      <c r="C4573" s="5">
        <v>1850</v>
      </c>
      <c r="D4573" s="4" t="s">
        <v>706</v>
      </c>
      <c r="E4573" s="1" t="s">
        <v>2</v>
      </c>
      <c r="F4573" s="18">
        <v>2164</v>
      </c>
      <c r="G4573" s="18">
        <v>70</v>
      </c>
      <c r="H4573" s="5">
        <v>68</v>
      </c>
      <c r="I4573" s="1">
        <v>139</v>
      </c>
      <c r="J4573" s="3" t="s">
        <v>3271</v>
      </c>
      <c r="K4573" s="1"/>
      <c r="L4573" t="str">
        <f t="shared" si="71"/>
        <v>http://www.badatelna.eu/reprodukce/?fondId=1073&amp;zaznamId=1108951&amp;reproId=3778784</v>
      </c>
      <c r="M4573">
        <f>VLOOKUP(F4573,Sheet2!$B$1:$E$19,2,FALSE)</f>
        <v>1073</v>
      </c>
      <c r="N4573">
        <f>VLOOKUP(F4573,Sheet2!$B$1:$E$19,3,FALSE)</f>
        <v>1108951</v>
      </c>
      <c r="O4573">
        <f>IF(G4573="Not available","",VLOOKUP(F4573,Sheet2!$B$1:$E$19,4,FALSE)+(G4573-1))</f>
        <v>3778784</v>
      </c>
    </row>
    <row r="4574" spans="1:15" s="3" customFormat="1" ht="15" customHeight="1" x14ac:dyDescent="0.25">
      <c r="A4574" s="18" t="s">
        <v>511</v>
      </c>
      <c r="B4574" s="18" t="s">
        <v>133</v>
      </c>
      <c r="C4574" s="5">
        <v>1820</v>
      </c>
      <c r="D4574" s="1"/>
      <c r="E4574" s="1" t="s">
        <v>2</v>
      </c>
      <c r="F4574" s="18">
        <v>2173</v>
      </c>
      <c r="G4574" s="18">
        <v>76</v>
      </c>
      <c r="H4574" s="5">
        <v>134</v>
      </c>
      <c r="I4574" s="1">
        <v>116</v>
      </c>
      <c r="J4574" s="1">
        <v>253</v>
      </c>
      <c r="K4574" s="1"/>
      <c r="L4574" t="str">
        <f t="shared" si="71"/>
        <v>http://www.badatelna.eu/reprodukce/?fondId=1073&amp;zaznamId=1108959&amp;reproId=3780069</v>
      </c>
      <c r="M4574">
        <f>VLOOKUP(F4574,Sheet2!$B$1:$E$19,2,FALSE)</f>
        <v>1073</v>
      </c>
      <c r="N4574">
        <f>VLOOKUP(F4574,Sheet2!$B$1:$E$19,3,FALSE)</f>
        <v>1108959</v>
      </c>
      <c r="O4574">
        <f>IF(G4574="Not available","",VLOOKUP(F4574,Sheet2!$B$1:$E$19,4,FALSE)+(G4574-1))</f>
        <v>3780069</v>
      </c>
    </row>
    <row r="4575" spans="1:15" s="3" customFormat="1" ht="15" customHeight="1" x14ac:dyDescent="0.25">
      <c r="A4575" s="18" t="s">
        <v>511</v>
      </c>
      <c r="B4575" s="18" t="s">
        <v>602</v>
      </c>
      <c r="C4575" s="5" t="s">
        <v>1637</v>
      </c>
      <c r="D4575" s="1" t="s">
        <v>1088</v>
      </c>
      <c r="E4575" s="1" t="s">
        <v>2</v>
      </c>
      <c r="F4575" s="18">
        <v>2165</v>
      </c>
      <c r="G4575" s="18">
        <v>47</v>
      </c>
      <c r="H4575" s="5">
        <v>44</v>
      </c>
      <c r="I4575" s="1">
        <v>93</v>
      </c>
      <c r="J4575" s="1" t="s">
        <v>3271</v>
      </c>
      <c r="K4575" s="1"/>
      <c r="L4575" t="str">
        <f t="shared" si="71"/>
        <v>http://www.badatelna.eu/reprodukce/?fondId=1073&amp;zaznamId=1108952&amp;reproId=3778908</v>
      </c>
      <c r="M4575">
        <f>VLOOKUP(F4575,Sheet2!$B$1:$E$19,2,FALSE)</f>
        <v>1073</v>
      </c>
      <c r="N4575">
        <f>VLOOKUP(F4575,Sheet2!$B$1:$E$19,3,FALSE)</f>
        <v>1108952</v>
      </c>
      <c r="O4575">
        <f>IF(G4575="Not available","",VLOOKUP(F4575,Sheet2!$B$1:$E$19,4,FALSE)+(G4575-1))</f>
        <v>3778908</v>
      </c>
    </row>
    <row r="4576" spans="1:15" s="3" customFormat="1" ht="15" customHeight="1" x14ac:dyDescent="0.25">
      <c r="A4576" s="18" t="s">
        <v>511</v>
      </c>
      <c r="B4576" s="18" t="s">
        <v>56</v>
      </c>
      <c r="C4576" s="5">
        <v>1795</v>
      </c>
      <c r="D4576" s="12" t="s">
        <v>74</v>
      </c>
      <c r="E4576" s="1" t="s">
        <v>2</v>
      </c>
      <c r="F4576" s="18">
        <v>2173</v>
      </c>
      <c r="G4576" s="18">
        <v>33</v>
      </c>
      <c r="H4576" s="5">
        <v>60</v>
      </c>
      <c r="I4576" s="1">
        <v>115</v>
      </c>
      <c r="J4576" s="1">
        <v>259</v>
      </c>
      <c r="K4576" s="1"/>
      <c r="L4576" t="str">
        <f t="shared" si="71"/>
        <v>http://www.badatelna.eu/reprodukce/?fondId=1073&amp;zaznamId=1108959&amp;reproId=3780026</v>
      </c>
      <c r="M4576">
        <f>VLOOKUP(F4576,Sheet2!$B$1:$E$19,2,FALSE)</f>
        <v>1073</v>
      </c>
      <c r="N4576">
        <f>VLOOKUP(F4576,Sheet2!$B$1:$E$19,3,FALSE)</f>
        <v>1108959</v>
      </c>
      <c r="O4576">
        <f>IF(G4576="Not available","",VLOOKUP(F4576,Sheet2!$B$1:$E$19,4,FALSE)+(G4576-1))</f>
        <v>3780026</v>
      </c>
    </row>
    <row r="4577" spans="1:15" s="3" customFormat="1" ht="15" customHeight="1" x14ac:dyDescent="0.25">
      <c r="A4577" s="18" t="s">
        <v>511</v>
      </c>
      <c r="B4577" s="18" t="s">
        <v>49</v>
      </c>
      <c r="C4577" s="5">
        <v>1785</v>
      </c>
      <c r="D4577" s="1" t="s">
        <v>518</v>
      </c>
      <c r="E4577" s="1" t="s">
        <v>2</v>
      </c>
      <c r="F4577" s="18">
        <v>2173</v>
      </c>
      <c r="G4577" s="18">
        <v>5</v>
      </c>
      <c r="H4577" s="5">
        <v>5</v>
      </c>
      <c r="I4577" s="1">
        <v>115</v>
      </c>
      <c r="J4577" s="1">
        <v>259</v>
      </c>
      <c r="K4577" s="1"/>
      <c r="L4577" t="str">
        <f t="shared" si="71"/>
        <v>http://www.badatelna.eu/reprodukce/?fondId=1073&amp;zaznamId=1108959&amp;reproId=3779998</v>
      </c>
      <c r="M4577">
        <f>VLOOKUP(F4577,Sheet2!$B$1:$E$19,2,FALSE)</f>
        <v>1073</v>
      </c>
      <c r="N4577">
        <f>VLOOKUP(F4577,Sheet2!$B$1:$E$19,3,FALSE)</f>
        <v>1108959</v>
      </c>
      <c r="O4577">
        <f>IF(G4577="Not available","",VLOOKUP(F4577,Sheet2!$B$1:$E$19,4,FALSE)+(G4577-1))</f>
        <v>3779998</v>
      </c>
    </row>
    <row r="4578" spans="1:15" s="3" customFormat="1" ht="15" customHeight="1" x14ac:dyDescent="0.25">
      <c r="A4578" s="18" t="s">
        <v>511</v>
      </c>
      <c r="B4578" s="19" t="s">
        <v>653</v>
      </c>
      <c r="C4578" s="5">
        <v>1864</v>
      </c>
      <c r="D4578" s="4" t="s">
        <v>304</v>
      </c>
      <c r="E4578" s="1" t="s">
        <v>939</v>
      </c>
      <c r="F4578" s="18">
        <v>999</v>
      </c>
      <c r="G4578" s="18">
        <v>47</v>
      </c>
      <c r="H4578" s="5">
        <v>45</v>
      </c>
      <c r="I4578" s="1">
        <v>76</v>
      </c>
      <c r="J4578" s="1">
        <v>110</v>
      </c>
      <c r="K4578" s="1"/>
      <c r="L4578" t="str">
        <f t="shared" si="71"/>
        <v>http://www.badatelna.eu/reprodukce/?fondId=241&amp;zaznamId=1133739&amp;reproId=3885776</v>
      </c>
      <c r="M4578">
        <f>VLOOKUP(F4578,Sheet2!$B$1:$E$19,2,FALSE)</f>
        <v>241</v>
      </c>
      <c r="N4578">
        <f>VLOOKUP(F4578,Sheet2!$B$1:$E$19,3,FALSE)</f>
        <v>1133739</v>
      </c>
      <c r="O4578">
        <f>IF(G4578="Not available","",VLOOKUP(F4578,Sheet2!$B$1:$E$19,4,FALSE)+(G4578-1))</f>
        <v>3885776</v>
      </c>
    </row>
    <row r="4579" spans="1:15" s="3" customFormat="1" ht="15" customHeight="1" x14ac:dyDescent="0.25">
      <c r="A4579" s="18" t="s">
        <v>511</v>
      </c>
      <c r="B4579" s="18" t="s">
        <v>2657</v>
      </c>
      <c r="C4579" s="10" t="s">
        <v>2594</v>
      </c>
      <c r="D4579" s="3" t="s">
        <v>2658</v>
      </c>
      <c r="E4579" s="4" t="s">
        <v>2</v>
      </c>
      <c r="F4579" s="18">
        <v>2176</v>
      </c>
      <c r="G4579" s="18" t="s">
        <v>3271</v>
      </c>
      <c r="H4579" s="10" t="s">
        <v>2211</v>
      </c>
      <c r="I4579" s="3">
        <v>40</v>
      </c>
      <c r="J4579" s="3" t="s">
        <v>3271</v>
      </c>
      <c r="K4579" s="1"/>
      <c r="L4579" t="str">
        <f t="shared" si="71"/>
        <v/>
      </c>
      <c r="M4579">
        <f>VLOOKUP(F4579,Sheet2!$B$1:$E$19,2,FALSE)</f>
        <v>1073</v>
      </c>
      <c r="N4579">
        <f>VLOOKUP(F4579,Sheet2!$B$1:$E$19,3,FALSE)</f>
        <v>1108963</v>
      </c>
      <c r="O4579" t="str">
        <f>IF(G4579="Not available","",VLOOKUP(F4579,Sheet2!$B$1:$E$19,4,FALSE)+(G4579-1))</f>
        <v/>
      </c>
    </row>
    <row r="4580" spans="1:15" s="3" customFormat="1" ht="15" customHeight="1" x14ac:dyDescent="0.25">
      <c r="A4580" s="18" t="s">
        <v>511</v>
      </c>
      <c r="B4580" s="18" t="s">
        <v>233</v>
      </c>
      <c r="C4580" s="5">
        <v>1849</v>
      </c>
      <c r="D4580" s="1" t="s">
        <v>706</v>
      </c>
      <c r="E4580" s="1" t="s">
        <v>2</v>
      </c>
      <c r="F4580" s="18">
        <v>2164</v>
      </c>
      <c r="G4580" s="18">
        <v>62</v>
      </c>
      <c r="H4580" s="5">
        <v>60</v>
      </c>
      <c r="I4580" s="1">
        <v>139</v>
      </c>
      <c r="J4580" s="3" t="s">
        <v>3271</v>
      </c>
      <c r="K4580" s="1"/>
      <c r="L4580" t="str">
        <f t="shared" si="71"/>
        <v>http://www.badatelna.eu/reprodukce/?fondId=1073&amp;zaznamId=1108951&amp;reproId=3778776</v>
      </c>
      <c r="M4580">
        <f>VLOOKUP(F4580,Sheet2!$B$1:$E$19,2,FALSE)</f>
        <v>1073</v>
      </c>
      <c r="N4580">
        <f>VLOOKUP(F4580,Sheet2!$B$1:$E$19,3,FALSE)</f>
        <v>1108951</v>
      </c>
      <c r="O4580">
        <f>IF(G4580="Not available","",VLOOKUP(F4580,Sheet2!$B$1:$E$19,4,FALSE)+(G4580-1))</f>
        <v>3778776</v>
      </c>
    </row>
    <row r="4581" spans="1:15" s="3" customFormat="1" ht="15" customHeight="1" x14ac:dyDescent="0.25">
      <c r="A4581" s="18" t="s">
        <v>511</v>
      </c>
      <c r="B4581" s="18" t="s">
        <v>2525</v>
      </c>
      <c r="C4581" s="10" t="s">
        <v>2102</v>
      </c>
      <c r="D4581" s="3" t="s">
        <v>2361</v>
      </c>
      <c r="E4581" s="4" t="s">
        <v>2</v>
      </c>
      <c r="F4581" s="18">
        <v>2176</v>
      </c>
      <c r="G4581" s="18" t="s">
        <v>3271</v>
      </c>
      <c r="H4581" s="10" t="s">
        <v>2094</v>
      </c>
      <c r="I4581" s="3">
        <v>42</v>
      </c>
      <c r="J4581" s="3" t="s">
        <v>3271</v>
      </c>
      <c r="L4581" t="str">
        <f t="shared" si="71"/>
        <v/>
      </c>
      <c r="M4581">
        <f>VLOOKUP(F4581,Sheet2!$B$1:$E$19,2,FALSE)</f>
        <v>1073</v>
      </c>
      <c r="N4581">
        <f>VLOOKUP(F4581,Sheet2!$B$1:$E$19,3,FALSE)</f>
        <v>1108963</v>
      </c>
      <c r="O4581" t="str">
        <f>IF(G4581="Not available","",VLOOKUP(F4581,Sheet2!$B$1:$E$19,4,FALSE)+(G4581-1))</f>
        <v/>
      </c>
    </row>
    <row r="4582" spans="1:15" s="3" customFormat="1" ht="15" customHeight="1" x14ac:dyDescent="0.25">
      <c r="A4582" s="18" t="s">
        <v>511</v>
      </c>
      <c r="B4582" s="18" t="s">
        <v>893</v>
      </c>
      <c r="C4582" s="5">
        <v>1856</v>
      </c>
      <c r="D4582" s="1" t="s">
        <v>34</v>
      </c>
      <c r="E4582" s="1" t="s">
        <v>2</v>
      </c>
      <c r="F4582" s="18">
        <v>2164</v>
      </c>
      <c r="G4582" s="18">
        <v>111</v>
      </c>
      <c r="H4582" s="5">
        <v>109</v>
      </c>
      <c r="I4582" s="1">
        <v>140</v>
      </c>
      <c r="J4582" s="3" t="s">
        <v>3271</v>
      </c>
      <c r="K4582" s="1"/>
      <c r="L4582" t="str">
        <f t="shared" si="71"/>
        <v>http://www.badatelna.eu/reprodukce/?fondId=1073&amp;zaznamId=1108951&amp;reproId=3778825</v>
      </c>
      <c r="M4582">
        <f>VLOOKUP(F4582,Sheet2!$B$1:$E$19,2,FALSE)</f>
        <v>1073</v>
      </c>
      <c r="N4582">
        <f>VLOOKUP(F4582,Sheet2!$B$1:$E$19,3,FALSE)</f>
        <v>1108951</v>
      </c>
      <c r="O4582">
        <f>IF(G4582="Not available","",VLOOKUP(F4582,Sheet2!$B$1:$E$19,4,FALSE)+(G4582-1))</f>
        <v>3778825</v>
      </c>
    </row>
    <row r="4583" spans="1:15" s="3" customFormat="1" ht="15" customHeight="1" x14ac:dyDescent="0.25">
      <c r="A4583" s="18" t="s">
        <v>511</v>
      </c>
      <c r="B4583" s="18" t="s">
        <v>625</v>
      </c>
      <c r="C4583" s="5">
        <v>1847</v>
      </c>
      <c r="D4583" s="1" t="s">
        <v>9</v>
      </c>
      <c r="E4583" s="1" t="s">
        <v>2</v>
      </c>
      <c r="F4583" s="18">
        <v>2164</v>
      </c>
      <c r="G4583" s="18">
        <v>21</v>
      </c>
      <c r="H4583" s="5">
        <v>19</v>
      </c>
      <c r="I4583" s="1">
        <v>139</v>
      </c>
      <c r="J4583" s="3" t="s">
        <v>3271</v>
      </c>
      <c r="K4583" s="1"/>
      <c r="L4583" t="str">
        <f t="shared" si="71"/>
        <v>http://www.badatelna.eu/reprodukce/?fondId=1073&amp;zaznamId=1108951&amp;reproId=3778735</v>
      </c>
      <c r="M4583">
        <f>VLOOKUP(F4583,Sheet2!$B$1:$E$19,2,FALSE)</f>
        <v>1073</v>
      </c>
      <c r="N4583">
        <f>VLOOKUP(F4583,Sheet2!$B$1:$E$19,3,FALSE)</f>
        <v>1108951</v>
      </c>
      <c r="O4583">
        <f>IF(G4583="Not available","",VLOOKUP(F4583,Sheet2!$B$1:$E$19,4,FALSE)+(G4583-1))</f>
        <v>3778735</v>
      </c>
    </row>
    <row r="4584" spans="1:15" s="3" customFormat="1" ht="15" customHeight="1" x14ac:dyDescent="0.25">
      <c r="A4584" s="18" t="s">
        <v>511</v>
      </c>
      <c r="B4584" s="18" t="s">
        <v>668</v>
      </c>
      <c r="C4584" s="5">
        <v>1856</v>
      </c>
      <c r="D4584" s="1" t="s">
        <v>26</v>
      </c>
      <c r="E4584" s="1" t="s">
        <v>2</v>
      </c>
      <c r="F4584" s="18">
        <v>2164</v>
      </c>
      <c r="G4584" s="18">
        <v>109</v>
      </c>
      <c r="H4584" s="5">
        <v>107</v>
      </c>
      <c r="I4584" s="1">
        <v>140</v>
      </c>
      <c r="J4584" s="3" t="s">
        <v>3271</v>
      </c>
      <c r="K4584" s="1"/>
      <c r="L4584" t="str">
        <f t="shared" si="71"/>
        <v>http://www.badatelna.eu/reprodukce/?fondId=1073&amp;zaznamId=1108951&amp;reproId=3778823</v>
      </c>
      <c r="M4584">
        <f>VLOOKUP(F4584,Sheet2!$B$1:$E$19,2,FALSE)</f>
        <v>1073</v>
      </c>
      <c r="N4584">
        <f>VLOOKUP(F4584,Sheet2!$B$1:$E$19,3,FALSE)</f>
        <v>1108951</v>
      </c>
      <c r="O4584">
        <f>IF(G4584="Not available","",VLOOKUP(F4584,Sheet2!$B$1:$E$19,4,FALSE)+(G4584-1))</f>
        <v>3778823</v>
      </c>
    </row>
    <row r="4585" spans="1:15" s="3" customFormat="1" ht="15" customHeight="1" x14ac:dyDescent="0.25">
      <c r="A4585" s="18" t="s">
        <v>511</v>
      </c>
      <c r="B4585" s="18" t="s">
        <v>873</v>
      </c>
      <c r="C4585" s="5">
        <v>1850</v>
      </c>
      <c r="D4585" s="1" t="s">
        <v>9</v>
      </c>
      <c r="E4585" s="1" t="s">
        <v>2</v>
      </c>
      <c r="F4585" s="18">
        <v>2164</v>
      </c>
      <c r="G4585" s="18">
        <v>70</v>
      </c>
      <c r="H4585" s="5">
        <v>68</v>
      </c>
      <c r="I4585" s="1">
        <v>139</v>
      </c>
      <c r="J4585" s="3" t="s">
        <v>3271</v>
      </c>
      <c r="K4585" s="1"/>
      <c r="L4585" t="str">
        <f t="shared" si="71"/>
        <v>http://www.badatelna.eu/reprodukce/?fondId=1073&amp;zaznamId=1108951&amp;reproId=3778784</v>
      </c>
      <c r="M4585">
        <f>VLOOKUP(F4585,Sheet2!$B$1:$E$19,2,FALSE)</f>
        <v>1073</v>
      </c>
      <c r="N4585">
        <f>VLOOKUP(F4585,Sheet2!$B$1:$E$19,3,FALSE)</f>
        <v>1108951</v>
      </c>
      <c r="O4585">
        <f>IF(G4585="Not available","",VLOOKUP(F4585,Sheet2!$B$1:$E$19,4,FALSE)+(G4585-1))</f>
        <v>3778784</v>
      </c>
    </row>
    <row r="4586" spans="1:15" s="3" customFormat="1" ht="15" customHeight="1" x14ac:dyDescent="0.25">
      <c r="A4586" s="18" t="s">
        <v>511</v>
      </c>
      <c r="B4586" s="18" t="s">
        <v>1187</v>
      </c>
      <c r="C4586" s="5">
        <v>1887</v>
      </c>
      <c r="D4586" s="1" t="s">
        <v>58</v>
      </c>
      <c r="E4586" s="1" t="s">
        <v>2</v>
      </c>
      <c r="F4586" s="18">
        <v>2165</v>
      </c>
      <c r="G4586" s="18">
        <v>213</v>
      </c>
      <c r="H4586" s="5">
        <v>2</v>
      </c>
      <c r="I4586" s="1">
        <v>216</v>
      </c>
      <c r="J4586" s="1">
        <v>192</v>
      </c>
      <c r="K4586" s="1"/>
      <c r="L4586" t="str">
        <f t="shared" si="71"/>
        <v>http://www.badatelna.eu/reprodukce/?fondId=1073&amp;zaznamId=1108952&amp;reproId=3779074</v>
      </c>
      <c r="M4586">
        <f>VLOOKUP(F4586,Sheet2!$B$1:$E$19,2,FALSE)</f>
        <v>1073</v>
      </c>
      <c r="N4586">
        <f>VLOOKUP(F4586,Sheet2!$B$1:$E$19,3,FALSE)</f>
        <v>1108952</v>
      </c>
      <c r="O4586">
        <f>IF(G4586="Not available","",VLOOKUP(F4586,Sheet2!$B$1:$E$19,4,FALSE)+(G4586-1))</f>
        <v>3779074</v>
      </c>
    </row>
    <row r="4587" spans="1:15" s="3" customFormat="1" ht="15" customHeight="1" x14ac:dyDescent="0.25">
      <c r="A4587" s="18" t="s">
        <v>511</v>
      </c>
      <c r="B4587" s="18" t="s">
        <v>2729</v>
      </c>
      <c r="C4587" s="10" t="s">
        <v>2110</v>
      </c>
      <c r="D4587" s="3" t="s">
        <v>2725</v>
      </c>
      <c r="E4587" s="4" t="s">
        <v>2</v>
      </c>
      <c r="F4587" s="18">
        <v>2176</v>
      </c>
      <c r="G4587" s="18" t="s">
        <v>3271</v>
      </c>
      <c r="H4587" s="10" t="s">
        <v>2142</v>
      </c>
      <c r="I4587" s="3">
        <v>43</v>
      </c>
      <c r="J4587" s="3" t="s">
        <v>3271</v>
      </c>
      <c r="L4587" t="str">
        <f t="shared" si="71"/>
        <v/>
      </c>
      <c r="M4587">
        <f>VLOOKUP(F4587,Sheet2!$B$1:$E$19,2,FALSE)</f>
        <v>1073</v>
      </c>
      <c r="N4587">
        <f>VLOOKUP(F4587,Sheet2!$B$1:$E$19,3,FALSE)</f>
        <v>1108963</v>
      </c>
      <c r="O4587" t="str">
        <f>IF(G4587="Not available","",VLOOKUP(F4587,Sheet2!$B$1:$E$19,4,FALSE)+(G4587-1))</f>
        <v/>
      </c>
    </row>
    <row r="4588" spans="1:15" s="3" customFormat="1" ht="15" customHeight="1" x14ac:dyDescent="0.25">
      <c r="A4588" s="18" t="s">
        <v>511</v>
      </c>
      <c r="B4588" s="18" t="s">
        <v>2360</v>
      </c>
      <c r="C4588" s="10" t="s">
        <v>2087</v>
      </c>
      <c r="D4588" s="3" t="s">
        <v>2708</v>
      </c>
      <c r="E4588" s="4" t="s">
        <v>2</v>
      </c>
      <c r="F4588" s="18">
        <v>2176</v>
      </c>
      <c r="G4588" s="18" t="s">
        <v>3271</v>
      </c>
      <c r="H4588" s="10" t="s">
        <v>2035</v>
      </c>
      <c r="I4588" s="3">
        <v>42</v>
      </c>
      <c r="J4588" s="3" t="s">
        <v>3271</v>
      </c>
      <c r="L4588" t="str">
        <f t="shared" si="71"/>
        <v/>
      </c>
      <c r="M4588">
        <f>VLOOKUP(F4588,Sheet2!$B$1:$E$19,2,FALSE)</f>
        <v>1073</v>
      </c>
      <c r="N4588">
        <f>VLOOKUP(F4588,Sheet2!$B$1:$E$19,3,FALSE)</f>
        <v>1108963</v>
      </c>
      <c r="O4588" t="str">
        <f>IF(G4588="Not available","",VLOOKUP(F4588,Sheet2!$B$1:$E$19,4,FALSE)+(G4588-1))</f>
        <v/>
      </c>
    </row>
    <row r="4589" spans="1:15" s="3" customFormat="1" ht="15" customHeight="1" x14ac:dyDescent="0.25">
      <c r="A4589" s="18" t="s">
        <v>511</v>
      </c>
      <c r="B4589" s="18" t="s">
        <v>298</v>
      </c>
      <c r="C4589" s="5" t="s">
        <v>1880</v>
      </c>
      <c r="D4589" s="1" t="s">
        <v>900</v>
      </c>
      <c r="E4589" s="1" t="s">
        <v>2</v>
      </c>
      <c r="F4589" s="18">
        <v>2165</v>
      </c>
      <c r="G4589" s="18">
        <v>263</v>
      </c>
      <c r="H4589" s="5">
        <v>4</v>
      </c>
      <c r="I4589" s="1">
        <v>266</v>
      </c>
      <c r="J4589" s="1">
        <v>240</v>
      </c>
      <c r="K4589" s="1"/>
      <c r="L4589" t="str">
        <f t="shared" si="71"/>
        <v>http://www.badatelna.eu/reprodukce/?fondId=1073&amp;zaznamId=1108952&amp;reproId=3779124</v>
      </c>
      <c r="M4589">
        <f>VLOOKUP(F4589,Sheet2!$B$1:$E$19,2,FALSE)</f>
        <v>1073</v>
      </c>
      <c r="N4589">
        <f>VLOOKUP(F4589,Sheet2!$B$1:$E$19,3,FALSE)</f>
        <v>1108952</v>
      </c>
      <c r="O4589">
        <f>IF(G4589="Not available","",VLOOKUP(F4589,Sheet2!$B$1:$E$19,4,FALSE)+(G4589-1))</f>
        <v>3779124</v>
      </c>
    </row>
    <row r="4590" spans="1:15" s="3" customFormat="1" ht="15" customHeight="1" x14ac:dyDescent="0.25">
      <c r="A4590" s="18" t="s">
        <v>511</v>
      </c>
      <c r="B4590" s="18" t="s">
        <v>2077</v>
      </c>
      <c r="C4590" s="10" t="s">
        <v>2055</v>
      </c>
      <c r="D4590" s="3" t="s">
        <v>2680</v>
      </c>
      <c r="E4590" s="4" t="s">
        <v>2</v>
      </c>
      <c r="F4590" s="18">
        <v>2176</v>
      </c>
      <c r="G4590" s="18" t="s">
        <v>3271</v>
      </c>
      <c r="H4590" s="10" t="s">
        <v>2016</v>
      </c>
      <c r="I4590" s="3">
        <v>41</v>
      </c>
      <c r="J4590" s="3" t="s">
        <v>3271</v>
      </c>
      <c r="L4590" t="str">
        <f t="shared" si="71"/>
        <v/>
      </c>
      <c r="M4590">
        <f>VLOOKUP(F4590,Sheet2!$B$1:$E$19,2,FALSE)</f>
        <v>1073</v>
      </c>
      <c r="N4590">
        <f>VLOOKUP(F4590,Sheet2!$B$1:$E$19,3,FALSE)</f>
        <v>1108963</v>
      </c>
      <c r="O4590" t="str">
        <f>IF(G4590="Not available","",VLOOKUP(F4590,Sheet2!$B$1:$E$19,4,FALSE)+(G4590-1))</f>
        <v/>
      </c>
    </row>
    <row r="4591" spans="1:15" s="3" customFormat="1" ht="15" customHeight="1" x14ac:dyDescent="0.25">
      <c r="A4591" s="18" t="s">
        <v>511</v>
      </c>
      <c r="B4591" s="18" t="s">
        <v>937</v>
      </c>
      <c r="C4591" s="5" t="s">
        <v>1630</v>
      </c>
      <c r="D4591" s="1" t="s">
        <v>34</v>
      </c>
      <c r="E4591" s="1" t="s">
        <v>2</v>
      </c>
      <c r="F4591" s="18">
        <v>2165</v>
      </c>
      <c r="G4591" s="18">
        <v>42</v>
      </c>
      <c r="H4591" s="5">
        <v>39</v>
      </c>
      <c r="I4591" s="1">
        <v>93</v>
      </c>
      <c r="J4591" s="1" t="s">
        <v>3271</v>
      </c>
      <c r="K4591" s="1"/>
      <c r="L4591" t="str">
        <f t="shared" si="71"/>
        <v>http://www.badatelna.eu/reprodukce/?fondId=1073&amp;zaznamId=1108952&amp;reproId=3778903</v>
      </c>
      <c r="M4591">
        <f>VLOOKUP(F4591,Sheet2!$B$1:$E$19,2,FALSE)</f>
        <v>1073</v>
      </c>
      <c r="N4591">
        <f>VLOOKUP(F4591,Sheet2!$B$1:$E$19,3,FALSE)</f>
        <v>1108952</v>
      </c>
      <c r="O4591">
        <f>IF(G4591="Not available","",VLOOKUP(F4591,Sheet2!$B$1:$E$19,4,FALSE)+(G4591-1))</f>
        <v>3778903</v>
      </c>
    </row>
    <row r="4592" spans="1:15" s="3" customFormat="1" ht="15" customHeight="1" x14ac:dyDescent="0.25">
      <c r="A4592" s="18" t="s">
        <v>511</v>
      </c>
      <c r="B4592" s="18" t="s">
        <v>937</v>
      </c>
      <c r="C4592" s="5" t="s">
        <v>1381</v>
      </c>
      <c r="D4592" s="1" t="s">
        <v>1074</v>
      </c>
      <c r="E4592" s="1" t="s">
        <v>2</v>
      </c>
      <c r="F4592" s="18">
        <v>2165</v>
      </c>
      <c r="G4592" s="18">
        <v>60</v>
      </c>
      <c r="H4592" s="5">
        <v>57</v>
      </c>
      <c r="I4592" s="1">
        <v>93</v>
      </c>
      <c r="J4592" s="1" t="s">
        <v>3271</v>
      </c>
      <c r="K4592" s="1"/>
      <c r="L4592" t="str">
        <f t="shared" si="71"/>
        <v>http://www.badatelna.eu/reprodukce/?fondId=1073&amp;zaznamId=1108952&amp;reproId=3778921</v>
      </c>
      <c r="M4592">
        <f>VLOOKUP(F4592,Sheet2!$B$1:$E$19,2,FALSE)</f>
        <v>1073</v>
      </c>
      <c r="N4592">
        <f>VLOOKUP(F4592,Sheet2!$B$1:$E$19,3,FALSE)</f>
        <v>1108952</v>
      </c>
      <c r="O4592">
        <f>IF(G4592="Not available","",VLOOKUP(F4592,Sheet2!$B$1:$E$19,4,FALSE)+(G4592-1))</f>
        <v>3778921</v>
      </c>
    </row>
    <row r="4593" spans="1:15" s="3" customFormat="1" ht="15" customHeight="1" x14ac:dyDescent="0.25">
      <c r="A4593" s="18" t="s">
        <v>511</v>
      </c>
      <c r="B4593" s="18" t="s">
        <v>751</v>
      </c>
      <c r="C4593" s="5">
        <v>1831</v>
      </c>
      <c r="D4593" s="1" t="s">
        <v>26</v>
      </c>
      <c r="E4593" s="1" t="s">
        <v>2</v>
      </c>
      <c r="F4593" s="18">
        <v>2174</v>
      </c>
      <c r="G4593" s="18">
        <v>62</v>
      </c>
      <c r="H4593" s="6" t="s">
        <v>3106</v>
      </c>
      <c r="I4593" s="1">
        <v>201</v>
      </c>
      <c r="J4593" s="1">
        <v>236</v>
      </c>
      <c r="K4593" s="1"/>
      <c r="L4593" t="str">
        <f t="shared" si="71"/>
        <v>http://www.badatelna.eu/reprodukce/?fondId=1073&amp;zaznamId=1108960&amp;reproId=3780286</v>
      </c>
      <c r="M4593">
        <f>VLOOKUP(F4593,Sheet2!$B$1:$E$19,2,FALSE)</f>
        <v>1073</v>
      </c>
      <c r="N4593">
        <f>VLOOKUP(F4593,Sheet2!$B$1:$E$19,3,FALSE)</f>
        <v>1108960</v>
      </c>
      <c r="O4593">
        <f>IF(G4593="Not available","",VLOOKUP(F4593,Sheet2!$B$1:$E$19,4,FALSE)+(G4593-1))</f>
        <v>3780286</v>
      </c>
    </row>
    <row r="4594" spans="1:15" s="3" customFormat="1" ht="15" customHeight="1" x14ac:dyDescent="0.25">
      <c r="A4594" s="18" t="s">
        <v>511</v>
      </c>
      <c r="B4594" s="18" t="s">
        <v>432</v>
      </c>
      <c r="C4594" s="10" t="s">
        <v>2660</v>
      </c>
      <c r="D4594" s="3" t="s">
        <v>2658</v>
      </c>
      <c r="E4594" s="4" t="s">
        <v>2</v>
      </c>
      <c r="F4594" s="18">
        <v>2176</v>
      </c>
      <c r="G4594" s="18" t="s">
        <v>3271</v>
      </c>
      <c r="H4594" s="10" t="s">
        <v>2047</v>
      </c>
      <c r="I4594" s="3">
        <v>40</v>
      </c>
      <c r="J4594" s="3" t="s">
        <v>3271</v>
      </c>
      <c r="K4594" s="1"/>
      <c r="L4594" t="str">
        <f t="shared" si="71"/>
        <v/>
      </c>
      <c r="M4594">
        <f>VLOOKUP(F4594,Sheet2!$B$1:$E$19,2,FALSE)</f>
        <v>1073</v>
      </c>
      <c r="N4594">
        <f>VLOOKUP(F4594,Sheet2!$B$1:$E$19,3,FALSE)</f>
        <v>1108963</v>
      </c>
      <c r="O4594" t="str">
        <f>IF(G4594="Not available","",VLOOKUP(F4594,Sheet2!$B$1:$E$19,4,FALSE)+(G4594-1))</f>
        <v/>
      </c>
    </row>
    <row r="4595" spans="1:15" s="3" customFormat="1" ht="15" customHeight="1" x14ac:dyDescent="0.25">
      <c r="A4595" s="18" t="s">
        <v>511</v>
      </c>
      <c r="B4595" s="18" t="s">
        <v>544</v>
      </c>
      <c r="C4595" s="5">
        <v>1857</v>
      </c>
      <c r="D4595" s="1" t="s">
        <v>9</v>
      </c>
      <c r="E4595" s="1" t="s">
        <v>2</v>
      </c>
      <c r="F4595" s="18">
        <v>2164</v>
      </c>
      <c r="G4595" s="18">
        <v>120</v>
      </c>
      <c r="H4595" s="5">
        <v>118</v>
      </c>
      <c r="I4595" s="1">
        <v>140</v>
      </c>
      <c r="J4595" s="3" t="s">
        <v>3271</v>
      </c>
      <c r="K4595" s="1"/>
      <c r="L4595" t="str">
        <f t="shared" si="71"/>
        <v>http://www.badatelna.eu/reprodukce/?fondId=1073&amp;zaznamId=1108951&amp;reproId=3778834</v>
      </c>
      <c r="M4595">
        <f>VLOOKUP(F4595,Sheet2!$B$1:$E$19,2,FALSE)</f>
        <v>1073</v>
      </c>
      <c r="N4595">
        <f>VLOOKUP(F4595,Sheet2!$B$1:$E$19,3,FALSE)</f>
        <v>1108951</v>
      </c>
      <c r="O4595">
        <f>IF(G4595="Not available","",VLOOKUP(F4595,Sheet2!$B$1:$E$19,4,FALSE)+(G4595-1))</f>
        <v>3778834</v>
      </c>
    </row>
    <row r="4596" spans="1:15" s="3" customFormat="1" ht="15" customHeight="1" x14ac:dyDescent="0.25">
      <c r="A4596" s="18" t="s">
        <v>511</v>
      </c>
      <c r="B4596" s="18" t="s">
        <v>1161</v>
      </c>
      <c r="C4596" s="5">
        <v>1884</v>
      </c>
      <c r="D4596" s="1" t="s">
        <v>197</v>
      </c>
      <c r="E4596" s="1" t="s">
        <v>2</v>
      </c>
      <c r="F4596" s="18">
        <v>2165</v>
      </c>
      <c r="G4596" s="18">
        <v>195</v>
      </c>
      <c r="H4596" s="5">
        <v>3</v>
      </c>
      <c r="I4596" s="1">
        <v>197</v>
      </c>
      <c r="J4596" s="1">
        <v>174</v>
      </c>
      <c r="K4596" s="1"/>
      <c r="L4596" t="str">
        <f t="shared" si="71"/>
        <v>http://www.badatelna.eu/reprodukce/?fondId=1073&amp;zaznamId=1108952&amp;reproId=3779056</v>
      </c>
      <c r="M4596">
        <f>VLOOKUP(F4596,Sheet2!$B$1:$E$19,2,FALSE)</f>
        <v>1073</v>
      </c>
      <c r="N4596">
        <f>VLOOKUP(F4596,Sheet2!$B$1:$E$19,3,FALSE)</f>
        <v>1108952</v>
      </c>
      <c r="O4596">
        <f>IF(G4596="Not available","",VLOOKUP(F4596,Sheet2!$B$1:$E$19,4,FALSE)+(G4596-1))</f>
        <v>3779056</v>
      </c>
    </row>
    <row r="4597" spans="1:15" s="3" customFormat="1" ht="15" customHeight="1" x14ac:dyDescent="0.25">
      <c r="A4597" s="18" t="s">
        <v>511</v>
      </c>
      <c r="B4597" s="18" t="s">
        <v>1033</v>
      </c>
      <c r="C4597" s="10" t="s">
        <v>2041</v>
      </c>
      <c r="D4597" s="3" t="s">
        <v>2696</v>
      </c>
      <c r="E4597" s="4" t="s">
        <v>2</v>
      </c>
      <c r="F4597" s="18">
        <v>2176</v>
      </c>
      <c r="G4597" s="18" t="s">
        <v>3271</v>
      </c>
      <c r="H4597" s="10" t="s">
        <v>2230</v>
      </c>
      <c r="I4597" s="3">
        <v>41</v>
      </c>
      <c r="J4597" s="3" t="s">
        <v>3271</v>
      </c>
      <c r="L4597" t="str">
        <f t="shared" si="71"/>
        <v/>
      </c>
      <c r="M4597">
        <f>VLOOKUP(F4597,Sheet2!$B$1:$E$19,2,FALSE)</f>
        <v>1073</v>
      </c>
      <c r="N4597">
        <f>VLOOKUP(F4597,Sheet2!$B$1:$E$19,3,FALSE)</f>
        <v>1108963</v>
      </c>
      <c r="O4597" t="str">
        <f>IF(G4597="Not available","",VLOOKUP(F4597,Sheet2!$B$1:$E$19,4,FALSE)+(G4597-1))</f>
        <v/>
      </c>
    </row>
    <row r="4598" spans="1:15" s="3" customFormat="1" ht="15" customHeight="1" x14ac:dyDescent="0.25">
      <c r="A4598" s="18" t="s">
        <v>511</v>
      </c>
      <c r="B4598" s="18" t="s">
        <v>398</v>
      </c>
      <c r="C4598" s="5">
        <v>1853</v>
      </c>
      <c r="D4598" s="1" t="s">
        <v>26</v>
      </c>
      <c r="E4598" s="1" t="s">
        <v>2</v>
      </c>
      <c r="F4598" s="18">
        <v>2164</v>
      </c>
      <c r="G4598" s="18">
        <v>93</v>
      </c>
      <c r="H4598" s="5">
        <v>91</v>
      </c>
      <c r="I4598" s="1">
        <v>139</v>
      </c>
      <c r="J4598" s="3" t="s">
        <v>3271</v>
      </c>
      <c r="K4598" s="1"/>
      <c r="L4598" t="str">
        <f t="shared" si="71"/>
        <v>http://www.badatelna.eu/reprodukce/?fondId=1073&amp;zaznamId=1108951&amp;reproId=3778807</v>
      </c>
      <c r="M4598">
        <f>VLOOKUP(F4598,Sheet2!$B$1:$E$19,2,FALSE)</f>
        <v>1073</v>
      </c>
      <c r="N4598">
        <f>VLOOKUP(F4598,Sheet2!$B$1:$E$19,3,FALSE)</f>
        <v>1108951</v>
      </c>
      <c r="O4598">
        <f>IF(G4598="Not available","",VLOOKUP(F4598,Sheet2!$B$1:$E$19,4,FALSE)+(G4598-1))</f>
        <v>3778807</v>
      </c>
    </row>
    <row r="4599" spans="1:15" s="3" customFormat="1" ht="15" customHeight="1" x14ac:dyDescent="0.25">
      <c r="A4599" s="18" t="s">
        <v>511</v>
      </c>
      <c r="B4599" s="18" t="s">
        <v>398</v>
      </c>
      <c r="C4599" s="5" t="s">
        <v>1366</v>
      </c>
      <c r="D4599" s="1" t="s">
        <v>477</v>
      </c>
      <c r="E4599" s="1" t="s">
        <v>2</v>
      </c>
      <c r="F4599" s="18">
        <v>2165</v>
      </c>
      <c r="G4599" s="18">
        <v>28</v>
      </c>
      <c r="H4599" s="5">
        <v>25</v>
      </c>
      <c r="I4599" s="1">
        <v>92</v>
      </c>
      <c r="J4599" s="1" t="s">
        <v>3271</v>
      </c>
      <c r="K4599" s="1"/>
      <c r="L4599" t="str">
        <f t="shared" si="71"/>
        <v>http://www.badatelna.eu/reprodukce/?fondId=1073&amp;zaznamId=1108952&amp;reproId=3778889</v>
      </c>
      <c r="M4599">
        <f>VLOOKUP(F4599,Sheet2!$B$1:$E$19,2,FALSE)</f>
        <v>1073</v>
      </c>
      <c r="N4599">
        <f>VLOOKUP(F4599,Sheet2!$B$1:$E$19,3,FALSE)</f>
        <v>1108952</v>
      </c>
      <c r="O4599">
        <f>IF(G4599="Not available","",VLOOKUP(F4599,Sheet2!$B$1:$E$19,4,FALSE)+(G4599-1))</f>
        <v>3778889</v>
      </c>
    </row>
    <row r="4600" spans="1:15" s="3" customFormat="1" ht="15" customHeight="1" x14ac:dyDescent="0.25">
      <c r="A4600" s="18" t="s">
        <v>511</v>
      </c>
      <c r="B4600" s="18" t="s">
        <v>1113</v>
      </c>
      <c r="C4600" s="10" t="s">
        <v>2041</v>
      </c>
      <c r="D4600" s="3" t="s">
        <v>2697</v>
      </c>
      <c r="E4600" s="4" t="s">
        <v>2</v>
      </c>
      <c r="F4600" s="18">
        <v>2176</v>
      </c>
      <c r="G4600" s="18" t="s">
        <v>3271</v>
      </c>
      <c r="H4600" s="10" t="s">
        <v>2698</v>
      </c>
      <c r="I4600" s="3">
        <v>41</v>
      </c>
      <c r="J4600" s="3" t="s">
        <v>3271</v>
      </c>
      <c r="L4600" t="str">
        <f t="shared" si="71"/>
        <v/>
      </c>
      <c r="M4600">
        <f>VLOOKUP(F4600,Sheet2!$B$1:$E$19,2,FALSE)</f>
        <v>1073</v>
      </c>
      <c r="N4600">
        <f>VLOOKUP(F4600,Sheet2!$B$1:$E$19,3,FALSE)</f>
        <v>1108963</v>
      </c>
      <c r="O4600" t="str">
        <f>IF(G4600="Not available","",VLOOKUP(F4600,Sheet2!$B$1:$E$19,4,FALSE)+(G4600-1))</f>
        <v/>
      </c>
    </row>
    <row r="4601" spans="1:15" s="3" customFormat="1" ht="15" customHeight="1" x14ac:dyDescent="0.25">
      <c r="A4601" s="18" t="s">
        <v>511</v>
      </c>
      <c r="B4601" s="18" t="s">
        <v>1162</v>
      </c>
      <c r="C4601" s="5">
        <v>1884</v>
      </c>
      <c r="D4601" s="1" t="s">
        <v>233</v>
      </c>
      <c r="E4601" s="1" t="s">
        <v>2</v>
      </c>
      <c r="F4601" s="18">
        <v>2165</v>
      </c>
      <c r="G4601" s="18">
        <v>195</v>
      </c>
      <c r="H4601" s="5">
        <v>3</v>
      </c>
      <c r="I4601" s="1">
        <v>197</v>
      </c>
      <c r="J4601" s="1">
        <v>174</v>
      </c>
      <c r="K4601" s="1"/>
      <c r="L4601" t="str">
        <f t="shared" si="71"/>
        <v>http://www.badatelna.eu/reprodukce/?fondId=1073&amp;zaznamId=1108952&amp;reproId=3779056</v>
      </c>
      <c r="M4601">
        <f>VLOOKUP(F4601,Sheet2!$B$1:$E$19,2,FALSE)</f>
        <v>1073</v>
      </c>
      <c r="N4601">
        <f>VLOOKUP(F4601,Sheet2!$B$1:$E$19,3,FALSE)</f>
        <v>1108952</v>
      </c>
      <c r="O4601">
        <f>IF(G4601="Not available","",VLOOKUP(F4601,Sheet2!$B$1:$E$19,4,FALSE)+(G4601-1))</f>
        <v>3779056</v>
      </c>
    </row>
    <row r="4602" spans="1:15" s="3" customFormat="1" ht="15" customHeight="1" x14ac:dyDescent="0.25">
      <c r="A4602" s="18" t="s">
        <v>511</v>
      </c>
      <c r="B4602" s="18" t="s">
        <v>525</v>
      </c>
      <c r="C4602" s="5">
        <v>1787</v>
      </c>
      <c r="D4602" s="1" t="s">
        <v>74</v>
      </c>
      <c r="E4602" s="1" t="s">
        <v>2</v>
      </c>
      <c r="F4602" s="18">
        <v>2173</v>
      </c>
      <c r="G4602" s="18">
        <v>15</v>
      </c>
      <c r="H4602" s="5">
        <v>24</v>
      </c>
      <c r="I4602" s="1">
        <v>115</v>
      </c>
      <c r="J4602" s="1">
        <v>259</v>
      </c>
      <c r="K4602" s="1"/>
      <c r="L4602" t="str">
        <f t="shared" si="71"/>
        <v>http://www.badatelna.eu/reprodukce/?fondId=1073&amp;zaznamId=1108959&amp;reproId=3780008</v>
      </c>
      <c r="M4602">
        <f>VLOOKUP(F4602,Sheet2!$B$1:$E$19,2,FALSE)</f>
        <v>1073</v>
      </c>
      <c r="N4602">
        <f>VLOOKUP(F4602,Sheet2!$B$1:$E$19,3,FALSE)</f>
        <v>1108959</v>
      </c>
      <c r="O4602">
        <f>IF(G4602="Not available","",VLOOKUP(F4602,Sheet2!$B$1:$E$19,4,FALSE)+(G4602-1))</f>
        <v>3780008</v>
      </c>
    </row>
    <row r="4603" spans="1:15" s="3" customFormat="1" ht="15" customHeight="1" x14ac:dyDescent="0.25">
      <c r="A4603" s="18" t="s">
        <v>511</v>
      </c>
      <c r="B4603" s="18" t="s">
        <v>1007</v>
      </c>
      <c r="C4603" s="10" t="s">
        <v>2025</v>
      </c>
      <c r="D4603" s="3" t="s">
        <v>2680</v>
      </c>
      <c r="E4603" s="4" t="s">
        <v>2</v>
      </c>
      <c r="F4603" s="18">
        <v>2176</v>
      </c>
      <c r="G4603" s="18" t="s">
        <v>3271</v>
      </c>
      <c r="H4603" s="10" t="s">
        <v>1959</v>
      </c>
      <c r="I4603" s="3">
        <v>41</v>
      </c>
      <c r="J4603" s="3" t="s">
        <v>3271</v>
      </c>
      <c r="L4603" t="str">
        <f t="shared" si="71"/>
        <v/>
      </c>
      <c r="M4603">
        <f>VLOOKUP(F4603,Sheet2!$B$1:$E$19,2,FALSE)</f>
        <v>1073</v>
      </c>
      <c r="N4603">
        <f>VLOOKUP(F4603,Sheet2!$B$1:$E$19,3,FALSE)</f>
        <v>1108963</v>
      </c>
      <c r="O4603" t="str">
        <f>IF(G4603="Not available","",VLOOKUP(F4603,Sheet2!$B$1:$E$19,4,FALSE)+(G4603-1))</f>
        <v/>
      </c>
    </row>
    <row r="4604" spans="1:15" s="3" customFormat="1" ht="15" customHeight="1" x14ac:dyDescent="0.25">
      <c r="A4604" s="18" t="s">
        <v>511</v>
      </c>
      <c r="B4604" s="18" t="s">
        <v>1007</v>
      </c>
      <c r="C4604" s="5">
        <v>1885</v>
      </c>
      <c r="D4604" s="1" t="s">
        <v>197</v>
      </c>
      <c r="E4604" s="1" t="s">
        <v>2</v>
      </c>
      <c r="F4604" s="18">
        <v>2165</v>
      </c>
      <c r="G4604" s="18">
        <v>202</v>
      </c>
      <c r="H4604" s="5">
        <v>4</v>
      </c>
      <c r="I4604" s="1">
        <v>204</v>
      </c>
      <c r="J4604" s="1">
        <v>187</v>
      </c>
      <c r="K4604" s="1"/>
      <c r="L4604" t="str">
        <f t="shared" si="71"/>
        <v>http://www.badatelna.eu/reprodukce/?fondId=1073&amp;zaznamId=1108952&amp;reproId=3779063</v>
      </c>
      <c r="M4604">
        <f>VLOOKUP(F4604,Sheet2!$B$1:$E$19,2,FALSE)</f>
        <v>1073</v>
      </c>
      <c r="N4604">
        <f>VLOOKUP(F4604,Sheet2!$B$1:$E$19,3,FALSE)</f>
        <v>1108952</v>
      </c>
      <c r="O4604">
        <f>IF(G4604="Not available","",VLOOKUP(F4604,Sheet2!$B$1:$E$19,4,FALSE)+(G4604-1))</f>
        <v>3779063</v>
      </c>
    </row>
    <row r="4605" spans="1:15" s="3" customFormat="1" ht="15" customHeight="1" x14ac:dyDescent="0.25">
      <c r="A4605" s="18" t="s">
        <v>511</v>
      </c>
      <c r="B4605" s="18" t="s">
        <v>1007</v>
      </c>
      <c r="C4605" s="10" t="s">
        <v>2043</v>
      </c>
      <c r="D4605" s="3" t="s">
        <v>2696</v>
      </c>
      <c r="E4605" s="4" t="s">
        <v>2</v>
      </c>
      <c r="F4605" s="18">
        <v>2176</v>
      </c>
      <c r="G4605" s="18" t="s">
        <v>3271</v>
      </c>
      <c r="H4605" s="10" t="s">
        <v>2308</v>
      </c>
      <c r="I4605" s="3">
        <v>41</v>
      </c>
      <c r="J4605" s="3" t="s">
        <v>3271</v>
      </c>
      <c r="L4605" t="str">
        <f t="shared" si="71"/>
        <v/>
      </c>
      <c r="M4605">
        <f>VLOOKUP(F4605,Sheet2!$B$1:$E$19,2,FALSE)</f>
        <v>1073</v>
      </c>
      <c r="N4605">
        <f>VLOOKUP(F4605,Sheet2!$B$1:$E$19,3,FALSE)</f>
        <v>1108963</v>
      </c>
      <c r="O4605" t="str">
        <f>IF(G4605="Not available","",VLOOKUP(F4605,Sheet2!$B$1:$E$19,4,FALSE)+(G4605-1))</f>
        <v/>
      </c>
    </row>
    <row r="4606" spans="1:15" s="3" customFormat="1" ht="15" customHeight="1" x14ac:dyDescent="0.25">
      <c r="A4606" s="18" t="s">
        <v>511</v>
      </c>
      <c r="B4606" s="18" t="s">
        <v>900</v>
      </c>
      <c r="C4606" s="5">
        <v>1866</v>
      </c>
      <c r="D4606" s="1"/>
      <c r="E4606" s="1" t="s">
        <v>939</v>
      </c>
      <c r="F4606" s="18">
        <v>999</v>
      </c>
      <c r="G4606" s="18">
        <v>60</v>
      </c>
      <c r="H4606" s="5">
        <v>58</v>
      </c>
      <c r="I4606" s="1">
        <v>77</v>
      </c>
      <c r="J4606" s="1">
        <v>112</v>
      </c>
      <c r="K4606" s="1"/>
      <c r="L4606" t="str">
        <f t="shared" si="71"/>
        <v>http://www.badatelna.eu/reprodukce/?fondId=241&amp;zaznamId=1133739&amp;reproId=3885789</v>
      </c>
      <c r="M4606">
        <f>VLOOKUP(F4606,Sheet2!$B$1:$E$19,2,FALSE)</f>
        <v>241</v>
      </c>
      <c r="N4606">
        <f>VLOOKUP(F4606,Sheet2!$B$1:$E$19,3,FALSE)</f>
        <v>1133739</v>
      </c>
      <c r="O4606">
        <f>IF(G4606="Not available","",VLOOKUP(F4606,Sheet2!$B$1:$E$19,4,FALSE)+(G4606-1))</f>
        <v>3885789</v>
      </c>
    </row>
    <row r="4607" spans="1:15" s="3" customFormat="1" ht="15" customHeight="1" x14ac:dyDescent="0.25">
      <c r="A4607" s="18" t="s">
        <v>511</v>
      </c>
      <c r="B4607" s="18" t="s">
        <v>900</v>
      </c>
      <c r="C4607" s="5" t="s">
        <v>1608</v>
      </c>
      <c r="D4607" s="1" t="s">
        <v>34</v>
      </c>
      <c r="E4607" s="1" t="s">
        <v>2</v>
      </c>
      <c r="F4607" s="18">
        <v>2165</v>
      </c>
      <c r="G4607" s="18">
        <v>15</v>
      </c>
      <c r="H4607" s="5">
        <v>12</v>
      </c>
      <c r="I4607" s="1">
        <v>92</v>
      </c>
      <c r="J4607" s="1" t="s">
        <v>3271</v>
      </c>
      <c r="K4607" s="1"/>
      <c r="L4607" t="str">
        <f t="shared" si="71"/>
        <v>http://www.badatelna.eu/reprodukce/?fondId=1073&amp;zaznamId=1108952&amp;reproId=3778876</v>
      </c>
      <c r="M4607">
        <f>VLOOKUP(F4607,Sheet2!$B$1:$E$19,2,FALSE)</f>
        <v>1073</v>
      </c>
      <c r="N4607">
        <f>VLOOKUP(F4607,Sheet2!$B$1:$E$19,3,FALSE)</f>
        <v>1108952</v>
      </c>
      <c r="O4607">
        <f>IF(G4607="Not available","",VLOOKUP(F4607,Sheet2!$B$1:$E$19,4,FALSE)+(G4607-1))</f>
        <v>3778876</v>
      </c>
    </row>
    <row r="4608" spans="1:15" s="3" customFormat="1" ht="15" customHeight="1" x14ac:dyDescent="0.25">
      <c r="A4608" s="18" t="s">
        <v>511</v>
      </c>
      <c r="B4608" s="18" t="s">
        <v>24</v>
      </c>
      <c r="C4608" s="5">
        <v>1862</v>
      </c>
      <c r="D4608" s="1"/>
      <c r="E4608" s="1" t="s">
        <v>939</v>
      </c>
      <c r="F4608" s="18">
        <v>999</v>
      </c>
      <c r="G4608" s="18">
        <v>36</v>
      </c>
      <c r="H4608" s="5">
        <v>34</v>
      </c>
      <c r="I4608" s="1">
        <v>76</v>
      </c>
      <c r="J4608" s="1">
        <v>110</v>
      </c>
      <c r="K4608" s="1"/>
      <c r="L4608" t="str">
        <f t="shared" si="71"/>
        <v>http://www.badatelna.eu/reprodukce/?fondId=241&amp;zaznamId=1133739&amp;reproId=3885765</v>
      </c>
      <c r="M4608">
        <f>VLOOKUP(F4608,Sheet2!$B$1:$E$19,2,FALSE)</f>
        <v>241</v>
      </c>
      <c r="N4608">
        <f>VLOOKUP(F4608,Sheet2!$B$1:$E$19,3,FALSE)</f>
        <v>1133739</v>
      </c>
      <c r="O4608">
        <f>IF(G4608="Not available","",VLOOKUP(F4608,Sheet2!$B$1:$E$19,4,FALSE)+(G4608-1))</f>
        <v>3885765</v>
      </c>
    </row>
    <row r="4609" spans="1:15" s="3" customFormat="1" ht="15" customHeight="1" x14ac:dyDescent="0.25">
      <c r="A4609" s="18" t="s">
        <v>511</v>
      </c>
      <c r="B4609" s="18" t="s">
        <v>24</v>
      </c>
      <c r="C4609" s="5" t="s">
        <v>1626</v>
      </c>
      <c r="D4609" s="1" t="s">
        <v>1088</v>
      </c>
      <c r="E4609" s="1" t="s">
        <v>2</v>
      </c>
      <c r="F4609" s="18">
        <v>2165</v>
      </c>
      <c r="G4609" s="18">
        <v>40</v>
      </c>
      <c r="H4609" s="5">
        <v>37</v>
      </c>
      <c r="I4609" s="1">
        <v>92</v>
      </c>
      <c r="J4609" s="1" t="s">
        <v>3271</v>
      </c>
      <c r="K4609" s="1"/>
      <c r="L4609" t="str">
        <f t="shared" si="71"/>
        <v>http://www.badatelna.eu/reprodukce/?fondId=1073&amp;zaznamId=1108952&amp;reproId=3778901</v>
      </c>
      <c r="M4609">
        <f>VLOOKUP(F4609,Sheet2!$B$1:$E$19,2,FALSE)</f>
        <v>1073</v>
      </c>
      <c r="N4609">
        <f>VLOOKUP(F4609,Sheet2!$B$1:$E$19,3,FALSE)</f>
        <v>1108952</v>
      </c>
      <c r="O4609">
        <f>IF(G4609="Not available","",VLOOKUP(F4609,Sheet2!$B$1:$E$19,4,FALSE)+(G4609-1))</f>
        <v>3778901</v>
      </c>
    </row>
    <row r="4610" spans="1:15" s="3" customFormat="1" ht="15" customHeight="1" x14ac:dyDescent="0.25">
      <c r="A4610" s="18" t="s">
        <v>511</v>
      </c>
      <c r="B4610" s="18" t="s">
        <v>512</v>
      </c>
      <c r="C4610" s="5">
        <v>1785</v>
      </c>
      <c r="D4610" s="1" t="s">
        <v>74</v>
      </c>
      <c r="E4610" s="1" t="s">
        <v>2</v>
      </c>
      <c r="F4610" s="18">
        <v>2173</v>
      </c>
      <c r="G4610" s="18">
        <v>9</v>
      </c>
      <c r="H4610" s="5">
        <v>12</v>
      </c>
      <c r="I4610" s="1">
        <v>115</v>
      </c>
      <c r="J4610" s="1">
        <v>259</v>
      </c>
      <c r="K4610" s="1"/>
      <c r="L4610" t="str">
        <f t="shared" si="71"/>
        <v>http://www.badatelna.eu/reprodukce/?fondId=1073&amp;zaznamId=1108959&amp;reproId=3780002</v>
      </c>
      <c r="M4610">
        <f>VLOOKUP(F4610,Sheet2!$B$1:$E$19,2,FALSE)</f>
        <v>1073</v>
      </c>
      <c r="N4610">
        <f>VLOOKUP(F4610,Sheet2!$B$1:$E$19,3,FALSE)</f>
        <v>1108959</v>
      </c>
      <c r="O4610">
        <f>IF(G4610="Not available","",VLOOKUP(F4610,Sheet2!$B$1:$E$19,4,FALSE)+(G4610-1))</f>
        <v>3780002</v>
      </c>
    </row>
    <row r="4611" spans="1:15" s="3" customFormat="1" ht="15" customHeight="1" x14ac:dyDescent="0.25">
      <c r="A4611" s="18" t="s">
        <v>511</v>
      </c>
      <c r="B4611" s="18" t="s">
        <v>1055</v>
      </c>
      <c r="C4611" s="10" t="s">
        <v>2087</v>
      </c>
      <c r="D4611" s="3" t="s">
        <v>2711</v>
      </c>
      <c r="E4611" s="4" t="s">
        <v>2</v>
      </c>
      <c r="F4611" s="18">
        <v>2176</v>
      </c>
      <c r="G4611" s="18" t="s">
        <v>3271</v>
      </c>
      <c r="H4611" s="10" t="s">
        <v>1971</v>
      </c>
      <c r="I4611" s="3">
        <v>42</v>
      </c>
      <c r="J4611" s="3" t="s">
        <v>3271</v>
      </c>
      <c r="L4611" t="str">
        <f t="shared" ref="L4611:L4674" si="72">IF(G4611="Not available","","http://www.badatelna.eu/reprodukce/?fondId="&amp;M4611&amp;"&amp;zaznamId="&amp;N4611&amp;"&amp;reproId="&amp;O4611)</f>
        <v/>
      </c>
      <c r="M4611">
        <f>VLOOKUP(F4611,Sheet2!$B$1:$E$19,2,FALSE)</f>
        <v>1073</v>
      </c>
      <c r="N4611">
        <f>VLOOKUP(F4611,Sheet2!$B$1:$E$19,3,FALSE)</f>
        <v>1108963</v>
      </c>
      <c r="O4611" t="str">
        <f>IF(G4611="Not available","",VLOOKUP(F4611,Sheet2!$B$1:$E$19,4,FALSE)+(G4611-1))</f>
        <v/>
      </c>
    </row>
    <row r="4612" spans="1:15" s="3" customFormat="1" ht="15" customHeight="1" x14ac:dyDescent="0.25">
      <c r="A4612" s="18" t="s">
        <v>511</v>
      </c>
      <c r="B4612" s="18" t="s">
        <v>1055</v>
      </c>
      <c r="C4612" s="5" t="s">
        <v>1876</v>
      </c>
      <c r="D4612" s="1" t="s">
        <v>809</v>
      </c>
      <c r="E4612" s="1" t="s">
        <v>2</v>
      </c>
      <c r="F4612" s="18">
        <v>2165</v>
      </c>
      <c r="G4612" s="18">
        <v>260</v>
      </c>
      <c r="H4612" s="5">
        <v>1</v>
      </c>
      <c r="I4612" s="1">
        <v>266</v>
      </c>
      <c r="J4612" s="1">
        <v>240</v>
      </c>
      <c r="K4612" s="1"/>
      <c r="L4612" t="str">
        <f t="shared" si="72"/>
        <v>http://www.badatelna.eu/reprodukce/?fondId=1073&amp;zaznamId=1108952&amp;reproId=3779121</v>
      </c>
      <c r="M4612">
        <f>VLOOKUP(F4612,Sheet2!$B$1:$E$19,2,FALSE)</f>
        <v>1073</v>
      </c>
      <c r="N4612">
        <f>VLOOKUP(F4612,Sheet2!$B$1:$E$19,3,FALSE)</f>
        <v>1108952</v>
      </c>
      <c r="O4612">
        <f>IF(G4612="Not available","",VLOOKUP(F4612,Sheet2!$B$1:$E$19,4,FALSE)+(G4612-1))</f>
        <v>3779121</v>
      </c>
    </row>
    <row r="4613" spans="1:15" s="3" customFormat="1" ht="15" customHeight="1" x14ac:dyDescent="0.25">
      <c r="A4613" s="18" t="s">
        <v>511</v>
      </c>
      <c r="B4613" s="18" t="s">
        <v>924</v>
      </c>
      <c r="C4613" s="5">
        <v>1854</v>
      </c>
      <c r="D4613" s="1" t="s">
        <v>913</v>
      </c>
      <c r="E4613" s="1" t="s">
        <v>2</v>
      </c>
      <c r="F4613" s="18">
        <v>2164</v>
      </c>
      <c r="G4613" s="18">
        <v>95</v>
      </c>
      <c r="H4613" s="5">
        <v>93</v>
      </c>
      <c r="I4613" s="1">
        <v>139</v>
      </c>
      <c r="J4613" s="3" t="s">
        <v>3271</v>
      </c>
      <c r="K4613" s="1"/>
      <c r="L4613" t="str">
        <f t="shared" si="72"/>
        <v>http://www.badatelna.eu/reprodukce/?fondId=1073&amp;zaznamId=1108951&amp;reproId=3778809</v>
      </c>
      <c r="M4613">
        <f>VLOOKUP(F4613,Sheet2!$B$1:$E$19,2,FALSE)</f>
        <v>1073</v>
      </c>
      <c r="N4613">
        <f>VLOOKUP(F4613,Sheet2!$B$1:$E$19,3,FALSE)</f>
        <v>1108951</v>
      </c>
      <c r="O4613">
        <f>IF(G4613="Not available","",VLOOKUP(F4613,Sheet2!$B$1:$E$19,4,FALSE)+(G4613-1))</f>
        <v>3778809</v>
      </c>
    </row>
    <row r="4614" spans="1:15" s="3" customFormat="1" ht="15" customHeight="1" x14ac:dyDescent="0.25">
      <c r="A4614" s="18" t="s">
        <v>511</v>
      </c>
      <c r="B4614" s="18" t="s">
        <v>924</v>
      </c>
      <c r="C4614" s="5" t="s">
        <v>1536</v>
      </c>
      <c r="D4614" s="1" t="s">
        <v>34</v>
      </c>
      <c r="E4614" s="1" t="s">
        <v>2</v>
      </c>
      <c r="F4614" s="18">
        <v>2165</v>
      </c>
      <c r="G4614" s="18">
        <v>29</v>
      </c>
      <c r="H4614" s="5">
        <v>26</v>
      </c>
      <c r="I4614" s="1">
        <v>92</v>
      </c>
      <c r="J4614" s="1" t="s">
        <v>3271</v>
      </c>
      <c r="K4614" s="1"/>
      <c r="L4614" t="str">
        <f t="shared" si="72"/>
        <v>http://www.badatelna.eu/reprodukce/?fondId=1073&amp;zaznamId=1108952&amp;reproId=3778890</v>
      </c>
      <c r="M4614">
        <f>VLOOKUP(F4614,Sheet2!$B$1:$E$19,2,FALSE)</f>
        <v>1073</v>
      </c>
      <c r="N4614">
        <f>VLOOKUP(F4614,Sheet2!$B$1:$E$19,3,FALSE)</f>
        <v>1108952</v>
      </c>
      <c r="O4614">
        <f>IF(G4614="Not available","",VLOOKUP(F4614,Sheet2!$B$1:$E$19,4,FALSE)+(G4614-1))</f>
        <v>3778890</v>
      </c>
    </row>
    <row r="4615" spans="1:15" s="3" customFormat="1" ht="15" customHeight="1" x14ac:dyDescent="0.25">
      <c r="A4615" s="18" t="s">
        <v>511</v>
      </c>
      <c r="B4615" s="18" t="s">
        <v>304</v>
      </c>
      <c r="C4615" s="5">
        <v>1851</v>
      </c>
      <c r="D4615" s="1" t="s">
        <v>26</v>
      </c>
      <c r="E4615" s="1" t="s">
        <v>2</v>
      </c>
      <c r="F4615" s="18">
        <v>2164</v>
      </c>
      <c r="G4615" s="18">
        <v>80</v>
      </c>
      <c r="H4615" s="5">
        <v>78</v>
      </c>
      <c r="I4615" s="1">
        <v>139</v>
      </c>
      <c r="J4615" s="3" t="s">
        <v>3271</v>
      </c>
      <c r="K4615" s="1"/>
      <c r="L4615" t="str">
        <f t="shared" si="72"/>
        <v>http://www.badatelna.eu/reprodukce/?fondId=1073&amp;zaznamId=1108951&amp;reproId=3778794</v>
      </c>
      <c r="M4615">
        <f>VLOOKUP(F4615,Sheet2!$B$1:$E$19,2,FALSE)</f>
        <v>1073</v>
      </c>
      <c r="N4615">
        <f>VLOOKUP(F4615,Sheet2!$B$1:$E$19,3,FALSE)</f>
        <v>1108951</v>
      </c>
      <c r="O4615">
        <f>IF(G4615="Not available","",VLOOKUP(F4615,Sheet2!$B$1:$E$19,4,FALSE)+(G4615-1))</f>
        <v>3778794</v>
      </c>
    </row>
    <row r="4616" spans="1:15" s="3" customFormat="1" ht="15" customHeight="1" x14ac:dyDescent="0.25">
      <c r="A4616" s="18" t="s">
        <v>511</v>
      </c>
      <c r="B4616" s="18" t="s">
        <v>304</v>
      </c>
      <c r="C4616" s="5">
        <v>1853</v>
      </c>
      <c r="D4616" s="1" t="s">
        <v>9</v>
      </c>
      <c r="E4616" s="1" t="s">
        <v>2</v>
      </c>
      <c r="F4616" s="18">
        <v>2164</v>
      </c>
      <c r="G4616" s="18">
        <v>87</v>
      </c>
      <c r="H4616" s="5">
        <v>85</v>
      </c>
      <c r="I4616" s="1">
        <v>139</v>
      </c>
      <c r="J4616" s="3" t="s">
        <v>3271</v>
      </c>
      <c r="K4616" s="1"/>
      <c r="L4616" t="str">
        <f t="shared" si="72"/>
        <v>http://www.badatelna.eu/reprodukce/?fondId=1073&amp;zaznamId=1108951&amp;reproId=3778801</v>
      </c>
      <c r="M4616">
        <f>VLOOKUP(F4616,Sheet2!$B$1:$E$19,2,FALSE)</f>
        <v>1073</v>
      </c>
      <c r="N4616">
        <f>VLOOKUP(F4616,Sheet2!$B$1:$E$19,3,FALSE)</f>
        <v>1108951</v>
      </c>
      <c r="O4616">
        <f>IF(G4616="Not available","",VLOOKUP(F4616,Sheet2!$B$1:$E$19,4,FALSE)+(G4616-1))</f>
        <v>3778801</v>
      </c>
    </row>
    <row r="4617" spans="1:15" s="3" customFormat="1" ht="15" customHeight="1" x14ac:dyDescent="0.25">
      <c r="A4617" s="18" t="s">
        <v>511</v>
      </c>
      <c r="B4617" s="18" t="s">
        <v>58</v>
      </c>
      <c r="C4617" s="5">
        <v>1847</v>
      </c>
      <c r="D4617" s="1" t="s">
        <v>706</v>
      </c>
      <c r="E4617" s="1" t="s">
        <v>2</v>
      </c>
      <c r="F4617" s="18">
        <v>2164</v>
      </c>
      <c r="G4617" s="18">
        <v>32</v>
      </c>
      <c r="H4617" s="5">
        <v>30</v>
      </c>
      <c r="I4617" s="1">
        <v>139</v>
      </c>
      <c r="J4617" s="3" t="s">
        <v>3271</v>
      </c>
      <c r="K4617" s="1"/>
      <c r="L4617" t="str">
        <f t="shared" si="72"/>
        <v>http://www.badatelna.eu/reprodukce/?fondId=1073&amp;zaznamId=1108951&amp;reproId=3778746</v>
      </c>
      <c r="M4617">
        <f>VLOOKUP(F4617,Sheet2!$B$1:$E$19,2,FALSE)</f>
        <v>1073</v>
      </c>
      <c r="N4617">
        <f>VLOOKUP(F4617,Sheet2!$B$1:$E$19,3,FALSE)</f>
        <v>1108951</v>
      </c>
      <c r="O4617">
        <f>IF(G4617="Not available","",VLOOKUP(F4617,Sheet2!$B$1:$E$19,4,FALSE)+(G4617-1))</f>
        <v>3778746</v>
      </c>
    </row>
    <row r="4618" spans="1:15" s="3" customFormat="1" ht="15" customHeight="1" x14ac:dyDescent="0.25">
      <c r="A4618" s="18" t="s">
        <v>511</v>
      </c>
      <c r="B4618" s="18" t="s">
        <v>1171</v>
      </c>
      <c r="C4618" s="10" t="s">
        <v>2005</v>
      </c>
      <c r="D4618" s="3" t="s">
        <v>2673</v>
      </c>
      <c r="E4618" s="4" t="s">
        <v>2</v>
      </c>
      <c r="F4618" s="18">
        <v>2176</v>
      </c>
      <c r="G4618" s="18" t="s">
        <v>3271</v>
      </c>
      <c r="H4618" s="10" t="s">
        <v>1954</v>
      </c>
      <c r="I4618" s="3">
        <v>40</v>
      </c>
      <c r="J4618" s="3" t="s">
        <v>3271</v>
      </c>
      <c r="L4618" t="str">
        <f t="shared" si="72"/>
        <v/>
      </c>
      <c r="M4618">
        <f>VLOOKUP(F4618,Sheet2!$B$1:$E$19,2,FALSE)</f>
        <v>1073</v>
      </c>
      <c r="N4618">
        <f>VLOOKUP(F4618,Sheet2!$B$1:$E$19,3,FALSE)</f>
        <v>1108963</v>
      </c>
      <c r="O4618" t="str">
        <f>IF(G4618="Not available","",VLOOKUP(F4618,Sheet2!$B$1:$E$19,4,FALSE)+(G4618-1))</f>
        <v/>
      </c>
    </row>
    <row r="4619" spans="1:15" s="3" customFormat="1" ht="15" customHeight="1" x14ac:dyDescent="0.25">
      <c r="A4619" s="18" t="s">
        <v>511</v>
      </c>
      <c r="B4619" s="18" t="s">
        <v>1099</v>
      </c>
      <c r="C4619" s="5" t="s">
        <v>1648</v>
      </c>
      <c r="D4619" s="1" t="s">
        <v>1088</v>
      </c>
      <c r="E4619" s="1" t="s">
        <v>2</v>
      </c>
      <c r="F4619" s="18">
        <v>2165</v>
      </c>
      <c r="G4619" s="18">
        <v>55</v>
      </c>
      <c r="H4619" s="5">
        <v>52</v>
      </c>
      <c r="I4619" s="1">
        <v>93</v>
      </c>
      <c r="J4619" s="1" t="s">
        <v>3271</v>
      </c>
      <c r="K4619" s="1"/>
      <c r="L4619" t="str">
        <f t="shared" si="72"/>
        <v>http://www.badatelna.eu/reprodukce/?fondId=1073&amp;zaznamId=1108952&amp;reproId=3778916</v>
      </c>
      <c r="M4619">
        <f>VLOOKUP(F4619,Sheet2!$B$1:$E$19,2,FALSE)</f>
        <v>1073</v>
      </c>
      <c r="N4619">
        <f>VLOOKUP(F4619,Sheet2!$B$1:$E$19,3,FALSE)</f>
        <v>1108952</v>
      </c>
      <c r="O4619">
        <f>IF(G4619="Not available","",VLOOKUP(F4619,Sheet2!$B$1:$E$19,4,FALSE)+(G4619-1))</f>
        <v>3778916</v>
      </c>
    </row>
    <row r="4620" spans="1:15" s="3" customFormat="1" ht="15" customHeight="1" x14ac:dyDescent="0.25">
      <c r="A4620" s="18" t="s">
        <v>511</v>
      </c>
      <c r="B4620" s="18" t="s">
        <v>1103</v>
      </c>
      <c r="C4620" s="5" t="s">
        <v>1664</v>
      </c>
      <c r="D4620" s="1" t="s">
        <v>1088</v>
      </c>
      <c r="E4620" s="1" t="s">
        <v>2</v>
      </c>
      <c r="F4620" s="18">
        <v>2165</v>
      </c>
      <c r="G4620" s="18">
        <v>72</v>
      </c>
      <c r="H4620" s="5">
        <v>69</v>
      </c>
      <c r="I4620" s="1">
        <v>93</v>
      </c>
      <c r="J4620" s="1" t="s">
        <v>3271</v>
      </c>
      <c r="K4620" s="1"/>
      <c r="L4620" t="str">
        <f t="shared" si="72"/>
        <v>http://www.badatelna.eu/reprodukce/?fondId=1073&amp;zaznamId=1108952&amp;reproId=3778933</v>
      </c>
      <c r="M4620">
        <f>VLOOKUP(F4620,Sheet2!$B$1:$E$19,2,FALSE)</f>
        <v>1073</v>
      </c>
      <c r="N4620">
        <f>VLOOKUP(F4620,Sheet2!$B$1:$E$19,3,FALSE)</f>
        <v>1108952</v>
      </c>
      <c r="O4620">
        <f>IF(G4620="Not available","",VLOOKUP(F4620,Sheet2!$B$1:$E$19,4,FALSE)+(G4620-1))</f>
        <v>3778933</v>
      </c>
    </row>
    <row r="4621" spans="1:15" s="3" customFormat="1" ht="15" customHeight="1" x14ac:dyDescent="0.25">
      <c r="A4621" s="18" t="s">
        <v>795</v>
      </c>
      <c r="B4621" s="18" t="s">
        <v>477</v>
      </c>
      <c r="C4621" s="5">
        <v>1841</v>
      </c>
      <c r="D4621" s="1" t="s">
        <v>797</v>
      </c>
      <c r="E4621" s="1" t="s">
        <v>2</v>
      </c>
      <c r="F4621" s="18">
        <v>2174</v>
      </c>
      <c r="G4621" s="18">
        <v>118</v>
      </c>
      <c r="H4621" s="6" t="s">
        <v>3187</v>
      </c>
      <c r="I4621" s="1">
        <v>210</v>
      </c>
      <c r="J4621" s="1">
        <v>247</v>
      </c>
      <c r="K4621" s="1"/>
      <c r="L4621" t="str">
        <f t="shared" si="72"/>
        <v>http://www.badatelna.eu/reprodukce/?fondId=1073&amp;zaznamId=1108960&amp;reproId=3780342</v>
      </c>
      <c r="M4621">
        <f>VLOOKUP(F4621,Sheet2!$B$1:$E$19,2,FALSE)</f>
        <v>1073</v>
      </c>
      <c r="N4621">
        <f>VLOOKUP(F4621,Sheet2!$B$1:$E$19,3,FALSE)</f>
        <v>1108960</v>
      </c>
      <c r="O4621">
        <f>IF(G4621="Not available","",VLOOKUP(F4621,Sheet2!$B$1:$E$19,4,FALSE)+(G4621-1))</f>
        <v>3780342</v>
      </c>
    </row>
    <row r="4622" spans="1:15" s="3" customFormat="1" ht="15" customHeight="1" x14ac:dyDescent="0.25">
      <c r="A4622" s="18" t="s">
        <v>795</v>
      </c>
      <c r="B4622" s="18" t="s">
        <v>196</v>
      </c>
      <c r="C4622" s="5">
        <v>1845</v>
      </c>
      <c r="D4622" s="1" t="s">
        <v>704</v>
      </c>
      <c r="E4622" s="1" t="s">
        <v>2</v>
      </c>
      <c r="F4622" s="18">
        <v>2174</v>
      </c>
      <c r="G4622" s="21">
        <v>151</v>
      </c>
      <c r="H4622" s="6" t="s">
        <v>3218</v>
      </c>
      <c r="I4622" s="1">
        <v>210</v>
      </c>
      <c r="J4622" s="1">
        <v>247</v>
      </c>
      <c r="K4622" s="1"/>
      <c r="L4622" t="str">
        <f t="shared" si="72"/>
        <v>http://www.badatelna.eu/reprodukce/?fondId=1073&amp;zaznamId=1108960&amp;reproId=3780375</v>
      </c>
      <c r="M4622">
        <f>VLOOKUP(F4622,Sheet2!$B$1:$E$19,2,FALSE)</f>
        <v>1073</v>
      </c>
      <c r="N4622">
        <f>VLOOKUP(F4622,Sheet2!$B$1:$E$19,3,FALSE)</f>
        <v>1108960</v>
      </c>
      <c r="O4622">
        <f>IF(G4622="Not available","",VLOOKUP(F4622,Sheet2!$B$1:$E$19,4,FALSE)+(G4622-1))</f>
        <v>3780375</v>
      </c>
    </row>
    <row r="4623" spans="1:15" s="3" customFormat="1" ht="15" customHeight="1" x14ac:dyDescent="0.25">
      <c r="A4623" s="18" t="s">
        <v>795</v>
      </c>
      <c r="B4623" s="18" t="s">
        <v>144</v>
      </c>
      <c r="C4623" s="5">
        <v>1843</v>
      </c>
      <c r="D4623" s="1" t="s">
        <v>9</v>
      </c>
      <c r="E4623" s="1" t="s">
        <v>2</v>
      </c>
      <c r="F4623" s="18">
        <v>2174</v>
      </c>
      <c r="G4623" s="18">
        <v>140</v>
      </c>
      <c r="H4623" s="6" t="s">
        <v>3205</v>
      </c>
      <c r="I4623" s="1">
        <v>210</v>
      </c>
      <c r="J4623" s="1">
        <v>247</v>
      </c>
      <c r="K4623" s="1"/>
      <c r="L4623" t="str">
        <f t="shared" si="72"/>
        <v>http://www.badatelna.eu/reprodukce/?fondId=1073&amp;zaznamId=1108960&amp;reproId=3780364</v>
      </c>
      <c r="M4623">
        <f>VLOOKUP(F4623,Sheet2!$B$1:$E$19,2,FALSE)</f>
        <v>1073</v>
      </c>
      <c r="N4623">
        <f>VLOOKUP(F4623,Sheet2!$B$1:$E$19,3,FALSE)</f>
        <v>1108960</v>
      </c>
      <c r="O4623">
        <f>IF(G4623="Not available","",VLOOKUP(F4623,Sheet2!$B$1:$E$19,4,FALSE)+(G4623-1))</f>
        <v>3780364</v>
      </c>
    </row>
    <row r="4624" spans="1:15" s="3" customFormat="1" ht="15" customHeight="1" x14ac:dyDescent="0.25">
      <c r="A4624" s="18" t="s">
        <v>795</v>
      </c>
      <c r="B4624" s="18" t="s">
        <v>478</v>
      </c>
      <c r="C4624" s="5">
        <v>1846</v>
      </c>
      <c r="D4624" s="1" t="s">
        <v>706</v>
      </c>
      <c r="E4624" s="1" t="s">
        <v>2</v>
      </c>
      <c r="F4624" s="18">
        <v>2174</v>
      </c>
      <c r="G4624" s="18">
        <v>164</v>
      </c>
      <c r="H4624" s="6" t="s">
        <v>3231</v>
      </c>
      <c r="I4624" s="1">
        <v>210</v>
      </c>
      <c r="J4624" s="1">
        <v>247</v>
      </c>
      <c r="K4624" s="1"/>
      <c r="L4624" t="str">
        <f t="shared" si="72"/>
        <v>http://www.badatelna.eu/reprodukce/?fondId=1073&amp;zaznamId=1108960&amp;reproId=3780388</v>
      </c>
      <c r="M4624">
        <f>VLOOKUP(F4624,Sheet2!$B$1:$E$19,2,FALSE)</f>
        <v>1073</v>
      </c>
      <c r="N4624">
        <f>VLOOKUP(F4624,Sheet2!$B$1:$E$19,3,FALSE)</f>
        <v>1108960</v>
      </c>
      <c r="O4624">
        <f>IF(G4624="Not available","",VLOOKUP(F4624,Sheet2!$B$1:$E$19,4,FALSE)+(G4624-1))</f>
        <v>3780388</v>
      </c>
    </row>
    <row r="4625" spans="1:15" s="3" customFormat="1" ht="15" customHeight="1" x14ac:dyDescent="0.25">
      <c r="A4625" s="18" t="s">
        <v>795</v>
      </c>
      <c r="B4625" s="18" t="s">
        <v>547</v>
      </c>
      <c r="C4625" s="5">
        <v>1834</v>
      </c>
      <c r="D4625" s="1" t="s">
        <v>55</v>
      </c>
      <c r="E4625" s="1" t="s">
        <v>2</v>
      </c>
      <c r="F4625" s="18">
        <v>2174</v>
      </c>
      <c r="G4625" s="18">
        <v>79</v>
      </c>
      <c r="H4625" s="6" t="s">
        <v>3145</v>
      </c>
      <c r="I4625" s="1">
        <v>210</v>
      </c>
      <c r="J4625" s="1">
        <v>247</v>
      </c>
      <c r="K4625" s="1"/>
      <c r="L4625" t="str">
        <f t="shared" si="72"/>
        <v>http://www.badatelna.eu/reprodukce/?fondId=1073&amp;zaznamId=1108960&amp;reproId=3780303</v>
      </c>
      <c r="M4625">
        <f>VLOOKUP(F4625,Sheet2!$B$1:$E$19,2,FALSE)</f>
        <v>1073</v>
      </c>
      <c r="N4625">
        <f>VLOOKUP(F4625,Sheet2!$B$1:$E$19,3,FALSE)</f>
        <v>1108960</v>
      </c>
      <c r="O4625">
        <f>IF(G4625="Not available","",VLOOKUP(F4625,Sheet2!$B$1:$E$19,4,FALSE)+(G4625-1))</f>
        <v>3780303</v>
      </c>
    </row>
    <row r="4626" spans="1:15" s="3" customFormat="1" ht="15" customHeight="1" x14ac:dyDescent="0.25">
      <c r="A4626" s="18" t="s">
        <v>795</v>
      </c>
      <c r="B4626" s="18" t="s">
        <v>735</v>
      </c>
      <c r="C4626" s="5">
        <v>1836</v>
      </c>
      <c r="D4626" s="12" t="s">
        <v>706</v>
      </c>
      <c r="E4626" s="1" t="s">
        <v>2</v>
      </c>
      <c r="F4626" s="18">
        <v>2174</v>
      </c>
      <c r="G4626" s="18">
        <v>86</v>
      </c>
      <c r="H4626" s="10" t="s">
        <v>3153</v>
      </c>
      <c r="I4626" s="1">
        <v>210</v>
      </c>
      <c r="J4626" s="1">
        <v>247</v>
      </c>
      <c r="K4626" s="1"/>
      <c r="L4626" t="str">
        <f t="shared" si="72"/>
        <v>http://www.badatelna.eu/reprodukce/?fondId=1073&amp;zaznamId=1108960&amp;reproId=3780310</v>
      </c>
      <c r="M4626">
        <f>VLOOKUP(F4626,Sheet2!$B$1:$E$19,2,FALSE)</f>
        <v>1073</v>
      </c>
      <c r="N4626">
        <f>VLOOKUP(F4626,Sheet2!$B$1:$E$19,3,FALSE)</f>
        <v>1108960</v>
      </c>
      <c r="O4626">
        <f>IF(G4626="Not available","",VLOOKUP(F4626,Sheet2!$B$1:$E$19,4,FALSE)+(G4626-1))</f>
        <v>3780310</v>
      </c>
    </row>
    <row r="4627" spans="1:15" s="3" customFormat="1" ht="15" customHeight="1" x14ac:dyDescent="0.25">
      <c r="A4627" s="18" t="s">
        <v>795</v>
      </c>
      <c r="B4627" s="18" t="s">
        <v>370</v>
      </c>
      <c r="C4627" s="5">
        <v>1841</v>
      </c>
      <c r="D4627" s="1" t="s">
        <v>26</v>
      </c>
      <c r="E4627" s="1" t="s">
        <v>2</v>
      </c>
      <c r="F4627" s="18">
        <v>2174</v>
      </c>
      <c r="G4627" s="18">
        <v>129</v>
      </c>
      <c r="H4627" s="6" t="s">
        <v>3195</v>
      </c>
      <c r="I4627" s="1">
        <v>210</v>
      </c>
      <c r="J4627" s="1">
        <v>247</v>
      </c>
      <c r="K4627" s="4" t="s">
        <v>363</v>
      </c>
      <c r="L4627" t="str">
        <f t="shared" si="72"/>
        <v>http://www.badatelna.eu/reprodukce/?fondId=1073&amp;zaznamId=1108960&amp;reproId=3780353</v>
      </c>
      <c r="M4627">
        <f>VLOOKUP(F4627,Sheet2!$B$1:$E$19,2,FALSE)</f>
        <v>1073</v>
      </c>
      <c r="N4627">
        <f>VLOOKUP(F4627,Sheet2!$B$1:$E$19,3,FALSE)</f>
        <v>1108960</v>
      </c>
      <c r="O4627">
        <f>IF(G4627="Not available","",VLOOKUP(F4627,Sheet2!$B$1:$E$19,4,FALSE)+(G4627-1))</f>
        <v>3780353</v>
      </c>
    </row>
    <row r="4628" spans="1:15" s="3" customFormat="1" ht="15" customHeight="1" x14ac:dyDescent="0.25">
      <c r="A4628" s="18" t="s">
        <v>795</v>
      </c>
      <c r="B4628" s="18" t="s">
        <v>428</v>
      </c>
      <c r="C4628" s="5">
        <v>1838</v>
      </c>
      <c r="D4628" s="1" t="s">
        <v>26</v>
      </c>
      <c r="E4628" s="1" t="s">
        <v>2</v>
      </c>
      <c r="F4628" s="18">
        <v>2174</v>
      </c>
      <c r="G4628" s="18">
        <v>98</v>
      </c>
      <c r="H4628" s="16" t="s">
        <v>3166</v>
      </c>
      <c r="I4628" s="1">
        <v>210</v>
      </c>
      <c r="J4628" s="1">
        <v>247</v>
      </c>
      <c r="K4628" s="1"/>
      <c r="L4628" t="str">
        <f t="shared" si="72"/>
        <v>http://www.badatelna.eu/reprodukce/?fondId=1073&amp;zaznamId=1108960&amp;reproId=3780322</v>
      </c>
      <c r="M4628">
        <f>VLOOKUP(F4628,Sheet2!$B$1:$E$19,2,FALSE)</f>
        <v>1073</v>
      </c>
      <c r="N4628">
        <f>VLOOKUP(F4628,Sheet2!$B$1:$E$19,3,FALSE)</f>
        <v>1108960</v>
      </c>
      <c r="O4628">
        <f>IF(G4628="Not available","",VLOOKUP(F4628,Sheet2!$B$1:$E$19,4,FALSE)+(G4628-1))</f>
        <v>3780322</v>
      </c>
    </row>
    <row r="4629" spans="1:15" s="3" customFormat="1" ht="15" customHeight="1" x14ac:dyDescent="0.25">
      <c r="A4629" s="18" t="s">
        <v>795</v>
      </c>
      <c r="B4629" s="18" t="s">
        <v>700</v>
      </c>
      <c r="C4629" s="5">
        <v>1831</v>
      </c>
      <c r="D4629" s="1" t="s">
        <v>55</v>
      </c>
      <c r="E4629" s="1" t="s">
        <v>2</v>
      </c>
      <c r="F4629" s="18">
        <v>2174</v>
      </c>
      <c r="G4629" s="18">
        <v>65</v>
      </c>
      <c r="H4629" s="6" t="s">
        <v>3109</v>
      </c>
      <c r="I4629" s="1">
        <v>210</v>
      </c>
      <c r="J4629" s="1">
        <v>247</v>
      </c>
      <c r="K4629" s="1"/>
      <c r="L4629" t="str">
        <f t="shared" si="72"/>
        <v>http://www.badatelna.eu/reprodukce/?fondId=1073&amp;zaznamId=1108960&amp;reproId=3780289</v>
      </c>
      <c r="M4629">
        <f>VLOOKUP(F4629,Sheet2!$B$1:$E$19,2,FALSE)</f>
        <v>1073</v>
      </c>
      <c r="N4629">
        <f>VLOOKUP(F4629,Sheet2!$B$1:$E$19,3,FALSE)</f>
        <v>1108960</v>
      </c>
      <c r="O4629">
        <f>IF(G4629="Not available","",VLOOKUP(F4629,Sheet2!$B$1:$E$19,4,FALSE)+(G4629-1))</f>
        <v>3780289</v>
      </c>
    </row>
    <row r="4630" spans="1:15" s="3" customFormat="1" ht="15" customHeight="1" x14ac:dyDescent="0.25">
      <c r="A4630" s="18" t="s">
        <v>795</v>
      </c>
      <c r="B4630" s="18" t="s">
        <v>602</v>
      </c>
      <c r="C4630" s="5">
        <v>1843</v>
      </c>
      <c r="D4630" s="1" t="s">
        <v>704</v>
      </c>
      <c r="E4630" s="1" t="s">
        <v>2</v>
      </c>
      <c r="F4630" s="18">
        <v>2174</v>
      </c>
      <c r="G4630" s="18">
        <v>133</v>
      </c>
      <c r="H4630" s="6" t="s">
        <v>3203</v>
      </c>
      <c r="I4630" s="1">
        <v>210</v>
      </c>
      <c r="J4630" s="1">
        <v>247</v>
      </c>
      <c r="K4630" s="1"/>
      <c r="L4630" t="str">
        <f t="shared" si="72"/>
        <v>http://www.badatelna.eu/reprodukce/?fondId=1073&amp;zaznamId=1108960&amp;reproId=3780357</v>
      </c>
      <c r="M4630">
        <f>VLOOKUP(F4630,Sheet2!$B$1:$E$19,2,FALSE)</f>
        <v>1073</v>
      </c>
      <c r="N4630">
        <f>VLOOKUP(F4630,Sheet2!$B$1:$E$19,3,FALSE)</f>
        <v>1108960</v>
      </c>
      <c r="O4630">
        <f>IF(G4630="Not available","",VLOOKUP(F4630,Sheet2!$B$1:$E$19,4,FALSE)+(G4630-1))</f>
        <v>3780357</v>
      </c>
    </row>
    <row r="4631" spans="1:15" s="3" customFormat="1" ht="15" customHeight="1" x14ac:dyDescent="0.25">
      <c r="A4631" s="18" t="s">
        <v>795</v>
      </c>
      <c r="B4631" s="18" t="s">
        <v>653</v>
      </c>
      <c r="C4631" s="5">
        <v>1837</v>
      </c>
      <c r="D4631" s="1" t="s">
        <v>605</v>
      </c>
      <c r="E4631" s="1" t="s">
        <v>2</v>
      </c>
      <c r="F4631" s="18">
        <v>2174</v>
      </c>
      <c r="G4631" s="18">
        <v>93</v>
      </c>
      <c r="H4631" s="6" t="s">
        <v>3161</v>
      </c>
      <c r="I4631" s="1">
        <v>210</v>
      </c>
      <c r="J4631" s="1">
        <v>247</v>
      </c>
      <c r="K4631" s="1"/>
      <c r="L4631" t="str">
        <f t="shared" si="72"/>
        <v>http://www.badatelna.eu/reprodukce/?fondId=1073&amp;zaznamId=1108960&amp;reproId=3780317</v>
      </c>
      <c r="M4631">
        <f>VLOOKUP(F4631,Sheet2!$B$1:$E$19,2,FALSE)</f>
        <v>1073</v>
      </c>
      <c r="N4631">
        <f>VLOOKUP(F4631,Sheet2!$B$1:$E$19,3,FALSE)</f>
        <v>1108960</v>
      </c>
      <c r="O4631">
        <f>IF(G4631="Not available","",VLOOKUP(F4631,Sheet2!$B$1:$E$19,4,FALSE)+(G4631-1))</f>
        <v>3780317</v>
      </c>
    </row>
    <row r="4632" spans="1:15" s="3" customFormat="1" ht="15" customHeight="1" x14ac:dyDescent="0.25">
      <c r="A4632" s="18" t="s">
        <v>795</v>
      </c>
      <c r="B4632" s="18" t="s">
        <v>798</v>
      </c>
      <c r="C4632" s="5">
        <v>1843</v>
      </c>
      <c r="D4632" s="1" t="s">
        <v>55</v>
      </c>
      <c r="E4632" s="1" t="s">
        <v>2</v>
      </c>
      <c r="F4632" s="18">
        <v>2174</v>
      </c>
      <c r="G4632" s="21">
        <v>137</v>
      </c>
      <c r="H4632" s="6" t="s">
        <v>3209</v>
      </c>
      <c r="I4632" s="1">
        <v>210</v>
      </c>
      <c r="J4632" s="1">
        <v>247</v>
      </c>
      <c r="K4632" s="1"/>
      <c r="L4632" t="str">
        <f t="shared" si="72"/>
        <v>http://www.badatelna.eu/reprodukce/?fondId=1073&amp;zaznamId=1108960&amp;reproId=3780361</v>
      </c>
      <c r="M4632">
        <f>VLOOKUP(F4632,Sheet2!$B$1:$E$19,2,FALSE)</f>
        <v>1073</v>
      </c>
      <c r="N4632">
        <f>VLOOKUP(F4632,Sheet2!$B$1:$E$19,3,FALSE)</f>
        <v>1108960</v>
      </c>
      <c r="O4632">
        <f>IF(G4632="Not available","",VLOOKUP(F4632,Sheet2!$B$1:$E$19,4,FALSE)+(G4632-1))</f>
        <v>3780361</v>
      </c>
    </row>
    <row r="4633" spans="1:15" s="3" customFormat="1" ht="15" customHeight="1" x14ac:dyDescent="0.25">
      <c r="A4633" s="18" t="s">
        <v>795</v>
      </c>
      <c r="B4633" s="18" t="s">
        <v>751</v>
      </c>
      <c r="C4633" s="5">
        <v>1831</v>
      </c>
      <c r="D4633" s="1" t="s">
        <v>26</v>
      </c>
      <c r="E4633" s="1" t="s">
        <v>2</v>
      </c>
      <c r="F4633" s="18">
        <v>2174</v>
      </c>
      <c r="G4633" s="18">
        <v>62</v>
      </c>
      <c r="H4633" s="6" t="s">
        <v>3106</v>
      </c>
      <c r="I4633" s="1">
        <v>210</v>
      </c>
      <c r="J4633" s="1">
        <v>247</v>
      </c>
      <c r="K4633" s="1"/>
      <c r="L4633" t="str">
        <f t="shared" si="72"/>
        <v>http://www.badatelna.eu/reprodukce/?fondId=1073&amp;zaznamId=1108960&amp;reproId=3780286</v>
      </c>
      <c r="M4633">
        <f>VLOOKUP(F4633,Sheet2!$B$1:$E$19,2,FALSE)</f>
        <v>1073</v>
      </c>
      <c r="N4633">
        <f>VLOOKUP(F4633,Sheet2!$B$1:$E$19,3,FALSE)</f>
        <v>1108960</v>
      </c>
      <c r="O4633">
        <f>IF(G4633="Not available","",VLOOKUP(F4633,Sheet2!$B$1:$E$19,4,FALSE)+(G4633-1))</f>
        <v>3780286</v>
      </c>
    </row>
    <row r="4634" spans="1:15" s="3" customFormat="1" ht="15" customHeight="1" x14ac:dyDescent="0.25">
      <c r="A4634" s="18" t="s">
        <v>795</v>
      </c>
      <c r="B4634" s="18" t="s">
        <v>432</v>
      </c>
      <c r="C4634" s="5">
        <v>1838</v>
      </c>
      <c r="D4634" s="1" t="s">
        <v>796</v>
      </c>
      <c r="E4634" s="1" t="s">
        <v>2</v>
      </c>
      <c r="F4634" s="18">
        <v>2174</v>
      </c>
      <c r="G4634" s="21">
        <v>109</v>
      </c>
      <c r="H4634" s="6" t="s">
        <v>3176</v>
      </c>
      <c r="I4634" s="1">
        <v>210</v>
      </c>
      <c r="J4634" s="1">
        <v>247</v>
      </c>
      <c r="K4634" s="1"/>
      <c r="L4634" t="str">
        <f t="shared" si="72"/>
        <v>http://www.badatelna.eu/reprodukce/?fondId=1073&amp;zaznamId=1108960&amp;reproId=3780333</v>
      </c>
      <c r="M4634">
        <f>VLOOKUP(F4634,Sheet2!$B$1:$E$19,2,FALSE)</f>
        <v>1073</v>
      </c>
      <c r="N4634">
        <f>VLOOKUP(F4634,Sheet2!$B$1:$E$19,3,FALSE)</f>
        <v>1108960</v>
      </c>
      <c r="O4634">
        <f>IF(G4634="Not available","",VLOOKUP(F4634,Sheet2!$B$1:$E$19,4,FALSE)+(G4634-1))</f>
        <v>3780333</v>
      </c>
    </row>
    <row r="4635" spans="1:15" s="3" customFormat="1" ht="15" customHeight="1" x14ac:dyDescent="0.25">
      <c r="A4635" s="18" t="s">
        <v>795</v>
      </c>
      <c r="B4635" s="18" t="s">
        <v>476</v>
      </c>
      <c r="C4635" s="5">
        <v>1836</v>
      </c>
      <c r="D4635" s="1" t="s">
        <v>26</v>
      </c>
      <c r="E4635" s="1" t="s">
        <v>2</v>
      </c>
      <c r="F4635" s="18">
        <v>2174</v>
      </c>
      <c r="G4635" s="18">
        <v>87</v>
      </c>
      <c r="H4635" s="6" t="s">
        <v>3151</v>
      </c>
      <c r="I4635" s="1">
        <v>210</v>
      </c>
      <c r="J4635" s="1">
        <v>247</v>
      </c>
      <c r="K4635" s="1"/>
      <c r="L4635" t="str">
        <f t="shared" si="72"/>
        <v>http://www.badatelna.eu/reprodukce/?fondId=1073&amp;zaznamId=1108960&amp;reproId=3780311</v>
      </c>
      <c r="M4635">
        <f>VLOOKUP(F4635,Sheet2!$B$1:$E$19,2,FALSE)</f>
        <v>1073</v>
      </c>
      <c r="N4635">
        <f>VLOOKUP(F4635,Sheet2!$B$1:$E$19,3,FALSE)</f>
        <v>1108960</v>
      </c>
      <c r="O4635">
        <f>IF(G4635="Not available","",VLOOKUP(F4635,Sheet2!$B$1:$E$19,4,FALSE)+(G4635-1))</f>
        <v>3780311</v>
      </c>
    </row>
    <row r="4636" spans="1:15" s="3" customFormat="1" ht="15" customHeight="1" x14ac:dyDescent="0.25">
      <c r="A4636" s="18" t="s">
        <v>795</v>
      </c>
      <c r="B4636" s="18" t="s">
        <v>491</v>
      </c>
      <c r="C4636" s="5">
        <v>1846</v>
      </c>
      <c r="D4636" s="1" t="s">
        <v>9</v>
      </c>
      <c r="E4636" s="1" t="s">
        <v>2</v>
      </c>
      <c r="F4636" s="18">
        <v>2174</v>
      </c>
      <c r="G4636" s="18">
        <v>161</v>
      </c>
      <c r="H4636" s="6" t="s">
        <v>3226</v>
      </c>
      <c r="I4636" s="1">
        <v>210</v>
      </c>
      <c r="J4636" s="1">
        <v>247</v>
      </c>
      <c r="K4636" s="1"/>
      <c r="L4636" t="str">
        <f t="shared" si="72"/>
        <v>http://www.badatelna.eu/reprodukce/?fondId=1073&amp;zaznamId=1108960&amp;reproId=3780385</v>
      </c>
      <c r="M4636">
        <f>VLOOKUP(F4636,Sheet2!$B$1:$E$19,2,FALSE)</f>
        <v>1073</v>
      </c>
      <c r="N4636">
        <f>VLOOKUP(F4636,Sheet2!$B$1:$E$19,3,FALSE)</f>
        <v>1108960</v>
      </c>
      <c r="O4636">
        <f>IF(G4636="Not available","",VLOOKUP(F4636,Sheet2!$B$1:$E$19,4,FALSE)+(G4636-1))</f>
        <v>3780385</v>
      </c>
    </row>
    <row r="4637" spans="1:15" s="3" customFormat="1" ht="15" customHeight="1" x14ac:dyDescent="0.25">
      <c r="A4637" s="18" t="s">
        <v>795</v>
      </c>
      <c r="B4637" s="18" t="s">
        <v>81</v>
      </c>
      <c r="C4637" s="5">
        <v>1833</v>
      </c>
      <c r="D4637" s="1" t="s">
        <v>26</v>
      </c>
      <c r="E4637" s="1" t="s">
        <v>2</v>
      </c>
      <c r="F4637" s="18">
        <v>2174</v>
      </c>
      <c r="G4637" s="18">
        <v>73</v>
      </c>
      <c r="H4637" s="6" t="s">
        <v>3138</v>
      </c>
      <c r="I4637" s="1">
        <v>210</v>
      </c>
      <c r="J4637" s="1">
        <v>247</v>
      </c>
      <c r="K4637" s="1"/>
      <c r="L4637" t="str">
        <f t="shared" si="72"/>
        <v>http://www.badatelna.eu/reprodukce/?fondId=1073&amp;zaznamId=1108960&amp;reproId=3780297</v>
      </c>
      <c r="M4637">
        <f>VLOOKUP(F4637,Sheet2!$B$1:$E$19,2,FALSE)</f>
        <v>1073</v>
      </c>
      <c r="N4637">
        <f>VLOOKUP(F4637,Sheet2!$B$1:$E$19,3,FALSE)</f>
        <v>1108960</v>
      </c>
      <c r="O4637">
        <f>IF(G4637="Not available","",VLOOKUP(F4637,Sheet2!$B$1:$E$19,4,FALSE)+(G4637-1))</f>
        <v>3780297</v>
      </c>
    </row>
    <row r="4638" spans="1:15" s="3" customFormat="1" ht="15" customHeight="1" x14ac:dyDescent="0.25">
      <c r="A4638" s="18" t="s">
        <v>1139</v>
      </c>
      <c r="B4638" s="18" t="s">
        <v>897</v>
      </c>
      <c r="C4638" s="5">
        <v>1882</v>
      </c>
      <c r="D4638" s="1" t="s">
        <v>12</v>
      </c>
      <c r="E4638" s="1" t="s">
        <v>2</v>
      </c>
      <c r="F4638" s="18">
        <v>2165</v>
      </c>
      <c r="G4638" s="18">
        <v>179</v>
      </c>
      <c r="H4638" s="5">
        <v>3</v>
      </c>
      <c r="I4638" s="1">
        <v>183</v>
      </c>
      <c r="J4638" s="1">
        <v>160</v>
      </c>
      <c r="K4638" s="1"/>
      <c r="L4638" t="str">
        <f t="shared" si="72"/>
        <v>http://www.badatelna.eu/reprodukce/?fondId=1073&amp;zaznamId=1108952&amp;reproId=3779040</v>
      </c>
      <c r="M4638">
        <f>VLOOKUP(F4638,Sheet2!$B$1:$E$19,2,FALSE)</f>
        <v>1073</v>
      </c>
      <c r="N4638">
        <f>VLOOKUP(F4638,Sheet2!$B$1:$E$19,3,FALSE)</f>
        <v>1108952</v>
      </c>
      <c r="O4638">
        <f>IF(G4638="Not available","",VLOOKUP(F4638,Sheet2!$B$1:$E$19,4,FALSE)+(G4638-1))</f>
        <v>3779040</v>
      </c>
    </row>
    <row r="4639" spans="1:15" s="3" customFormat="1" ht="15" customHeight="1" x14ac:dyDescent="0.25">
      <c r="A4639" s="18" t="s">
        <v>1139</v>
      </c>
      <c r="B4639" s="18" t="s">
        <v>2189</v>
      </c>
      <c r="C4639" s="10" t="s">
        <v>1285</v>
      </c>
      <c r="D4639" s="3" t="s">
        <v>2300</v>
      </c>
      <c r="E4639" s="4" t="s">
        <v>2</v>
      </c>
      <c r="F4639" s="18">
        <v>2176</v>
      </c>
      <c r="G4639" s="18" t="s">
        <v>3271</v>
      </c>
      <c r="H4639" s="10" t="s">
        <v>2146</v>
      </c>
      <c r="I4639" s="3">
        <v>41</v>
      </c>
      <c r="J4639" s="3" t="s">
        <v>3271</v>
      </c>
      <c r="L4639" t="str">
        <f t="shared" si="72"/>
        <v/>
      </c>
      <c r="M4639">
        <f>VLOOKUP(F4639,Sheet2!$B$1:$E$19,2,FALSE)</f>
        <v>1073</v>
      </c>
      <c r="N4639">
        <f>VLOOKUP(F4639,Sheet2!$B$1:$E$19,3,FALSE)</f>
        <v>1108963</v>
      </c>
      <c r="O4639" t="str">
        <f>IF(G4639="Not available","",VLOOKUP(F4639,Sheet2!$B$1:$E$19,4,FALSE)+(G4639-1))</f>
        <v/>
      </c>
    </row>
    <row r="4640" spans="1:15" s="3" customFormat="1" ht="15" customHeight="1" x14ac:dyDescent="0.25">
      <c r="A4640" s="18" t="s">
        <v>1139</v>
      </c>
      <c r="B4640" s="18" t="s">
        <v>602</v>
      </c>
      <c r="C4640" s="5">
        <v>1889</v>
      </c>
      <c r="D4640" s="1" t="s">
        <v>12</v>
      </c>
      <c r="E4640" s="1" t="s">
        <v>2</v>
      </c>
      <c r="F4640" s="18">
        <v>2165</v>
      </c>
      <c r="G4640" s="18">
        <v>221</v>
      </c>
      <c r="H4640" s="5">
        <v>1</v>
      </c>
      <c r="I4640" s="1">
        <v>225</v>
      </c>
      <c r="J4640" s="1">
        <v>201</v>
      </c>
      <c r="K4640" s="1"/>
      <c r="L4640" t="str">
        <f t="shared" si="72"/>
        <v>http://www.badatelna.eu/reprodukce/?fondId=1073&amp;zaznamId=1108952&amp;reproId=3779082</v>
      </c>
      <c r="M4640">
        <f>VLOOKUP(F4640,Sheet2!$B$1:$E$19,2,FALSE)</f>
        <v>1073</v>
      </c>
      <c r="N4640">
        <f>VLOOKUP(F4640,Sheet2!$B$1:$E$19,3,FALSE)</f>
        <v>1108952</v>
      </c>
      <c r="O4640">
        <f>IF(G4640="Not available","",VLOOKUP(F4640,Sheet2!$B$1:$E$19,4,FALSE)+(G4640-1))</f>
        <v>3779082</v>
      </c>
    </row>
    <row r="4641" spans="1:15" s="3" customFormat="1" ht="15" customHeight="1" x14ac:dyDescent="0.25">
      <c r="A4641" s="18" t="s">
        <v>1139</v>
      </c>
      <c r="B4641" s="18" t="s">
        <v>602</v>
      </c>
      <c r="C4641" s="10" t="s">
        <v>2068</v>
      </c>
      <c r="D4641" s="3" t="s">
        <v>2300</v>
      </c>
      <c r="E4641" s="4" t="s">
        <v>2</v>
      </c>
      <c r="F4641" s="18">
        <v>2176</v>
      </c>
      <c r="G4641" s="18" t="s">
        <v>3271</v>
      </c>
      <c r="H4641" s="10" t="s">
        <v>1955</v>
      </c>
      <c r="I4641" s="3">
        <v>41</v>
      </c>
      <c r="J4641" s="3" t="s">
        <v>3271</v>
      </c>
      <c r="L4641" t="str">
        <f t="shared" si="72"/>
        <v/>
      </c>
      <c r="M4641">
        <f>VLOOKUP(F4641,Sheet2!$B$1:$E$19,2,FALSE)</f>
        <v>1073</v>
      </c>
      <c r="N4641">
        <f>VLOOKUP(F4641,Sheet2!$B$1:$E$19,3,FALSE)</f>
        <v>1108963</v>
      </c>
      <c r="O4641" t="str">
        <f>IF(G4641="Not available","",VLOOKUP(F4641,Sheet2!$B$1:$E$19,4,FALSE)+(G4641-1))</f>
        <v/>
      </c>
    </row>
    <row r="4642" spans="1:15" s="3" customFormat="1" ht="15" customHeight="1" x14ac:dyDescent="0.25">
      <c r="A4642" s="18" t="s">
        <v>1139</v>
      </c>
      <c r="B4642" s="18" t="s">
        <v>304</v>
      </c>
      <c r="C4642" s="5">
        <v>1885</v>
      </c>
      <c r="D4642" s="1" t="s">
        <v>12</v>
      </c>
      <c r="E4642" s="1" t="s">
        <v>2</v>
      </c>
      <c r="F4642" s="18">
        <v>2165</v>
      </c>
      <c r="G4642" s="18">
        <v>201</v>
      </c>
      <c r="H4642" s="5">
        <v>3</v>
      </c>
      <c r="I4642" s="1">
        <v>204</v>
      </c>
      <c r="J4642" s="1">
        <v>187</v>
      </c>
      <c r="K4642" s="1"/>
      <c r="L4642" t="str">
        <f t="shared" si="72"/>
        <v>http://www.badatelna.eu/reprodukce/?fondId=1073&amp;zaznamId=1108952&amp;reproId=3779062</v>
      </c>
      <c r="M4642">
        <f>VLOOKUP(F4642,Sheet2!$B$1:$E$19,2,FALSE)</f>
        <v>1073</v>
      </c>
      <c r="N4642">
        <f>VLOOKUP(F4642,Sheet2!$B$1:$E$19,3,FALSE)</f>
        <v>1108952</v>
      </c>
      <c r="O4642">
        <f>IF(G4642="Not available","",VLOOKUP(F4642,Sheet2!$B$1:$E$19,4,FALSE)+(G4642-1))</f>
        <v>3779062</v>
      </c>
    </row>
    <row r="4643" spans="1:15" s="3" customFormat="1" ht="15" customHeight="1" x14ac:dyDescent="0.25">
      <c r="A4643" s="18" t="s">
        <v>1139</v>
      </c>
      <c r="B4643" s="18" t="s">
        <v>1972</v>
      </c>
      <c r="C4643" s="10" t="s">
        <v>2043</v>
      </c>
      <c r="D4643" s="3" t="s">
        <v>2298</v>
      </c>
      <c r="E4643" s="4" t="s">
        <v>2</v>
      </c>
      <c r="F4643" s="18">
        <v>2176</v>
      </c>
      <c r="G4643" s="18" t="s">
        <v>3271</v>
      </c>
      <c r="H4643" s="10" t="s">
        <v>2146</v>
      </c>
      <c r="I4643" s="3">
        <v>41</v>
      </c>
      <c r="J4643" s="3" t="s">
        <v>3271</v>
      </c>
      <c r="L4643" t="str">
        <f t="shared" si="72"/>
        <v/>
      </c>
      <c r="M4643">
        <f>VLOOKUP(F4643,Sheet2!$B$1:$E$19,2,FALSE)</f>
        <v>1073</v>
      </c>
      <c r="N4643">
        <f>VLOOKUP(F4643,Sheet2!$B$1:$E$19,3,FALSE)</f>
        <v>1108963</v>
      </c>
      <c r="O4643" t="str">
        <f>IF(G4643="Not available","",VLOOKUP(F4643,Sheet2!$B$1:$E$19,4,FALSE)+(G4643-1))</f>
        <v/>
      </c>
    </row>
    <row r="4644" spans="1:15" s="3" customFormat="1" ht="15" customHeight="1" x14ac:dyDescent="0.25">
      <c r="A4644" s="18" t="s">
        <v>762</v>
      </c>
      <c r="B4644" s="18" t="s">
        <v>3275</v>
      </c>
      <c r="C4644" s="10"/>
      <c r="E4644" s="4"/>
      <c r="F4644" s="18"/>
      <c r="G4644" s="18"/>
      <c r="H4644" s="10"/>
      <c r="L4644" t="e">
        <f t="shared" si="72"/>
        <v>#N/A</v>
      </c>
      <c r="M4644" t="e">
        <f>VLOOKUP(F4644,Sheet2!$B$1:$E$19,2,FALSE)</f>
        <v>#N/A</v>
      </c>
      <c r="N4644" t="e">
        <f>VLOOKUP(F4644,Sheet2!$B$1:$E$19,3,FALSE)</f>
        <v>#N/A</v>
      </c>
      <c r="O4644" t="e">
        <f>IF(G4644="Not available","",VLOOKUP(F4644,Sheet2!$B$1:$E$19,4,FALSE)+(G4644-1))</f>
        <v>#N/A</v>
      </c>
    </row>
    <row r="4645" spans="1:15" s="3" customFormat="1" ht="15" customHeight="1" x14ac:dyDescent="0.25">
      <c r="A4645" s="18" t="s">
        <v>912</v>
      </c>
      <c r="B4645" s="18" t="s">
        <v>196</v>
      </c>
      <c r="C4645" s="5">
        <v>1850</v>
      </c>
      <c r="D4645" s="1" t="s">
        <v>899</v>
      </c>
      <c r="E4645" s="1" t="s">
        <v>2</v>
      </c>
      <c r="F4645" s="18">
        <v>2164</v>
      </c>
      <c r="G4645" s="18">
        <v>69</v>
      </c>
      <c r="H4645" s="5">
        <v>67</v>
      </c>
      <c r="I4645" s="1">
        <v>139</v>
      </c>
      <c r="J4645" s="3" t="s">
        <v>3271</v>
      </c>
      <c r="K4645" s="1"/>
      <c r="L4645" t="str">
        <f t="shared" si="72"/>
        <v>http://www.badatelna.eu/reprodukce/?fondId=1073&amp;zaznamId=1108951&amp;reproId=3778783</v>
      </c>
      <c r="M4645">
        <f>VLOOKUP(F4645,Sheet2!$B$1:$E$19,2,FALSE)</f>
        <v>1073</v>
      </c>
      <c r="N4645">
        <f>VLOOKUP(F4645,Sheet2!$B$1:$E$19,3,FALSE)</f>
        <v>1108951</v>
      </c>
      <c r="O4645">
        <f>IF(G4645="Not available","",VLOOKUP(F4645,Sheet2!$B$1:$E$19,4,FALSE)+(G4645-1))</f>
        <v>3778783</v>
      </c>
    </row>
    <row r="4646" spans="1:15" s="3" customFormat="1" ht="15" customHeight="1" x14ac:dyDescent="0.25">
      <c r="A4646" s="18" t="s">
        <v>912</v>
      </c>
      <c r="B4646" s="18" t="s">
        <v>917</v>
      </c>
      <c r="C4646" s="5">
        <v>1852</v>
      </c>
      <c r="D4646" s="1" t="s">
        <v>53</v>
      </c>
      <c r="E4646" s="1" t="s">
        <v>2</v>
      </c>
      <c r="F4646" s="18">
        <v>2164</v>
      </c>
      <c r="G4646" s="18">
        <v>82</v>
      </c>
      <c r="H4646" s="5">
        <v>80</v>
      </c>
      <c r="I4646" s="1">
        <v>139</v>
      </c>
      <c r="J4646" s="3" t="s">
        <v>3271</v>
      </c>
      <c r="K4646" s="1"/>
      <c r="L4646" t="str">
        <f t="shared" si="72"/>
        <v>http://www.badatelna.eu/reprodukce/?fondId=1073&amp;zaznamId=1108951&amp;reproId=3778796</v>
      </c>
      <c r="M4646">
        <f>VLOOKUP(F4646,Sheet2!$B$1:$E$19,2,FALSE)</f>
        <v>1073</v>
      </c>
      <c r="N4646">
        <f>VLOOKUP(F4646,Sheet2!$B$1:$E$19,3,FALSE)</f>
        <v>1108951</v>
      </c>
      <c r="O4646">
        <f>IF(G4646="Not available","",VLOOKUP(F4646,Sheet2!$B$1:$E$19,4,FALSE)+(G4646-1))</f>
        <v>3778796</v>
      </c>
    </row>
    <row r="4647" spans="1:15" s="3" customFormat="1" ht="15" customHeight="1" x14ac:dyDescent="0.25">
      <c r="A4647" s="18" t="s">
        <v>2757</v>
      </c>
      <c r="B4647" s="18" t="s">
        <v>2758</v>
      </c>
      <c r="C4647" s="10" t="s">
        <v>2160</v>
      </c>
      <c r="D4647" s="3" t="s">
        <v>2759</v>
      </c>
      <c r="E4647" s="4" t="s">
        <v>2</v>
      </c>
      <c r="F4647" s="18">
        <v>2176</v>
      </c>
      <c r="G4647" s="18" t="s">
        <v>3271</v>
      </c>
      <c r="H4647" s="10" t="s">
        <v>2088</v>
      </c>
      <c r="I4647" s="3">
        <v>46</v>
      </c>
      <c r="J4647" s="3" t="s">
        <v>3271</v>
      </c>
      <c r="L4647" t="str">
        <f t="shared" si="72"/>
        <v/>
      </c>
      <c r="M4647">
        <f>VLOOKUP(F4647,Sheet2!$B$1:$E$19,2,FALSE)</f>
        <v>1073</v>
      </c>
      <c r="N4647">
        <f>VLOOKUP(F4647,Sheet2!$B$1:$E$19,3,FALSE)</f>
        <v>1108963</v>
      </c>
      <c r="O4647" t="str">
        <f>IF(G4647="Not available","",VLOOKUP(F4647,Sheet2!$B$1:$E$19,4,FALSE)+(G4647-1))</f>
        <v/>
      </c>
    </row>
    <row r="4648" spans="1:15" s="3" customFormat="1" ht="15" customHeight="1" x14ac:dyDescent="0.25">
      <c r="A4648" s="18" t="s">
        <v>3129</v>
      </c>
      <c r="B4648" s="18" t="s">
        <v>2760</v>
      </c>
      <c r="C4648" s="10" t="s">
        <v>2372</v>
      </c>
      <c r="D4648" s="3" t="s">
        <v>2759</v>
      </c>
      <c r="E4648" s="4" t="s">
        <v>2</v>
      </c>
      <c r="F4648" s="18">
        <v>2176</v>
      </c>
      <c r="G4648" s="18" t="s">
        <v>3271</v>
      </c>
      <c r="H4648" s="10" t="s">
        <v>1954</v>
      </c>
      <c r="I4648" s="3">
        <v>47</v>
      </c>
      <c r="J4648" s="3" t="s">
        <v>3271</v>
      </c>
      <c r="L4648" t="str">
        <f t="shared" si="72"/>
        <v/>
      </c>
      <c r="M4648">
        <f>VLOOKUP(F4648,Sheet2!$B$1:$E$19,2,FALSE)</f>
        <v>1073</v>
      </c>
      <c r="N4648">
        <f>VLOOKUP(F4648,Sheet2!$B$1:$E$19,3,FALSE)</f>
        <v>1108963</v>
      </c>
      <c r="O4648" t="str">
        <f>IF(G4648="Not available","",VLOOKUP(F4648,Sheet2!$B$1:$E$19,4,FALSE)+(G4648-1))</f>
        <v/>
      </c>
    </row>
    <row r="4649" spans="1:15" s="3" customFormat="1" ht="15" customHeight="1" x14ac:dyDescent="0.25">
      <c r="A4649" s="18" t="s">
        <v>3129</v>
      </c>
      <c r="B4649" s="18" t="s">
        <v>2761</v>
      </c>
      <c r="C4649" s="10" t="s">
        <v>2372</v>
      </c>
      <c r="D4649" s="3" t="s">
        <v>2759</v>
      </c>
      <c r="E4649" s="4" t="s">
        <v>2</v>
      </c>
      <c r="F4649" s="18">
        <v>2176</v>
      </c>
      <c r="G4649" s="18" t="s">
        <v>3271</v>
      </c>
      <c r="H4649" s="10" t="s">
        <v>1954</v>
      </c>
      <c r="I4649" s="3">
        <v>47</v>
      </c>
      <c r="J4649" s="3" t="s">
        <v>3271</v>
      </c>
      <c r="L4649" t="str">
        <f t="shared" si="72"/>
        <v/>
      </c>
      <c r="M4649">
        <f>VLOOKUP(F4649,Sheet2!$B$1:$E$19,2,FALSE)</f>
        <v>1073</v>
      </c>
      <c r="N4649">
        <f>VLOOKUP(F4649,Sheet2!$B$1:$E$19,3,FALSE)</f>
        <v>1108963</v>
      </c>
      <c r="O4649" t="str">
        <f>IF(G4649="Not available","",VLOOKUP(F4649,Sheet2!$B$1:$E$19,4,FALSE)+(G4649-1))</f>
        <v/>
      </c>
    </row>
    <row r="4650" spans="1:15" s="3" customFormat="1" ht="15" customHeight="1" x14ac:dyDescent="0.25">
      <c r="A4650" s="18" t="s">
        <v>578</v>
      </c>
      <c r="B4650" s="18" t="s">
        <v>101</v>
      </c>
      <c r="C4650" s="5">
        <v>1794</v>
      </c>
      <c r="D4650" s="1" t="s">
        <v>10</v>
      </c>
      <c r="E4650" s="1" t="s">
        <v>2</v>
      </c>
      <c r="F4650" s="18">
        <v>2173</v>
      </c>
      <c r="G4650" s="18">
        <v>31</v>
      </c>
      <c r="H4650" s="5">
        <v>56</v>
      </c>
      <c r="I4650" s="1">
        <v>117</v>
      </c>
      <c r="J4650" s="1">
        <v>255</v>
      </c>
      <c r="K4650" s="1"/>
      <c r="L4650" t="str">
        <f t="shared" si="72"/>
        <v>http://www.badatelna.eu/reprodukce/?fondId=1073&amp;zaznamId=1108959&amp;reproId=3780024</v>
      </c>
      <c r="M4650">
        <f>VLOOKUP(F4650,Sheet2!$B$1:$E$19,2,FALSE)</f>
        <v>1073</v>
      </c>
      <c r="N4650">
        <f>VLOOKUP(F4650,Sheet2!$B$1:$E$19,3,FALSE)</f>
        <v>1108959</v>
      </c>
      <c r="O4650">
        <f>IF(G4650="Not available","",VLOOKUP(F4650,Sheet2!$B$1:$E$19,4,FALSE)+(G4650-1))</f>
        <v>3780024</v>
      </c>
    </row>
    <row r="4651" spans="1:15" s="3" customFormat="1" ht="15" customHeight="1" x14ac:dyDescent="0.25">
      <c r="A4651" s="18" t="s">
        <v>578</v>
      </c>
      <c r="B4651" s="18" t="s">
        <v>87</v>
      </c>
      <c r="C4651" s="5">
        <v>1796</v>
      </c>
      <c r="D4651" s="1" t="s">
        <v>10</v>
      </c>
      <c r="E4651" s="1" t="s">
        <v>2</v>
      </c>
      <c r="F4651" s="18">
        <v>2173</v>
      </c>
      <c r="G4651" s="18">
        <v>34</v>
      </c>
      <c r="H4651" s="5">
        <v>63</v>
      </c>
      <c r="I4651" s="1">
        <v>117</v>
      </c>
      <c r="J4651" s="1">
        <v>255</v>
      </c>
      <c r="K4651" s="1"/>
      <c r="L4651" t="str">
        <f t="shared" si="72"/>
        <v>http://www.badatelna.eu/reprodukce/?fondId=1073&amp;zaznamId=1108959&amp;reproId=3780027</v>
      </c>
      <c r="M4651">
        <f>VLOOKUP(F4651,Sheet2!$B$1:$E$19,2,FALSE)</f>
        <v>1073</v>
      </c>
      <c r="N4651">
        <f>VLOOKUP(F4651,Sheet2!$B$1:$E$19,3,FALSE)</f>
        <v>1108959</v>
      </c>
      <c r="O4651">
        <f>IF(G4651="Not available","",VLOOKUP(F4651,Sheet2!$B$1:$E$19,4,FALSE)+(G4651-1))</f>
        <v>3780027</v>
      </c>
    </row>
    <row r="4652" spans="1:15" s="3" customFormat="1" ht="15" customHeight="1" x14ac:dyDescent="0.25">
      <c r="A4652" s="18" t="s">
        <v>578</v>
      </c>
      <c r="B4652" s="18" t="s">
        <v>231</v>
      </c>
      <c r="C4652" s="5">
        <v>1787</v>
      </c>
      <c r="D4652" s="1" t="s">
        <v>10</v>
      </c>
      <c r="E4652" s="1" t="s">
        <v>2</v>
      </c>
      <c r="F4652" s="18">
        <v>2173</v>
      </c>
      <c r="G4652" s="18">
        <v>15</v>
      </c>
      <c r="H4652" s="5">
        <v>25</v>
      </c>
      <c r="I4652" s="1">
        <v>117</v>
      </c>
      <c r="J4652" s="1">
        <v>255</v>
      </c>
      <c r="K4652" s="1"/>
      <c r="L4652" t="str">
        <f t="shared" si="72"/>
        <v>http://www.badatelna.eu/reprodukce/?fondId=1073&amp;zaznamId=1108959&amp;reproId=3780008</v>
      </c>
      <c r="M4652">
        <f>VLOOKUP(F4652,Sheet2!$B$1:$E$19,2,FALSE)</f>
        <v>1073</v>
      </c>
      <c r="N4652">
        <f>VLOOKUP(F4652,Sheet2!$B$1:$E$19,3,FALSE)</f>
        <v>1108959</v>
      </c>
      <c r="O4652">
        <f>IF(G4652="Not available","",VLOOKUP(F4652,Sheet2!$B$1:$E$19,4,FALSE)+(G4652-1))</f>
        <v>3780008</v>
      </c>
    </row>
    <row r="4653" spans="1:15" s="3" customFormat="1" ht="15" customHeight="1" x14ac:dyDescent="0.25">
      <c r="A4653" s="18" t="s">
        <v>578</v>
      </c>
      <c r="B4653" s="19" t="s">
        <v>690</v>
      </c>
      <c r="C4653" s="5">
        <v>1789</v>
      </c>
      <c r="D4653" s="1" t="s">
        <v>10</v>
      </c>
      <c r="E4653" s="1" t="s">
        <v>2</v>
      </c>
      <c r="F4653" s="18">
        <v>2173</v>
      </c>
      <c r="G4653" s="18">
        <v>21</v>
      </c>
      <c r="H4653" s="5">
        <v>36</v>
      </c>
      <c r="I4653" s="1">
        <v>117</v>
      </c>
      <c r="J4653" s="1">
        <v>255</v>
      </c>
      <c r="K4653" s="1"/>
      <c r="L4653" t="str">
        <f t="shared" si="72"/>
        <v>http://www.badatelna.eu/reprodukce/?fondId=1073&amp;zaznamId=1108959&amp;reproId=3780014</v>
      </c>
      <c r="M4653">
        <f>VLOOKUP(F4653,Sheet2!$B$1:$E$19,2,FALSE)</f>
        <v>1073</v>
      </c>
      <c r="N4653">
        <f>VLOOKUP(F4653,Sheet2!$B$1:$E$19,3,FALSE)</f>
        <v>1108959</v>
      </c>
      <c r="O4653">
        <f>IF(G4653="Not available","",VLOOKUP(F4653,Sheet2!$B$1:$E$19,4,FALSE)+(G4653-1))</f>
        <v>3780014</v>
      </c>
    </row>
    <row r="4654" spans="1:15" s="3" customFormat="1" ht="15" customHeight="1" x14ac:dyDescent="0.25">
      <c r="A4654" s="18" t="s">
        <v>578</v>
      </c>
      <c r="B4654" s="18" t="s">
        <v>40</v>
      </c>
      <c r="C4654" s="5">
        <v>1798</v>
      </c>
      <c r="D4654" s="12" t="s">
        <v>93</v>
      </c>
      <c r="E4654" s="1" t="s">
        <v>2</v>
      </c>
      <c r="F4654" s="18">
        <v>2173</v>
      </c>
      <c r="G4654" s="18">
        <v>35</v>
      </c>
      <c r="H4654" s="5">
        <v>65</v>
      </c>
      <c r="I4654" s="1">
        <v>117</v>
      </c>
      <c r="J4654" s="1">
        <v>255</v>
      </c>
      <c r="K4654" s="1"/>
      <c r="L4654" t="str">
        <f t="shared" si="72"/>
        <v>http://www.badatelna.eu/reprodukce/?fondId=1073&amp;zaznamId=1108959&amp;reproId=3780028</v>
      </c>
      <c r="M4654">
        <f>VLOOKUP(F4654,Sheet2!$B$1:$E$19,2,FALSE)</f>
        <v>1073</v>
      </c>
      <c r="N4654">
        <f>VLOOKUP(F4654,Sheet2!$B$1:$E$19,3,FALSE)</f>
        <v>1108959</v>
      </c>
      <c r="O4654">
        <f>IF(G4654="Not available","",VLOOKUP(F4654,Sheet2!$B$1:$E$19,4,FALSE)+(G4654-1))</f>
        <v>3780028</v>
      </c>
    </row>
    <row r="4655" spans="1:15" s="3" customFormat="1" ht="15" customHeight="1" x14ac:dyDescent="0.25">
      <c r="A4655" s="18" t="s">
        <v>578</v>
      </c>
      <c r="B4655" s="18" t="s">
        <v>583</v>
      </c>
      <c r="C4655" s="5">
        <v>1789</v>
      </c>
      <c r="D4655" s="1" t="s">
        <v>10</v>
      </c>
      <c r="E4655" s="1" t="s">
        <v>2</v>
      </c>
      <c r="F4655" s="18">
        <v>2173</v>
      </c>
      <c r="G4655" s="18">
        <v>22</v>
      </c>
      <c r="H4655" s="5">
        <v>38</v>
      </c>
      <c r="I4655" s="1">
        <v>117</v>
      </c>
      <c r="J4655" s="1">
        <v>255</v>
      </c>
      <c r="K4655" s="1"/>
      <c r="L4655" t="str">
        <f t="shared" si="72"/>
        <v>http://www.badatelna.eu/reprodukce/?fondId=1073&amp;zaznamId=1108959&amp;reproId=3780015</v>
      </c>
      <c r="M4655">
        <f>VLOOKUP(F4655,Sheet2!$B$1:$E$19,2,FALSE)</f>
        <v>1073</v>
      </c>
      <c r="N4655">
        <f>VLOOKUP(F4655,Sheet2!$B$1:$E$19,3,FALSE)</f>
        <v>1108959</v>
      </c>
      <c r="O4655">
        <f>IF(G4655="Not available","",VLOOKUP(F4655,Sheet2!$B$1:$E$19,4,FALSE)+(G4655-1))</f>
        <v>3780015</v>
      </c>
    </row>
    <row r="4656" spans="1:15" s="3" customFormat="1" ht="15" customHeight="1" x14ac:dyDescent="0.25">
      <c r="A4656" s="18" t="s">
        <v>578</v>
      </c>
      <c r="B4656" s="18" t="s">
        <v>133</v>
      </c>
      <c r="C4656" s="5">
        <v>1796</v>
      </c>
      <c r="D4656" s="1" t="s">
        <v>38</v>
      </c>
      <c r="E4656" s="1" t="s">
        <v>2</v>
      </c>
      <c r="F4656" s="18">
        <v>2173</v>
      </c>
      <c r="G4656" s="18">
        <v>34</v>
      </c>
      <c r="H4656" s="5">
        <v>62</v>
      </c>
      <c r="I4656" s="1">
        <v>117</v>
      </c>
      <c r="J4656" s="1">
        <v>255</v>
      </c>
      <c r="K4656" s="1"/>
      <c r="L4656" t="str">
        <f t="shared" si="72"/>
        <v>http://www.badatelna.eu/reprodukce/?fondId=1073&amp;zaznamId=1108959&amp;reproId=3780027</v>
      </c>
      <c r="M4656">
        <f>VLOOKUP(F4656,Sheet2!$B$1:$E$19,2,FALSE)</f>
        <v>1073</v>
      </c>
      <c r="N4656">
        <f>VLOOKUP(F4656,Sheet2!$B$1:$E$19,3,FALSE)</f>
        <v>1108959</v>
      </c>
      <c r="O4656">
        <f>IF(G4656="Not available","",VLOOKUP(F4656,Sheet2!$B$1:$E$19,4,FALSE)+(G4656-1))</f>
        <v>3780027</v>
      </c>
    </row>
    <row r="4657" spans="1:15" s="3" customFormat="1" ht="15" customHeight="1" x14ac:dyDescent="0.25">
      <c r="A4657" s="18" t="s">
        <v>578</v>
      </c>
      <c r="B4657" s="18" t="s">
        <v>21</v>
      </c>
      <c r="C4657" s="5">
        <v>1788</v>
      </c>
      <c r="D4657" s="1" t="s">
        <v>50</v>
      </c>
      <c r="E4657" s="1" t="s">
        <v>2</v>
      </c>
      <c r="F4657" s="18">
        <v>2173</v>
      </c>
      <c r="G4657" s="18">
        <v>19</v>
      </c>
      <c r="H4657" s="5">
        <v>32</v>
      </c>
      <c r="I4657" s="1">
        <v>117</v>
      </c>
      <c r="J4657" s="1">
        <v>255</v>
      </c>
      <c r="K4657" s="1"/>
      <c r="L4657" t="str">
        <f t="shared" si="72"/>
        <v>http://www.badatelna.eu/reprodukce/?fondId=1073&amp;zaznamId=1108959&amp;reproId=3780012</v>
      </c>
      <c r="M4657">
        <f>VLOOKUP(F4657,Sheet2!$B$1:$E$19,2,FALSE)</f>
        <v>1073</v>
      </c>
      <c r="N4657">
        <f>VLOOKUP(F4657,Sheet2!$B$1:$E$19,3,FALSE)</f>
        <v>1108959</v>
      </c>
      <c r="O4657">
        <f>IF(G4657="Not available","",VLOOKUP(F4657,Sheet2!$B$1:$E$19,4,FALSE)+(G4657-1))</f>
        <v>3780012</v>
      </c>
    </row>
    <row r="4658" spans="1:15" s="3" customFormat="1" ht="15" customHeight="1" x14ac:dyDescent="0.25">
      <c r="A4658" s="18" t="s">
        <v>578</v>
      </c>
      <c r="B4658" s="18" t="s">
        <v>115</v>
      </c>
      <c r="C4658" s="5">
        <v>1787</v>
      </c>
      <c r="D4658" s="1" t="s">
        <v>75</v>
      </c>
      <c r="E4658" s="1" t="s">
        <v>2</v>
      </c>
      <c r="F4658" s="18">
        <v>2173</v>
      </c>
      <c r="G4658" s="18">
        <v>16</v>
      </c>
      <c r="H4658" s="5">
        <v>26</v>
      </c>
      <c r="I4658" s="1">
        <v>117</v>
      </c>
      <c r="J4658" s="1">
        <v>255</v>
      </c>
      <c r="K4658" s="1"/>
      <c r="L4658" t="str">
        <f t="shared" si="72"/>
        <v>http://www.badatelna.eu/reprodukce/?fondId=1073&amp;zaznamId=1108959&amp;reproId=3780009</v>
      </c>
      <c r="M4658">
        <f>VLOOKUP(F4658,Sheet2!$B$1:$E$19,2,FALSE)</f>
        <v>1073</v>
      </c>
      <c r="N4658">
        <f>VLOOKUP(F4658,Sheet2!$B$1:$E$19,3,FALSE)</f>
        <v>1108959</v>
      </c>
      <c r="O4658">
        <f>IF(G4658="Not available","",VLOOKUP(F4658,Sheet2!$B$1:$E$19,4,FALSE)+(G4658-1))</f>
        <v>3780009</v>
      </c>
    </row>
    <row r="4659" spans="1:15" s="3" customFormat="1" ht="15" customHeight="1" x14ac:dyDescent="0.25">
      <c r="A4659" s="18" t="s">
        <v>578</v>
      </c>
      <c r="B4659" s="18" t="s">
        <v>182</v>
      </c>
      <c r="C4659" s="5">
        <v>1791</v>
      </c>
      <c r="D4659" s="1" t="s">
        <v>585</v>
      </c>
      <c r="E4659" s="1" t="s">
        <v>2</v>
      </c>
      <c r="F4659" s="18">
        <v>2173</v>
      </c>
      <c r="G4659" s="18">
        <v>27</v>
      </c>
      <c r="H4659" s="5">
        <v>49</v>
      </c>
      <c r="I4659" s="1">
        <v>117</v>
      </c>
      <c r="J4659" s="1">
        <v>255</v>
      </c>
      <c r="K4659" s="1"/>
      <c r="L4659" t="str">
        <f t="shared" si="72"/>
        <v>http://www.badatelna.eu/reprodukce/?fondId=1073&amp;zaznamId=1108959&amp;reproId=3780020</v>
      </c>
      <c r="M4659">
        <f>VLOOKUP(F4659,Sheet2!$B$1:$E$19,2,FALSE)</f>
        <v>1073</v>
      </c>
      <c r="N4659">
        <f>VLOOKUP(F4659,Sheet2!$B$1:$E$19,3,FALSE)</f>
        <v>1108959</v>
      </c>
      <c r="O4659">
        <f>IF(G4659="Not available","",VLOOKUP(F4659,Sheet2!$B$1:$E$19,4,FALSE)+(G4659-1))</f>
        <v>3780020</v>
      </c>
    </row>
    <row r="4660" spans="1:15" s="3" customFormat="1" ht="15" customHeight="1" x14ac:dyDescent="0.25">
      <c r="A4660" s="18" t="s">
        <v>578</v>
      </c>
      <c r="B4660" s="18" t="s">
        <v>519</v>
      </c>
      <c r="C4660" s="5">
        <v>1797</v>
      </c>
      <c r="D4660" s="1" t="s">
        <v>50</v>
      </c>
      <c r="E4660" s="1" t="s">
        <v>2</v>
      </c>
      <c r="F4660" s="18">
        <v>2173</v>
      </c>
      <c r="G4660" s="18">
        <v>35</v>
      </c>
      <c r="H4660" s="5">
        <v>65</v>
      </c>
      <c r="I4660" s="1">
        <v>117</v>
      </c>
      <c r="J4660" s="1">
        <v>255</v>
      </c>
      <c r="K4660" s="1"/>
      <c r="L4660" t="str">
        <f t="shared" si="72"/>
        <v>http://www.badatelna.eu/reprodukce/?fondId=1073&amp;zaznamId=1108959&amp;reproId=3780028</v>
      </c>
      <c r="M4660">
        <f>VLOOKUP(F4660,Sheet2!$B$1:$E$19,2,FALSE)</f>
        <v>1073</v>
      </c>
      <c r="N4660">
        <f>VLOOKUP(F4660,Sheet2!$B$1:$E$19,3,FALSE)</f>
        <v>1108959</v>
      </c>
      <c r="O4660">
        <f>IF(G4660="Not available","",VLOOKUP(F4660,Sheet2!$B$1:$E$19,4,FALSE)+(G4660-1))</f>
        <v>3780028</v>
      </c>
    </row>
    <row r="4661" spans="1:15" s="3" customFormat="1" ht="15" customHeight="1" x14ac:dyDescent="0.25">
      <c r="A4661" s="18" t="s">
        <v>578</v>
      </c>
      <c r="B4661" s="18" t="s">
        <v>244</v>
      </c>
      <c r="C4661" s="5">
        <v>1786</v>
      </c>
      <c r="D4661" s="1" t="s">
        <v>38</v>
      </c>
      <c r="E4661" s="1" t="s">
        <v>2</v>
      </c>
      <c r="F4661" s="18">
        <v>2173</v>
      </c>
      <c r="G4661" s="18">
        <v>10</v>
      </c>
      <c r="H4661" s="5">
        <v>15</v>
      </c>
      <c r="I4661" s="1">
        <v>117</v>
      </c>
      <c r="J4661" s="1">
        <v>255</v>
      </c>
      <c r="K4661" s="1"/>
      <c r="L4661" t="str">
        <f t="shared" si="72"/>
        <v>http://www.badatelna.eu/reprodukce/?fondId=1073&amp;zaznamId=1108959&amp;reproId=3780003</v>
      </c>
      <c r="M4661">
        <f>VLOOKUP(F4661,Sheet2!$B$1:$E$19,2,FALSE)</f>
        <v>1073</v>
      </c>
      <c r="N4661">
        <f>VLOOKUP(F4661,Sheet2!$B$1:$E$19,3,FALSE)</f>
        <v>1108959</v>
      </c>
      <c r="O4661">
        <f>IF(G4661="Not available","",VLOOKUP(F4661,Sheet2!$B$1:$E$19,4,FALSE)+(G4661-1))</f>
        <v>3780003</v>
      </c>
    </row>
    <row r="4662" spans="1:15" s="3" customFormat="1" ht="15" customHeight="1" x14ac:dyDescent="0.25">
      <c r="A4662" s="18" t="s">
        <v>578</v>
      </c>
      <c r="B4662" s="18" t="s">
        <v>589</v>
      </c>
      <c r="C4662" s="5">
        <v>1794</v>
      </c>
      <c r="D4662" s="1" t="s">
        <v>585</v>
      </c>
      <c r="E4662" s="1" t="s">
        <v>2</v>
      </c>
      <c r="F4662" s="18">
        <v>2173</v>
      </c>
      <c r="G4662" s="18">
        <v>31</v>
      </c>
      <c r="H4662" s="5">
        <v>57</v>
      </c>
      <c r="I4662" s="1">
        <v>117</v>
      </c>
      <c r="J4662" s="1">
        <v>255</v>
      </c>
      <c r="K4662" s="1"/>
      <c r="L4662" t="str">
        <f t="shared" si="72"/>
        <v>http://www.badatelna.eu/reprodukce/?fondId=1073&amp;zaznamId=1108959&amp;reproId=3780024</v>
      </c>
      <c r="M4662">
        <f>VLOOKUP(F4662,Sheet2!$B$1:$E$19,2,FALSE)</f>
        <v>1073</v>
      </c>
      <c r="N4662">
        <f>VLOOKUP(F4662,Sheet2!$B$1:$E$19,3,FALSE)</f>
        <v>1108959</v>
      </c>
      <c r="O4662">
        <f>IF(G4662="Not available","",VLOOKUP(F4662,Sheet2!$B$1:$E$19,4,FALSE)+(G4662-1))</f>
        <v>3780024</v>
      </c>
    </row>
    <row r="4663" spans="1:15" s="3" customFormat="1" ht="15" customHeight="1" x14ac:dyDescent="0.25">
      <c r="A4663" s="18" t="s">
        <v>578</v>
      </c>
      <c r="B4663" s="18" t="s">
        <v>229</v>
      </c>
      <c r="C4663" s="5">
        <v>1791</v>
      </c>
      <c r="D4663" s="1" t="s">
        <v>10</v>
      </c>
      <c r="E4663" s="1" t="s">
        <v>2</v>
      </c>
      <c r="F4663" s="18">
        <v>2173</v>
      </c>
      <c r="G4663" s="18">
        <v>25</v>
      </c>
      <c r="H4663" s="5">
        <v>44</v>
      </c>
      <c r="I4663" s="1">
        <v>117</v>
      </c>
      <c r="J4663" s="1">
        <v>255</v>
      </c>
      <c r="K4663" s="1"/>
      <c r="L4663" t="str">
        <f t="shared" si="72"/>
        <v>http://www.badatelna.eu/reprodukce/?fondId=1073&amp;zaznamId=1108959&amp;reproId=3780018</v>
      </c>
      <c r="M4663">
        <f>VLOOKUP(F4663,Sheet2!$B$1:$E$19,2,FALSE)</f>
        <v>1073</v>
      </c>
      <c r="N4663">
        <f>VLOOKUP(F4663,Sheet2!$B$1:$E$19,3,FALSE)</f>
        <v>1108959</v>
      </c>
      <c r="O4663">
        <f>IF(G4663="Not available","",VLOOKUP(F4663,Sheet2!$B$1:$E$19,4,FALSE)+(G4663-1))</f>
        <v>3780018</v>
      </c>
    </row>
    <row r="4664" spans="1:15" s="3" customFormat="1" ht="15" customHeight="1" x14ac:dyDescent="0.25">
      <c r="A4664" s="18" t="s">
        <v>600</v>
      </c>
      <c r="B4664" s="18" t="s">
        <v>557</v>
      </c>
      <c r="C4664" s="5">
        <v>1826</v>
      </c>
      <c r="D4664" s="1"/>
      <c r="E4664" s="1" t="s">
        <v>2</v>
      </c>
      <c r="F4664" s="18">
        <v>2173</v>
      </c>
      <c r="G4664" s="18">
        <v>79</v>
      </c>
      <c r="H4664" s="5">
        <v>151</v>
      </c>
      <c r="I4664" s="1">
        <v>118</v>
      </c>
      <c r="J4664" s="1">
        <v>256</v>
      </c>
      <c r="K4664" s="1"/>
      <c r="L4664" t="str">
        <f t="shared" si="72"/>
        <v>http://www.badatelna.eu/reprodukce/?fondId=1073&amp;zaznamId=1108959&amp;reproId=3780072</v>
      </c>
      <c r="M4664">
        <f>VLOOKUP(F4664,Sheet2!$B$1:$E$19,2,FALSE)</f>
        <v>1073</v>
      </c>
      <c r="N4664">
        <f>VLOOKUP(F4664,Sheet2!$B$1:$E$19,3,FALSE)</f>
        <v>1108959</v>
      </c>
      <c r="O4664">
        <f>IF(G4664="Not available","",VLOOKUP(F4664,Sheet2!$B$1:$E$19,4,FALSE)+(G4664-1))</f>
        <v>3780072</v>
      </c>
    </row>
    <row r="4665" spans="1:15" s="3" customFormat="1" ht="15" customHeight="1" x14ac:dyDescent="0.25">
      <c r="A4665" s="18" t="s">
        <v>790</v>
      </c>
      <c r="B4665" s="18" t="s">
        <v>684</v>
      </c>
      <c r="C4665" s="5">
        <v>1840</v>
      </c>
      <c r="D4665" s="1" t="s">
        <v>786</v>
      </c>
      <c r="E4665" s="1" t="s">
        <v>2</v>
      </c>
      <c r="F4665" s="18">
        <v>2174</v>
      </c>
      <c r="G4665" s="18">
        <v>110</v>
      </c>
      <c r="H4665" s="6" t="s">
        <v>3178</v>
      </c>
      <c r="I4665" s="1">
        <v>205</v>
      </c>
      <c r="J4665" s="1">
        <v>240</v>
      </c>
      <c r="K4665" s="1"/>
      <c r="L4665" t="str">
        <f t="shared" si="72"/>
        <v>http://www.badatelna.eu/reprodukce/?fondId=1073&amp;zaznamId=1108960&amp;reproId=3780334</v>
      </c>
      <c r="M4665">
        <f>VLOOKUP(F4665,Sheet2!$B$1:$E$19,2,FALSE)</f>
        <v>1073</v>
      </c>
      <c r="N4665">
        <f>VLOOKUP(F4665,Sheet2!$B$1:$E$19,3,FALSE)</f>
        <v>1108960</v>
      </c>
      <c r="O4665">
        <f>IF(G4665="Not available","",VLOOKUP(F4665,Sheet2!$B$1:$E$19,4,FALSE)+(G4665-1))</f>
        <v>3780334</v>
      </c>
    </row>
    <row r="4666" spans="1:15" s="3" customFormat="1" ht="15" customHeight="1" x14ac:dyDescent="0.25">
      <c r="A4666" s="18" t="s">
        <v>790</v>
      </c>
      <c r="B4666" s="18" t="s">
        <v>475</v>
      </c>
      <c r="C4666" s="5">
        <v>1838</v>
      </c>
      <c r="D4666" s="1" t="s">
        <v>486</v>
      </c>
      <c r="E4666" s="1" t="s">
        <v>2</v>
      </c>
      <c r="F4666" s="18">
        <v>2174</v>
      </c>
      <c r="G4666" s="18">
        <v>101</v>
      </c>
      <c r="H4666" s="6" t="s">
        <v>3170</v>
      </c>
      <c r="I4666" s="1">
        <v>205</v>
      </c>
      <c r="J4666" s="1">
        <v>240</v>
      </c>
      <c r="K4666" s="1"/>
      <c r="L4666" t="str">
        <f t="shared" si="72"/>
        <v>http://www.badatelna.eu/reprodukce/?fondId=1073&amp;zaznamId=1108960&amp;reproId=3780325</v>
      </c>
      <c r="M4666">
        <f>VLOOKUP(F4666,Sheet2!$B$1:$E$19,2,FALSE)</f>
        <v>1073</v>
      </c>
      <c r="N4666">
        <f>VLOOKUP(F4666,Sheet2!$B$1:$E$19,3,FALSE)</f>
        <v>1108960</v>
      </c>
      <c r="O4666">
        <f>IF(G4666="Not available","",VLOOKUP(F4666,Sheet2!$B$1:$E$19,4,FALSE)+(G4666-1))</f>
        <v>3780325</v>
      </c>
    </row>
    <row r="4667" spans="1:15" s="3" customFormat="1" ht="15" customHeight="1" x14ac:dyDescent="0.25">
      <c r="A4667" s="18" t="s">
        <v>584</v>
      </c>
      <c r="B4667" s="18" t="s">
        <v>50</v>
      </c>
      <c r="C4667" s="5">
        <v>1825</v>
      </c>
      <c r="D4667" s="1"/>
      <c r="E4667" s="1" t="s">
        <v>2</v>
      </c>
      <c r="F4667" s="18">
        <v>2173</v>
      </c>
      <c r="G4667" s="18">
        <v>77</v>
      </c>
      <c r="H4667" s="5">
        <v>147</v>
      </c>
      <c r="I4667" s="1">
        <v>118</v>
      </c>
      <c r="J4667" s="1">
        <v>256</v>
      </c>
      <c r="K4667" s="1"/>
      <c r="L4667" t="str">
        <f t="shared" si="72"/>
        <v>http://www.badatelna.eu/reprodukce/?fondId=1073&amp;zaznamId=1108959&amp;reproId=3780070</v>
      </c>
      <c r="M4667">
        <f>VLOOKUP(F4667,Sheet2!$B$1:$E$19,2,FALSE)</f>
        <v>1073</v>
      </c>
      <c r="N4667">
        <f>VLOOKUP(F4667,Sheet2!$B$1:$E$19,3,FALSE)</f>
        <v>1108959</v>
      </c>
      <c r="O4667">
        <f>IF(G4667="Not available","",VLOOKUP(F4667,Sheet2!$B$1:$E$19,4,FALSE)+(G4667-1))</f>
        <v>3780070</v>
      </c>
    </row>
    <row r="4668" spans="1:15" s="3" customFormat="1" ht="15" customHeight="1" x14ac:dyDescent="0.25">
      <c r="A4668" s="18" t="s">
        <v>584</v>
      </c>
      <c r="B4668" s="18" t="s">
        <v>50</v>
      </c>
      <c r="C4668" s="5">
        <v>1831</v>
      </c>
      <c r="D4668" s="1" t="s">
        <v>784</v>
      </c>
      <c r="E4668" s="1" t="s">
        <v>2</v>
      </c>
      <c r="F4668" s="18">
        <v>2174</v>
      </c>
      <c r="G4668" s="18">
        <v>64</v>
      </c>
      <c r="H4668" s="6" t="s">
        <v>3108</v>
      </c>
      <c r="I4668" s="1">
        <v>204</v>
      </c>
      <c r="J4668" s="1">
        <v>239</v>
      </c>
      <c r="K4668" s="1"/>
      <c r="L4668" t="str">
        <f t="shared" si="72"/>
        <v>http://www.badatelna.eu/reprodukce/?fondId=1073&amp;zaznamId=1108960&amp;reproId=3780288</v>
      </c>
      <c r="M4668">
        <f>VLOOKUP(F4668,Sheet2!$B$1:$E$19,2,FALSE)</f>
        <v>1073</v>
      </c>
      <c r="N4668">
        <f>VLOOKUP(F4668,Sheet2!$B$1:$E$19,3,FALSE)</f>
        <v>1108960</v>
      </c>
      <c r="O4668">
        <f>IF(G4668="Not available","",VLOOKUP(F4668,Sheet2!$B$1:$E$19,4,FALSE)+(G4668-1))</f>
        <v>3780288</v>
      </c>
    </row>
    <row r="4669" spans="1:15" s="3" customFormat="1" ht="15" customHeight="1" x14ac:dyDescent="0.25">
      <c r="A4669" s="18" t="s">
        <v>584</v>
      </c>
      <c r="B4669" s="18" t="s">
        <v>50</v>
      </c>
      <c r="C4669" s="5">
        <v>1833</v>
      </c>
      <c r="D4669" s="1" t="s">
        <v>590</v>
      </c>
      <c r="E4669" s="1" t="s">
        <v>2</v>
      </c>
      <c r="F4669" s="18">
        <v>2174</v>
      </c>
      <c r="G4669" s="18">
        <v>70</v>
      </c>
      <c r="H4669" s="14" t="s">
        <v>3140</v>
      </c>
      <c r="I4669" s="1">
        <v>204</v>
      </c>
      <c r="J4669" s="1">
        <v>239</v>
      </c>
      <c r="K4669" s="1"/>
      <c r="L4669" t="str">
        <f t="shared" si="72"/>
        <v>http://www.badatelna.eu/reprodukce/?fondId=1073&amp;zaznamId=1108960&amp;reproId=3780294</v>
      </c>
      <c r="M4669">
        <f>VLOOKUP(F4669,Sheet2!$B$1:$E$19,2,FALSE)</f>
        <v>1073</v>
      </c>
      <c r="N4669">
        <f>VLOOKUP(F4669,Sheet2!$B$1:$E$19,3,FALSE)</f>
        <v>1108960</v>
      </c>
      <c r="O4669">
        <f>IF(G4669="Not available","",VLOOKUP(F4669,Sheet2!$B$1:$E$19,4,FALSE)+(G4669-1))</f>
        <v>3780294</v>
      </c>
    </row>
    <row r="4670" spans="1:15" s="3" customFormat="1" ht="15" customHeight="1" x14ac:dyDescent="0.25">
      <c r="A4670" s="18" t="s">
        <v>584</v>
      </c>
      <c r="B4670" s="18" t="s">
        <v>477</v>
      </c>
      <c r="C4670" s="5">
        <v>1856</v>
      </c>
      <c r="D4670" s="1" t="s">
        <v>146</v>
      </c>
      <c r="E4670" s="1" t="s">
        <v>2</v>
      </c>
      <c r="F4670" s="18">
        <v>2164</v>
      </c>
      <c r="G4670" s="18">
        <v>108</v>
      </c>
      <c r="H4670" s="5">
        <v>106</v>
      </c>
      <c r="I4670" s="1">
        <v>140</v>
      </c>
      <c r="J4670" s="3" t="s">
        <v>3271</v>
      </c>
      <c r="K4670" s="1"/>
      <c r="L4670" t="str">
        <f t="shared" si="72"/>
        <v>http://www.badatelna.eu/reprodukce/?fondId=1073&amp;zaznamId=1108951&amp;reproId=3778822</v>
      </c>
      <c r="M4670">
        <f>VLOOKUP(F4670,Sheet2!$B$1:$E$19,2,FALSE)</f>
        <v>1073</v>
      </c>
      <c r="N4670">
        <f>VLOOKUP(F4670,Sheet2!$B$1:$E$19,3,FALSE)</f>
        <v>1108951</v>
      </c>
      <c r="O4670">
        <f>IF(G4670="Not available","",VLOOKUP(F4670,Sheet2!$B$1:$E$19,4,FALSE)+(G4670-1))</f>
        <v>3778822</v>
      </c>
    </row>
    <row r="4671" spans="1:15" s="3" customFormat="1" ht="15" customHeight="1" x14ac:dyDescent="0.25">
      <c r="A4671" s="18" t="s">
        <v>584</v>
      </c>
      <c r="B4671" s="18" t="s">
        <v>632</v>
      </c>
      <c r="C4671" s="5">
        <v>1836</v>
      </c>
      <c r="D4671" s="1" t="s">
        <v>74</v>
      </c>
      <c r="E4671" s="1" t="s">
        <v>2</v>
      </c>
      <c r="F4671" s="18">
        <v>2174</v>
      </c>
      <c r="G4671" s="18">
        <v>89</v>
      </c>
      <c r="H4671" s="6" t="s">
        <v>3154</v>
      </c>
      <c r="I4671" s="1">
        <v>205</v>
      </c>
      <c r="J4671" s="1">
        <v>240</v>
      </c>
      <c r="K4671" s="1"/>
      <c r="L4671" t="str">
        <f t="shared" si="72"/>
        <v>http://www.badatelna.eu/reprodukce/?fondId=1073&amp;zaznamId=1108960&amp;reproId=3780313</v>
      </c>
      <c r="M4671">
        <f>VLOOKUP(F4671,Sheet2!$B$1:$E$19,2,FALSE)</f>
        <v>1073</v>
      </c>
      <c r="N4671">
        <f>VLOOKUP(F4671,Sheet2!$B$1:$E$19,3,FALSE)</f>
        <v>1108960</v>
      </c>
      <c r="O4671">
        <f>IF(G4671="Not available","",VLOOKUP(F4671,Sheet2!$B$1:$E$19,4,FALSE)+(G4671-1))</f>
        <v>3780313</v>
      </c>
    </row>
    <row r="4672" spans="1:15" s="3" customFormat="1" ht="15" customHeight="1" x14ac:dyDescent="0.25">
      <c r="A4672" s="18" t="s">
        <v>584</v>
      </c>
      <c r="B4672" s="18" t="s">
        <v>2755</v>
      </c>
      <c r="C4672" s="10" t="s">
        <v>1963</v>
      </c>
      <c r="D4672" s="3" t="s">
        <v>2756</v>
      </c>
      <c r="E4672" s="4" t="s">
        <v>2</v>
      </c>
      <c r="F4672" s="18">
        <v>2176</v>
      </c>
      <c r="G4672" s="18" t="s">
        <v>3271</v>
      </c>
      <c r="H4672" s="10" t="s">
        <v>2088</v>
      </c>
      <c r="I4672" s="3">
        <v>46</v>
      </c>
      <c r="J4672" s="3" t="s">
        <v>3271</v>
      </c>
      <c r="L4672" t="str">
        <f t="shared" si="72"/>
        <v/>
      </c>
      <c r="M4672">
        <f>VLOOKUP(F4672,Sheet2!$B$1:$E$19,2,FALSE)</f>
        <v>1073</v>
      </c>
      <c r="N4672">
        <f>VLOOKUP(F4672,Sheet2!$B$1:$E$19,3,FALSE)</f>
        <v>1108963</v>
      </c>
      <c r="O4672" t="str">
        <f>IF(G4672="Not available","",VLOOKUP(F4672,Sheet2!$B$1:$E$19,4,FALSE)+(G4672-1))</f>
        <v/>
      </c>
    </row>
    <row r="4673" spans="1:15" s="3" customFormat="1" ht="15" customHeight="1" x14ac:dyDescent="0.25">
      <c r="A4673" s="18" t="s">
        <v>584</v>
      </c>
      <c r="B4673" s="18" t="s">
        <v>637</v>
      </c>
      <c r="C4673" s="5">
        <v>1832</v>
      </c>
      <c r="D4673" s="1" t="s">
        <v>420</v>
      </c>
      <c r="E4673" s="1" t="s">
        <v>2</v>
      </c>
      <c r="F4673" s="18">
        <v>2174</v>
      </c>
      <c r="G4673" s="18">
        <v>66</v>
      </c>
      <c r="H4673" s="6" t="s">
        <v>3133</v>
      </c>
      <c r="I4673" s="1">
        <v>204</v>
      </c>
      <c r="J4673" s="1">
        <v>239</v>
      </c>
      <c r="K4673" s="1"/>
      <c r="L4673" t="str">
        <f t="shared" si="72"/>
        <v>http://www.badatelna.eu/reprodukce/?fondId=1073&amp;zaznamId=1108960&amp;reproId=3780290</v>
      </c>
      <c r="M4673">
        <f>VLOOKUP(F4673,Sheet2!$B$1:$E$19,2,FALSE)</f>
        <v>1073</v>
      </c>
      <c r="N4673">
        <f>VLOOKUP(F4673,Sheet2!$B$1:$E$19,3,FALSE)</f>
        <v>1108960</v>
      </c>
      <c r="O4673">
        <f>IF(G4673="Not available","",VLOOKUP(F4673,Sheet2!$B$1:$E$19,4,FALSE)+(G4673-1))</f>
        <v>3780290</v>
      </c>
    </row>
    <row r="4674" spans="1:15" s="3" customFormat="1" ht="15" customHeight="1" x14ac:dyDescent="0.25">
      <c r="A4674" s="19" t="s">
        <v>584</v>
      </c>
      <c r="B4674" s="18" t="s">
        <v>74</v>
      </c>
      <c r="C4674" s="5">
        <v>1806</v>
      </c>
      <c r="D4674" s="1"/>
      <c r="E4674" s="1" t="s">
        <v>2</v>
      </c>
      <c r="F4674" s="18">
        <v>2173</v>
      </c>
      <c r="G4674" s="18">
        <v>50</v>
      </c>
      <c r="H4674" s="5">
        <v>95</v>
      </c>
      <c r="I4674" s="1">
        <v>117</v>
      </c>
      <c r="J4674" s="1">
        <v>255</v>
      </c>
      <c r="K4674" s="1"/>
      <c r="L4674" t="str">
        <f t="shared" si="72"/>
        <v>http://www.badatelna.eu/reprodukce/?fondId=1073&amp;zaznamId=1108959&amp;reproId=3780043</v>
      </c>
      <c r="M4674">
        <f>VLOOKUP(F4674,Sheet2!$B$1:$E$19,2,FALSE)</f>
        <v>1073</v>
      </c>
      <c r="N4674">
        <f>VLOOKUP(F4674,Sheet2!$B$1:$E$19,3,FALSE)</f>
        <v>1108959</v>
      </c>
      <c r="O4674">
        <f>IF(G4674="Not available","",VLOOKUP(F4674,Sheet2!$B$1:$E$19,4,FALSE)+(G4674-1))</f>
        <v>3780043</v>
      </c>
    </row>
    <row r="4675" spans="1:15" s="3" customFormat="1" ht="15" customHeight="1" x14ac:dyDescent="0.25">
      <c r="A4675" s="18" t="s">
        <v>584</v>
      </c>
      <c r="B4675" s="18" t="s">
        <v>136</v>
      </c>
      <c r="C4675" s="5">
        <v>1822</v>
      </c>
      <c r="D4675" s="1"/>
      <c r="E4675" s="1" t="s">
        <v>2</v>
      </c>
      <c r="F4675" s="18">
        <v>2173</v>
      </c>
      <c r="G4675" s="18">
        <v>72</v>
      </c>
      <c r="H4675" s="5">
        <v>137</v>
      </c>
      <c r="I4675" s="1">
        <v>118</v>
      </c>
      <c r="J4675" s="1">
        <v>256</v>
      </c>
      <c r="K4675" s="1"/>
      <c r="L4675" t="str">
        <f t="shared" ref="L4675:L4738" si="73">IF(G4675="Not available","","http://www.badatelna.eu/reprodukce/?fondId="&amp;M4675&amp;"&amp;zaznamId="&amp;N4675&amp;"&amp;reproId="&amp;O4675)</f>
        <v>http://www.badatelna.eu/reprodukce/?fondId=1073&amp;zaznamId=1108959&amp;reproId=3780065</v>
      </c>
      <c r="M4675">
        <f>VLOOKUP(F4675,Sheet2!$B$1:$E$19,2,FALSE)</f>
        <v>1073</v>
      </c>
      <c r="N4675">
        <f>VLOOKUP(F4675,Sheet2!$B$1:$E$19,3,FALSE)</f>
        <v>1108959</v>
      </c>
      <c r="O4675">
        <f>IF(G4675="Not available","",VLOOKUP(F4675,Sheet2!$B$1:$E$19,4,FALSE)+(G4675-1))</f>
        <v>3780065</v>
      </c>
    </row>
    <row r="4676" spans="1:15" s="3" customFormat="1" ht="15" customHeight="1" x14ac:dyDescent="0.25">
      <c r="A4676" s="18" t="s">
        <v>584</v>
      </c>
      <c r="B4676" s="18" t="s">
        <v>977</v>
      </c>
      <c r="C4676" s="5">
        <v>1862</v>
      </c>
      <c r="D4676" s="1"/>
      <c r="E4676" s="1" t="s">
        <v>939</v>
      </c>
      <c r="F4676" s="18">
        <v>999</v>
      </c>
      <c r="G4676" s="18">
        <v>38</v>
      </c>
      <c r="H4676" s="5">
        <v>36</v>
      </c>
      <c r="I4676" s="1">
        <v>77</v>
      </c>
      <c r="J4676" s="1">
        <v>112</v>
      </c>
      <c r="K4676" s="1"/>
      <c r="L4676" t="str">
        <f t="shared" si="73"/>
        <v>http://www.badatelna.eu/reprodukce/?fondId=241&amp;zaznamId=1133739&amp;reproId=3885767</v>
      </c>
      <c r="M4676">
        <f>VLOOKUP(F4676,Sheet2!$B$1:$E$19,2,FALSE)</f>
        <v>241</v>
      </c>
      <c r="N4676">
        <f>VLOOKUP(F4676,Sheet2!$B$1:$E$19,3,FALSE)</f>
        <v>1133739</v>
      </c>
      <c r="O4676">
        <f>IF(G4676="Not available","",VLOOKUP(F4676,Sheet2!$B$1:$E$19,4,FALSE)+(G4676-1))</f>
        <v>3885767</v>
      </c>
    </row>
    <row r="4677" spans="1:15" s="3" customFormat="1" ht="15" customHeight="1" x14ac:dyDescent="0.25">
      <c r="A4677" s="18" t="s">
        <v>584</v>
      </c>
      <c r="B4677" s="18" t="s">
        <v>849</v>
      </c>
      <c r="C4677" s="5" t="s">
        <v>1668</v>
      </c>
      <c r="D4677" s="1" t="s">
        <v>146</v>
      </c>
      <c r="E4677" s="1" t="s">
        <v>2</v>
      </c>
      <c r="F4677" s="18">
        <v>2165</v>
      </c>
      <c r="G4677" s="18">
        <v>24</v>
      </c>
      <c r="H4677" s="5">
        <v>21</v>
      </c>
      <c r="I4677" s="1">
        <v>94</v>
      </c>
      <c r="J4677" s="1" t="s">
        <v>3271</v>
      </c>
      <c r="K4677" s="1"/>
      <c r="L4677" t="str">
        <f t="shared" si="73"/>
        <v>http://www.badatelna.eu/reprodukce/?fondId=1073&amp;zaznamId=1108952&amp;reproId=3778885</v>
      </c>
      <c r="M4677">
        <f>VLOOKUP(F4677,Sheet2!$B$1:$E$19,2,FALSE)</f>
        <v>1073</v>
      </c>
      <c r="N4677">
        <f>VLOOKUP(F4677,Sheet2!$B$1:$E$19,3,FALSE)</f>
        <v>1108952</v>
      </c>
      <c r="O4677">
        <f>IF(G4677="Not available","",VLOOKUP(F4677,Sheet2!$B$1:$E$19,4,FALSE)+(G4677-1))</f>
        <v>3778885</v>
      </c>
    </row>
    <row r="4678" spans="1:15" s="3" customFormat="1" ht="15" customHeight="1" x14ac:dyDescent="0.25">
      <c r="A4678" s="18" t="s">
        <v>584</v>
      </c>
      <c r="B4678" s="18" t="s">
        <v>293</v>
      </c>
      <c r="C4678" s="5">
        <v>1798</v>
      </c>
      <c r="D4678" s="1"/>
      <c r="E4678" s="1" t="s">
        <v>2</v>
      </c>
      <c r="F4678" s="18">
        <v>2173</v>
      </c>
      <c r="G4678" s="18">
        <v>37</v>
      </c>
      <c r="H4678" s="14" t="s">
        <v>3027</v>
      </c>
      <c r="I4678" s="1">
        <v>117</v>
      </c>
      <c r="J4678" s="1">
        <v>255</v>
      </c>
      <c r="K4678" s="1"/>
      <c r="L4678" t="str">
        <f t="shared" si="73"/>
        <v>http://www.badatelna.eu/reprodukce/?fondId=1073&amp;zaznamId=1108959&amp;reproId=3780030</v>
      </c>
      <c r="M4678">
        <f>VLOOKUP(F4678,Sheet2!$B$1:$E$19,2,FALSE)</f>
        <v>1073</v>
      </c>
      <c r="N4678">
        <f>VLOOKUP(F4678,Sheet2!$B$1:$E$19,3,FALSE)</f>
        <v>1108959</v>
      </c>
      <c r="O4678">
        <f>IF(G4678="Not available","",VLOOKUP(F4678,Sheet2!$B$1:$E$19,4,FALSE)+(G4678-1))</f>
        <v>3780030</v>
      </c>
    </row>
    <row r="4679" spans="1:15" s="3" customFormat="1" ht="15" customHeight="1" x14ac:dyDescent="0.25">
      <c r="A4679" s="18" t="s">
        <v>584</v>
      </c>
      <c r="B4679" s="18" t="s">
        <v>547</v>
      </c>
      <c r="C4679" s="5">
        <v>1832</v>
      </c>
      <c r="D4679" s="1" t="s">
        <v>21</v>
      </c>
      <c r="E4679" s="1" t="s">
        <v>2</v>
      </c>
      <c r="F4679" s="18">
        <v>2174</v>
      </c>
      <c r="G4679" s="18">
        <v>68</v>
      </c>
      <c r="H4679" s="6" t="s">
        <v>3112</v>
      </c>
      <c r="I4679" s="1">
        <v>204</v>
      </c>
      <c r="J4679" s="1">
        <v>239</v>
      </c>
      <c r="K4679" s="1"/>
      <c r="L4679" t="str">
        <f t="shared" si="73"/>
        <v>http://www.badatelna.eu/reprodukce/?fondId=1073&amp;zaznamId=1108960&amp;reproId=3780292</v>
      </c>
      <c r="M4679">
        <f>VLOOKUP(F4679,Sheet2!$B$1:$E$19,2,FALSE)</f>
        <v>1073</v>
      </c>
      <c r="N4679">
        <f>VLOOKUP(F4679,Sheet2!$B$1:$E$19,3,FALSE)</f>
        <v>1108960</v>
      </c>
      <c r="O4679">
        <f>IF(G4679="Not available","",VLOOKUP(F4679,Sheet2!$B$1:$E$19,4,FALSE)+(G4679-1))</f>
        <v>3780292</v>
      </c>
    </row>
    <row r="4680" spans="1:15" s="3" customFormat="1" ht="15" customHeight="1" x14ac:dyDescent="0.25">
      <c r="A4680" s="18" t="s">
        <v>584</v>
      </c>
      <c r="B4680" s="18" t="s">
        <v>6</v>
      </c>
      <c r="C4680" s="5">
        <v>1812</v>
      </c>
      <c r="D4680" s="1"/>
      <c r="E4680" s="1" t="s">
        <v>2</v>
      </c>
      <c r="F4680" s="18">
        <v>2173</v>
      </c>
      <c r="G4680" s="18">
        <v>58</v>
      </c>
      <c r="H4680" s="5">
        <v>111</v>
      </c>
      <c r="I4680" s="1">
        <v>118</v>
      </c>
      <c r="J4680" s="1">
        <v>256</v>
      </c>
      <c r="K4680" s="1"/>
      <c r="L4680" t="str">
        <f t="shared" si="73"/>
        <v>http://www.badatelna.eu/reprodukce/?fondId=1073&amp;zaznamId=1108959&amp;reproId=3780051</v>
      </c>
      <c r="M4680">
        <f>VLOOKUP(F4680,Sheet2!$B$1:$E$19,2,FALSE)</f>
        <v>1073</v>
      </c>
      <c r="N4680">
        <f>VLOOKUP(F4680,Sheet2!$B$1:$E$19,3,FALSE)</f>
        <v>1108959</v>
      </c>
      <c r="O4680">
        <f>IF(G4680="Not available","",VLOOKUP(F4680,Sheet2!$B$1:$E$19,4,FALSE)+(G4680-1))</f>
        <v>3780051</v>
      </c>
    </row>
    <row r="4681" spans="1:15" s="3" customFormat="1" ht="15" customHeight="1" x14ac:dyDescent="0.25">
      <c r="A4681" s="18" t="s">
        <v>584</v>
      </c>
      <c r="B4681" s="18" t="s">
        <v>1019</v>
      </c>
      <c r="C4681" s="10" t="s">
        <v>1949</v>
      </c>
      <c r="D4681" s="3" t="s">
        <v>2532</v>
      </c>
      <c r="E4681" s="4" t="s">
        <v>2</v>
      </c>
      <c r="F4681" s="18">
        <v>2176</v>
      </c>
      <c r="G4681" s="18" t="s">
        <v>3271</v>
      </c>
      <c r="H4681" s="10" t="s">
        <v>2069</v>
      </c>
      <c r="I4681" s="3">
        <v>46</v>
      </c>
      <c r="J4681" s="3" t="s">
        <v>3271</v>
      </c>
      <c r="L4681" t="str">
        <f t="shared" si="73"/>
        <v/>
      </c>
      <c r="M4681">
        <f>VLOOKUP(F4681,Sheet2!$B$1:$E$19,2,FALSE)</f>
        <v>1073</v>
      </c>
      <c r="N4681">
        <f>VLOOKUP(F4681,Sheet2!$B$1:$E$19,3,FALSE)</f>
        <v>1108963</v>
      </c>
      <c r="O4681" t="str">
        <f>IF(G4681="Not available","",VLOOKUP(F4681,Sheet2!$B$1:$E$19,4,FALSE)+(G4681-1))</f>
        <v/>
      </c>
    </row>
    <row r="4682" spans="1:15" s="3" customFormat="1" ht="15" customHeight="1" x14ac:dyDescent="0.25">
      <c r="A4682" s="18" t="s">
        <v>584</v>
      </c>
      <c r="B4682" s="18" t="s">
        <v>122</v>
      </c>
      <c r="C4682" s="5">
        <v>1807</v>
      </c>
      <c r="D4682" s="1"/>
      <c r="E4682" s="1" t="s">
        <v>2</v>
      </c>
      <c r="F4682" s="18">
        <v>2173</v>
      </c>
      <c r="G4682" s="18">
        <v>52</v>
      </c>
      <c r="H4682" s="5">
        <v>99</v>
      </c>
      <c r="I4682" s="1">
        <v>117</v>
      </c>
      <c r="J4682" s="1">
        <v>255</v>
      </c>
      <c r="K4682" s="1"/>
      <c r="L4682" t="str">
        <f t="shared" si="73"/>
        <v>http://www.badatelna.eu/reprodukce/?fondId=1073&amp;zaznamId=1108959&amp;reproId=3780045</v>
      </c>
      <c r="M4682">
        <f>VLOOKUP(F4682,Sheet2!$B$1:$E$19,2,FALSE)</f>
        <v>1073</v>
      </c>
      <c r="N4682">
        <f>VLOOKUP(F4682,Sheet2!$B$1:$E$19,3,FALSE)</f>
        <v>1108959</v>
      </c>
      <c r="O4682">
        <f>IF(G4682="Not available","",VLOOKUP(F4682,Sheet2!$B$1:$E$19,4,FALSE)+(G4682-1))</f>
        <v>3780045</v>
      </c>
    </row>
    <row r="4683" spans="1:15" s="3" customFormat="1" ht="15" customHeight="1" x14ac:dyDescent="0.25">
      <c r="A4683" s="18" t="s">
        <v>584</v>
      </c>
      <c r="B4683" s="18" t="s">
        <v>490</v>
      </c>
      <c r="C4683" s="5">
        <v>1837</v>
      </c>
      <c r="D4683" s="1" t="s">
        <v>34</v>
      </c>
      <c r="E4683" s="1" t="s">
        <v>2</v>
      </c>
      <c r="F4683" s="18">
        <v>2174</v>
      </c>
      <c r="G4683" s="18">
        <v>90</v>
      </c>
      <c r="H4683" s="6" t="s">
        <v>3156</v>
      </c>
      <c r="I4683" s="1">
        <v>205</v>
      </c>
      <c r="J4683" s="1">
        <v>240</v>
      </c>
      <c r="K4683" s="1"/>
      <c r="L4683" t="str">
        <f t="shared" si="73"/>
        <v>http://www.badatelna.eu/reprodukce/?fondId=1073&amp;zaznamId=1108960&amp;reproId=3780314</v>
      </c>
      <c r="M4683">
        <f>VLOOKUP(F4683,Sheet2!$B$1:$E$19,2,FALSE)</f>
        <v>1073</v>
      </c>
      <c r="N4683">
        <f>VLOOKUP(F4683,Sheet2!$B$1:$E$19,3,FALSE)</f>
        <v>1108960</v>
      </c>
      <c r="O4683">
        <f>IF(G4683="Not available","",VLOOKUP(F4683,Sheet2!$B$1:$E$19,4,FALSE)+(G4683-1))</f>
        <v>3780314</v>
      </c>
    </row>
    <row r="4684" spans="1:15" s="3" customFormat="1" ht="15" customHeight="1" x14ac:dyDescent="0.25">
      <c r="A4684" s="18" t="s">
        <v>584</v>
      </c>
      <c r="B4684" s="18" t="s">
        <v>789</v>
      </c>
      <c r="C4684" s="5">
        <v>1835</v>
      </c>
      <c r="D4684" s="1" t="s">
        <v>466</v>
      </c>
      <c r="E4684" s="1" t="s">
        <v>2</v>
      </c>
      <c r="F4684" s="18">
        <v>2174</v>
      </c>
      <c r="G4684" s="18">
        <v>81</v>
      </c>
      <c r="H4684" s="6" t="s">
        <v>3149</v>
      </c>
      <c r="I4684" s="1">
        <v>204</v>
      </c>
      <c r="J4684" s="1">
        <v>239</v>
      </c>
      <c r="K4684" s="1"/>
      <c r="L4684" t="str">
        <f t="shared" si="73"/>
        <v>http://www.badatelna.eu/reprodukce/?fondId=1073&amp;zaznamId=1108960&amp;reproId=3780305</v>
      </c>
      <c r="M4684">
        <f>VLOOKUP(F4684,Sheet2!$B$1:$E$19,2,FALSE)</f>
        <v>1073</v>
      </c>
      <c r="N4684">
        <f>VLOOKUP(F4684,Sheet2!$B$1:$E$19,3,FALSE)</f>
        <v>1108960</v>
      </c>
      <c r="O4684">
        <f>IF(G4684="Not available","",VLOOKUP(F4684,Sheet2!$B$1:$E$19,4,FALSE)+(G4684-1))</f>
        <v>3780305</v>
      </c>
    </row>
    <row r="4685" spans="1:15" s="3" customFormat="1" ht="15" customHeight="1" x14ac:dyDescent="0.25">
      <c r="A4685" s="18" t="s">
        <v>584</v>
      </c>
      <c r="B4685" s="18" t="s">
        <v>774</v>
      </c>
      <c r="C4685" s="5">
        <v>1848</v>
      </c>
      <c r="D4685" s="1" t="s">
        <v>146</v>
      </c>
      <c r="E4685" s="1" t="s">
        <v>2</v>
      </c>
      <c r="F4685" s="18">
        <v>2164</v>
      </c>
      <c r="G4685" s="18">
        <v>32</v>
      </c>
      <c r="H4685" s="5">
        <v>30</v>
      </c>
      <c r="I4685" s="1">
        <v>140</v>
      </c>
      <c r="J4685" s="3" t="s">
        <v>3271</v>
      </c>
      <c r="K4685" s="1"/>
      <c r="L4685" t="str">
        <f t="shared" si="73"/>
        <v>http://www.badatelna.eu/reprodukce/?fondId=1073&amp;zaznamId=1108951&amp;reproId=3778746</v>
      </c>
      <c r="M4685">
        <f>VLOOKUP(F4685,Sheet2!$B$1:$E$19,2,FALSE)</f>
        <v>1073</v>
      </c>
      <c r="N4685">
        <f>VLOOKUP(F4685,Sheet2!$B$1:$E$19,3,FALSE)</f>
        <v>1108951</v>
      </c>
      <c r="O4685">
        <f>IF(G4685="Not available","",VLOOKUP(F4685,Sheet2!$B$1:$E$19,4,FALSE)+(G4685-1))</f>
        <v>3778746</v>
      </c>
    </row>
    <row r="4686" spans="1:15" s="3" customFormat="1" ht="15" customHeight="1" x14ac:dyDescent="0.25">
      <c r="A4686" s="18" t="s">
        <v>584</v>
      </c>
      <c r="B4686" s="18" t="s">
        <v>774</v>
      </c>
      <c r="C4686" s="5">
        <v>1864</v>
      </c>
      <c r="D4686" s="1"/>
      <c r="E4686" s="1" t="s">
        <v>939</v>
      </c>
      <c r="F4686" s="18">
        <v>999</v>
      </c>
      <c r="G4686" s="18">
        <v>46</v>
      </c>
      <c r="H4686" s="5">
        <v>44</v>
      </c>
      <c r="I4686" s="1">
        <v>77</v>
      </c>
      <c r="J4686" s="1">
        <v>112</v>
      </c>
      <c r="K4686" s="1"/>
      <c r="L4686" t="str">
        <f t="shared" si="73"/>
        <v>http://www.badatelna.eu/reprodukce/?fondId=241&amp;zaznamId=1133739&amp;reproId=3885775</v>
      </c>
      <c r="M4686">
        <f>VLOOKUP(F4686,Sheet2!$B$1:$E$19,2,FALSE)</f>
        <v>241</v>
      </c>
      <c r="N4686">
        <f>VLOOKUP(F4686,Sheet2!$B$1:$E$19,3,FALSE)</f>
        <v>1133739</v>
      </c>
      <c r="O4686">
        <f>IF(G4686="Not available","",VLOOKUP(F4686,Sheet2!$B$1:$E$19,4,FALSE)+(G4686-1))</f>
        <v>3885775</v>
      </c>
    </row>
    <row r="4687" spans="1:15" s="3" customFormat="1" ht="15" customHeight="1" x14ac:dyDescent="0.25">
      <c r="A4687" s="18" t="s">
        <v>584</v>
      </c>
      <c r="B4687" s="18" t="s">
        <v>2713</v>
      </c>
      <c r="C4687" s="10" t="s">
        <v>1957</v>
      </c>
      <c r="D4687" s="3" t="s">
        <v>2581</v>
      </c>
      <c r="E4687" s="4" t="s">
        <v>2</v>
      </c>
      <c r="F4687" s="18">
        <v>2176</v>
      </c>
      <c r="G4687" s="18" t="s">
        <v>3271</v>
      </c>
      <c r="H4687" s="10" t="s">
        <v>2083</v>
      </c>
      <c r="I4687" s="3">
        <v>46</v>
      </c>
      <c r="J4687" s="3" t="s">
        <v>3271</v>
      </c>
      <c r="L4687" t="str">
        <f t="shared" si="73"/>
        <v/>
      </c>
      <c r="M4687">
        <f>VLOOKUP(F4687,Sheet2!$B$1:$E$19,2,FALSE)</f>
        <v>1073</v>
      </c>
      <c r="N4687">
        <f>VLOOKUP(F4687,Sheet2!$B$1:$E$19,3,FALSE)</f>
        <v>1108963</v>
      </c>
      <c r="O4687" t="str">
        <f>IF(G4687="Not available","",VLOOKUP(F4687,Sheet2!$B$1:$E$19,4,FALSE)+(G4687-1))</f>
        <v/>
      </c>
    </row>
    <row r="4688" spans="1:15" s="3" customFormat="1" ht="15" customHeight="1" x14ac:dyDescent="0.25">
      <c r="A4688" s="18" t="s">
        <v>584</v>
      </c>
      <c r="B4688" s="18" t="s">
        <v>1225</v>
      </c>
      <c r="C4688" s="5" t="s">
        <v>1937</v>
      </c>
      <c r="D4688" s="1" t="s">
        <v>12</v>
      </c>
      <c r="E4688" s="1" t="s">
        <v>2</v>
      </c>
      <c r="F4688" s="18">
        <v>2165</v>
      </c>
      <c r="G4688" s="18">
        <v>281</v>
      </c>
      <c r="H4688" s="5">
        <v>1</v>
      </c>
      <c r="I4688" s="1">
        <v>285</v>
      </c>
      <c r="J4688" s="1">
        <v>259</v>
      </c>
      <c r="K4688" s="1"/>
      <c r="L4688" t="str">
        <f t="shared" si="73"/>
        <v>http://www.badatelna.eu/reprodukce/?fondId=1073&amp;zaznamId=1108952&amp;reproId=3779142</v>
      </c>
      <c r="M4688">
        <f>VLOOKUP(F4688,Sheet2!$B$1:$E$19,2,FALSE)</f>
        <v>1073</v>
      </c>
      <c r="N4688">
        <f>VLOOKUP(F4688,Sheet2!$B$1:$E$19,3,FALSE)</f>
        <v>1108952</v>
      </c>
      <c r="O4688">
        <f>IF(G4688="Not available","",VLOOKUP(F4688,Sheet2!$B$1:$E$19,4,FALSE)+(G4688-1))</f>
        <v>3779142</v>
      </c>
    </row>
    <row r="4689" spans="1:15" s="3" customFormat="1" ht="15" customHeight="1" x14ac:dyDescent="0.25">
      <c r="A4689" s="18" t="s">
        <v>584</v>
      </c>
      <c r="B4689" s="18" t="s">
        <v>3101</v>
      </c>
      <c r="C4689" s="5">
        <v>1824</v>
      </c>
      <c r="D4689" s="1"/>
      <c r="E4689" s="1" t="s">
        <v>2</v>
      </c>
      <c r="F4689" s="18">
        <v>2173</v>
      </c>
      <c r="G4689" s="18">
        <v>75</v>
      </c>
      <c r="H4689" s="5">
        <v>142</v>
      </c>
      <c r="I4689" s="1">
        <v>118</v>
      </c>
      <c r="J4689" s="1">
        <v>256</v>
      </c>
      <c r="K4689" s="1"/>
      <c r="L4689" t="str">
        <f t="shared" si="73"/>
        <v>http://www.badatelna.eu/reprodukce/?fondId=1073&amp;zaznamId=1108959&amp;reproId=3780068</v>
      </c>
      <c r="M4689">
        <f>VLOOKUP(F4689,Sheet2!$B$1:$E$19,2,FALSE)</f>
        <v>1073</v>
      </c>
      <c r="N4689">
        <f>VLOOKUP(F4689,Sheet2!$B$1:$E$19,3,FALSE)</f>
        <v>1108959</v>
      </c>
      <c r="O4689">
        <f>IF(G4689="Not available","",VLOOKUP(F4689,Sheet2!$B$1:$E$19,4,FALSE)+(G4689-1))</f>
        <v>3780068</v>
      </c>
    </row>
    <row r="4690" spans="1:15" s="3" customFormat="1" ht="15" customHeight="1" x14ac:dyDescent="0.25">
      <c r="A4690" s="18" t="s">
        <v>584</v>
      </c>
      <c r="B4690" s="18" t="s">
        <v>59</v>
      </c>
      <c r="C4690" s="5">
        <v>1829</v>
      </c>
      <c r="D4690" s="1"/>
      <c r="E4690" s="1" t="s">
        <v>2</v>
      </c>
      <c r="F4690" s="18">
        <v>2173</v>
      </c>
      <c r="G4690" s="18">
        <v>82</v>
      </c>
      <c r="H4690" s="5">
        <v>157</v>
      </c>
      <c r="I4690" s="1">
        <v>118</v>
      </c>
      <c r="J4690" s="1">
        <v>256</v>
      </c>
      <c r="K4690" s="1"/>
      <c r="L4690" t="str">
        <f t="shared" si="73"/>
        <v>http://www.badatelna.eu/reprodukce/?fondId=1073&amp;zaznamId=1108959&amp;reproId=3780075</v>
      </c>
      <c r="M4690">
        <f>VLOOKUP(F4690,Sheet2!$B$1:$E$19,2,FALSE)</f>
        <v>1073</v>
      </c>
      <c r="N4690">
        <f>VLOOKUP(F4690,Sheet2!$B$1:$E$19,3,FALSE)</f>
        <v>1108959</v>
      </c>
      <c r="O4690">
        <f>IF(G4690="Not available","",VLOOKUP(F4690,Sheet2!$B$1:$E$19,4,FALSE)+(G4690-1))</f>
        <v>3780075</v>
      </c>
    </row>
    <row r="4691" spans="1:15" s="3" customFormat="1" ht="15" customHeight="1" x14ac:dyDescent="0.25">
      <c r="A4691" s="18" t="s">
        <v>584</v>
      </c>
      <c r="B4691" s="18" t="s">
        <v>87</v>
      </c>
      <c r="C4691" s="5">
        <v>1799</v>
      </c>
      <c r="D4691" s="1"/>
      <c r="E4691" s="1" t="s">
        <v>2</v>
      </c>
      <c r="F4691" s="18">
        <v>2173</v>
      </c>
      <c r="G4691" s="18">
        <v>41</v>
      </c>
      <c r="H4691" s="5">
        <v>77</v>
      </c>
      <c r="I4691" s="1">
        <v>117</v>
      </c>
      <c r="J4691" s="1">
        <v>255</v>
      </c>
      <c r="K4691" s="1"/>
      <c r="L4691" t="str">
        <f t="shared" si="73"/>
        <v>http://www.badatelna.eu/reprodukce/?fondId=1073&amp;zaznamId=1108959&amp;reproId=3780034</v>
      </c>
      <c r="M4691">
        <f>VLOOKUP(F4691,Sheet2!$B$1:$E$19,2,FALSE)</f>
        <v>1073</v>
      </c>
      <c r="N4691">
        <f>VLOOKUP(F4691,Sheet2!$B$1:$E$19,3,FALSE)</f>
        <v>1108959</v>
      </c>
      <c r="O4691">
        <f>IF(G4691="Not available","",VLOOKUP(F4691,Sheet2!$B$1:$E$19,4,FALSE)+(G4691-1))</f>
        <v>3780034</v>
      </c>
    </row>
    <row r="4692" spans="1:15" s="3" customFormat="1" ht="15" customHeight="1" x14ac:dyDescent="0.25">
      <c r="A4692" s="18" t="s">
        <v>584</v>
      </c>
      <c r="B4692" s="18" t="s">
        <v>135</v>
      </c>
      <c r="C4692" s="5">
        <v>1854</v>
      </c>
      <c r="D4692" s="1" t="s">
        <v>773</v>
      </c>
      <c r="E4692" s="1" t="s">
        <v>2</v>
      </c>
      <c r="F4692" s="18">
        <v>2164</v>
      </c>
      <c r="G4692" s="18">
        <v>104</v>
      </c>
      <c r="H4692" s="5">
        <v>102</v>
      </c>
      <c r="I4692" s="1">
        <v>140</v>
      </c>
      <c r="J4692" s="3" t="s">
        <v>3271</v>
      </c>
      <c r="K4692" s="1"/>
      <c r="L4692" t="str">
        <f t="shared" si="73"/>
        <v>http://www.badatelna.eu/reprodukce/?fondId=1073&amp;zaznamId=1108951&amp;reproId=3778818</v>
      </c>
      <c r="M4692">
        <f>VLOOKUP(F4692,Sheet2!$B$1:$E$19,2,FALSE)</f>
        <v>1073</v>
      </c>
      <c r="N4692">
        <f>VLOOKUP(F4692,Sheet2!$B$1:$E$19,3,FALSE)</f>
        <v>1108951</v>
      </c>
      <c r="O4692">
        <f>IF(G4692="Not available","",VLOOKUP(F4692,Sheet2!$B$1:$E$19,4,FALSE)+(G4692-1))</f>
        <v>3778818</v>
      </c>
    </row>
    <row r="4693" spans="1:15" s="3" customFormat="1" ht="15" customHeight="1" x14ac:dyDescent="0.25">
      <c r="A4693" s="18" t="s">
        <v>584</v>
      </c>
      <c r="B4693" s="18" t="s">
        <v>135</v>
      </c>
      <c r="C4693" s="10" t="s">
        <v>2093</v>
      </c>
      <c r="D4693" s="3" t="s">
        <v>2581</v>
      </c>
      <c r="E4693" s="4" t="s">
        <v>2</v>
      </c>
      <c r="F4693" s="18">
        <v>2176</v>
      </c>
      <c r="G4693" s="18" t="s">
        <v>3271</v>
      </c>
      <c r="H4693" s="10" t="s">
        <v>2088</v>
      </c>
      <c r="I4693" s="3">
        <v>46</v>
      </c>
      <c r="J4693" s="3" t="s">
        <v>3271</v>
      </c>
      <c r="L4693" t="str">
        <f t="shared" si="73"/>
        <v/>
      </c>
      <c r="M4693">
        <f>VLOOKUP(F4693,Sheet2!$B$1:$E$19,2,FALSE)</f>
        <v>1073</v>
      </c>
      <c r="N4693">
        <f>VLOOKUP(F4693,Sheet2!$B$1:$E$19,3,FALSE)</f>
        <v>1108963</v>
      </c>
      <c r="O4693" t="str">
        <f>IF(G4693="Not available","",VLOOKUP(F4693,Sheet2!$B$1:$E$19,4,FALSE)+(G4693-1))</f>
        <v/>
      </c>
    </row>
    <row r="4694" spans="1:15" s="3" customFormat="1" ht="15" customHeight="1" x14ac:dyDescent="0.25">
      <c r="A4694" s="18" t="s">
        <v>584</v>
      </c>
      <c r="B4694" s="18" t="s">
        <v>135</v>
      </c>
      <c r="C4694" s="5" t="s">
        <v>1919</v>
      </c>
      <c r="D4694" s="1" t="s">
        <v>12</v>
      </c>
      <c r="E4694" s="1" t="s">
        <v>2</v>
      </c>
      <c r="F4694" s="18">
        <v>2165</v>
      </c>
      <c r="G4694" s="18">
        <v>275</v>
      </c>
      <c r="H4694" s="5">
        <v>1</v>
      </c>
      <c r="I4694" s="1">
        <v>279</v>
      </c>
      <c r="J4694" s="1">
        <v>253</v>
      </c>
      <c r="K4694" s="1"/>
      <c r="L4694" t="str">
        <f t="shared" si="73"/>
        <v>http://www.badatelna.eu/reprodukce/?fondId=1073&amp;zaznamId=1108952&amp;reproId=3779136</v>
      </c>
      <c r="M4694">
        <f>VLOOKUP(F4694,Sheet2!$B$1:$E$19,2,FALSE)</f>
        <v>1073</v>
      </c>
      <c r="N4694">
        <f>VLOOKUP(F4694,Sheet2!$B$1:$E$19,3,FALSE)</f>
        <v>1108952</v>
      </c>
      <c r="O4694">
        <f>IF(G4694="Not available","",VLOOKUP(F4694,Sheet2!$B$1:$E$19,4,FALSE)+(G4694-1))</f>
        <v>3779136</v>
      </c>
    </row>
    <row r="4695" spans="1:15" s="3" customFormat="1" ht="15" customHeight="1" x14ac:dyDescent="0.25">
      <c r="A4695" s="18" t="s">
        <v>584</v>
      </c>
      <c r="B4695" s="18" t="s">
        <v>155</v>
      </c>
      <c r="C4695" s="5">
        <v>1837</v>
      </c>
      <c r="D4695" s="1" t="s">
        <v>786</v>
      </c>
      <c r="E4695" s="1" t="s">
        <v>2</v>
      </c>
      <c r="F4695" s="18">
        <v>2174</v>
      </c>
      <c r="G4695" s="18">
        <v>94</v>
      </c>
      <c r="H4695" s="6" t="s">
        <v>3162</v>
      </c>
      <c r="I4695" s="1">
        <v>205</v>
      </c>
      <c r="J4695" s="1">
        <v>240</v>
      </c>
      <c r="K4695" s="1"/>
      <c r="L4695" t="str">
        <f t="shared" si="73"/>
        <v>http://www.badatelna.eu/reprodukce/?fondId=1073&amp;zaznamId=1108960&amp;reproId=3780318</v>
      </c>
      <c r="M4695">
        <f>VLOOKUP(F4695,Sheet2!$B$1:$E$19,2,FALSE)</f>
        <v>1073</v>
      </c>
      <c r="N4695">
        <f>VLOOKUP(F4695,Sheet2!$B$1:$E$19,3,FALSE)</f>
        <v>1108960</v>
      </c>
      <c r="O4695">
        <f>IF(G4695="Not available","",VLOOKUP(F4695,Sheet2!$B$1:$E$19,4,FALSE)+(G4695-1))</f>
        <v>3780318</v>
      </c>
    </row>
    <row r="4696" spans="1:15" s="3" customFormat="1" ht="15" customHeight="1" x14ac:dyDescent="0.25">
      <c r="A4696" s="18" t="s">
        <v>584</v>
      </c>
      <c r="B4696" s="18" t="s">
        <v>484</v>
      </c>
      <c r="C4696" s="5">
        <v>1860</v>
      </c>
      <c r="D4696" s="1"/>
      <c r="E4696" s="1" t="s">
        <v>939</v>
      </c>
      <c r="F4696" s="18">
        <v>999</v>
      </c>
      <c r="G4696" s="18">
        <v>22</v>
      </c>
      <c r="H4696" s="5">
        <v>20</v>
      </c>
      <c r="I4696" s="1">
        <v>77</v>
      </c>
      <c r="J4696" s="1">
        <v>112</v>
      </c>
      <c r="K4696" s="1"/>
      <c r="L4696" t="str">
        <f t="shared" si="73"/>
        <v>http://www.badatelna.eu/reprodukce/?fondId=241&amp;zaznamId=1133739&amp;reproId=3885751</v>
      </c>
      <c r="M4696">
        <f>VLOOKUP(F4696,Sheet2!$B$1:$E$19,2,FALSE)</f>
        <v>241</v>
      </c>
      <c r="N4696">
        <f>VLOOKUP(F4696,Sheet2!$B$1:$E$19,3,FALSE)</f>
        <v>1133739</v>
      </c>
      <c r="O4696">
        <f>IF(G4696="Not available","",VLOOKUP(F4696,Sheet2!$B$1:$E$19,4,FALSE)+(G4696-1))</f>
        <v>3885751</v>
      </c>
    </row>
    <row r="4697" spans="1:15" s="3" customFormat="1" ht="15" customHeight="1" x14ac:dyDescent="0.25">
      <c r="A4697" s="18" t="s">
        <v>584</v>
      </c>
      <c r="B4697" s="18" t="s">
        <v>2134</v>
      </c>
      <c r="C4697" s="5">
        <v>1828</v>
      </c>
      <c r="D4697" s="1"/>
      <c r="E4697" s="1" t="s">
        <v>2</v>
      </c>
      <c r="F4697" s="18">
        <v>2173</v>
      </c>
      <c r="G4697" s="18">
        <v>81</v>
      </c>
      <c r="H4697" s="5">
        <v>154</v>
      </c>
      <c r="I4697" s="1">
        <v>118</v>
      </c>
      <c r="J4697" s="1">
        <v>256</v>
      </c>
      <c r="K4697" s="1"/>
      <c r="L4697" t="str">
        <f t="shared" si="73"/>
        <v>http://www.badatelna.eu/reprodukce/?fondId=1073&amp;zaznamId=1108959&amp;reproId=3780074</v>
      </c>
      <c r="M4697">
        <f>VLOOKUP(F4697,Sheet2!$B$1:$E$19,2,FALSE)</f>
        <v>1073</v>
      </c>
      <c r="N4697">
        <f>VLOOKUP(F4697,Sheet2!$B$1:$E$19,3,FALSE)</f>
        <v>1108959</v>
      </c>
      <c r="O4697">
        <f>IF(G4697="Not available","",VLOOKUP(F4697,Sheet2!$B$1:$E$19,4,FALSE)+(G4697-1))</f>
        <v>3780074</v>
      </c>
    </row>
    <row r="4698" spans="1:15" s="3" customFormat="1" ht="15" customHeight="1" x14ac:dyDescent="0.25">
      <c r="A4698" s="18" t="s">
        <v>584</v>
      </c>
      <c r="B4698" s="18" t="s">
        <v>1052</v>
      </c>
      <c r="C4698" s="10" t="s">
        <v>2074</v>
      </c>
      <c r="D4698" s="3" t="s">
        <v>2532</v>
      </c>
      <c r="E4698" s="4" t="s">
        <v>2</v>
      </c>
      <c r="F4698" s="18">
        <v>2176</v>
      </c>
      <c r="G4698" s="18" t="s">
        <v>3271</v>
      </c>
      <c r="H4698" s="10" t="s">
        <v>2061</v>
      </c>
      <c r="I4698" s="3">
        <v>46</v>
      </c>
      <c r="J4698" s="3" t="s">
        <v>3271</v>
      </c>
      <c r="L4698" t="str">
        <f t="shared" si="73"/>
        <v/>
      </c>
      <c r="M4698">
        <f>VLOOKUP(F4698,Sheet2!$B$1:$E$19,2,FALSE)</f>
        <v>1073</v>
      </c>
      <c r="N4698">
        <f>VLOOKUP(F4698,Sheet2!$B$1:$E$19,3,FALSE)</f>
        <v>1108963</v>
      </c>
      <c r="O4698" t="str">
        <f>IF(G4698="Not available","",VLOOKUP(F4698,Sheet2!$B$1:$E$19,4,FALSE)+(G4698-1))</f>
        <v/>
      </c>
    </row>
    <row r="4699" spans="1:15" s="3" customFormat="1" ht="15" customHeight="1" x14ac:dyDescent="0.25">
      <c r="A4699" s="18" t="s">
        <v>584</v>
      </c>
      <c r="B4699" s="18" t="s">
        <v>1052</v>
      </c>
      <c r="C4699" s="5" t="s">
        <v>1790</v>
      </c>
      <c r="D4699" s="1" t="s">
        <v>233</v>
      </c>
      <c r="E4699" s="1" t="s">
        <v>2</v>
      </c>
      <c r="F4699" s="18">
        <v>2165</v>
      </c>
      <c r="G4699" s="18">
        <v>235</v>
      </c>
      <c r="H4699" s="5">
        <v>2</v>
      </c>
      <c r="I4699" s="1">
        <v>238</v>
      </c>
      <c r="J4699" s="1">
        <v>214</v>
      </c>
      <c r="K4699" s="1"/>
      <c r="L4699" t="str">
        <f t="shared" si="73"/>
        <v>http://www.badatelna.eu/reprodukce/?fondId=1073&amp;zaznamId=1108952&amp;reproId=3779096</v>
      </c>
      <c r="M4699">
        <f>VLOOKUP(F4699,Sheet2!$B$1:$E$19,2,FALSE)</f>
        <v>1073</v>
      </c>
      <c r="N4699">
        <f>VLOOKUP(F4699,Sheet2!$B$1:$E$19,3,FALSE)</f>
        <v>1108952</v>
      </c>
      <c r="O4699">
        <f>IF(G4699="Not available","",VLOOKUP(F4699,Sheet2!$B$1:$E$19,4,FALSE)+(G4699-1))</f>
        <v>3779096</v>
      </c>
    </row>
    <row r="4700" spans="1:15" s="3" customFormat="1" ht="15" customHeight="1" x14ac:dyDescent="0.25">
      <c r="A4700" s="18" t="s">
        <v>584</v>
      </c>
      <c r="B4700" s="18" t="s">
        <v>590</v>
      </c>
      <c r="C4700" s="5">
        <v>1798</v>
      </c>
      <c r="D4700" s="1"/>
      <c r="E4700" s="1" t="s">
        <v>2</v>
      </c>
      <c r="F4700" s="18">
        <v>2173</v>
      </c>
      <c r="G4700" s="18">
        <v>40</v>
      </c>
      <c r="H4700" s="5">
        <v>75</v>
      </c>
      <c r="I4700" s="1">
        <v>117</v>
      </c>
      <c r="J4700" s="1">
        <v>255</v>
      </c>
      <c r="K4700" s="1"/>
      <c r="L4700" t="str">
        <f t="shared" si="73"/>
        <v>http://www.badatelna.eu/reprodukce/?fondId=1073&amp;zaznamId=1108959&amp;reproId=3780033</v>
      </c>
      <c r="M4700">
        <f>VLOOKUP(F4700,Sheet2!$B$1:$E$19,2,FALSE)</f>
        <v>1073</v>
      </c>
      <c r="N4700">
        <f>VLOOKUP(F4700,Sheet2!$B$1:$E$19,3,FALSE)</f>
        <v>1108959</v>
      </c>
      <c r="O4700">
        <f>IF(G4700="Not available","",VLOOKUP(F4700,Sheet2!$B$1:$E$19,4,FALSE)+(G4700-1))</f>
        <v>3780033</v>
      </c>
    </row>
    <row r="4701" spans="1:15" s="3" customFormat="1" ht="15" customHeight="1" x14ac:dyDescent="0.25">
      <c r="A4701" s="18" t="s">
        <v>584</v>
      </c>
      <c r="B4701" s="19" t="s">
        <v>373</v>
      </c>
      <c r="C4701" s="5">
        <v>1803</v>
      </c>
      <c r="D4701" s="1"/>
      <c r="E4701" s="1" t="s">
        <v>2</v>
      </c>
      <c r="F4701" s="18">
        <v>2173</v>
      </c>
      <c r="G4701" s="18">
        <v>47</v>
      </c>
      <c r="H4701" s="14" t="s">
        <v>3028</v>
      </c>
      <c r="I4701" s="1">
        <v>117</v>
      </c>
      <c r="J4701" s="1">
        <v>255</v>
      </c>
      <c r="K4701" s="1"/>
      <c r="L4701" t="str">
        <f t="shared" si="73"/>
        <v>http://www.badatelna.eu/reprodukce/?fondId=1073&amp;zaznamId=1108959&amp;reproId=3780040</v>
      </c>
      <c r="M4701">
        <f>VLOOKUP(F4701,Sheet2!$B$1:$E$19,2,FALSE)</f>
        <v>1073</v>
      </c>
      <c r="N4701">
        <f>VLOOKUP(F4701,Sheet2!$B$1:$E$19,3,FALSE)</f>
        <v>1108959</v>
      </c>
      <c r="O4701">
        <f>IF(G4701="Not available","",VLOOKUP(F4701,Sheet2!$B$1:$E$19,4,FALSE)+(G4701-1))</f>
        <v>3780040</v>
      </c>
    </row>
    <row r="4702" spans="1:15" s="3" customFormat="1" ht="15" customHeight="1" x14ac:dyDescent="0.25">
      <c r="A4702" s="18" t="s">
        <v>584</v>
      </c>
      <c r="B4702" s="18" t="s">
        <v>601</v>
      </c>
      <c r="C4702" s="5">
        <v>1826</v>
      </c>
      <c r="D4702" s="1"/>
      <c r="E4702" s="1" t="s">
        <v>2</v>
      </c>
      <c r="F4702" s="18">
        <v>2173</v>
      </c>
      <c r="G4702" s="18">
        <v>80</v>
      </c>
      <c r="H4702" s="5">
        <v>152</v>
      </c>
      <c r="I4702" s="1">
        <v>118</v>
      </c>
      <c r="J4702" s="1">
        <v>256</v>
      </c>
      <c r="K4702" s="1"/>
      <c r="L4702" t="str">
        <f t="shared" si="73"/>
        <v>http://www.badatelna.eu/reprodukce/?fondId=1073&amp;zaznamId=1108959&amp;reproId=3780073</v>
      </c>
      <c r="M4702">
        <f>VLOOKUP(F4702,Sheet2!$B$1:$E$19,2,FALSE)</f>
        <v>1073</v>
      </c>
      <c r="N4702">
        <f>VLOOKUP(F4702,Sheet2!$B$1:$E$19,3,FALSE)</f>
        <v>1108959</v>
      </c>
      <c r="O4702">
        <f>IF(G4702="Not available","",VLOOKUP(F4702,Sheet2!$B$1:$E$19,4,FALSE)+(G4702-1))</f>
        <v>3780073</v>
      </c>
    </row>
    <row r="4703" spans="1:15" s="3" customFormat="1" ht="15" customHeight="1" x14ac:dyDescent="0.25">
      <c r="A4703" s="18" t="s">
        <v>584</v>
      </c>
      <c r="B4703" s="18" t="s">
        <v>65</v>
      </c>
      <c r="C4703" s="5">
        <v>1823</v>
      </c>
      <c r="D4703" s="1"/>
      <c r="E4703" s="1" t="s">
        <v>2</v>
      </c>
      <c r="F4703" s="18">
        <v>2173</v>
      </c>
      <c r="G4703" s="18">
        <v>74</v>
      </c>
      <c r="H4703" s="5">
        <v>140</v>
      </c>
      <c r="I4703" s="1">
        <v>118</v>
      </c>
      <c r="J4703" s="1">
        <v>256</v>
      </c>
      <c r="K4703" s="1"/>
      <c r="L4703" t="str">
        <f t="shared" si="73"/>
        <v>http://www.badatelna.eu/reprodukce/?fondId=1073&amp;zaznamId=1108959&amp;reproId=3780067</v>
      </c>
      <c r="M4703">
        <f>VLOOKUP(F4703,Sheet2!$B$1:$E$19,2,FALSE)</f>
        <v>1073</v>
      </c>
      <c r="N4703">
        <f>VLOOKUP(F4703,Sheet2!$B$1:$E$19,3,FALSE)</f>
        <v>1108959</v>
      </c>
      <c r="O4703">
        <f>IF(G4703="Not available","",VLOOKUP(F4703,Sheet2!$B$1:$E$19,4,FALSE)+(G4703-1))</f>
        <v>3780067</v>
      </c>
    </row>
    <row r="4704" spans="1:15" s="3" customFormat="1" ht="15" customHeight="1" x14ac:dyDescent="0.25">
      <c r="A4704" s="18" t="s">
        <v>584</v>
      </c>
      <c r="B4704" s="18" t="s">
        <v>12</v>
      </c>
      <c r="C4704" s="5">
        <v>1815</v>
      </c>
      <c r="D4704" s="1"/>
      <c r="E4704" s="1" t="s">
        <v>2</v>
      </c>
      <c r="F4704" s="18">
        <v>2173</v>
      </c>
      <c r="G4704" s="18">
        <v>64</v>
      </c>
      <c r="H4704" s="5">
        <v>123</v>
      </c>
      <c r="I4704" s="1">
        <v>118</v>
      </c>
      <c r="J4704" s="1">
        <v>256</v>
      </c>
      <c r="K4704" s="1"/>
      <c r="L4704" t="str">
        <f t="shared" si="73"/>
        <v>http://www.badatelna.eu/reprodukce/?fondId=1073&amp;zaznamId=1108959&amp;reproId=3780057</v>
      </c>
      <c r="M4704">
        <f>VLOOKUP(F4704,Sheet2!$B$1:$E$19,2,FALSE)</f>
        <v>1073</v>
      </c>
      <c r="N4704">
        <f>VLOOKUP(F4704,Sheet2!$B$1:$E$19,3,FALSE)</f>
        <v>1108959</v>
      </c>
      <c r="O4704">
        <f>IF(G4704="Not available","",VLOOKUP(F4704,Sheet2!$B$1:$E$19,4,FALSE)+(G4704-1))</f>
        <v>3780057</v>
      </c>
    </row>
    <row r="4705" spans="1:15" s="3" customFormat="1" ht="15" customHeight="1" x14ac:dyDescent="0.25">
      <c r="A4705" s="18" t="s">
        <v>584</v>
      </c>
      <c r="B4705" s="18" t="s">
        <v>12</v>
      </c>
      <c r="C4705" s="5">
        <v>1825</v>
      </c>
      <c r="D4705" s="1"/>
      <c r="E4705" s="1" t="s">
        <v>2</v>
      </c>
      <c r="F4705" s="18">
        <v>2173</v>
      </c>
      <c r="G4705" s="18">
        <v>77</v>
      </c>
      <c r="H4705" s="5">
        <v>146</v>
      </c>
      <c r="I4705" s="1">
        <v>118</v>
      </c>
      <c r="J4705" s="1">
        <v>256</v>
      </c>
      <c r="K4705" s="1"/>
      <c r="L4705" t="str">
        <f t="shared" si="73"/>
        <v>http://www.badatelna.eu/reprodukce/?fondId=1073&amp;zaznamId=1108959&amp;reproId=3780070</v>
      </c>
      <c r="M4705">
        <f>VLOOKUP(F4705,Sheet2!$B$1:$E$19,2,FALSE)</f>
        <v>1073</v>
      </c>
      <c r="N4705">
        <f>VLOOKUP(F4705,Sheet2!$B$1:$E$19,3,FALSE)</f>
        <v>1108959</v>
      </c>
      <c r="O4705">
        <f>IF(G4705="Not available","",VLOOKUP(F4705,Sheet2!$B$1:$E$19,4,FALSE)+(G4705-1))</f>
        <v>3780070</v>
      </c>
    </row>
    <row r="4706" spans="1:15" s="3" customFormat="1" ht="15" customHeight="1" x14ac:dyDescent="0.25">
      <c r="A4706" s="18" t="s">
        <v>584</v>
      </c>
      <c r="B4706" s="18" t="s">
        <v>12</v>
      </c>
      <c r="C4706" s="5">
        <v>1859</v>
      </c>
      <c r="D4706" s="1"/>
      <c r="E4706" s="1" t="s">
        <v>939</v>
      </c>
      <c r="F4706" s="18">
        <v>999</v>
      </c>
      <c r="G4706" s="18">
        <v>14</v>
      </c>
      <c r="H4706" s="5">
        <v>12</v>
      </c>
      <c r="I4706" s="1">
        <v>77</v>
      </c>
      <c r="J4706" s="1">
        <v>112</v>
      </c>
      <c r="K4706" s="1"/>
      <c r="L4706" t="str">
        <f t="shared" si="73"/>
        <v>http://www.badatelna.eu/reprodukce/?fondId=241&amp;zaznamId=1133739&amp;reproId=3885743</v>
      </c>
      <c r="M4706">
        <f>VLOOKUP(F4706,Sheet2!$B$1:$E$19,2,FALSE)</f>
        <v>241</v>
      </c>
      <c r="N4706">
        <f>VLOOKUP(F4706,Sheet2!$B$1:$E$19,3,FALSE)</f>
        <v>1133739</v>
      </c>
      <c r="O4706">
        <f>IF(G4706="Not available","",VLOOKUP(F4706,Sheet2!$B$1:$E$19,4,FALSE)+(G4706-1))</f>
        <v>3885743</v>
      </c>
    </row>
    <row r="4707" spans="1:15" s="3" customFormat="1" ht="15" customHeight="1" x14ac:dyDescent="0.25">
      <c r="A4707" s="18" t="s">
        <v>584</v>
      </c>
      <c r="B4707" s="18" t="s">
        <v>431</v>
      </c>
      <c r="C4707" s="5">
        <v>1854</v>
      </c>
      <c r="D4707" s="1" t="s">
        <v>146</v>
      </c>
      <c r="E4707" s="1" t="s">
        <v>2</v>
      </c>
      <c r="F4707" s="18">
        <v>2164</v>
      </c>
      <c r="G4707" s="18">
        <v>99</v>
      </c>
      <c r="H4707" s="5">
        <v>97</v>
      </c>
      <c r="I4707" s="1">
        <v>140</v>
      </c>
      <c r="J4707" s="3" t="s">
        <v>3271</v>
      </c>
      <c r="K4707" s="1"/>
      <c r="L4707" t="str">
        <f t="shared" si="73"/>
        <v>http://www.badatelna.eu/reprodukce/?fondId=1073&amp;zaznamId=1108951&amp;reproId=3778813</v>
      </c>
      <c r="M4707">
        <f>VLOOKUP(F4707,Sheet2!$B$1:$E$19,2,FALSE)</f>
        <v>1073</v>
      </c>
      <c r="N4707">
        <f>VLOOKUP(F4707,Sheet2!$B$1:$E$19,3,FALSE)</f>
        <v>1108951</v>
      </c>
      <c r="O4707">
        <f>IF(G4707="Not available","",VLOOKUP(F4707,Sheet2!$B$1:$E$19,4,FALSE)+(G4707-1))</f>
        <v>3778813</v>
      </c>
    </row>
    <row r="4708" spans="1:15" s="3" customFormat="1" ht="15" customHeight="1" x14ac:dyDescent="0.25">
      <c r="A4708" s="18" t="s">
        <v>584</v>
      </c>
      <c r="B4708" s="18" t="s">
        <v>40</v>
      </c>
      <c r="C4708" s="5">
        <v>1798</v>
      </c>
      <c r="D4708" s="1"/>
      <c r="E4708" s="1" t="s">
        <v>2</v>
      </c>
      <c r="F4708" s="18">
        <v>2173</v>
      </c>
      <c r="G4708" s="18">
        <v>41</v>
      </c>
      <c r="H4708" s="5">
        <v>76</v>
      </c>
      <c r="I4708" s="1">
        <v>117</v>
      </c>
      <c r="J4708" s="1">
        <v>255</v>
      </c>
      <c r="K4708" s="1"/>
      <c r="L4708" t="str">
        <f t="shared" si="73"/>
        <v>http://www.badatelna.eu/reprodukce/?fondId=1073&amp;zaznamId=1108959&amp;reproId=3780034</v>
      </c>
      <c r="M4708">
        <f>VLOOKUP(F4708,Sheet2!$B$1:$E$19,2,FALSE)</f>
        <v>1073</v>
      </c>
      <c r="N4708">
        <f>VLOOKUP(F4708,Sheet2!$B$1:$E$19,3,FALSE)</f>
        <v>1108959</v>
      </c>
      <c r="O4708">
        <f>IF(G4708="Not available","",VLOOKUP(F4708,Sheet2!$B$1:$E$19,4,FALSE)+(G4708-1))</f>
        <v>3780034</v>
      </c>
    </row>
    <row r="4709" spans="1:15" s="3" customFormat="1" ht="15" customHeight="1" x14ac:dyDescent="0.25">
      <c r="A4709" s="18" t="s">
        <v>584</v>
      </c>
      <c r="B4709" s="18" t="s">
        <v>40</v>
      </c>
      <c r="C4709" s="5">
        <v>1847</v>
      </c>
      <c r="D4709" s="1" t="s">
        <v>50</v>
      </c>
      <c r="E4709" s="1" t="s">
        <v>2</v>
      </c>
      <c r="F4709" s="18">
        <v>2164</v>
      </c>
      <c r="G4709" s="18">
        <v>15</v>
      </c>
      <c r="H4709" s="5">
        <v>13</v>
      </c>
      <c r="I4709" s="1">
        <v>140</v>
      </c>
      <c r="J4709" s="3" t="s">
        <v>3271</v>
      </c>
      <c r="K4709" s="1"/>
      <c r="L4709" t="str">
        <f t="shared" si="73"/>
        <v>http://www.badatelna.eu/reprodukce/?fondId=1073&amp;zaznamId=1108951&amp;reproId=3778729</v>
      </c>
      <c r="M4709">
        <f>VLOOKUP(F4709,Sheet2!$B$1:$E$19,2,FALSE)</f>
        <v>1073</v>
      </c>
      <c r="N4709">
        <f>VLOOKUP(F4709,Sheet2!$B$1:$E$19,3,FALSE)</f>
        <v>1108951</v>
      </c>
      <c r="O4709">
        <f>IF(G4709="Not available","",VLOOKUP(F4709,Sheet2!$B$1:$E$19,4,FALSE)+(G4709-1))</f>
        <v>3778729</v>
      </c>
    </row>
    <row r="4710" spans="1:15" s="3" customFormat="1" ht="15" customHeight="1" x14ac:dyDescent="0.25">
      <c r="A4710" s="18" t="s">
        <v>584</v>
      </c>
      <c r="B4710" s="18" t="s">
        <v>758</v>
      </c>
      <c r="C4710" s="5">
        <v>1842</v>
      </c>
      <c r="D4710" s="1" t="s">
        <v>50</v>
      </c>
      <c r="E4710" s="1" t="s">
        <v>2</v>
      </c>
      <c r="F4710" s="18">
        <v>2174</v>
      </c>
      <c r="G4710" s="18">
        <v>130</v>
      </c>
      <c r="H4710" s="6" t="s">
        <v>3191</v>
      </c>
      <c r="I4710" s="1">
        <v>205</v>
      </c>
      <c r="J4710" s="1">
        <v>240</v>
      </c>
      <c r="K4710" s="1"/>
      <c r="L4710" t="str">
        <f t="shared" si="73"/>
        <v>http://www.badatelna.eu/reprodukce/?fondId=1073&amp;zaznamId=1108960&amp;reproId=3780354</v>
      </c>
      <c r="M4710">
        <f>VLOOKUP(F4710,Sheet2!$B$1:$E$19,2,FALSE)</f>
        <v>1073</v>
      </c>
      <c r="N4710">
        <f>VLOOKUP(F4710,Sheet2!$B$1:$E$19,3,FALSE)</f>
        <v>1108960</v>
      </c>
      <c r="O4710">
        <f>IF(G4710="Not available","",VLOOKUP(F4710,Sheet2!$B$1:$E$19,4,FALSE)+(G4710-1))</f>
        <v>3780354</v>
      </c>
    </row>
    <row r="4711" spans="1:15" s="3" customFormat="1" ht="15" customHeight="1" x14ac:dyDescent="0.25">
      <c r="A4711" s="18" t="s">
        <v>584</v>
      </c>
      <c r="B4711" s="18" t="s">
        <v>120</v>
      </c>
      <c r="C4711" s="5">
        <v>1829</v>
      </c>
      <c r="D4711" s="1"/>
      <c r="E4711" s="1" t="s">
        <v>2</v>
      </c>
      <c r="F4711" s="18">
        <v>2173</v>
      </c>
      <c r="G4711" s="18">
        <v>82</v>
      </c>
      <c r="H4711" s="5">
        <v>156</v>
      </c>
      <c r="I4711" s="1">
        <v>118</v>
      </c>
      <c r="J4711" s="1">
        <v>256</v>
      </c>
      <c r="K4711" s="1"/>
      <c r="L4711" t="str">
        <f t="shared" si="73"/>
        <v>http://www.badatelna.eu/reprodukce/?fondId=1073&amp;zaznamId=1108959&amp;reproId=3780075</v>
      </c>
      <c r="M4711">
        <f>VLOOKUP(F4711,Sheet2!$B$1:$E$19,2,FALSE)</f>
        <v>1073</v>
      </c>
      <c r="N4711">
        <f>VLOOKUP(F4711,Sheet2!$B$1:$E$19,3,FALSE)</f>
        <v>1108959</v>
      </c>
      <c r="O4711">
        <f>IF(G4711="Not available","",VLOOKUP(F4711,Sheet2!$B$1:$E$19,4,FALSE)+(G4711-1))</f>
        <v>3780075</v>
      </c>
    </row>
    <row r="4712" spans="1:15" s="3" customFormat="1" ht="15" customHeight="1" x14ac:dyDescent="0.25">
      <c r="A4712" s="18" t="s">
        <v>584</v>
      </c>
      <c r="B4712" s="18" t="s">
        <v>138</v>
      </c>
      <c r="C4712" s="5">
        <v>1811</v>
      </c>
      <c r="D4712" s="1"/>
      <c r="E4712" s="1" t="s">
        <v>2</v>
      </c>
      <c r="F4712" s="18">
        <v>2173</v>
      </c>
      <c r="G4712" s="18">
        <v>58</v>
      </c>
      <c r="H4712" s="5">
        <v>110</v>
      </c>
      <c r="I4712" s="1">
        <v>118</v>
      </c>
      <c r="J4712" s="1">
        <v>256</v>
      </c>
      <c r="K4712" s="1"/>
      <c r="L4712" t="str">
        <f t="shared" si="73"/>
        <v>http://www.badatelna.eu/reprodukce/?fondId=1073&amp;zaznamId=1108959&amp;reproId=3780051</v>
      </c>
      <c r="M4712">
        <f>VLOOKUP(F4712,Sheet2!$B$1:$E$19,2,FALSE)</f>
        <v>1073</v>
      </c>
      <c r="N4712">
        <f>VLOOKUP(F4712,Sheet2!$B$1:$E$19,3,FALSE)</f>
        <v>1108959</v>
      </c>
      <c r="O4712">
        <f>IF(G4712="Not available","",VLOOKUP(F4712,Sheet2!$B$1:$E$19,4,FALSE)+(G4712-1))</f>
        <v>3780051</v>
      </c>
    </row>
    <row r="4713" spans="1:15" s="3" customFormat="1" ht="15" customHeight="1" x14ac:dyDescent="0.25">
      <c r="A4713" s="18" t="s">
        <v>584</v>
      </c>
      <c r="B4713" s="18" t="s">
        <v>138</v>
      </c>
      <c r="C4713" s="5" t="s">
        <v>1672</v>
      </c>
      <c r="D4713" s="1" t="s">
        <v>197</v>
      </c>
      <c r="E4713" s="1" t="s">
        <v>2</v>
      </c>
      <c r="F4713" s="18">
        <v>2165</v>
      </c>
      <c r="G4713" s="18">
        <v>57</v>
      </c>
      <c r="H4713" s="5">
        <v>54</v>
      </c>
      <c r="I4713" s="1">
        <v>94</v>
      </c>
      <c r="J4713" s="1" t="s">
        <v>3271</v>
      </c>
      <c r="K4713" s="1"/>
      <c r="L4713" t="str">
        <f t="shared" si="73"/>
        <v>http://www.badatelna.eu/reprodukce/?fondId=1073&amp;zaznamId=1108952&amp;reproId=3778918</v>
      </c>
      <c r="M4713">
        <f>VLOOKUP(F4713,Sheet2!$B$1:$E$19,2,FALSE)</f>
        <v>1073</v>
      </c>
      <c r="N4713">
        <f>VLOOKUP(F4713,Sheet2!$B$1:$E$19,3,FALSE)</f>
        <v>1108952</v>
      </c>
      <c r="O4713">
        <f>IF(G4713="Not available","",VLOOKUP(F4713,Sheet2!$B$1:$E$19,4,FALSE)+(G4713-1))</f>
        <v>3778918</v>
      </c>
    </row>
    <row r="4714" spans="1:15" s="3" customFormat="1" ht="15" customHeight="1" x14ac:dyDescent="0.25">
      <c r="A4714" s="18" t="s">
        <v>584</v>
      </c>
      <c r="B4714" s="18" t="s">
        <v>26</v>
      </c>
      <c r="C4714" s="5">
        <v>1816</v>
      </c>
      <c r="D4714" s="1"/>
      <c r="E4714" s="1" t="s">
        <v>2</v>
      </c>
      <c r="F4714" s="18">
        <v>2173</v>
      </c>
      <c r="G4714" s="18">
        <v>67</v>
      </c>
      <c r="H4714" s="6" t="s">
        <v>2999</v>
      </c>
      <c r="I4714" s="1">
        <v>118</v>
      </c>
      <c r="J4714" s="1">
        <v>256</v>
      </c>
      <c r="K4714" s="1"/>
      <c r="L4714" t="str">
        <f t="shared" si="73"/>
        <v>http://www.badatelna.eu/reprodukce/?fondId=1073&amp;zaznamId=1108959&amp;reproId=3780060</v>
      </c>
      <c r="M4714">
        <f>VLOOKUP(F4714,Sheet2!$B$1:$E$19,2,FALSE)</f>
        <v>1073</v>
      </c>
      <c r="N4714">
        <f>VLOOKUP(F4714,Sheet2!$B$1:$E$19,3,FALSE)</f>
        <v>1108959</v>
      </c>
      <c r="O4714">
        <f>IF(G4714="Not available","",VLOOKUP(F4714,Sheet2!$B$1:$E$19,4,FALSE)+(G4714-1))</f>
        <v>3780060</v>
      </c>
    </row>
    <row r="4715" spans="1:15" s="3" customFormat="1" ht="15" customHeight="1" x14ac:dyDescent="0.25">
      <c r="A4715" s="18" t="s">
        <v>584</v>
      </c>
      <c r="B4715" s="18" t="s">
        <v>26</v>
      </c>
      <c r="C4715" s="5">
        <v>1833</v>
      </c>
      <c r="D4715" s="1" t="s">
        <v>788</v>
      </c>
      <c r="E4715" s="1" t="s">
        <v>2</v>
      </c>
      <c r="F4715" s="18">
        <v>2174</v>
      </c>
      <c r="G4715" s="18">
        <v>73</v>
      </c>
      <c r="H4715" s="14" t="s">
        <v>3138</v>
      </c>
      <c r="I4715" s="1">
        <v>204</v>
      </c>
      <c r="J4715" s="1">
        <v>239</v>
      </c>
      <c r="K4715" s="1"/>
      <c r="L4715" t="str">
        <f t="shared" si="73"/>
        <v>http://www.badatelna.eu/reprodukce/?fondId=1073&amp;zaznamId=1108960&amp;reproId=3780297</v>
      </c>
      <c r="M4715">
        <f>VLOOKUP(F4715,Sheet2!$B$1:$E$19,2,FALSE)</f>
        <v>1073</v>
      </c>
      <c r="N4715">
        <f>VLOOKUP(F4715,Sheet2!$B$1:$E$19,3,FALSE)</f>
        <v>1108960</v>
      </c>
      <c r="O4715">
        <f>IF(G4715="Not available","",VLOOKUP(F4715,Sheet2!$B$1:$E$19,4,FALSE)+(G4715-1))</f>
        <v>3780297</v>
      </c>
    </row>
    <row r="4716" spans="1:15" s="3" customFormat="1" ht="15" customHeight="1" x14ac:dyDescent="0.25">
      <c r="A4716" s="18" t="s">
        <v>584</v>
      </c>
      <c r="B4716" s="18" t="s">
        <v>936</v>
      </c>
      <c r="C4716" s="5">
        <v>1850</v>
      </c>
      <c r="D4716" s="1" t="s">
        <v>6</v>
      </c>
      <c r="E4716" s="1" t="s">
        <v>2</v>
      </c>
      <c r="F4716" s="18">
        <v>2164</v>
      </c>
      <c r="G4716" s="18">
        <v>70</v>
      </c>
      <c r="H4716" s="5">
        <v>68</v>
      </c>
      <c r="I4716" s="1">
        <v>140</v>
      </c>
      <c r="J4716" s="3" t="s">
        <v>3271</v>
      </c>
      <c r="K4716" s="1"/>
      <c r="L4716" t="str">
        <f t="shared" si="73"/>
        <v>http://www.badatelna.eu/reprodukce/?fondId=1073&amp;zaznamId=1108951&amp;reproId=3778784</v>
      </c>
      <c r="M4716">
        <f>VLOOKUP(F4716,Sheet2!$B$1:$E$19,2,FALSE)</f>
        <v>1073</v>
      </c>
      <c r="N4716">
        <f>VLOOKUP(F4716,Sheet2!$B$1:$E$19,3,FALSE)</f>
        <v>1108951</v>
      </c>
      <c r="O4716">
        <f>IF(G4716="Not available","",VLOOKUP(F4716,Sheet2!$B$1:$E$19,4,FALSE)+(G4716-1))</f>
        <v>3778784</v>
      </c>
    </row>
    <row r="4717" spans="1:15" s="3" customFormat="1" ht="15" customHeight="1" x14ac:dyDescent="0.25">
      <c r="A4717" s="18" t="s">
        <v>584</v>
      </c>
      <c r="B4717" s="18" t="s">
        <v>4</v>
      </c>
      <c r="C4717" s="5">
        <v>1804</v>
      </c>
      <c r="D4717" s="1"/>
      <c r="E4717" s="1" t="s">
        <v>2</v>
      </c>
      <c r="F4717" s="18">
        <v>2173</v>
      </c>
      <c r="G4717" s="18">
        <v>48</v>
      </c>
      <c r="H4717" s="6" t="s">
        <v>3342</v>
      </c>
      <c r="I4717" s="1">
        <v>117</v>
      </c>
      <c r="J4717" s="1">
        <v>255</v>
      </c>
      <c r="K4717" s="1"/>
      <c r="L4717" t="str">
        <f t="shared" si="73"/>
        <v>http://www.badatelna.eu/reprodukce/?fondId=1073&amp;zaznamId=1108959&amp;reproId=3780041</v>
      </c>
      <c r="M4717">
        <f>VLOOKUP(F4717,Sheet2!$B$1:$E$19,2,FALSE)</f>
        <v>1073</v>
      </c>
      <c r="N4717">
        <f>VLOOKUP(F4717,Sheet2!$B$1:$E$19,3,FALSE)</f>
        <v>1108959</v>
      </c>
      <c r="O4717">
        <f>IF(G4717="Not available","",VLOOKUP(F4717,Sheet2!$B$1:$E$19,4,FALSE)+(G4717-1))</f>
        <v>3780041</v>
      </c>
    </row>
    <row r="4718" spans="1:15" s="3" customFormat="1" ht="15" customHeight="1" x14ac:dyDescent="0.25">
      <c r="A4718" s="18" t="s">
        <v>584</v>
      </c>
      <c r="B4718" s="18" t="s">
        <v>137</v>
      </c>
      <c r="C4718" s="5">
        <v>1802</v>
      </c>
      <c r="D4718" s="1"/>
      <c r="E4718" s="1" t="s">
        <v>2</v>
      </c>
      <c r="F4718" s="18">
        <v>2173</v>
      </c>
      <c r="G4718" s="18">
        <v>45</v>
      </c>
      <c r="H4718" s="5">
        <v>84</v>
      </c>
      <c r="I4718" s="1">
        <v>117</v>
      </c>
      <c r="J4718" s="1">
        <v>255</v>
      </c>
      <c r="K4718" s="1"/>
      <c r="L4718" t="str">
        <f t="shared" si="73"/>
        <v>http://www.badatelna.eu/reprodukce/?fondId=1073&amp;zaznamId=1108959&amp;reproId=3780038</v>
      </c>
      <c r="M4718">
        <f>VLOOKUP(F4718,Sheet2!$B$1:$E$19,2,FALSE)</f>
        <v>1073</v>
      </c>
      <c r="N4718">
        <f>VLOOKUP(F4718,Sheet2!$B$1:$E$19,3,FALSE)</f>
        <v>1108959</v>
      </c>
      <c r="O4718">
        <f>IF(G4718="Not available","",VLOOKUP(F4718,Sheet2!$B$1:$E$19,4,FALSE)+(G4718-1))</f>
        <v>3780038</v>
      </c>
    </row>
    <row r="4719" spans="1:15" s="3" customFormat="1" ht="15" customHeight="1" x14ac:dyDescent="0.25">
      <c r="A4719" s="18" t="s">
        <v>584</v>
      </c>
      <c r="B4719" s="18" t="s">
        <v>863</v>
      </c>
      <c r="C4719" s="5">
        <v>1852</v>
      </c>
      <c r="D4719" s="1" t="s">
        <v>50</v>
      </c>
      <c r="E4719" s="1" t="s">
        <v>2</v>
      </c>
      <c r="F4719" s="18">
        <v>2164</v>
      </c>
      <c r="G4719" s="18">
        <v>84</v>
      </c>
      <c r="H4719" s="5">
        <v>82</v>
      </c>
      <c r="I4719" s="1">
        <v>140</v>
      </c>
      <c r="J4719" s="3" t="s">
        <v>3271</v>
      </c>
      <c r="K4719" s="1"/>
      <c r="L4719" t="str">
        <f t="shared" si="73"/>
        <v>http://www.badatelna.eu/reprodukce/?fondId=1073&amp;zaznamId=1108951&amp;reproId=3778798</v>
      </c>
      <c r="M4719">
        <f>VLOOKUP(F4719,Sheet2!$B$1:$E$19,2,FALSE)</f>
        <v>1073</v>
      </c>
      <c r="N4719">
        <f>VLOOKUP(F4719,Sheet2!$B$1:$E$19,3,FALSE)</f>
        <v>1108951</v>
      </c>
      <c r="O4719">
        <f>IF(G4719="Not available","",VLOOKUP(F4719,Sheet2!$B$1:$E$19,4,FALSE)+(G4719-1))</f>
        <v>3778798</v>
      </c>
    </row>
    <row r="4720" spans="1:15" s="3" customFormat="1" ht="15" customHeight="1" x14ac:dyDescent="0.25">
      <c r="A4720" s="18" t="s">
        <v>584</v>
      </c>
      <c r="B4720" s="18" t="s">
        <v>172</v>
      </c>
      <c r="C4720" s="5">
        <v>1852</v>
      </c>
      <c r="D4720" s="1" t="s">
        <v>6</v>
      </c>
      <c r="E4720" s="1" t="s">
        <v>2</v>
      </c>
      <c r="F4720" s="18">
        <v>2164</v>
      </c>
      <c r="G4720" s="18">
        <v>85</v>
      </c>
      <c r="H4720" s="5">
        <v>83</v>
      </c>
      <c r="I4720" s="1">
        <v>140</v>
      </c>
      <c r="J4720" s="3" t="s">
        <v>3271</v>
      </c>
      <c r="K4720" s="1"/>
      <c r="L4720" t="str">
        <f t="shared" si="73"/>
        <v>http://www.badatelna.eu/reprodukce/?fondId=1073&amp;zaznamId=1108951&amp;reproId=3778799</v>
      </c>
      <c r="M4720">
        <f>VLOOKUP(F4720,Sheet2!$B$1:$E$19,2,FALSE)</f>
        <v>1073</v>
      </c>
      <c r="N4720">
        <f>VLOOKUP(F4720,Sheet2!$B$1:$E$19,3,FALSE)</f>
        <v>1108951</v>
      </c>
      <c r="O4720">
        <f>IF(G4720="Not available","",VLOOKUP(F4720,Sheet2!$B$1:$E$19,4,FALSE)+(G4720-1))</f>
        <v>3778799</v>
      </c>
    </row>
    <row r="4721" spans="1:15" s="3" customFormat="1" ht="15" customHeight="1" x14ac:dyDescent="0.25">
      <c r="A4721" s="18" t="s">
        <v>584</v>
      </c>
      <c r="B4721" s="18" t="s">
        <v>56</v>
      </c>
      <c r="C4721" s="5">
        <v>1790</v>
      </c>
      <c r="D4721" s="1"/>
      <c r="E4721" s="1" t="s">
        <v>2</v>
      </c>
      <c r="F4721" s="18">
        <v>2173</v>
      </c>
      <c r="G4721" s="18">
        <v>23</v>
      </c>
      <c r="H4721" s="5">
        <v>40</v>
      </c>
      <c r="I4721" s="1">
        <v>117</v>
      </c>
      <c r="J4721" s="1">
        <v>255</v>
      </c>
      <c r="K4721" s="1"/>
      <c r="L4721" t="str">
        <f t="shared" si="73"/>
        <v>http://www.badatelna.eu/reprodukce/?fondId=1073&amp;zaznamId=1108959&amp;reproId=3780016</v>
      </c>
      <c r="M4721">
        <f>VLOOKUP(F4721,Sheet2!$B$1:$E$19,2,FALSE)</f>
        <v>1073</v>
      </c>
      <c r="N4721">
        <f>VLOOKUP(F4721,Sheet2!$B$1:$E$19,3,FALSE)</f>
        <v>1108959</v>
      </c>
      <c r="O4721">
        <f>IF(G4721="Not available","",VLOOKUP(F4721,Sheet2!$B$1:$E$19,4,FALSE)+(G4721-1))</f>
        <v>3780016</v>
      </c>
    </row>
    <row r="4722" spans="1:15" s="3" customFormat="1" ht="15" customHeight="1" x14ac:dyDescent="0.25">
      <c r="A4722" s="18" t="s">
        <v>584</v>
      </c>
      <c r="B4722" s="18" t="s">
        <v>56</v>
      </c>
      <c r="C4722" s="5">
        <v>1813</v>
      </c>
      <c r="D4722" s="1"/>
      <c r="E4722" s="1" t="s">
        <v>2</v>
      </c>
      <c r="F4722" s="18">
        <v>2173</v>
      </c>
      <c r="G4722" s="18">
        <v>60</v>
      </c>
      <c r="H4722" s="5">
        <v>115</v>
      </c>
      <c r="I4722" s="1">
        <v>118</v>
      </c>
      <c r="J4722" s="1">
        <v>256</v>
      </c>
      <c r="K4722" s="1"/>
      <c r="L4722" t="str">
        <f t="shared" si="73"/>
        <v>http://www.badatelna.eu/reprodukce/?fondId=1073&amp;zaznamId=1108959&amp;reproId=3780053</v>
      </c>
      <c r="M4722">
        <f>VLOOKUP(F4722,Sheet2!$B$1:$E$19,2,FALSE)</f>
        <v>1073</v>
      </c>
      <c r="N4722">
        <f>VLOOKUP(F4722,Sheet2!$B$1:$E$19,3,FALSE)</f>
        <v>1108959</v>
      </c>
      <c r="O4722">
        <f>IF(G4722="Not available","",VLOOKUP(F4722,Sheet2!$B$1:$E$19,4,FALSE)+(G4722-1))</f>
        <v>3780053</v>
      </c>
    </row>
    <row r="4723" spans="1:15" s="3" customFormat="1" ht="15" customHeight="1" x14ac:dyDescent="0.25">
      <c r="A4723" s="18" t="s">
        <v>584</v>
      </c>
      <c r="B4723" s="18" t="s">
        <v>792</v>
      </c>
      <c r="C4723" s="5">
        <v>1844</v>
      </c>
      <c r="D4723" s="1" t="s">
        <v>50</v>
      </c>
      <c r="E4723" s="1" t="s">
        <v>2</v>
      </c>
      <c r="F4723" s="18">
        <v>2174</v>
      </c>
      <c r="G4723" s="18">
        <v>146</v>
      </c>
      <c r="H4723" s="6" t="s">
        <v>3215</v>
      </c>
      <c r="I4723" s="1">
        <v>205</v>
      </c>
      <c r="J4723" s="1">
        <v>240</v>
      </c>
      <c r="K4723" s="1"/>
      <c r="L4723" t="str">
        <f t="shared" si="73"/>
        <v>http://www.badatelna.eu/reprodukce/?fondId=1073&amp;zaznamId=1108960&amp;reproId=3780370</v>
      </c>
      <c r="M4723">
        <f>VLOOKUP(F4723,Sheet2!$B$1:$E$19,2,FALSE)</f>
        <v>1073</v>
      </c>
      <c r="N4723">
        <f>VLOOKUP(F4723,Sheet2!$B$1:$E$19,3,FALSE)</f>
        <v>1108960</v>
      </c>
      <c r="O4723">
        <f>IF(G4723="Not available","",VLOOKUP(F4723,Sheet2!$B$1:$E$19,4,FALSE)+(G4723-1))</f>
        <v>3780370</v>
      </c>
    </row>
    <row r="4724" spans="1:15" s="3" customFormat="1" ht="15" customHeight="1" x14ac:dyDescent="0.25">
      <c r="A4724" s="18" t="s">
        <v>584</v>
      </c>
      <c r="B4724" s="18" t="s">
        <v>506</v>
      </c>
      <c r="C4724" s="5">
        <v>1866</v>
      </c>
      <c r="D4724" s="1"/>
      <c r="E4724" s="1" t="s">
        <v>939</v>
      </c>
      <c r="F4724" s="18">
        <v>999</v>
      </c>
      <c r="G4724" s="18">
        <v>57</v>
      </c>
      <c r="H4724" s="5">
        <v>55</v>
      </c>
      <c r="I4724" s="1">
        <v>77</v>
      </c>
      <c r="J4724" s="1">
        <v>112</v>
      </c>
      <c r="K4724" s="1"/>
      <c r="L4724" t="str">
        <f t="shared" si="73"/>
        <v>http://www.badatelna.eu/reprodukce/?fondId=241&amp;zaznamId=1133739&amp;reproId=3885786</v>
      </c>
      <c r="M4724">
        <f>VLOOKUP(F4724,Sheet2!$B$1:$E$19,2,FALSE)</f>
        <v>241</v>
      </c>
      <c r="N4724">
        <f>VLOOKUP(F4724,Sheet2!$B$1:$E$19,3,FALSE)</f>
        <v>1133739</v>
      </c>
      <c r="O4724">
        <f>IF(G4724="Not available","",VLOOKUP(F4724,Sheet2!$B$1:$E$19,4,FALSE)+(G4724-1))</f>
        <v>3885786</v>
      </c>
    </row>
    <row r="4725" spans="1:15" s="3" customFormat="1" ht="15" customHeight="1" x14ac:dyDescent="0.25">
      <c r="A4725" s="18" t="s">
        <v>584</v>
      </c>
      <c r="B4725" s="18" t="s">
        <v>506</v>
      </c>
      <c r="C4725" s="5" t="s">
        <v>1670</v>
      </c>
      <c r="D4725" s="1" t="s">
        <v>6</v>
      </c>
      <c r="E4725" s="1" t="s">
        <v>2</v>
      </c>
      <c r="F4725" s="18">
        <v>2165</v>
      </c>
      <c r="G4725" s="18">
        <v>12</v>
      </c>
      <c r="H4725" s="5">
        <v>9</v>
      </c>
      <c r="I4725" s="1">
        <v>94</v>
      </c>
      <c r="J4725" s="1" t="s">
        <v>3271</v>
      </c>
      <c r="K4725" s="1"/>
      <c r="L4725" t="str">
        <f t="shared" si="73"/>
        <v>http://www.badatelna.eu/reprodukce/?fondId=1073&amp;zaznamId=1108952&amp;reproId=3778873</v>
      </c>
      <c r="M4725">
        <f>VLOOKUP(F4725,Sheet2!$B$1:$E$19,2,FALSE)</f>
        <v>1073</v>
      </c>
      <c r="N4725">
        <f>VLOOKUP(F4725,Sheet2!$B$1:$E$19,3,FALSE)</f>
        <v>1108952</v>
      </c>
      <c r="O4725">
        <f>IF(G4725="Not available","",VLOOKUP(F4725,Sheet2!$B$1:$E$19,4,FALSE)+(G4725-1))</f>
        <v>3778873</v>
      </c>
    </row>
    <row r="4726" spans="1:15" s="3" customFormat="1" ht="15" customHeight="1" x14ac:dyDescent="0.25">
      <c r="A4726" s="18" t="s">
        <v>584</v>
      </c>
      <c r="B4726" s="18" t="s">
        <v>479</v>
      </c>
      <c r="C4726" s="5">
        <v>1845</v>
      </c>
      <c r="D4726" s="1" t="s">
        <v>50</v>
      </c>
      <c r="E4726" s="1" t="s">
        <v>2</v>
      </c>
      <c r="F4726" s="18">
        <v>2174</v>
      </c>
      <c r="G4726" s="18">
        <v>158</v>
      </c>
      <c r="H4726" s="6" t="s">
        <v>3224</v>
      </c>
      <c r="I4726" s="1">
        <v>205</v>
      </c>
      <c r="J4726" s="1">
        <v>240</v>
      </c>
      <c r="K4726" s="1"/>
      <c r="L4726" t="str">
        <f t="shared" si="73"/>
        <v>http://www.badatelna.eu/reprodukce/?fondId=1073&amp;zaznamId=1108960&amp;reproId=3780382</v>
      </c>
      <c r="M4726">
        <f>VLOOKUP(F4726,Sheet2!$B$1:$E$19,2,FALSE)</f>
        <v>1073</v>
      </c>
      <c r="N4726">
        <f>VLOOKUP(F4726,Sheet2!$B$1:$E$19,3,FALSE)</f>
        <v>1108960</v>
      </c>
      <c r="O4726">
        <f>IF(G4726="Not available","",VLOOKUP(F4726,Sheet2!$B$1:$E$19,4,FALSE)+(G4726-1))</f>
        <v>3780382</v>
      </c>
    </row>
    <row r="4727" spans="1:15" s="3" customFormat="1" ht="15" customHeight="1" x14ac:dyDescent="0.25">
      <c r="A4727" s="18" t="s">
        <v>584</v>
      </c>
      <c r="B4727" s="18" t="s">
        <v>233</v>
      </c>
      <c r="C4727" s="5">
        <v>1856</v>
      </c>
      <c r="D4727" s="1" t="s">
        <v>773</v>
      </c>
      <c r="E4727" s="1" t="s">
        <v>2</v>
      </c>
      <c r="F4727" s="18">
        <v>2164</v>
      </c>
      <c r="G4727" s="18">
        <v>113</v>
      </c>
      <c r="H4727" s="5">
        <v>111</v>
      </c>
      <c r="I4727" s="1">
        <v>140</v>
      </c>
      <c r="J4727" s="3" t="s">
        <v>3271</v>
      </c>
      <c r="K4727" s="1"/>
      <c r="L4727" t="str">
        <f t="shared" si="73"/>
        <v>http://www.badatelna.eu/reprodukce/?fondId=1073&amp;zaznamId=1108951&amp;reproId=3778827</v>
      </c>
      <c r="M4727">
        <f>VLOOKUP(F4727,Sheet2!$B$1:$E$19,2,FALSE)</f>
        <v>1073</v>
      </c>
      <c r="N4727">
        <f>VLOOKUP(F4727,Sheet2!$B$1:$E$19,3,FALSE)</f>
        <v>1108951</v>
      </c>
      <c r="O4727">
        <f>IF(G4727="Not available","",VLOOKUP(F4727,Sheet2!$B$1:$E$19,4,FALSE)+(G4727-1))</f>
        <v>3778827</v>
      </c>
    </row>
    <row r="4728" spans="1:15" s="3" customFormat="1" ht="15" customHeight="1" x14ac:dyDescent="0.25">
      <c r="A4728" s="18" t="s">
        <v>584</v>
      </c>
      <c r="B4728" s="18" t="s">
        <v>233</v>
      </c>
      <c r="C4728" s="5">
        <v>1862</v>
      </c>
      <c r="D4728" s="1"/>
      <c r="E4728" s="1" t="s">
        <v>939</v>
      </c>
      <c r="F4728" s="18">
        <v>999</v>
      </c>
      <c r="G4728" s="18">
        <v>34</v>
      </c>
      <c r="H4728" s="5">
        <v>32</v>
      </c>
      <c r="I4728" s="1">
        <v>77</v>
      </c>
      <c r="J4728" s="1">
        <v>112</v>
      </c>
      <c r="K4728" s="1"/>
      <c r="L4728" t="str">
        <f t="shared" si="73"/>
        <v>http://www.badatelna.eu/reprodukce/?fondId=241&amp;zaznamId=1133739&amp;reproId=3885763</v>
      </c>
      <c r="M4728">
        <f>VLOOKUP(F4728,Sheet2!$B$1:$E$19,2,FALSE)</f>
        <v>241</v>
      </c>
      <c r="N4728">
        <f>VLOOKUP(F4728,Sheet2!$B$1:$E$19,3,FALSE)</f>
        <v>1133739</v>
      </c>
      <c r="O4728">
        <f>IF(G4728="Not available","",VLOOKUP(F4728,Sheet2!$B$1:$E$19,4,FALSE)+(G4728-1))</f>
        <v>3885763</v>
      </c>
    </row>
    <row r="4729" spans="1:15" s="3" customFormat="1" ht="15" customHeight="1" x14ac:dyDescent="0.25">
      <c r="A4729" s="18" t="s">
        <v>584</v>
      </c>
      <c r="B4729" s="18" t="s">
        <v>595</v>
      </c>
      <c r="C4729" s="5">
        <v>1812</v>
      </c>
      <c r="D4729" s="1"/>
      <c r="E4729" s="1" t="s">
        <v>2</v>
      </c>
      <c r="F4729" s="18">
        <v>2173</v>
      </c>
      <c r="G4729" s="18">
        <v>59</v>
      </c>
      <c r="H4729" s="5">
        <v>113</v>
      </c>
      <c r="I4729" s="1">
        <v>118</v>
      </c>
      <c r="J4729" s="1">
        <v>256</v>
      </c>
      <c r="K4729" s="1"/>
      <c r="L4729" t="str">
        <f t="shared" si="73"/>
        <v>http://www.badatelna.eu/reprodukce/?fondId=1073&amp;zaznamId=1108959&amp;reproId=3780052</v>
      </c>
      <c r="M4729">
        <f>VLOOKUP(F4729,Sheet2!$B$1:$E$19,2,FALSE)</f>
        <v>1073</v>
      </c>
      <c r="N4729">
        <f>VLOOKUP(F4729,Sheet2!$B$1:$E$19,3,FALSE)</f>
        <v>1108959</v>
      </c>
      <c r="O4729">
        <f>IF(G4729="Not available","",VLOOKUP(F4729,Sheet2!$B$1:$E$19,4,FALSE)+(G4729-1))</f>
        <v>3780052</v>
      </c>
    </row>
    <row r="4730" spans="1:15" s="3" customFormat="1" ht="15" customHeight="1" x14ac:dyDescent="0.25">
      <c r="A4730" s="18" t="s">
        <v>584</v>
      </c>
      <c r="B4730" s="18" t="s">
        <v>668</v>
      </c>
      <c r="C4730" s="5">
        <v>1858</v>
      </c>
      <c r="D4730" s="1"/>
      <c r="E4730" s="1" t="s">
        <v>939</v>
      </c>
      <c r="F4730" s="18">
        <v>999</v>
      </c>
      <c r="G4730" s="18">
        <v>6</v>
      </c>
      <c r="H4730" s="5">
        <v>4</v>
      </c>
      <c r="I4730" s="1">
        <v>77</v>
      </c>
      <c r="J4730" s="1">
        <v>112</v>
      </c>
      <c r="K4730" s="1"/>
      <c r="L4730" t="str">
        <f t="shared" si="73"/>
        <v>http://www.badatelna.eu/reprodukce/?fondId=241&amp;zaznamId=1133739&amp;reproId=3885735</v>
      </c>
      <c r="M4730">
        <f>VLOOKUP(F4730,Sheet2!$B$1:$E$19,2,FALSE)</f>
        <v>241</v>
      </c>
      <c r="N4730">
        <f>VLOOKUP(F4730,Sheet2!$B$1:$E$19,3,FALSE)</f>
        <v>1133739</v>
      </c>
      <c r="O4730">
        <f>IF(G4730="Not available","",VLOOKUP(F4730,Sheet2!$B$1:$E$19,4,FALSE)+(G4730-1))</f>
        <v>3885735</v>
      </c>
    </row>
    <row r="4731" spans="1:15" s="3" customFormat="1" ht="15" customHeight="1" x14ac:dyDescent="0.25">
      <c r="A4731" s="18" t="s">
        <v>584</v>
      </c>
      <c r="B4731" s="18" t="s">
        <v>310</v>
      </c>
      <c r="C4731" s="5">
        <v>1832</v>
      </c>
      <c r="D4731" s="1" t="s">
        <v>786</v>
      </c>
      <c r="E4731" s="1" t="s">
        <v>2</v>
      </c>
      <c r="F4731" s="18">
        <v>2174</v>
      </c>
      <c r="G4731" s="18">
        <v>69</v>
      </c>
      <c r="H4731" s="6" t="s">
        <v>3110</v>
      </c>
      <c r="I4731" s="1">
        <v>204</v>
      </c>
      <c r="J4731" s="1">
        <v>239</v>
      </c>
      <c r="K4731" s="1"/>
      <c r="L4731" t="str">
        <f t="shared" si="73"/>
        <v>http://www.badatelna.eu/reprodukce/?fondId=1073&amp;zaznamId=1108960&amp;reproId=3780293</v>
      </c>
      <c r="M4731">
        <f>VLOOKUP(F4731,Sheet2!$B$1:$E$19,2,FALSE)</f>
        <v>1073</v>
      </c>
      <c r="N4731">
        <f>VLOOKUP(F4731,Sheet2!$B$1:$E$19,3,FALSE)</f>
        <v>1108960</v>
      </c>
      <c r="O4731">
        <f>IF(G4731="Not available","",VLOOKUP(F4731,Sheet2!$B$1:$E$19,4,FALSE)+(G4731-1))</f>
        <v>3780293</v>
      </c>
    </row>
    <row r="4732" spans="1:15" s="3" customFormat="1" ht="15" customHeight="1" x14ac:dyDescent="0.25">
      <c r="A4732" s="18" t="s">
        <v>584</v>
      </c>
      <c r="B4732" s="18" t="s">
        <v>20</v>
      </c>
      <c r="C4732" s="5">
        <v>1836</v>
      </c>
      <c r="D4732" s="1" t="s">
        <v>167</v>
      </c>
      <c r="E4732" s="1" t="s">
        <v>2</v>
      </c>
      <c r="F4732" s="18">
        <v>2174</v>
      </c>
      <c r="G4732" s="18">
        <v>88</v>
      </c>
      <c r="H4732" s="6" t="s">
        <v>3155</v>
      </c>
      <c r="I4732" s="1">
        <v>204</v>
      </c>
      <c r="J4732" s="1">
        <v>239</v>
      </c>
      <c r="K4732" s="1"/>
      <c r="L4732" t="str">
        <f t="shared" si="73"/>
        <v>http://www.badatelna.eu/reprodukce/?fondId=1073&amp;zaznamId=1108960&amp;reproId=3780312</v>
      </c>
      <c r="M4732">
        <f>VLOOKUP(F4732,Sheet2!$B$1:$E$19,2,FALSE)</f>
        <v>1073</v>
      </c>
      <c r="N4732">
        <f>VLOOKUP(F4732,Sheet2!$B$1:$E$19,3,FALSE)</f>
        <v>1108960</v>
      </c>
      <c r="O4732">
        <f>IF(G4732="Not available","",VLOOKUP(F4732,Sheet2!$B$1:$E$19,4,FALSE)+(G4732-1))</f>
        <v>3780312</v>
      </c>
    </row>
    <row r="4733" spans="1:15" s="3" customFormat="1" ht="15" customHeight="1" x14ac:dyDescent="0.25">
      <c r="A4733" s="18" t="s">
        <v>584</v>
      </c>
      <c r="B4733" s="18" t="s">
        <v>25</v>
      </c>
      <c r="C4733" s="5">
        <v>1836</v>
      </c>
      <c r="D4733" s="1" t="s">
        <v>788</v>
      </c>
      <c r="E4733" s="1" t="s">
        <v>2</v>
      </c>
      <c r="F4733" s="18">
        <v>2174</v>
      </c>
      <c r="G4733" s="18">
        <v>86</v>
      </c>
      <c r="H4733" s="6" t="s">
        <v>3153</v>
      </c>
      <c r="I4733" s="1">
        <v>204</v>
      </c>
      <c r="J4733" s="1">
        <v>239</v>
      </c>
      <c r="K4733" s="1"/>
      <c r="L4733" t="str">
        <f t="shared" si="73"/>
        <v>http://www.badatelna.eu/reprodukce/?fondId=1073&amp;zaznamId=1108960&amp;reproId=3780310</v>
      </c>
      <c r="M4733">
        <f>VLOOKUP(F4733,Sheet2!$B$1:$E$19,2,FALSE)</f>
        <v>1073</v>
      </c>
      <c r="N4733">
        <f>VLOOKUP(F4733,Sheet2!$B$1:$E$19,3,FALSE)</f>
        <v>1108960</v>
      </c>
      <c r="O4733">
        <f>IF(G4733="Not available","",VLOOKUP(F4733,Sheet2!$B$1:$E$19,4,FALSE)+(G4733-1))</f>
        <v>3780310</v>
      </c>
    </row>
    <row r="4734" spans="1:15" s="3" customFormat="1" ht="15" customHeight="1" x14ac:dyDescent="0.25">
      <c r="A4734" s="18" t="s">
        <v>584</v>
      </c>
      <c r="B4734" s="18" t="s">
        <v>25</v>
      </c>
      <c r="C4734" s="5">
        <v>1856</v>
      </c>
      <c r="D4734" s="1" t="s">
        <v>6</v>
      </c>
      <c r="E4734" s="1" t="s">
        <v>2</v>
      </c>
      <c r="F4734" s="18">
        <v>2164</v>
      </c>
      <c r="G4734" s="18">
        <v>105</v>
      </c>
      <c r="H4734" s="5">
        <v>103</v>
      </c>
      <c r="I4734" s="1">
        <v>140</v>
      </c>
      <c r="J4734" s="3" t="s">
        <v>3271</v>
      </c>
      <c r="K4734" s="1"/>
      <c r="L4734" t="str">
        <f t="shared" si="73"/>
        <v>http://www.badatelna.eu/reprodukce/?fondId=1073&amp;zaznamId=1108951&amp;reproId=3778819</v>
      </c>
      <c r="M4734">
        <f>VLOOKUP(F4734,Sheet2!$B$1:$E$19,2,FALSE)</f>
        <v>1073</v>
      </c>
      <c r="N4734">
        <f>VLOOKUP(F4734,Sheet2!$B$1:$E$19,3,FALSE)</f>
        <v>1108951</v>
      </c>
      <c r="O4734">
        <f>IF(G4734="Not available","",VLOOKUP(F4734,Sheet2!$B$1:$E$19,4,FALSE)+(G4734-1))</f>
        <v>3778819</v>
      </c>
    </row>
    <row r="4735" spans="1:15" s="3" customFormat="1" ht="15" customHeight="1" x14ac:dyDescent="0.25">
      <c r="A4735" s="18" t="s">
        <v>584</v>
      </c>
      <c r="B4735" s="18" t="s">
        <v>1962</v>
      </c>
      <c r="C4735" s="10" t="s">
        <v>1957</v>
      </c>
      <c r="D4735" s="3" t="s">
        <v>2532</v>
      </c>
      <c r="E4735" s="4" t="s">
        <v>2</v>
      </c>
      <c r="F4735" s="18">
        <v>2176</v>
      </c>
      <c r="G4735" s="18" t="s">
        <v>3271</v>
      </c>
      <c r="H4735" s="10" t="s">
        <v>1955</v>
      </c>
      <c r="I4735" s="3">
        <v>46</v>
      </c>
      <c r="J4735" s="3" t="s">
        <v>3271</v>
      </c>
      <c r="L4735" t="str">
        <f t="shared" si="73"/>
        <v/>
      </c>
      <c r="M4735">
        <f>VLOOKUP(F4735,Sheet2!$B$1:$E$19,2,FALSE)</f>
        <v>1073</v>
      </c>
      <c r="N4735">
        <f>VLOOKUP(F4735,Sheet2!$B$1:$E$19,3,FALSE)</f>
        <v>1108963</v>
      </c>
      <c r="O4735" t="str">
        <f>IF(G4735="Not available","",VLOOKUP(F4735,Sheet2!$B$1:$E$19,4,FALSE)+(G4735-1))</f>
        <v/>
      </c>
    </row>
    <row r="4736" spans="1:15" s="3" customFormat="1" ht="15" customHeight="1" x14ac:dyDescent="0.25">
      <c r="A4736" s="18" t="s">
        <v>584</v>
      </c>
      <c r="B4736" s="18" t="s">
        <v>115</v>
      </c>
      <c r="C4736" s="5" t="s">
        <v>1938</v>
      </c>
      <c r="D4736" s="1" t="s">
        <v>233</v>
      </c>
      <c r="E4736" s="1" t="s">
        <v>2</v>
      </c>
      <c r="F4736" s="18">
        <v>2165</v>
      </c>
      <c r="G4736" s="18">
        <v>281</v>
      </c>
      <c r="H4736" s="5">
        <v>1</v>
      </c>
      <c r="I4736" s="1">
        <v>285</v>
      </c>
      <c r="J4736" s="1">
        <v>259</v>
      </c>
      <c r="K4736" s="1"/>
      <c r="L4736" t="str">
        <f t="shared" si="73"/>
        <v>http://www.badatelna.eu/reprodukce/?fondId=1073&amp;zaznamId=1108952&amp;reproId=3779142</v>
      </c>
      <c r="M4736">
        <f>VLOOKUP(F4736,Sheet2!$B$1:$E$19,2,FALSE)</f>
        <v>1073</v>
      </c>
      <c r="N4736">
        <f>VLOOKUP(F4736,Sheet2!$B$1:$E$19,3,FALSE)</f>
        <v>1108952</v>
      </c>
      <c r="O4736">
        <f>IF(G4736="Not available","",VLOOKUP(F4736,Sheet2!$B$1:$E$19,4,FALSE)+(G4736-1))</f>
        <v>3779142</v>
      </c>
    </row>
    <row r="4737" spans="1:15" s="3" customFormat="1" ht="15" customHeight="1" x14ac:dyDescent="0.25">
      <c r="A4737" s="18" t="s">
        <v>584</v>
      </c>
      <c r="B4737" s="18" t="s">
        <v>937</v>
      </c>
      <c r="C4737" s="5">
        <v>1852</v>
      </c>
      <c r="D4737" s="1" t="s">
        <v>65</v>
      </c>
      <c r="E4737" s="1" t="s">
        <v>2</v>
      </c>
      <c r="F4737" s="18">
        <v>2164</v>
      </c>
      <c r="G4737" s="18">
        <v>86</v>
      </c>
      <c r="H4737" s="5">
        <v>84</v>
      </c>
      <c r="I4737" s="1">
        <v>140</v>
      </c>
      <c r="J4737" s="3" t="s">
        <v>3271</v>
      </c>
      <c r="K4737" s="1"/>
      <c r="L4737" t="str">
        <f t="shared" si="73"/>
        <v>http://www.badatelna.eu/reprodukce/?fondId=1073&amp;zaznamId=1108951&amp;reproId=3778800</v>
      </c>
      <c r="M4737">
        <f>VLOOKUP(F4737,Sheet2!$B$1:$E$19,2,FALSE)</f>
        <v>1073</v>
      </c>
      <c r="N4737">
        <f>VLOOKUP(F4737,Sheet2!$B$1:$E$19,3,FALSE)</f>
        <v>1108951</v>
      </c>
      <c r="O4737">
        <f>IF(G4737="Not available","",VLOOKUP(F4737,Sheet2!$B$1:$E$19,4,FALSE)+(G4737-1))</f>
        <v>3778800</v>
      </c>
    </row>
    <row r="4738" spans="1:15" s="3" customFormat="1" ht="15" customHeight="1" x14ac:dyDescent="0.25">
      <c r="A4738" s="18" t="s">
        <v>584</v>
      </c>
      <c r="B4738" s="18" t="s">
        <v>778</v>
      </c>
      <c r="C4738" s="5">
        <v>1831</v>
      </c>
      <c r="D4738" s="1" t="s">
        <v>466</v>
      </c>
      <c r="E4738" s="1" t="s">
        <v>2</v>
      </c>
      <c r="F4738" s="18">
        <v>2174</v>
      </c>
      <c r="G4738" s="18">
        <v>62</v>
      </c>
      <c r="H4738" s="6" t="s">
        <v>3106</v>
      </c>
      <c r="I4738" s="1">
        <v>204</v>
      </c>
      <c r="J4738" s="1">
        <v>239</v>
      </c>
      <c r="K4738" s="1"/>
      <c r="L4738" t="str">
        <f t="shared" si="73"/>
        <v>http://www.badatelna.eu/reprodukce/?fondId=1073&amp;zaznamId=1108960&amp;reproId=3780286</v>
      </c>
      <c r="M4738">
        <f>VLOOKUP(F4738,Sheet2!$B$1:$E$19,2,FALSE)</f>
        <v>1073</v>
      </c>
      <c r="N4738">
        <f>VLOOKUP(F4738,Sheet2!$B$1:$E$19,3,FALSE)</f>
        <v>1108960</v>
      </c>
      <c r="O4738">
        <f>IF(G4738="Not available","",VLOOKUP(F4738,Sheet2!$B$1:$E$19,4,FALSE)+(G4738-1))</f>
        <v>3780286</v>
      </c>
    </row>
    <row r="4739" spans="1:15" s="3" customFormat="1" ht="15" customHeight="1" x14ac:dyDescent="0.25">
      <c r="A4739" s="18" t="s">
        <v>584</v>
      </c>
      <c r="B4739" s="18" t="s">
        <v>489</v>
      </c>
      <c r="C4739" s="5">
        <v>1849</v>
      </c>
      <c r="D4739" s="1" t="s">
        <v>486</v>
      </c>
      <c r="E4739" s="1" t="s">
        <v>2</v>
      </c>
      <c r="F4739" s="18">
        <v>2164</v>
      </c>
      <c r="G4739" s="18">
        <v>64</v>
      </c>
      <c r="H4739" s="5">
        <v>62</v>
      </c>
      <c r="I4739" s="1">
        <v>140</v>
      </c>
      <c r="J4739" s="3" t="s">
        <v>3271</v>
      </c>
      <c r="K4739" s="1"/>
      <c r="L4739" t="str">
        <f t="shared" ref="L4739:L4802" si="74">IF(G4739="Not available","","http://www.badatelna.eu/reprodukce/?fondId="&amp;M4739&amp;"&amp;zaznamId="&amp;N4739&amp;"&amp;reproId="&amp;O4739)</f>
        <v>http://www.badatelna.eu/reprodukce/?fondId=1073&amp;zaznamId=1108951&amp;reproId=3778778</v>
      </c>
      <c r="M4739">
        <f>VLOOKUP(F4739,Sheet2!$B$1:$E$19,2,FALSE)</f>
        <v>1073</v>
      </c>
      <c r="N4739">
        <f>VLOOKUP(F4739,Sheet2!$B$1:$E$19,3,FALSE)</f>
        <v>1108951</v>
      </c>
      <c r="O4739">
        <f>IF(G4739="Not available","",VLOOKUP(F4739,Sheet2!$B$1:$E$19,4,FALSE)+(G4739-1))</f>
        <v>3778778</v>
      </c>
    </row>
    <row r="4740" spans="1:15" s="3" customFormat="1" ht="15" customHeight="1" x14ac:dyDescent="0.25">
      <c r="A4740" s="18" t="s">
        <v>584</v>
      </c>
      <c r="B4740" s="18" t="s">
        <v>544</v>
      </c>
      <c r="C4740" s="5">
        <v>1852</v>
      </c>
      <c r="D4740" s="1" t="s">
        <v>146</v>
      </c>
      <c r="E4740" s="1" t="s">
        <v>2</v>
      </c>
      <c r="F4740" s="18">
        <v>2164</v>
      </c>
      <c r="G4740" s="18">
        <v>80</v>
      </c>
      <c r="H4740" s="5">
        <v>78</v>
      </c>
      <c r="I4740" s="1">
        <v>140</v>
      </c>
      <c r="J4740" s="3" t="s">
        <v>3271</v>
      </c>
      <c r="K4740" s="1"/>
      <c r="L4740" t="str">
        <f t="shared" si="74"/>
        <v>http://www.badatelna.eu/reprodukce/?fondId=1073&amp;zaznamId=1108951&amp;reproId=3778794</v>
      </c>
      <c r="M4740">
        <f>VLOOKUP(F4740,Sheet2!$B$1:$E$19,2,FALSE)</f>
        <v>1073</v>
      </c>
      <c r="N4740">
        <f>VLOOKUP(F4740,Sheet2!$B$1:$E$19,3,FALSE)</f>
        <v>1108951</v>
      </c>
      <c r="O4740">
        <f>IF(G4740="Not available","",VLOOKUP(F4740,Sheet2!$B$1:$E$19,4,FALSE)+(G4740-1))</f>
        <v>3778794</v>
      </c>
    </row>
    <row r="4741" spans="1:15" s="3" customFormat="1" ht="15" customHeight="1" x14ac:dyDescent="0.25">
      <c r="A4741" s="18" t="s">
        <v>584</v>
      </c>
      <c r="B4741" s="18" t="s">
        <v>434</v>
      </c>
      <c r="C4741" s="5">
        <v>1837</v>
      </c>
      <c r="D4741" s="1" t="s">
        <v>788</v>
      </c>
      <c r="E4741" s="1" t="s">
        <v>2</v>
      </c>
      <c r="F4741" s="18">
        <v>2174</v>
      </c>
      <c r="G4741" s="18">
        <v>98</v>
      </c>
      <c r="H4741" s="16" t="s">
        <v>3166</v>
      </c>
      <c r="I4741" s="1">
        <v>205</v>
      </c>
      <c r="J4741" s="1">
        <v>240</v>
      </c>
      <c r="K4741" s="1"/>
      <c r="L4741" t="str">
        <f t="shared" si="74"/>
        <v>http://www.badatelna.eu/reprodukce/?fondId=1073&amp;zaznamId=1108960&amp;reproId=3780322</v>
      </c>
      <c r="M4741">
        <f>VLOOKUP(F4741,Sheet2!$B$1:$E$19,2,FALSE)</f>
        <v>1073</v>
      </c>
      <c r="N4741">
        <f>VLOOKUP(F4741,Sheet2!$B$1:$E$19,3,FALSE)</f>
        <v>1108960</v>
      </c>
      <c r="O4741">
        <f>IF(G4741="Not available","",VLOOKUP(F4741,Sheet2!$B$1:$E$19,4,FALSE)+(G4741-1))</f>
        <v>3780322</v>
      </c>
    </row>
    <row r="4742" spans="1:15" s="3" customFormat="1" ht="15" customHeight="1" x14ac:dyDescent="0.25">
      <c r="A4742" s="18" t="s">
        <v>584</v>
      </c>
      <c r="B4742" s="18" t="s">
        <v>434</v>
      </c>
      <c r="C4742" s="5">
        <v>1850</v>
      </c>
      <c r="D4742" s="1" t="s">
        <v>146</v>
      </c>
      <c r="E4742" s="1" t="s">
        <v>2</v>
      </c>
      <c r="F4742" s="18">
        <v>2164</v>
      </c>
      <c r="G4742" s="18">
        <v>65</v>
      </c>
      <c r="H4742" s="5">
        <v>63</v>
      </c>
      <c r="I4742" s="1">
        <v>140</v>
      </c>
      <c r="J4742" s="3" t="s">
        <v>3271</v>
      </c>
      <c r="K4742" s="1"/>
      <c r="L4742" t="str">
        <f t="shared" si="74"/>
        <v>http://www.badatelna.eu/reprodukce/?fondId=1073&amp;zaznamId=1108951&amp;reproId=3778779</v>
      </c>
      <c r="M4742">
        <f>VLOOKUP(F4742,Sheet2!$B$1:$E$19,2,FALSE)</f>
        <v>1073</v>
      </c>
      <c r="N4742">
        <f>VLOOKUP(F4742,Sheet2!$B$1:$E$19,3,FALSE)</f>
        <v>1108951</v>
      </c>
      <c r="O4742">
        <f>IF(G4742="Not available","",VLOOKUP(F4742,Sheet2!$B$1:$E$19,4,FALSE)+(G4742-1))</f>
        <v>3778779</v>
      </c>
    </row>
    <row r="4743" spans="1:15" s="3" customFormat="1" ht="15" customHeight="1" x14ac:dyDescent="0.25">
      <c r="A4743" s="18" t="s">
        <v>584</v>
      </c>
      <c r="B4743" s="18" t="s">
        <v>13</v>
      </c>
      <c r="C4743" s="5">
        <v>1799</v>
      </c>
      <c r="D4743" s="1"/>
      <c r="E4743" s="1" t="s">
        <v>2</v>
      </c>
      <c r="F4743" s="18">
        <v>2173</v>
      </c>
      <c r="G4743" s="18">
        <v>41</v>
      </c>
      <c r="H4743" s="5">
        <v>77</v>
      </c>
      <c r="I4743" s="1">
        <v>117</v>
      </c>
      <c r="J4743" s="1">
        <v>255</v>
      </c>
      <c r="K4743" s="1"/>
      <c r="L4743" t="str">
        <f t="shared" si="74"/>
        <v>http://www.badatelna.eu/reprodukce/?fondId=1073&amp;zaznamId=1108959&amp;reproId=3780034</v>
      </c>
      <c r="M4743">
        <f>VLOOKUP(F4743,Sheet2!$B$1:$E$19,2,FALSE)</f>
        <v>1073</v>
      </c>
      <c r="N4743">
        <f>VLOOKUP(F4743,Sheet2!$B$1:$E$19,3,FALSE)</f>
        <v>1108959</v>
      </c>
      <c r="O4743">
        <f>IF(G4743="Not available","",VLOOKUP(F4743,Sheet2!$B$1:$E$19,4,FALSE)+(G4743-1))</f>
        <v>3780034</v>
      </c>
    </row>
    <row r="4744" spans="1:15" s="3" customFormat="1" ht="15" customHeight="1" x14ac:dyDescent="0.25">
      <c r="A4744" s="18" t="s">
        <v>584</v>
      </c>
      <c r="B4744" s="18" t="s">
        <v>476</v>
      </c>
      <c r="C4744" s="5">
        <v>1832</v>
      </c>
      <c r="D4744" s="1" t="s">
        <v>167</v>
      </c>
      <c r="E4744" s="1" t="s">
        <v>2</v>
      </c>
      <c r="F4744" s="18">
        <v>2174</v>
      </c>
      <c r="G4744" s="18">
        <v>65</v>
      </c>
      <c r="H4744" s="6" t="s">
        <v>3109</v>
      </c>
      <c r="I4744" s="1">
        <v>204</v>
      </c>
      <c r="J4744" s="1">
        <v>239</v>
      </c>
      <c r="K4744" s="1"/>
      <c r="L4744" t="str">
        <f t="shared" si="74"/>
        <v>http://www.badatelna.eu/reprodukce/?fondId=1073&amp;zaznamId=1108960&amp;reproId=3780289</v>
      </c>
      <c r="M4744">
        <f>VLOOKUP(F4744,Sheet2!$B$1:$E$19,2,FALSE)</f>
        <v>1073</v>
      </c>
      <c r="N4744">
        <f>VLOOKUP(F4744,Sheet2!$B$1:$E$19,3,FALSE)</f>
        <v>1108960</v>
      </c>
      <c r="O4744">
        <f>IF(G4744="Not available","",VLOOKUP(F4744,Sheet2!$B$1:$E$19,4,FALSE)+(G4744-1))</f>
        <v>3780289</v>
      </c>
    </row>
    <row r="4745" spans="1:15" s="3" customFormat="1" ht="15" customHeight="1" x14ac:dyDescent="0.25">
      <c r="A4745" s="18" t="s">
        <v>584</v>
      </c>
      <c r="B4745" s="18" t="s">
        <v>476</v>
      </c>
      <c r="C4745" s="5">
        <v>1836</v>
      </c>
      <c r="D4745" s="1" t="s">
        <v>786</v>
      </c>
      <c r="E4745" s="1" t="s">
        <v>2</v>
      </c>
      <c r="F4745" s="18">
        <v>2174</v>
      </c>
      <c r="G4745" s="18">
        <v>84</v>
      </c>
      <c r="H4745" s="6" t="s">
        <v>3150</v>
      </c>
      <c r="I4745" s="1">
        <v>204</v>
      </c>
      <c r="J4745" s="1">
        <v>239</v>
      </c>
      <c r="K4745" s="1"/>
      <c r="L4745" t="str">
        <f t="shared" si="74"/>
        <v>http://www.badatelna.eu/reprodukce/?fondId=1073&amp;zaznamId=1108960&amp;reproId=3780308</v>
      </c>
      <c r="M4745">
        <f>VLOOKUP(F4745,Sheet2!$B$1:$E$19,2,FALSE)</f>
        <v>1073</v>
      </c>
      <c r="N4745">
        <f>VLOOKUP(F4745,Sheet2!$B$1:$E$19,3,FALSE)</f>
        <v>1108960</v>
      </c>
      <c r="O4745">
        <f>IF(G4745="Not available","",VLOOKUP(F4745,Sheet2!$B$1:$E$19,4,FALSE)+(G4745-1))</f>
        <v>3780308</v>
      </c>
    </row>
    <row r="4746" spans="1:15" s="3" customFormat="1" ht="15" customHeight="1" x14ac:dyDescent="0.25">
      <c r="A4746" s="18" t="s">
        <v>584</v>
      </c>
      <c r="B4746" s="18" t="s">
        <v>427</v>
      </c>
      <c r="C4746" s="5">
        <v>1836</v>
      </c>
      <c r="D4746" s="1" t="s">
        <v>466</v>
      </c>
      <c r="E4746" s="1" t="s">
        <v>2</v>
      </c>
      <c r="F4746" s="18">
        <v>2174</v>
      </c>
      <c r="G4746" s="18">
        <v>86</v>
      </c>
      <c r="H4746" s="6" t="s">
        <v>3153</v>
      </c>
      <c r="I4746" s="1">
        <v>204</v>
      </c>
      <c r="J4746" s="1">
        <v>239</v>
      </c>
      <c r="K4746" s="1"/>
      <c r="L4746" t="str">
        <f t="shared" si="74"/>
        <v>http://www.badatelna.eu/reprodukce/?fondId=1073&amp;zaznamId=1108960&amp;reproId=3780310</v>
      </c>
      <c r="M4746">
        <f>VLOOKUP(F4746,Sheet2!$B$1:$E$19,2,FALSE)</f>
        <v>1073</v>
      </c>
      <c r="N4746">
        <f>VLOOKUP(F4746,Sheet2!$B$1:$E$19,3,FALSE)</f>
        <v>1108960</v>
      </c>
      <c r="O4746">
        <f>IF(G4746="Not available","",VLOOKUP(F4746,Sheet2!$B$1:$E$19,4,FALSE)+(G4746-1))</f>
        <v>3780310</v>
      </c>
    </row>
    <row r="4747" spans="1:15" s="3" customFormat="1" ht="15" customHeight="1" x14ac:dyDescent="0.25">
      <c r="A4747" s="18" t="s">
        <v>584</v>
      </c>
      <c r="B4747" s="18" t="s">
        <v>427</v>
      </c>
      <c r="C4747" s="5">
        <v>1838</v>
      </c>
      <c r="D4747" s="1" t="s">
        <v>788</v>
      </c>
      <c r="E4747" s="1" t="s">
        <v>2</v>
      </c>
      <c r="F4747" s="18">
        <v>2174</v>
      </c>
      <c r="G4747" s="18">
        <v>99</v>
      </c>
      <c r="H4747" s="6" t="s">
        <v>3169</v>
      </c>
      <c r="I4747" s="1">
        <v>205</v>
      </c>
      <c r="J4747" s="1">
        <v>240</v>
      </c>
      <c r="K4747" s="1"/>
      <c r="L4747" t="str">
        <f t="shared" si="74"/>
        <v>http://www.badatelna.eu/reprodukce/?fondId=1073&amp;zaznamId=1108960&amp;reproId=3780323</v>
      </c>
      <c r="M4747">
        <f>VLOOKUP(F4747,Sheet2!$B$1:$E$19,2,FALSE)</f>
        <v>1073</v>
      </c>
      <c r="N4747">
        <f>VLOOKUP(F4747,Sheet2!$B$1:$E$19,3,FALSE)</f>
        <v>1108960</v>
      </c>
      <c r="O4747">
        <f>IF(G4747="Not available","",VLOOKUP(F4747,Sheet2!$B$1:$E$19,4,FALSE)+(G4747-1))</f>
        <v>3780323</v>
      </c>
    </row>
    <row r="4748" spans="1:15" s="3" customFormat="1" ht="15" customHeight="1" x14ac:dyDescent="0.25">
      <c r="A4748" s="18" t="s">
        <v>584</v>
      </c>
      <c r="B4748" s="18" t="s">
        <v>146</v>
      </c>
      <c r="C4748" s="5">
        <v>1804</v>
      </c>
      <c r="D4748" s="1"/>
      <c r="E4748" s="1" t="s">
        <v>2</v>
      </c>
      <c r="F4748" s="18">
        <v>2173</v>
      </c>
      <c r="G4748" s="18">
        <v>48</v>
      </c>
      <c r="H4748" s="14" t="s">
        <v>3029</v>
      </c>
      <c r="I4748" s="1">
        <v>117</v>
      </c>
      <c r="J4748" s="1">
        <v>255</v>
      </c>
      <c r="K4748" s="1"/>
      <c r="L4748" t="str">
        <f t="shared" si="74"/>
        <v>http://www.badatelna.eu/reprodukce/?fondId=1073&amp;zaznamId=1108959&amp;reproId=3780041</v>
      </c>
      <c r="M4748">
        <f>VLOOKUP(F4748,Sheet2!$B$1:$E$19,2,FALSE)</f>
        <v>1073</v>
      </c>
      <c r="N4748">
        <f>VLOOKUP(F4748,Sheet2!$B$1:$E$19,3,FALSE)</f>
        <v>1108959</v>
      </c>
      <c r="O4748">
        <f>IF(G4748="Not available","",VLOOKUP(F4748,Sheet2!$B$1:$E$19,4,FALSE)+(G4748-1))</f>
        <v>3780041</v>
      </c>
    </row>
    <row r="4749" spans="1:15" s="3" customFormat="1" ht="15" customHeight="1" x14ac:dyDescent="0.25">
      <c r="A4749" s="18" t="s">
        <v>584</v>
      </c>
      <c r="B4749" s="18" t="s">
        <v>598</v>
      </c>
      <c r="C4749" s="5">
        <v>1824</v>
      </c>
      <c r="D4749" s="1"/>
      <c r="E4749" s="1" t="s">
        <v>2</v>
      </c>
      <c r="F4749" s="18">
        <v>2173</v>
      </c>
      <c r="G4749" s="18">
        <v>75</v>
      </c>
      <c r="H4749" s="5">
        <v>142</v>
      </c>
      <c r="I4749" s="1">
        <v>118</v>
      </c>
      <c r="J4749" s="1">
        <v>256</v>
      </c>
      <c r="K4749" s="1"/>
      <c r="L4749" t="str">
        <f t="shared" si="74"/>
        <v>http://www.badatelna.eu/reprodukce/?fondId=1073&amp;zaznamId=1108959&amp;reproId=3780068</v>
      </c>
      <c r="M4749">
        <f>VLOOKUP(F4749,Sheet2!$B$1:$E$19,2,FALSE)</f>
        <v>1073</v>
      </c>
      <c r="N4749">
        <f>VLOOKUP(F4749,Sheet2!$B$1:$E$19,3,FALSE)</f>
        <v>1108959</v>
      </c>
      <c r="O4749">
        <f>IF(G4749="Not available","",VLOOKUP(F4749,Sheet2!$B$1:$E$19,4,FALSE)+(G4749-1))</f>
        <v>3780068</v>
      </c>
    </row>
    <row r="4750" spans="1:15" s="3" customFormat="1" ht="15" customHeight="1" x14ac:dyDescent="0.25">
      <c r="A4750" s="18" t="s">
        <v>584</v>
      </c>
      <c r="B4750" s="18" t="s">
        <v>11</v>
      </c>
      <c r="C4750" s="5">
        <v>1823</v>
      </c>
      <c r="D4750" s="4" t="s">
        <v>786</v>
      </c>
      <c r="E4750" s="1" t="s">
        <v>2</v>
      </c>
      <c r="F4750" s="18">
        <v>2173</v>
      </c>
      <c r="G4750" s="18">
        <v>74</v>
      </c>
      <c r="H4750" s="5">
        <v>141</v>
      </c>
      <c r="I4750" s="1">
        <v>118</v>
      </c>
      <c r="J4750" s="1">
        <v>256</v>
      </c>
      <c r="K4750" s="1"/>
      <c r="L4750" t="str">
        <f t="shared" si="74"/>
        <v>http://www.badatelna.eu/reprodukce/?fondId=1073&amp;zaznamId=1108959&amp;reproId=3780067</v>
      </c>
      <c r="M4750">
        <f>VLOOKUP(F4750,Sheet2!$B$1:$E$19,2,FALSE)</f>
        <v>1073</v>
      </c>
      <c r="N4750">
        <f>VLOOKUP(F4750,Sheet2!$B$1:$E$19,3,FALSE)</f>
        <v>1108959</v>
      </c>
      <c r="O4750">
        <f>IF(G4750="Not available","",VLOOKUP(F4750,Sheet2!$B$1:$E$19,4,FALSE)+(G4750-1))</f>
        <v>3780067</v>
      </c>
    </row>
    <row r="4751" spans="1:15" s="3" customFormat="1" ht="15" customHeight="1" x14ac:dyDescent="0.25">
      <c r="A4751" s="18" t="s">
        <v>584</v>
      </c>
      <c r="B4751" s="18" t="s">
        <v>665</v>
      </c>
      <c r="C4751" s="5">
        <v>1834</v>
      </c>
      <c r="D4751" s="1" t="s">
        <v>40</v>
      </c>
      <c r="E4751" s="1" t="s">
        <v>2</v>
      </c>
      <c r="F4751" s="18">
        <v>2174</v>
      </c>
      <c r="G4751" s="18">
        <v>77</v>
      </c>
      <c r="H4751" s="6" t="s">
        <v>3143</v>
      </c>
      <c r="I4751" s="1">
        <v>204</v>
      </c>
      <c r="J4751" s="1">
        <v>239</v>
      </c>
      <c r="K4751" s="1"/>
      <c r="L4751" t="str">
        <f t="shared" si="74"/>
        <v>http://www.badatelna.eu/reprodukce/?fondId=1073&amp;zaznamId=1108960&amp;reproId=3780301</v>
      </c>
      <c r="M4751">
        <f>VLOOKUP(F4751,Sheet2!$B$1:$E$19,2,FALSE)</f>
        <v>1073</v>
      </c>
      <c r="N4751">
        <f>VLOOKUP(F4751,Sheet2!$B$1:$E$19,3,FALSE)</f>
        <v>1108960</v>
      </c>
      <c r="O4751">
        <f>IF(G4751="Not available","",VLOOKUP(F4751,Sheet2!$B$1:$E$19,4,FALSE)+(G4751-1))</f>
        <v>3780301</v>
      </c>
    </row>
    <row r="4752" spans="1:15" s="3" customFormat="1" ht="15" customHeight="1" x14ac:dyDescent="0.25">
      <c r="A4752" s="18" t="s">
        <v>584</v>
      </c>
      <c r="B4752" s="18" t="s">
        <v>593</v>
      </c>
      <c r="C4752" s="5">
        <v>1802</v>
      </c>
      <c r="D4752" s="1"/>
      <c r="E4752" s="1" t="s">
        <v>2</v>
      </c>
      <c r="F4752" s="18">
        <v>2173</v>
      </c>
      <c r="G4752" s="18">
        <v>45</v>
      </c>
      <c r="H4752" s="5">
        <v>84</v>
      </c>
      <c r="I4752" s="1">
        <v>117</v>
      </c>
      <c r="J4752" s="1">
        <v>255</v>
      </c>
      <c r="K4752" s="1"/>
      <c r="L4752" t="str">
        <f t="shared" si="74"/>
        <v>http://www.badatelna.eu/reprodukce/?fondId=1073&amp;zaznamId=1108959&amp;reproId=3780038</v>
      </c>
      <c r="M4752">
        <f>VLOOKUP(F4752,Sheet2!$B$1:$E$19,2,FALSE)</f>
        <v>1073</v>
      </c>
      <c r="N4752">
        <f>VLOOKUP(F4752,Sheet2!$B$1:$E$19,3,FALSE)</f>
        <v>1108959</v>
      </c>
      <c r="O4752">
        <f>IF(G4752="Not available","",VLOOKUP(F4752,Sheet2!$B$1:$E$19,4,FALSE)+(G4752-1))</f>
        <v>3780038</v>
      </c>
    </row>
    <row r="4753" spans="1:15" s="3" customFormat="1" ht="15" customHeight="1" x14ac:dyDescent="0.25">
      <c r="A4753" s="18" t="s">
        <v>584</v>
      </c>
      <c r="B4753" s="18" t="s">
        <v>156</v>
      </c>
      <c r="C4753" s="6" t="s">
        <v>3116</v>
      </c>
      <c r="D4753" s="4" t="s">
        <v>34</v>
      </c>
      <c r="E4753" s="1" t="s">
        <v>2</v>
      </c>
      <c r="F4753" s="18">
        <v>2173</v>
      </c>
      <c r="G4753" s="18">
        <v>79</v>
      </c>
      <c r="H4753" s="5">
        <v>151</v>
      </c>
      <c r="I4753" s="1">
        <v>118</v>
      </c>
      <c r="J4753" s="1">
        <v>256</v>
      </c>
      <c r="K4753" s="1"/>
      <c r="L4753" t="str">
        <f t="shared" si="74"/>
        <v>http://www.badatelna.eu/reprodukce/?fondId=1073&amp;zaznamId=1108959&amp;reproId=3780072</v>
      </c>
      <c r="M4753">
        <f>VLOOKUP(F4753,Sheet2!$B$1:$E$19,2,FALSE)</f>
        <v>1073</v>
      </c>
      <c r="N4753">
        <f>VLOOKUP(F4753,Sheet2!$B$1:$E$19,3,FALSE)</f>
        <v>1108959</v>
      </c>
      <c r="O4753">
        <f>IF(G4753="Not available","",VLOOKUP(F4753,Sheet2!$B$1:$E$19,4,FALSE)+(G4753-1))</f>
        <v>3780072</v>
      </c>
    </row>
    <row r="4754" spans="1:15" s="3" customFormat="1" ht="15" customHeight="1" x14ac:dyDescent="0.25">
      <c r="A4754" s="18" t="s">
        <v>584</v>
      </c>
      <c r="B4754" s="18" t="s">
        <v>145</v>
      </c>
      <c r="C4754" s="5">
        <v>1828</v>
      </c>
      <c r="D4754" s="4" t="s">
        <v>21</v>
      </c>
      <c r="E4754" s="1" t="s">
        <v>2</v>
      </c>
      <c r="F4754" s="18">
        <v>2173</v>
      </c>
      <c r="G4754" s="18">
        <v>80</v>
      </c>
      <c r="H4754" s="5">
        <v>153</v>
      </c>
      <c r="I4754" s="1">
        <v>118</v>
      </c>
      <c r="J4754" s="1">
        <v>256</v>
      </c>
      <c r="K4754" s="1"/>
      <c r="L4754" t="str">
        <f t="shared" si="74"/>
        <v>http://www.badatelna.eu/reprodukce/?fondId=1073&amp;zaznamId=1108959&amp;reproId=3780073</v>
      </c>
      <c r="M4754">
        <f>VLOOKUP(F4754,Sheet2!$B$1:$E$19,2,FALSE)</f>
        <v>1073</v>
      </c>
      <c r="N4754">
        <f>VLOOKUP(F4754,Sheet2!$B$1:$E$19,3,FALSE)</f>
        <v>1108959</v>
      </c>
      <c r="O4754">
        <f>IF(G4754="Not available","",VLOOKUP(F4754,Sheet2!$B$1:$E$19,4,FALSE)+(G4754-1))</f>
        <v>3780073</v>
      </c>
    </row>
    <row r="4755" spans="1:15" s="3" customFormat="1" ht="15" customHeight="1" x14ac:dyDescent="0.25">
      <c r="A4755" s="18" t="s">
        <v>584</v>
      </c>
      <c r="B4755" s="18" t="s">
        <v>491</v>
      </c>
      <c r="C4755" s="5">
        <v>1837</v>
      </c>
      <c r="D4755" s="1" t="s">
        <v>788</v>
      </c>
      <c r="E4755" s="1" t="s">
        <v>2</v>
      </c>
      <c r="F4755" s="18">
        <v>2174</v>
      </c>
      <c r="G4755" s="18">
        <v>91</v>
      </c>
      <c r="H4755" s="6" t="s">
        <v>3157</v>
      </c>
      <c r="I4755" s="1">
        <v>205</v>
      </c>
      <c r="J4755" s="1">
        <v>240</v>
      </c>
      <c r="K4755" s="1"/>
      <c r="L4755" t="str">
        <f t="shared" si="74"/>
        <v>http://www.badatelna.eu/reprodukce/?fondId=1073&amp;zaznamId=1108960&amp;reproId=3780315</v>
      </c>
      <c r="M4755">
        <f>VLOOKUP(F4755,Sheet2!$B$1:$E$19,2,FALSE)</f>
        <v>1073</v>
      </c>
      <c r="N4755">
        <f>VLOOKUP(F4755,Sheet2!$B$1:$E$19,3,FALSE)</f>
        <v>1108960</v>
      </c>
      <c r="O4755">
        <f>IF(G4755="Not available","",VLOOKUP(F4755,Sheet2!$B$1:$E$19,4,FALSE)+(G4755-1))</f>
        <v>3780315</v>
      </c>
    </row>
    <row r="4756" spans="1:15" s="3" customFormat="1" ht="15" customHeight="1" x14ac:dyDescent="0.25">
      <c r="A4756" s="18" t="s">
        <v>584</v>
      </c>
      <c r="B4756" s="18" t="s">
        <v>71</v>
      </c>
      <c r="C4756" s="5">
        <v>1825</v>
      </c>
      <c r="D4756" s="1"/>
      <c r="E4756" s="1" t="s">
        <v>2</v>
      </c>
      <c r="F4756" s="18">
        <v>2173</v>
      </c>
      <c r="G4756" s="18">
        <v>77</v>
      </c>
      <c r="H4756" s="5">
        <v>147</v>
      </c>
      <c r="I4756" s="1">
        <v>118</v>
      </c>
      <c r="J4756" s="1">
        <v>256</v>
      </c>
      <c r="K4756" s="1"/>
      <c r="L4756" t="str">
        <f t="shared" si="74"/>
        <v>http://www.badatelna.eu/reprodukce/?fondId=1073&amp;zaznamId=1108959&amp;reproId=3780070</v>
      </c>
      <c r="M4756">
        <f>VLOOKUP(F4756,Sheet2!$B$1:$E$19,2,FALSE)</f>
        <v>1073</v>
      </c>
      <c r="N4756">
        <f>VLOOKUP(F4756,Sheet2!$B$1:$E$19,3,FALSE)</f>
        <v>1108959</v>
      </c>
      <c r="O4756">
        <f>IF(G4756="Not available","",VLOOKUP(F4756,Sheet2!$B$1:$E$19,4,FALSE)+(G4756-1))</f>
        <v>3780070</v>
      </c>
    </row>
    <row r="4757" spans="1:15" s="3" customFormat="1" ht="15" customHeight="1" x14ac:dyDescent="0.25">
      <c r="A4757" s="18" t="s">
        <v>584</v>
      </c>
      <c r="B4757" s="18" t="s">
        <v>44</v>
      </c>
      <c r="C4757" s="5">
        <v>1847</v>
      </c>
      <c r="D4757" s="1" t="s">
        <v>74</v>
      </c>
      <c r="E4757" s="1" t="s">
        <v>2</v>
      </c>
      <c r="F4757" s="18">
        <v>2164</v>
      </c>
      <c r="G4757" s="18">
        <v>11</v>
      </c>
      <c r="H4757" s="5">
        <v>9</v>
      </c>
      <c r="I4757" s="1">
        <v>140</v>
      </c>
      <c r="J4757" s="3" t="s">
        <v>3271</v>
      </c>
      <c r="K4757" s="1"/>
      <c r="L4757" t="str">
        <f t="shared" si="74"/>
        <v>http://www.badatelna.eu/reprodukce/?fondId=1073&amp;zaznamId=1108951&amp;reproId=3778725</v>
      </c>
      <c r="M4757">
        <f>VLOOKUP(F4757,Sheet2!$B$1:$E$19,2,FALSE)</f>
        <v>1073</v>
      </c>
      <c r="N4757">
        <f>VLOOKUP(F4757,Sheet2!$B$1:$E$19,3,FALSE)</f>
        <v>1108951</v>
      </c>
      <c r="O4757">
        <f>IF(G4757="Not available","",VLOOKUP(F4757,Sheet2!$B$1:$E$19,4,FALSE)+(G4757-1))</f>
        <v>3778725</v>
      </c>
    </row>
    <row r="4758" spans="1:15" s="3" customFormat="1" ht="15" customHeight="1" x14ac:dyDescent="0.25">
      <c r="A4758" s="18" t="s">
        <v>584</v>
      </c>
      <c r="B4758" s="18" t="s">
        <v>23</v>
      </c>
      <c r="C4758" s="5">
        <v>1811</v>
      </c>
      <c r="D4758" s="1"/>
      <c r="E4758" s="1" t="s">
        <v>2</v>
      </c>
      <c r="F4758" s="18">
        <v>2173</v>
      </c>
      <c r="G4758" s="18">
        <v>58</v>
      </c>
      <c r="H4758" s="5">
        <v>111</v>
      </c>
      <c r="I4758" s="1">
        <v>118</v>
      </c>
      <c r="J4758" s="1">
        <v>256</v>
      </c>
      <c r="K4758" s="1"/>
      <c r="L4758" t="str">
        <f t="shared" si="74"/>
        <v>http://www.badatelna.eu/reprodukce/?fondId=1073&amp;zaznamId=1108959&amp;reproId=3780051</v>
      </c>
      <c r="M4758">
        <f>VLOOKUP(F4758,Sheet2!$B$1:$E$19,2,FALSE)</f>
        <v>1073</v>
      </c>
      <c r="N4758">
        <f>VLOOKUP(F4758,Sheet2!$B$1:$E$19,3,FALSE)</f>
        <v>1108959</v>
      </c>
      <c r="O4758">
        <f>IF(G4758="Not available","",VLOOKUP(F4758,Sheet2!$B$1:$E$19,4,FALSE)+(G4758-1))</f>
        <v>3780051</v>
      </c>
    </row>
    <row r="4759" spans="1:15" s="3" customFormat="1" ht="15" customHeight="1" x14ac:dyDescent="0.25">
      <c r="A4759" s="18" t="s">
        <v>584</v>
      </c>
      <c r="B4759" s="18" t="s">
        <v>23</v>
      </c>
      <c r="C4759" s="5">
        <v>1822</v>
      </c>
      <c r="D4759" s="1"/>
      <c r="E4759" s="1" t="s">
        <v>2</v>
      </c>
      <c r="F4759" s="18">
        <v>2173</v>
      </c>
      <c r="G4759" s="18">
        <v>72</v>
      </c>
      <c r="H4759" s="5">
        <v>137</v>
      </c>
      <c r="I4759" s="1">
        <v>118</v>
      </c>
      <c r="J4759" s="1">
        <v>256</v>
      </c>
      <c r="K4759" s="1"/>
      <c r="L4759" t="str">
        <f t="shared" si="74"/>
        <v>http://www.badatelna.eu/reprodukce/?fondId=1073&amp;zaznamId=1108959&amp;reproId=3780065</v>
      </c>
      <c r="M4759">
        <f>VLOOKUP(F4759,Sheet2!$B$1:$E$19,2,FALSE)</f>
        <v>1073</v>
      </c>
      <c r="N4759">
        <f>VLOOKUP(F4759,Sheet2!$B$1:$E$19,3,FALSE)</f>
        <v>1108959</v>
      </c>
      <c r="O4759">
        <f>IF(G4759="Not available","",VLOOKUP(F4759,Sheet2!$B$1:$E$19,4,FALSE)+(G4759-1))</f>
        <v>3780065</v>
      </c>
    </row>
    <row r="4760" spans="1:15" s="3" customFormat="1" ht="15" customHeight="1" x14ac:dyDescent="0.25">
      <c r="A4760" s="18" t="s">
        <v>584</v>
      </c>
      <c r="B4760" s="18" t="s">
        <v>791</v>
      </c>
      <c r="C4760" s="5">
        <v>1838</v>
      </c>
      <c r="D4760" s="1" t="s">
        <v>74</v>
      </c>
      <c r="E4760" s="1" t="s">
        <v>2</v>
      </c>
      <c r="F4760" s="18">
        <v>2174</v>
      </c>
      <c r="G4760" s="18">
        <v>105</v>
      </c>
      <c r="H4760" s="6" t="s">
        <v>3171</v>
      </c>
      <c r="I4760" s="1">
        <v>205</v>
      </c>
      <c r="J4760" s="1">
        <v>240</v>
      </c>
      <c r="K4760" s="1"/>
      <c r="L4760" t="str">
        <f t="shared" si="74"/>
        <v>http://www.badatelna.eu/reprodukce/?fondId=1073&amp;zaznamId=1108960&amp;reproId=3780329</v>
      </c>
      <c r="M4760">
        <f>VLOOKUP(F4760,Sheet2!$B$1:$E$19,2,FALSE)</f>
        <v>1073</v>
      </c>
      <c r="N4760">
        <f>VLOOKUP(F4760,Sheet2!$B$1:$E$19,3,FALSE)</f>
        <v>1108960</v>
      </c>
      <c r="O4760">
        <f>IF(G4760="Not available","",VLOOKUP(F4760,Sheet2!$B$1:$E$19,4,FALSE)+(G4760-1))</f>
        <v>3780329</v>
      </c>
    </row>
    <row r="4761" spans="1:15" s="3" customFormat="1" ht="15" customHeight="1" x14ac:dyDescent="0.25">
      <c r="A4761" s="18" t="s">
        <v>584</v>
      </c>
      <c r="B4761" s="18" t="s">
        <v>603</v>
      </c>
      <c r="C4761" s="5">
        <v>1833</v>
      </c>
      <c r="D4761" s="1" t="s">
        <v>167</v>
      </c>
      <c r="E4761" s="1" t="s">
        <v>2</v>
      </c>
      <c r="F4761" s="18">
        <v>2174</v>
      </c>
      <c r="G4761" s="18">
        <v>76</v>
      </c>
      <c r="H4761" s="14" t="s">
        <v>3142</v>
      </c>
      <c r="I4761" s="1">
        <v>204</v>
      </c>
      <c r="J4761" s="1">
        <v>239</v>
      </c>
      <c r="K4761" s="1"/>
      <c r="L4761" t="str">
        <f t="shared" si="74"/>
        <v>http://www.badatelna.eu/reprodukce/?fondId=1073&amp;zaznamId=1108960&amp;reproId=3780300</v>
      </c>
      <c r="M4761">
        <f>VLOOKUP(F4761,Sheet2!$B$1:$E$19,2,FALSE)</f>
        <v>1073</v>
      </c>
      <c r="N4761">
        <f>VLOOKUP(F4761,Sheet2!$B$1:$E$19,3,FALSE)</f>
        <v>1108960</v>
      </c>
      <c r="O4761">
        <f>IF(G4761="Not available","",VLOOKUP(F4761,Sheet2!$B$1:$E$19,4,FALSE)+(G4761-1))</f>
        <v>3780300</v>
      </c>
    </row>
    <row r="4762" spans="1:15" s="3" customFormat="1" ht="15" customHeight="1" x14ac:dyDescent="0.25">
      <c r="A4762" s="18" t="s">
        <v>584</v>
      </c>
      <c r="B4762" s="18" t="s">
        <v>304</v>
      </c>
      <c r="C4762" s="5">
        <v>1835</v>
      </c>
      <c r="D4762" s="1" t="s">
        <v>26</v>
      </c>
      <c r="E4762" s="1" t="s">
        <v>2</v>
      </c>
      <c r="F4762" s="18">
        <v>2174</v>
      </c>
      <c r="G4762" s="18">
        <v>80</v>
      </c>
      <c r="H4762" s="6" t="s">
        <v>3146</v>
      </c>
      <c r="I4762" s="1">
        <v>204</v>
      </c>
      <c r="J4762" s="1">
        <v>239</v>
      </c>
      <c r="K4762" s="1"/>
      <c r="L4762" t="str">
        <f t="shared" si="74"/>
        <v>http://www.badatelna.eu/reprodukce/?fondId=1073&amp;zaznamId=1108960&amp;reproId=3780304</v>
      </c>
      <c r="M4762">
        <f>VLOOKUP(F4762,Sheet2!$B$1:$E$19,2,FALSE)</f>
        <v>1073</v>
      </c>
      <c r="N4762">
        <f>VLOOKUP(F4762,Sheet2!$B$1:$E$19,3,FALSE)</f>
        <v>1108960</v>
      </c>
      <c r="O4762">
        <f>IF(G4762="Not available","",VLOOKUP(F4762,Sheet2!$B$1:$E$19,4,FALSE)+(G4762-1))</f>
        <v>3780304</v>
      </c>
    </row>
    <row r="4763" spans="1:15" s="3" customFormat="1" ht="15" customHeight="1" x14ac:dyDescent="0.25">
      <c r="A4763" s="18" t="s">
        <v>584</v>
      </c>
      <c r="B4763" s="18" t="s">
        <v>304</v>
      </c>
      <c r="C4763" s="5">
        <v>1840</v>
      </c>
      <c r="D4763" s="1" t="s">
        <v>50</v>
      </c>
      <c r="E4763" s="1" t="s">
        <v>2</v>
      </c>
      <c r="F4763" s="18">
        <v>2174</v>
      </c>
      <c r="G4763" s="18">
        <v>110</v>
      </c>
      <c r="H4763" s="6" t="s">
        <v>3178</v>
      </c>
      <c r="I4763" s="1">
        <v>205</v>
      </c>
      <c r="J4763" s="1">
        <v>240</v>
      </c>
      <c r="K4763" s="1"/>
      <c r="L4763" t="str">
        <f t="shared" si="74"/>
        <v>http://www.badatelna.eu/reprodukce/?fondId=1073&amp;zaznamId=1108960&amp;reproId=3780334</v>
      </c>
      <c r="M4763">
        <f>VLOOKUP(F4763,Sheet2!$B$1:$E$19,2,FALSE)</f>
        <v>1073</v>
      </c>
      <c r="N4763">
        <f>VLOOKUP(F4763,Sheet2!$B$1:$E$19,3,FALSE)</f>
        <v>1108960</v>
      </c>
      <c r="O4763">
        <f>IF(G4763="Not available","",VLOOKUP(F4763,Sheet2!$B$1:$E$19,4,FALSE)+(G4763-1))</f>
        <v>3780334</v>
      </c>
    </row>
    <row r="4764" spans="1:15" s="3" customFormat="1" ht="15" customHeight="1" x14ac:dyDescent="0.25">
      <c r="A4764" s="18" t="s">
        <v>584</v>
      </c>
      <c r="B4764" s="18" t="s">
        <v>304</v>
      </c>
      <c r="C4764" s="5">
        <v>1858</v>
      </c>
      <c r="D4764" s="1"/>
      <c r="E4764" s="1" t="s">
        <v>939</v>
      </c>
      <c r="F4764" s="18">
        <v>999</v>
      </c>
      <c r="G4764" s="18">
        <v>6</v>
      </c>
      <c r="H4764" s="5">
        <v>4</v>
      </c>
      <c r="I4764" s="1">
        <v>77</v>
      </c>
      <c r="J4764" s="1">
        <v>112</v>
      </c>
      <c r="K4764" s="1"/>
      <c r="L4764" t="str">
        <f t="shared" si="74"/>
        <v>http://www.badatelna.eu/reprodukce/?fondId=241&amp;zaznamId=1133739&amp;reproId=3885735</v>
      </c>
      <c r="M4764">
        <f>VLOOKUP(F4764,Sheet2!$B$1:$E$19,2,FALSE)</f>
        <v>241</v>
      </c>
      <c r="N4764">
        <f>VLOOKUP(F4764,Sheet2!$B$1:$E$19,3,FALSE)</f>
        <v>1133739</v>
      </c>
      <c r="O4764">
        <f>IF(G4764="Not available","",VLOOKUP(F4764,Sheet2!$B$1:$E$19,4,FALSE)+(G4764-1))</f>
        <v>3885735</v>
      </c>
    </row>
    <row r="4765" spans="1:15" s="3" customFormat="1" ht="15" customHeight="1" x14ac:dyDescent="0.25">
      <c r="A4765" s="18" t="s">
        <v>584</v>
      </c>
      <c r="B4765" s="18" t="s">
        <v>542</v>
      </c>
      <c r="C4765" s="5">
        <v>1833</v>
      </c>
      <c r="D4765" s="1" t="s">
        <v>26</v>
      </c>
      <c r="E4765" s="1" t="s">
        <v>2</v>
      </c>
      <c r="F4765" s="18">
        <v>2174</v>
      </c>
      <c r="G4765" s="18">
        <v>73</v>
      </c>
      <c r="H4765" s="6" t="s">
        <v>3138</v>
      </c>
      <c r="I4765" s="1">
        <v>204</v>
      </c>
      <c r="J4765" s="1">
        <v>239</v>
      </c>
      <c r="K4765" s="1"/>
      <c r="L4765" t="str">
        <f t="shared" si="74"/>
        <v>http://www.badatelna.eu/reprodukce/?fondId=1073&amp;zaznamId=1108960&amp;reproId=3780297</v>
      </c>
      <c r="M4765">
        <f>VLOOKUP(F4765,Sheet2!$B$1:$E$19,2,FALSE)</f>
        <v>1073</v>
      </c>
      <c r="N4765">
        <f>VLOOKUP(F4765,Sheet2!$B$1:$E$19,3,FALSE)</f>
        <v>1108960</v>
      </c>
      <c r="O4765">
        <f>IF(G4765="Not available","",VLOOKUP(F4765,Sheet2!$B$1:$E$19,4,FALSE)+(G4765-1))</f>
        <v>3780297</v>
      </c>
    </row>
    <row r="4766" spans="1:15" s="3" customFormat="1" ht="15" customHeight="1" x14ac:dyDescent="0.25">
      <c r="A4766" s="18" t="s">
        <v>584</v>
      </c>
      <c r="B4766" s="18" t="s">
        <v>2022</v>
      </c>
      <c r="C4766" s="10" t="s">
        <v>1952</v>
      </c>
      <c r="D4766" s="3" t="s">
        <v>2532</v>
      </c>
      <c r="E4766" s="4" t="s">
        <v>2</v>
      </c>
      <c r="F4766" s="18">
        <v>2176</v>
      </c>
      <c r="G4766" s="18" t="s">
        <v>3271</v>
      </c>
      <c r="H4766" s="10" t="s">
        <v>1959</v>
      </c>
      <c r="I4766" s="3">
        <v>46</v>
      </c>
      <c r="J4766" s="3" t="s">
        <v>3271</v>
      </c>
      <c r="L4766" t="str">
        <f t="shared" si="74"/>
        <v/>
      </c>
      <c r="M4766">
        <f>VLOOKUP(F4766,Sheet2!$B$1:$E$19,2,FALSE)</f>
        <v>1073</v>
      </c>
      <c r="N4766">
        <f>VLOOKUP(F4766,Sheet2!$B$1:$E$19,3,FALSE)</f>
        <v>1108963</v>
      </c>
      <c r="O4766" t="str">
        <f>IF(G4766="Not available","",VLOOKUP(F4766,Sheet2!$B$1:$E$19,4,FALSE)+(G4766-1))</f>
        <v/>
      </c>
    </row>
    <row r="4767" spans="1:15" s="3" customFormat="1" ht="15" customHeight="1" x14ac:dyDescent="0.25">
      <c r="A4767" s="18" t="s">
        <v>584</v>
      </c>
      <c r="B4767" s="18" t="s">
        <v>76</v>
      </c>
      <c r="C4767" s="5" t="s">
        <v>1858</v>
      </c>
      <c r="D4767" s="1" t="s">
        <v>233</v>
      </c>
      <c r="E4767" s="1" t="s">
        <v>2</v>
      </c>
      <c r="F4767" s="18">
        <v>2165</v>
      </c>
      <c r="G4767" s="18">
        <v>256</v>
      </c>
      <c r="H4767" s="5">
        <v>3</v>
      </c>
      <c r="I4767" s="1">
        <v>253</v>
      </c>
      <c r="J4767" s="1">
        <v>229</v>
      </c>
      <c r="K4767" s="1"/>
      <c r="L4767" t="str">
        <f t="shared" si="74"/>
        <v>http://www.badatelna.eu/reprodukce/?fondId=1073&amp;zaznamId=1108952&amp;reproId=3779117</v>
      </c>
      <c r="M4767">
        <f>VLOOKUP(F4767,Sheet2!$B$1:$E$19,2,FALSE)</f>
        <v>1073</v>
      </c>
      <c r="N4767">
        <f>VLOOKUP(F4767,Sheet2!$B$1:$E$19,3,FALSE)</f>
        <v>1108952</v>
      </c>
      <c r="O4767">
        <f>IF(G4767="Not available","",VLOOKUP(F4767,Sheet2!$B$1:$E$19,4,FALSE)+(G4767-1))</f>
        <v>3779117</v>
      </c>
    </row>
    <row r="4768" spans="1:15" s="3" customFormat="1" ht="15" customHeight="1" x14ac:dyDescent="0.25">
      <c r="A4768" s="18" t="s">
        <v>584</v>
      </c>
      <c r="B4768" s="18" t="s">
        <v>591</v>
      </c>
      <c r="C4768" s="5">
        <v>1799</v>
      </c>
      <c r="D4768" s="1"/>
      <c r="E4768" s="1" t="s">
        <v>2</v>
      </c>
      <c r="F4768" s="18">
        <v>2173</v>
      </c>
      <c r="G4768" s="18">
        <v>42</v>
      </c>
      <c r="H4768" s="5">
        <v>79</v>
      </c>
      <c r="I4768" s="1">
        <v>117</v>
      </c>
      <c r="J4768" s="1">
        <v>255</v>
      </c>
      <c r="K4768" s="1"/>
      <c r="L4768" t="str">
        <f t="shared" si="74"/>
        <v>http://www.badatelna.eu/reprodukce/?fondId=1073&amp;zaznamId=1108959&amp;reproId=3780035</v>
      </c>
      <c r="M4768">
        <f>VLOOKUP(F4768,Sheet2!$B$1:$E$19,2,FALSE)</f>
        <v>1073</v>
      </c>
      <c r="N4768">
        <f>VLOOKUP(F4768,Sheet2!$B$1:$E$19,3,FALSE)</f>
        <v>1108959</v>
      </c>
      <c r="O4768">
        <f>IF(G4768="Not available","",VLOOKUP(F4768,Sheet2!$B$1:$E$19,4,FALSE)+(G4768-1))</f>
        <v>3780035</v>
      </c>
    </row>
    <row r="4769" spans="1:15" s="3" customFormat="1" ht="15" customHeight="1" x14ac:dyDescent="0.25">
      <c r="A4769" s="18" t="s">
        <v>584</v>
      </c>
      <c r="B4769" s="18" t="s">
        <v>76</v>
      </c>
      <c r="C4769" s="5">
        <v>1808</v>
      </c>
      <c r="D4769" s="1"/>
      <c r="E4769" s="1" t="s">
        <v>2</v>
      </c>
      <c r="F4769" s="18">
        <v>2173</v>
      </c>
      <c r="G4769" s="18">
        <v>54</v>
      </c>
      <c r="H4769" s="5">
        <v>102</v>
      </c>
      <c r="I4769" s="1">
        <v>117</v>
      </c>
      <c r="J4769" s="1">
        <v>255</v>
      </c>
      <c r="K4769" s="1"/>
      <c r="L4769" t="str">
        <f t="shared" si="74"/>
        <v>http://www.badatelna.eu/reprodukce/?fondId=1073&amp;zaznamId=1108959&amp;reproId=3780047</v>
      </c>
      <c r="M4769">
        <f>VLOOKUP(F4769,Sheet2!$B$1:$E$19,2,FALSE)</f>
        <v>1073</v>
      </c>
      <c r="N4769">
        <f>VLOOKUP(F4769,Sheet2!$B$1:$E$19,3,FALSE)</f>
        <v>1108959</v>
      </c>
      <c r="O4769">
        <f>IF(G4769="Not available","",VLOOKUP(F4769,Sheet2!$B$1:$E$19,4,FALSE)+(G4769-1))</f>
        <v>3780047</v>
      </c>
    </row>
    <row r="4770" spans="1:15" s="3" customFormat="1" ht="15" customHeight="1" x14ac:dyDescent="0.25">
      <c r="A4770" s="18" t="s">
        <v>584</v>
      </c>
      <c r="B4770" s="18" t="s">
        <v>76</v>
      </c>
      <c r="C4770" s="5">
        <v>1816</v>
      </c>
      <c r="D4770" s="1"/>
      <c r="E4770" s="1" t="s">
        <v>2</v>
      </c>
      <c r="F4770" s="18">
        <v>2173</v>
      </c>
      <c r="G4770" s="18">
        <v>69</v>
      </c>
      <c r="H4770" s="5">
        <v>130</v>
      </c>
      <c r="I4770" s="1">
        <v>118</v>
      </c>
      <c r="J4770" s="1">
        <v>256</v>
      </c>
      <c r="K4770" s="1"/>
      <c r="L4770" t="str">
        <f t="shared" si="74"/>
        <v>http://www.badatelna.eu/reprodukce/?fondId=1073&amp;zaznamId=1108959&amp;reproId=3780062</v>
      </c>
      <c r="M4770">
        <f>VLOOKUP(F4770,Sheet2!$B$1:$E$19,2,FALSE)</f>
        <v>1073</v>
      </c>
      <c r="N4770">
        <f>VLOOKUP(F4770,Sheet2!$B$1:$E$19,3,FALSE)</f>
        <v>1108959</v>
      </c>
      <c r="O4770">
        <f>IF(G4770="Not available","",VLOOKUP(F4770,Sheet2!$B$1:$E$19,4,FALSE)+(G4770-1))</f>
        <v>3780062</v>
      </c>
    </row>
    <row r="4771" spans="1:15" s="3" customFormat="1" ht="15" customHeight="1" x14ac:dyDescent="0.25">
      <c r="A4771" s="18" t="s">
        <v>584</v>
      </c>
      <c r="B4771" s="18" t="s">
        <v>76</v>
      </c>
      <c r="C4771" s="5">
        <v>1829</v>
      </c>
      <c r="D4771" s="1"/>
      <c r="E4771" s="1" t="s">
        <v>2</v>
      </c>
      <c r="F4771" s="18">
        <v>2173</v>
      </c>
      <c r="G4771" s="18">
        <v>82</v>
      </c>
      <c r="H4771" s="5">
        <v>157</v>
      </c>
      <c r="I4771" s="1">
        <v>118</v>
      </c>
      <c r="J4771" s="1">
        <v>256</v>
      </c>
      <c r="K4771" s="1"/>
      <c r="L4771" t="str">
        <f t="shared" si="74"/>
        <v>http://www.badatelna.eu/reprodukce/?fondId=1073&amp;zaznamId=1108959&amp;reproId=3780075</v>
      </c>
      <c r="M4771">
        <f>VLOOKUP(F4771,Sheet2!$B$1:$E$19,2,FALSE)</f>
        <v>1073</v>
      </c>
      <c r="N4771">
        <f>VLOOKUP(F4771,Sheet2!$B$1:$E$19,3,FALSE)</f>
        <v>1108959</v>
      </c>
      <c r="O4771">
        <f>IF(G4771="Not available","",VLOOKUP(F4771,Sheet2!$B$1:$E$19,4,FALSE)+(G4771-1))</f>
        <v>3780075</v>
      </c>
    </row>
    <row r="4772" spans="1:15" s="3" customFormat="1" ht="15" customHeight="1" x14ac:dyDescent="0.25">
      <c r="A4772" s="18" t="s">
        <v>584</v>
      </c>
      <c r="B4772" s="18" t="s">
        <v>76</v>
      </c>
      <c r="C4772" s="5">
        <v>1854</v>
      </c>
      <c r="D4772" s="1" t="s">
        <v>65</v>
      </c>
      <c r="E4772" s="1" t="s">
        <v>2</v>
      </c>
      <c r="F4772" s="18">
        <v>2164</v>
      </c>
      <c r="G4772" s="18">
        <v>98</v>
      </c>
      <c r="H4772" s="5">
        <v>96</v>
      </c>
      <c r="I4772" s="1">
        <v>140</v>
      </c>
      <c r="J4772" s="3" t="s">
        <v>3271</v>
      </c>
      <c r="K4772" s="1"/>
      <c r="L4772" t="str">
        <f t="shared" si="74"/>
        <v>http://www.badatelna.eu/reprodukce/?fondId=1073&amp;zaznamId=1108951&amp;reproId=3778812</v>
      </c>
      <c r="M4772">
        <f>VLOOKUP(F4772,Sheet2!$B$1:$E$19,2,FALSE)</f>
        <v>1073</v>
      </c>
      <c r="N4772">
        <f>VLOOKUP(F4772,Sheet2!$B$1:$E$19,3,FALSE)</f>
        <v>1108951</v>
      </c>
      <c r="O4772">
        <f>IF(G4772="Not available","",VLOOKUP(F4772,Sheet2!$B$1:$E$19,4,FALSE)+(G4772-1))</f>
        <v>3778812</v>
      </c>
    </row>
    <row r="4773" spans="1:15" s="3" customFormat="1" ht="15" customHeight="1" x14ac:dyDescent="0.25">
      <c r="A4773" s="18" t="s">
        <v>584</v>
      </c>
      <c r="B4773" s="18" t="s">
        <v>93</v>
      </c>
      <c r="C4773" s="5">
        <v>1808</v>
      </c>
      <c r="D4773" s="1"/>
      <c r="E4773" s="1" t="s">
        <v>2</v>
      </c>
      <c r="F4773" s="18">
        <v>2173</v>
      </c>
      <c r="G4773" s="18">
        <v>53</v>
      </c>
      <c r="H4773" s="5">
        <v>101</v>
      </c>
      <c r="I4773" s="1">
        <v>117</v>
      </c>
      <c r="J4773" s="1">
        <v>255</v>
      </c>
      <c r="K4773" s="1"/>
      <c r="L4773" t="str">
        <f t="shared" si="74"/>
        <v>http://www.badatelna.eu/reprodukce/?fondId=1073&amp;zaznamId=1108959&amp;reproId=3780046</v>
      </c>
      <c r="M4773">
        <f>VLOOKUP(F4773,Sheet2!$B$1:$E$19,2,FALSE)</f>
        <v>1073</v>
      </c>
      <c r="N4773">
        <f>VLOOKUP(F4773,Sheet2!$B$1:$E$19,3,FALSE)</f>
        <v>1108959</v>
      </c>
      <c r="O4773">
        <f>IF(G4773="Not available","",VLOOKUP(F4773,Sheet2!$B$1:$E$19,4,FALSE)+(G4773-1))</f>
        <v>3780046</v>
      </c>
    </row>
    <row r="4774" spans="1:15" s="3" customFormat="1" ht="15" customHeight="1" x14ac:dyDescent="0.25">
      <c r="A4774" s="18" t="s">
        <v>584</v>
      </c>
      <c r="B4774" s="18" t="s">
        <v>93</v>
      </c>
      <c r="C4774" s="5">
        <v>1820</v>
      </c>
      <c r="D4774" s="1"/>
      <c r="E4774" s="1" t="s">
        <v>2</v>
      </c>
      <c r="F4774" s="18">
        <v>2173</v>
      </c>
      <c r="G4774" s="18">
        <v>70</v>
      </c>
      <c r="H4774" s="5">
        <v>133</v>
      </c>
      <c r="I4774" s="1">
        <v>118</v>
      </c>
      <c r="J4774" s="1">
        <v>256</v>
      </c>
      <c r="K4774" s="1"/>
      <c r="L4774" t="str">
        <f t="shared" si="74"/>
        <v>http://www.badatelna.eu/reprodukce/?fondId=1073&amp;zaznamId=1108959&amp;reproId=3780063</v>
      </c>
      <c r="M4774">
        <f>VLOOKUP(F4774,Sheet2!$B$1:$E$19,2,FALSE)</f>
        <v>1073</v>
      </c>
      <c r="N4774">
        <f>VLOOKUP(F4774,Sheet2!$B$1:$E$19,3,FALSE)</f>
        <v>1108959</v>
      </c>
      <c r="O4774">
        <f>IF(G4774="Not available","",VLOOKUP(F4774,Sheet2!$B$1:$E$19,4,FALSE)+(G4774-1))</f>
        <v>3780063</v>
      </c>
    </row>
    <row r="4775" spans="1:15" s="3" customFormat="1" ht="15" customHeight="1" x14ac:dyDescent="0.25">
      <c r="A4775" s="18" t="s">
        <v>584</v>
      </c>
      <c r="B4775" s="18" t="s">
        <v>93</v>
      </c>
      <c r="C4775" s="5">
        <v>1848</v>
      </c>
      <c r="D4775" s="1" t="s">
        <v>6</v>
      </c>
      <c r="E4775" s="1" t="s">
        <v>2</v>
      </c>
      <c r="F4775" s="18">
        <v>2164</v>
      </c>
      <c r="G4775" s="18">
        <v>38</v>
      </c>
      <c r="H4775" s="5">
        <v>36</v>
      </c>
      <c r="I4775" s="1">
        <v>140</v>
      </c>
      <c r="J4775" s="3" t="s">
        <v>3271</v>
      </c>
      <c r="K4775" s="1"/>
      <c r="L4775" t="str">
        <f t="shared" si="74"/>
        <v>http://www.badatelna.eu/reprodukce/?fondId=1073&amp;zaznamId=1108951&amp;reproId=3778752</v>
      </c>
      <c r="M4775">
        <f>VLOOKUP(F4775,Sheet2!$B$1:$E$19,2,FALSE)</f>
        <v>1073</v>
      </c>
      <c r="N4775">
        <f>VLOOKUP(F4775,Sheet2!$B$1:$E$19,3,FALSE)</f>
        <v>1108951</v>
      </c>
      <c r="O4775">
        <f>IF(G4775="Not available","",VLOOKUP(F4775,Sheet2!$B$1:$E$19,4,FALSE)+(G4775-1))</f>
        <v>3778752</v>
      </c>
    </row>
    <row r="4776" spans="1:15" s="3" customFormat="1" ht="15" customHeight="1" x14ac:dyDescent="0.25">
      <c r="A4776" s="18" t="s">
        <v>579</v>
      </c>
      <c r="B4776" s="18" t="s">
        <v>50</v>
      </c>
      <c r="C4776" s="5">
        <v>1816</v>
      </c>
      <c r="D4776" s="1"/>
      <c r="E4776" s="1" t="s">
        <v>2</v>
      </c>
      <c r="F4776" s="18">
        <v>2173</v>
      </c>
      <c r="G4776" s="18">
        <v>66</v>
      </c>
      <c r="H4776" s="5">
        <v>127</v>
      </c>
      <c r="I4776" s="1">
        <v>118</v>
      </c>
      <c r="J4776" s="1">
        <v>256</v>
      </c>
      <c r="K4776" s="1"/>
      <c r="L4776" t="str">
        <f t="shared" si="74"/>
        <v>http://www.badatelna.eu/reprodukce/?fondId=1073&amp;zaznamId=1108959&amp;reproId=3780059</v>
      </c>
      <c r="M4776">
        <f>VLOOKUP(F4776,Sheet2!$B$1:$E$19,2,FALSE)</f>
        <v>1073</v>
      </c>
      <c r="N4776">
        <f>VLOOKUP(F4776,Sheet2!$B$1:$E$19,3,FALSE)</f>
        <v>1108959</v>
      </c>
      <c r="O4776">
        <f>IF(G4776="Not available","",VLOOKUP(F4776,Sheet2!$B$1:$E$19,4,FALSE)+(G4776-1))</f>
        <v>3780059</v>
      </c>
    </row>
    <row r="4777" spans="1:15" s="3" customFormat="1" ht="15" customHeight="1" x14ac:dyDescent="0.25">
      <c r="A4777" s="18" t="s">
        <v>579</v>
      </c>
      <c r="B4777" s="18" t="s">
        <v>50</v>
      </c>
      <c r="C4777" s="5">
        <v>1852</v>
      </c>
      <c r="D4777" s="1" t="s">
        <v>21</v>
      </c>
      <c r="E4777" s="1" t="s">
        <v>2</v>
      </c>
      <c r="F4777" s="18">
        <v>2164</v>
      </c>
      <c r="G4777" s="18">
        <v>79</v>
      </c>
      <c r="H4777" s="5">
        <v>77</v>
      </c>
      <c r="I4777" s="1">
        <v>140</v>
      </c>
      <c r="J4777" s="3" t="s">
        <v>3271</v>
      </c>
      <c r="K4777" s="1"/>
      <c r="L4777" t="str">
        <f t="shared" si="74"/>
        <v>http://www.badatelna.eu/reprodukce/?fondId=1073&amp;zaznamId=1108951&amp;reproId=3778793</v>
      </c>
      <c r="M4777">
        <f>VLOOKUP(F4777,Sheet2!$B$1:$E$19,2,FALSE)</f>
        <v>1073</v>
      </c>
      <c r="N4777">
        <f>VLOOKUP(F4777,Sheet2!$B$1:$E$19,3,FALSE)</f>
        <v>1108951</v>
      </c>
      <c r="O4777">
        <f>IF(G4777="Not available","",VLOOKUP(F4777,Sheet2!$B$1:$E$19,4,FALSE)+(G4777-1))</f>
        <v>3778793</v>
      </c>
    </row>
    <row r="4778" spans="1:15" s="3" customFormat="1" ht="15" customHeight="1" x14ac:dyDescent="0.25">
      <c r="A4778" s="18" t="s">
        <v>579</v>
      </c>
      <c r="B4778" s="18" t="s">
        <v>50</v>
      </c>
      <c r="C4778" s="5">
        <v>1854</v>
      </c>
      <c r="D4778" s="1" t="s">
        <v>24</v>
      </c>
      <c r="E4778" s="1" t="s">
        <v>2</v>
      </c>
      <c r="F4778" s="18">
        <v>2164</v>
      </c>
      <c r="G4778" s="18">
        <v>104</v>
      </c>
      <c r="H4778" s="5">
        <v>102</v>
      </c>
      <c r="I4778" s="1">
        <v>140</v>
      </c>
      <c r="J4778" s="3" t="s">
        <v>3271</v>
      </c>
      <c r="K4778" s="1"/>
      <c r="L4778" t="str">
        <f t="shared" si="74"/>
        <v>http://www.badatelna.eu/reprodukce/?fondId=1073&amp;zaznamId=1108951&amp;reproId=3778818</v>
      </c>
      <c r="M4778">
        <f>VLOOKUP(F4778,Sheet2!$B$1:$E$19,2,FALSE)</f>
        <v>1073</v>
      </c>
      <c r="N4778">
        <f>VLOOKUP(F4778,Sheet2!$B$1:$E$19,3,FALSE)</f>
        <v>1108951</v>
      </c>
      <c r="O4778">
        <f>IF(G4778="Not available","",VLOOKUP(F4778,Sheet2!$B$1:$E$19,4,FALSE)+(G4778-1))</f>
        <v>3778818</v>
      </c>
    </row>
    <row r="4779" spans="1:15" s="3" customFormat="1" ht="15" customHeight="1" x14ac:dyDescent="0.25">
      <c r="A4779" s="18" t="s">
        <v>579</v>
      </c>
      <c r="B4779" s="18" t="s">
        <v>50</v>
      </c>
      <c r="C4779" s="5">
        <v>1859</v>
      </c>
      <c r="D4779" s="1"/>
      <c r="E4779" s="1" t="s">
        <v>939</v>
      </c>
      <c r="F4779" s="18">
        <v>999</v>
      </c>
      <c r="G4779" s="18">
        <v>18</v>
      </c>
      <c r="H4779" s="5">
        <v>16</v>
      </c>
      <c r="I4779" s="1">
        <v>77</v>
      </c>
      <c r="J4779" s="1">
        <v>112</v>
      </c>
      <c r="K4779" s="1"/>
      <c r="L4779" t="str">
        <f t="shared" si="74"/>
        <v>http://www.badatelna.eu/reprodukce/?fondId=241&amp;zaznamId=1133739&amp;reproId=3885747</v>
      </c>
      <c r="M4779">
        <f>VLOOKUP(F4779,Sheet2!$B$1:$E$19,2,FALSE)</f>
        <v>241</v>
      </c>
      <c r="N4779">
        <f>VLOOKUP(F4779,Sheet2!$B$1:$E$19,3,FALSE)</f>
        <v>1133739</v>
      </c>
      <c r="O4779">
        <f>IF(G4779="Not available","",VLOOKUP(F4779,Sheet2!$B$1:$E$19,4,FALSE)+(G4779-1))</f>
        <v>3885747</v>
      </c>
    </row>
    <row r="4780" spans="1:15" s="3" customFormat="1" ht="15" customHeight="1" x14ac:dyDescent="0.25">
      <c r="A4780" s="18" t="s">
        <v>579</v>
      </c>
      <c r="B4780" s="18" t="s">
        <v>477</v>
      </c>
      <c r="C4780" s="5">
        <v>1861</v>
      </c>
      <c r="D4780" s="1"/>
      <c r="E4780" s="1" t="s">
        <v>939</v>
      </c>
      <c r="F4780" s="18">
        <v>999</v>
      </c>
      <c r="G4780" s="18">
        <v>26</v>
      </c>
      <c r="H4780" s="5">
        <v>24</v>
      </c>
      <c r="I4780" s="1">
        <v>77</v>
      </c>
      <c r="J4780" s="1">
        <v>112</v>
      </c>
      <c r="K4780" s="1"/>
      <c r="L4780" t="str">
        <f t="shared" si="74"/>
        <v>http://www.badatelna.eu/reprodukce/?fondId=241&amp;zaznamId=1133739&amp;reproId=3885755</v>
      </c>
      <c r="M4780">
        <f>VLOOKUP(F4780,Sheet2!$B$1:$E$19,2,FALSE)</f>
        <v>241</v>
      </c>
      <c r="N4780">
        <f>VLOOKUP(F4780,Sheet2!$B$1:$E$19,3,FALSE)</f>
        <v>1133739</v>
      </c>
      <c r="O4780">
        <f>IF(G4780="Not available","",VLOOKUP(F4780,Sheet2!$B$1:$E$19,4,FALSE)+(G4780-1))</f>
        <v>3885755</v>
      </c>
    </row>
    <row r="4781" spans="1:15" s="3" customFormat="1" ht="15" customHeight="1" x14ac:dyDescent="0.25">
      <c r="A4781" s="18" t="s">
        <v>579</v>
      </c>
      <c r="B4781" s="18" t="s">
        <v>453</v>
      </c>
      <c r="C4781" s="5">
        <v>1799</v>
      </c>
      <c r="D4781" s="1" t="s">
        <v>75</v>
      </c>
      <c r="E4781" s="1" t="s">
        <v>2</v>
      </c>
      <c r="F4781" s="18">
        <v>2173</v>
      </c>
      <c r="G4781" s="18">
        <v>39</v>
      </c>
      <c r="H4781" s="14" t="s">
        <v>3031</v>
      </c>
      <c r="I4781" s="1">
        <v>117</v>
      </c>
      <c r="J4781" s="1">
        <v>255</v>
      </c>
      <c r="K4781" s="1"/>
      <c r="L4781" t="str">
        <f t="shared" si="74"/>
        <v>http://www.badatelna.eu/reprodukce/?fondId=1073&amp;zaznamId=1108959&amp;reproId=3780032</v>
      </c>
      <c r="M4781">
        <f>VLOOKUP(F4781,Sheet2!$B$1:$E$19,2,FALSE)</f>
        <v>1073</v>
      </c>
      <c r="N4781">
        <f>VLOOKUP(F4781,Sheet2!$B$1:$E$19,3,FALSE)</f>
        <v>1108959</v>
      </c>
      <c r="O4781">
        <f>IF(G4781="Not available","",VLOOKUP(F4781,Sheet2!$B$1:$E$19,4,FALSE)+(G4781-1))</f>
        <v>3780032</v>
      </c>
    </row>
    <row r="4782" spans="1:15" s="3" customFormat="1" ht="15" customHeight="1" x14ac:dyDescent="0.25">
      <c r="A4782" s="18" t="s">
        <v>579</v>
      </c>
      <c r="B4782" s="18" t="s">
        <v>674</v>
      </c>
      <c r="C4782" s="5">
        <v>1865</v>
      </c>
      <c r="D4782" s="1"/>
      <c r="E4782" s="1" t="s">
        <v>939</v>
      </c>
      <c r="F4782" s="18">
        <v>999</v>
      </c>
      <c r="G4782" s="18">
        <v>52</v>
      </c>
      <c r="H4782" s="5">
        <v>50</v>
      </c>
      <c r="I4782" s="1">
        <v>77</v>
      </c>
      <c r="J4782" s="1">
        <v>112</v>
      </c>
      <c r="K4782" s="1"/>
      <c r="L4782" t="str">
        <f t="shared" si="74"/>
        <v>http://www.badatelna.eu/reprodukce/?fondId=241&amp;zaznamId=1133739&amp;reproId=3885781</v>
      </c>
      <c r="M4782">
        <f>VLOOKUP(F4782,Sheet2!$B$1:$E$19,2,FALSE)</f>
        <v>241</v>
      </c>
      <c r="N4782">
        <f>VLOOKUP(F4782,Sheet2!$B$1:$E$19,3,FALSE)</f>
        <v>1133739</v>
      </c>
      <c r="O4782">
        <f>IF(G4782="Not available","",VLOOKUP(F4782,Sheet2!$B$1:$E$19,4,FALSE)+(G4782-1))</f>
        <v>3885781</v>
      </c>
    </row>
    <row r="4783" spans="1:15" s="3" customFormat="1" ht="15" customHeight="1" x14ac:dyDescent="0.25">
      <c r="A4783" s="18" t="s">
        <v>579</v>
      </c>
      <c r="B4783" s="18" t="s">
        <v>674</v>
      </c>
      <c r="C4783" s="5" t="s">
        <v>1665</v>
      </c>
      <c r="D4783" s="1" t="s">
        <v>24</v>
      </c>
      <c r="E4783" s="1" t="s">
        <v>2</v>
      </c>
      <c r="F4783" s="18">
        <v>2165</v>
      </c>
      <c r="G4783" s="18">
        <v>4</v>
      </c>
      <c r="H4783" s="5">
        <v>1</v>
      </c>
      <c r="I4783" s="1">
        <v>94</v>
      </c>
      <c r="J4783" s="1" t="s">
        <v>3271</v>
      </c>
      <c r="K4783" s="1"/>
      <c r="L4783" t="str">
        <f t="shared" si="74"/>
        <v>http://www.badatelna.eu/reprodukce/?fondId=1073&amp;zaznamId=1108952&amp;reproId=3778865</v>
      </c>
      <c r="M4783">
        <f>VLOOKUP(F4783,Sheet2!$B$1:$E$19,2,FALSE)</f>
        <v>1073</v>
      </c>
      <c r="N4783">
        <f>VLOOKUP(F4783,Sheet2!$B$1:$E$19,3,FALSE)</f>
        <v>1108952</v>
      </c>
      <c r="O4783">
        <f>IF(G4783="Not available","",VLOOKUP(F4783,Sheet2!$B$1:$E$19,4,FALSE)+(G4783-1))</f>
        <v>3778865</v>
      </c>
    </row>
    <row r="4784" spans="1:15" s="3" customFormat="1" ht="15" customHeight="1" x14ac:dyDescent="0.25">
      <c r="A4784" s="18" t="s">
        <v>579</v>
      </c>
      <c r="B4784" s="18" t="s">
        <v>774</v>
      </c>
      <c r="C4784" s="5">
        <v>1858</v>
      </c>
      <c r="D4784" s="1"/>
      <c r="E4784" s="1" t="s">
        <v>939</v>
      </c>
      <c r="F4784" s="18">
        <v>999</v>
      </c>
      <c r="G4784" s="18">
        <v>7</v>
      </c>
      <c r="H4784" s="5">
        <v>5</v>
      </c>
      <c r="I4784" s="1">
        <v>77</v>
      </c>
      <c r="J4784" s="1">
        <v>112</v>
      </c>
      <c r="K4784" s="1"/>
      <c r="L4784" t="str">
        <f t="shared" si="74"/>
        <v>http://www.badatelna.eu/reprodukce/?fondId=241&amp;zaznamId=1133739&amp;reproId=3885736</v>
      </c>
      <c r="M4784">
        <f>VLOOKUP(F4784,Sheet2!$B$1:$E$19,2,FALSE)</f>
        <v>241</v>
      </c>
      <c r="N4784">
        <f>VLOOKUP(F4784,Sheet2!$B$1:$E$19,3,FALSE)</f>
        <v>1133739</v>
      </c>
      <c r="O4784">
        <f>IF(G4784="Not available","",VLOOKUP(F4784,Sheet2!$B$1:$E$19,4,FALSE)+(G4784-1))</f>
        <v>3885736</v>
      </c>
    </row>
    <row r="4785" spans="1:15" s="3" customFormat="1" ht="15" customHeight="1" x14ac:dyDescent="0.25">
      <c r="A4785" s="18" t="s">
        <v>579</v>
      </c>
      <c r="B4785" s="18" t="s">
        <v>774</v>
      </c>
      <c r="C4785" s="5">
        <v>1863</v>
      </c>
      <c r="D4785" s="1"/>
      <c r="E4785" s="1" t="s">
        <v>939</v>
      </c>
      <c r="F4785" s="18">
        <v>999</v>
      </c>
      <c r="G4785" s="18">
        <v>40</v>
      </c>
      <c r="H4785" s="5">
        <v>38</v>
      </c>
      <c r="I4785" s="1">
        <v>77</v>
      </c>
      <c r="J4785" s="1">
        <v>112</v>
      </c>
      <c r="K4785" s="1"/>
      <c r="L4785" t="str">
        <f t="shared" si="74"/>
        <v>http://www.badatelna.eu/reprodukce/?fondId=241&amp;zaznamId=1133739&amp;reproId=3885769</v>
      </c>
      <c r="M4785">
        <f>VLOOKUP(F4785,Sheet2!$B$1:$E$19,2,FALSE)</f>
        <v>241</v>
      </c>
      <c r="N4785">
        <f>VLOOKUP(F4785,Sheet2!$B$1:$E$19,3,FALSE)</f>
        <v>1133739</v>
      </c>
      <c r="O4785">
        <f>IF(G4785="Not available","",VLOOKUP(F4785,Sheet2!$B$1:$E$19,4,FALSE)+(G4785-1))</f>
        <v>3885769</v>
      </c>
    </row>
    <row r="4786" spans="1:15" s="3" customFormat="1" ht="15" customHeight="1" x14ac:dyDescent="0.25">
      <c r="A4786" s="18" t="s">
        <v>579</v>
      </c>
      <c r="B4786" s="18" t="s">
        <v>87</v>
      </c>
      <c r="C4786" s="5">
        <v>1813</v>
      </c>
      <c r="D4786" s="1"/>
      <c r="E4786" s="1" t="s">
        <v>2</v>
      </c>
      <c r="F4786" s="18">
        <v>2173</v>
      </c>
      <c r="G4786" s="18">
        <v>61</v>
      </c>
      <c r="H4786" s="5">
        <v>117</v>
      </c>
      <c r="I4786" s="1">
        <v>118</v>
      </c>
      <c r="J4786" s="1">
        <v>256</v>
      </c>
      <c r="K4786" s="1"/>
      <c r="L4786" t="str">
        <f t="shared" si="74"/>
        <v>http://www.badatelna.eu/reprodukce/?fondId=1073&amp;zaznamId=1108959&amp;reproId=3780054</v>
      </c>
      <c r="M4786">
        <f>VLOOKUP(F4786,Sheet2!$B$1:$E$19,2,FALSE)</f>
        <v>1073</v>
      </c>
      <c r="N4786">
        <f>VLOOKUP(F4786,Sheet2!$B$1:$E$19,3,FALSE)</f>
        <v>1108959</v>
      </c>
      <c r="O4786">
        <f>IF(G4786="Not available","",VLOOKUP(F4786,Sheet2!$B$1:$E$19,4,FALSE)+(G4786-1))</f>
        <v>3780054</v>
      </c>
    </row>
    <row r="4787" spans="1:15" s="3" customFormat="1" ht="15" customHeight="1" x14ac:dyDescent="0.25">
      <c r="A4787" s="18" t="s">
        <v>579</v>
      </c>
      <c r="B4787" s="18" t="s">
        <v>917</v>
      </c>
      <c r="C4787" s="5">
        <v>1853</v>
      </c>
      <c r="D4787" s="1" t="s">
        <v>21</v>
      </c>
      <c r="E4787" s="1" t="s">
        <v>2</v>
      </c>
      <c r="F4787" s="18">
        <v>2164</v>
      </c>
      <c r="G4787" s="18">
        <v>90</v>
      </c>
      <c r="H4787" s="5">
        <v>88</v>
      </c>
      <c r="I4787" s="1">
        <v>140</v>
      </c>
      <c r="J4787" s="3" t="s">
        <v>3271</v>
      </c>
      <c r="K4787" s="1"/>
      <c r="L4787" t="str">
        <f t="shared" si="74"/>
        <v>http://www.badatelna.eu/reprodukce/?fondId=1073&amp;zaznamId=1108951&amp;reproId=3778804</v>
      </c>
      <c r="M4787">
        <f>VLOOKUP(F4787,Sheet2!$B$1:$E$19,2,FALSE)</f>
        <v>1073</v>
      </c>
      <c r="N4787">
        <f>VLOOKUP(F4787,Sheet2!$B$1:$E$19,3,FALSE)</f>
        <v>1108951</v>
      </c>
      <c r="O4787">
        <f>IF(G4787="Not available","",VLOOKUP(F4787,Sheet2!$B$1:$E$19,4,FALSE)+(G4787-1))</f>
        <v>3778804</v>
      </c>
    </row>
    <row r="4788" spans="1:15" s="3" customFormat="1" ht="15" customHeight="1" x14ac:dyDescent="0.25">
      <c r="A4788" s="18" t="s">
        <v>579</v>
      </c>
      <c r="B4788" s="18" t="s">
        <v>917</v>
      </c>
      <c r="C4788" s="5">
        <v>1859</v>
      </c>
      <c r="D4788" s="1"/>
      <c r="E4788" s="1" t="s">
        <v>939</v>
      </c>
      <c r="F4788" s="18">
        <v>999</v>
      </c>
      <c r="G4788" s="18">
        <v>15</v>
      </c>
      <c r="H4788" s="5">
        <v>13</v>
      </c>
      <c r="I4788" s="1">
        <v>77</v>
      </c>
      <c r="J4788" s="1">
        <v>112</v>
      </c>
      <c r="K4788" s="1"/>
      <c r="L4788" t="str">
        <f t="shared" si="74"/>
        <v>http://www.badatelna.eu/reprodukce/?fondId=241&amp;zaznamId=1133739&amp;reproId=3885744</v>
      </c>
      <c r="M4788">
        <f>VLOOKUP(F4788,Sheet2!$B$1:$E$19,2,FALSE)</f>
        <v>241</v>
      </c>
      <c r="N4788">
        <f>VLOOKUP(F4788,Sheet2!$B$1:$E$19,3,FALSE)</f>
        <v>1133739</v>
      </c>
      <c r="O4788">
        <f>IF(G4788="Not available","",VLOOKUP(F4788,Sheet2!$B$1:$E$19,4,FALSE)+(G4788-1))</f>
        <v>3885744</v>
      </c>
    </row>
    <row r="4789" spans="1:15" s="3" customFormat="1" ht="15" customHeight="1" x14ac:dyDescent="0.25">
      <c r="A4789" s="18" t="s">
        <v>579</v>
      </c>
      <c r="B4789" s="18" t="s">
        <v>917</v>
      </c>
      <c r="C4789" s="5">
        <v>1861</v>
      </c>
      <c r="D4789" s="1"/>
      <c r="E4789" s="1" t="s">
        <v>939</v>
      </c>
      <c r="F4789" s="18">
        <v>999</v>
      </c>
      <c r="G4789" s="18">
        <v>26</v>
      </c>
      <c r="H4789" s="5">
        <v>24</v>
      </c>
      <c r="I4789" s="1">
        <v>77</v>
      </c>
      <c r="J4789" s="1">
        <v>112</v>
      </c>
      <c r="K4789" s="1"/>
      <c r="L4789" t="str">
        <f t="shared" si="74"/>
        <v>http://www.badatelna.eu/reprodukce/?fondId=241&amp;zaznamId=1133739&amp;reproId=3885755</v>
      </c>
      <c r="M4789">
        <f>VLOOKUP(F4789,Sheet2!$B$1:$E$19,2,FALSE)</f>
        <v>241</v>
      </c>
      <c r="N4789">
        <f>VLOOKUP(F4789,Sheet2!$B$1:$E$19,3,FALSE)</f>
        <v>1133739</v>
      </c>
      <c r="O4789">
        <f>IF(G4789="Not available","",VLOOKUP(F4789,Sheet2!$B$1:$E$19,4,FALSE)+(G4789-1))</f>
        <v>3885755</v>
      </c>
    </row>
    <row r="4790" spans="1:15" s="3" customFormat="1" ht="15" customHeight="1" x14ac:dyDescent="0.25">
      <c r="A4790" s="18" t="s">
        <v>579</v>
      </c>
      <c r="B4790" s="18" t="s">
        <v>219</v>
      </c>
      <c r="C4790" s="5">
        <v>1858</v>
      </c>
      <c r="D4790" s="1"/>
      <c r="E4790" s="1" t="s">
        <v>939</v>
      </c>
      <c r="F4790" s="18">
        <v>999</v>
      </c>
      <c r="G4790" s="18">
        <v>7</v>
      </c>
      <c r="H4790" s="5">
        <v>5</v>
      </c>
      <c r="I4790" s="1">
        <v>77</v>
      </c>
      <c r="J4790" s="1">
        <v>112</v>
      </c>
      <c r="K4790" s="1"/>
      <c r="L4790" t="str">
        <f t="shared" si="74"/>
        <v>http://www.badatelna.eu/reprodukce/?fondId=241&amp;zaznamId=1133739&amp;reproId=3885736</v>
      </c>
      <c r="M4790">
        <f>VLOOKUP(F4790,Sheet2!$B$1:$E$19,2,FALSE)</f>
        <v>241</v>
      </c>
      <c r="N4790">
        <f>VLOOKUP(F4790,Sheet2!$B$1:$E$19,3,FALSE)</f>
        <v>1133739</v>
      </c>
      <c r="O4790">
        <f>IF(G4790="Not available","",VLOOKUP(F4790,Sheet2!$B$1:$E$19,4,FALSE)+(G4790-1))</f>
        <v>3885736</v>
      </c>
    </row>
    <row r="4791" spans="1:15" s="3" customFormat="1" ht="15" customHeight="1" x14ac:dyDescent="0.25">
      <c r="A4791" s="18" t="s">
        <v>579</v>
      </c>
      <c r="B4791" s="18" t="s">
        <v>370</v>
      </c>
      <c r="C4791" s="5">
        <v>1864</v>
      </c>
      <c r="D4791" s="1"/>
      <c r="E4791" s="1" t="s">
        <v>939</v>
      </c>
      <c r="F4791" s="18">
        <v>999</v>
      </c>
      <c r="G4791" s="18">
        <v>51</v>
      </c>
      <c r="H4791" s="5">
        <v>49</v>
      </c>
      <c r="I4791" s="1">
        <v>77</v>
      </c>
      <c r="J4791" s="1">
        <v>112</v>
      </c>
      <c r="K4791" s="1"/>
      <c r="L4791" t="str">
        <f t="shared" si="74"/>
        <v>http://www.badatelna.eu/reprodukce/?fondId=241&amp;zaznamId=1133739&amp;reproId=3885780</v>
      </c>
      <c r="M4791">
        <f>VLOOKUP(F4791,Sheet2!$B$1:$E$19,2,FALSE)</f>
        <v>241</v>
      </c>
      <c r="N4791">
        <f>VLOOKUP(F4791,Sheet2!$B$1:$E$19,3,FALSE)</f>
        <v>1133739</v>
      </c>
      <c r="O4791">
        <f>IF(G4791="Not available","",VLOOKUP(F4791,Sheet2!$B$1:$E$19,4,FALSE)+(G4791-1))</f>
        <v>3885780</v>
      </c>
    </row>
    <row r="4792" spans="1:15" s="3" customFormat="1" ht="15" customHeight="1" x14ac:dyDescent="0.25">
      <c r="A4792" s="18" t="s">
        <v>579</v>
      </c>
      <c r="B4792" s="18" t="s">
        <v>34</v>
      </c>
      <c r="C4792" s="5">
        <v>1793</v>
      </c>
      <c r="D4792" s="1" t="s">
        <v>229</v>
      </c>
      <c r="E4792" s="1" t="s">
        <v>2</v>
      </c>
      <c r="F4792" s="18">
        <v>2173</v>
      </c>
      <c r="G4792" s="18">
        <v>30</v>
      </c>
      <c r="H4792" s="5">
        <v>54</v>
      </c>
      <c r="I4792" s="1">
        <v>117</v>
      </c>
      <c r="J4792" s="1">
        <v>255</v>
      </c>
      <c r="K4792" s="1"/>
      <c r="L4792" t="str">
        <f t="shared" si="74"/>
        <v>http://www.badatelna.eu/reprodukce/?fondId=1073&amp;zaznamId=1108959&amp;reproId=3780023</v>
      </c>
      <c r="M4792">
        <f>VLOOKUP(F4792,Sheet2!$B$1:$E$19,2,FALSE)</f>
        <v>1073</v>
      </c>
      <c r="N4792">
        <f>VLOOKUP(F4792,Sheet2!$B$1:$E$19,3,FALSE)</f>
        <v>1108959</v>
      </c>
      <c r="O4792">
        <f>IF(G4792="Not available","",VLOOKUP(F4792,Sheet2!$B$1:$E$19,4,FALSE)+(G4792-1))</f>
        <v>3780023</v>
      </c>
    </row>
    <row r="4793" spans="1:15" s="3" customFormat="1" ht="15" customHeight="1" x14ac:dyDescent="0.25">
      <c r="A4793" s="18" t="s">
        <v>579</v>
      </c>
      <c r="B4793" s="18" t="s">
        <v>65</v>
      </c>
      <c r="C4793" s="5">
        <v>1790</v>
      </c>
      <c r="D4793" s="1" t="s">
        <v>75</v>
      </c>
      <c r="E4793" s="1" t="s">
        <v>2</v>
      </c>
      <c r="F4793" s="18">
        <v>2173</v>
      </c>
      <c r="G4793" s="18">
        <v>22</v>
      </c>
      <c r="H4793" s="5">
        <v>38</v>
      </c>
      <c r="I4793" s="1">
        <v>117</v>
      </c>
      <c r="J4793" s="1">
        <v>255</v>
      </c>
      <c r="K4793" s="1"/>
      <c r="L4793" t="str">
        <f t="shared" si="74"/>
        <v>http://www.badatelna.eu/reprodukce/?fondId=1073&amp;zaznamId=1108959&amp;reproId=3780015</v>
      </c>
      <c r="M4793">
        <f>VLOOKUP(F4793,Sheet2!$B$1:$E$19,2,FALSE)</f>
        <v>1073</v>
      </c>
      <c r="N4793">
        <f>VLOOKUP(F4793,Sheet2!$B$1:$E$19,3,FALSE)</f>
        <v>1108959</v>
      </c>
      <c r="O4793">
        <f>IF(G4793="Not available","",VLOOKUP(F4793,Sheet2!$B$1:$E$19,4,FALSE)+(G4793-1))</f>
        <v>3780015</v>
      </c>
    </row>
    <row r="4794" spans="1:15" s="3" customFormat="1" ht="15" customHeight="1" x14ac:dyDescent="0.25">
      <c r="A4794" s="19" t="s">
        <v>579</v>
      </c>
      <c r="B4794" s="19" t="s">
        <v>359</v>
      </c>
      <c r="C4794" s="6" t="s">
        <v>3026</v>
      </c>
      <c r="D4794" s="12" t="s">
        <v>13</v>
      </c>
      <c r="E4794" s="1" t="s">
        <v>2</v>
      </c>
      <c r="F4794" s="18">
        <v>2173</v>
      </c>
      <c r="G4794" s="18">
        <v>20</v>
      </c>
      <c r="H4794" s="14" t="s">
        <v>2911</v>
      </c>
      <c r="I4794" s="1">
        <v>117</v>
      </c>
      <c r="J4794" s="1">
        <v>255</v>
      </c>
      <c r="K4794" s="1"/>
      <c r="L4794" t="str">
        <f t="shared" si="74"/>
        <v>http://www.badatelna.eu/reprodukce/?fondId=1073&amp;zaznamId=1108959&amp;reproId=3780013</v>
      </c>
      <c r="M4794">
        <f>VLOOKUP(F4794,Sheet2!$B$1:$E$19,2,FALSE)</f>
        <v>1073</v>
      </c>
      <c r="N4794">
        <f>VLOOKUP(F4794,Sheet2!$B$1:$E$19,3,FALSE)</f>
        <v>1108959</v>
      </c>
      <c r="O4794">
        <f>IF(G4794="Not available","",VLOOKUP(F4794,Sheet2!$B$1:$E$19,4,FALSE)+(G4794-1))</f>
        <v>3780013</v>
      </c>
    </row>
    <row r="4795" spans="1:15" s="3" customFormat="1" ht="15" customHeight="1" x14ac:dyDescent="0.25">
      <c r="A4795" s="18" t="s">
        <v>579</v>
      </c>
      <c r="B4795" s="18" t="s">
        <v>361</v>
      </c>
      <c r="C4795" s="5">
        <v>1862</v>
      </c>
      <c r="D4795" s="1"/>
      <c r="E4795" s="1" t="s">
        <v>939</v>
      </c>
      <c r="F4795" s="18">
        <v>999</v>
      </c>
      <c r="G4795" s="18">
        <v>39</v>
      </c>
      <c r="H4795" s="5">
        <v>37</v>
      </c>
      <c r="I4795" s="1">
        <v>77</v>
      </c>
      <c r="J4795" s="1">
        <v>112</v>
      </c>
      <c r="K4795" s="1"/>
      <c r="L4795" t="str">
        <f t="shared" si="74"/>
        <v>http://www.badatelna.eu/reprodukce/?fondId=241&amp;zaznamId=1133739&amp;reproId=3885768</v>
      </c>
      <c r="M4795">
        <f>VLOOKUP(F4795,Sheet2!$B$1:$E$19,2,FALSE)</f>
        <v>241</v>
      </c>
      <c r="N4795">
        <f>VLOOKUP(F4795,Sheet2!$B$1:$E$19,3,FALSE)</f>
        <v>1133739</v>
      </c>
      <c r="O4795">
        <f>IF(G4795="Not available","",VLOOKUP(F4795,Sheet2!$B$1:$E$19,4,FALSE)+(G4795-1))</f>
        <v>3885768</v>
      </c>
    </row>
    <row r="4796" spans="1:15" s="3" customFormat="1" ht="15" customHeight="1" x14ac:dyDescent="0.25">
      <c r="A4796" s="18" t="s">
        <v>579</v>
      </c>
      <c r="B4796" s="18" t="s">
        <v>361</v>
      </c>
      <c r="C4796" s="5" t="s">
        <v>1666</v>
      </c>
      <c r="D4796" s="1" t="s">
        <v>21</v>
      </c>
      <c r="E4796" s="1" t="s">
        <v>2</v>
      </c>
      <c r="F4796" s="18">
        <v>2165</v>
      </c>
      <c r="G4796" s="18">
        <v>25</v>
      </c>
      <c r="H4796" s="5">
        <v>22</v>
      </c>
      <c r="I4796" s="1">
        <v>94</v>
      </c>
      <c r="J4796" s="1" t="s">
        <v>3271</v>
      </c>
      <c r="K4796" s="1"/>
      <c r="L4796" t="str">
        <f t="shared" si="74"/>
        <v>http://www.badatelna.eu/reprodukce/?fondId=1073&amp;zaznamId=1108952&amp;reproId=3778886</v>
      </c>
      <c r="M4796">
        <f>VLOOKUP(F4796,Sheet2!$B$1:$E$19,2,FALSE)</f>
        <v>1073</v>
      </c>
      <c r="N4796">
        <f>VLOOKUP(F4796,Sheet2!$B$1:$E$19,3,FALSE)</f>
        <v>1108952</v>
      </c>
      <c r="O4796">
        <f>IF(G4796="Not available","",VLOOKUP(F4796,Sheet2!$B$1:$E$19,4,FALSE)+(G4796-1))</f>
        <v>3778886</v>
      </c>
    </row>
    <row r="4797" spans="1:15" s="3" customFormat="1" ht="15" customHeight="1" x14ac:dyDescent="0.25">
      <c r="A4797" s="18" t="s">
        <v>579</v>
      </c>
      <c r="B4797" s="18" t="s">
        <v>26</v>
      </c>
      <c r="C4797" s="5">
        <v>1815</v>
      </c>
      <c r="D4797" s="1"/>
      <c r="E4797" s="1" t="s">
        <v>2</v>
      </c>
      <c r="F4797" s="18">
        <v>2173</v>
      </c>
      <c r="G4797" s="18">
        <v>65</v>
      </c>
      <c r="H4797" s="5">
        <v>124</v>
      </c>
      <c r="I4797" s="1">
        <v>118</v>
      </c>
      <c r="J4797" s="1">
        <v>256</v>
      </c>
      <c r="K4797" s="1"/>
      <c r="L4797" t="str">
        <f t="shared" si="74"/>
        <v>http://www.badatelna.eu/reprodukce/?fondId=1073&amp;zaznamId=1108959&amp;reproId=3780058</v>
      </c>
      <c r="M4797">
        <f>VLOOKUP(F4797,Sheet2!$B$1:$E$19,2,FALSE)</f>
        <v>1073</v>
      </c>
      <c r="N4797">
        <f>VLOOKUP(F4797,Sheet2!$B$1:$E$19,3,FALSE)</f>
        <v>1108959</v>
      </c>
      <c r="O4797">
        <f>IF(G4797="Not available","",VLOOKUP(F4797,Sheet2!$B$1:$E$19,4,FALSE)+(G4797-1))</f>
        <v>3780058</v>
      </c>
    </row>
    <row r="4798" spans="1:15" s="3" customFormat="1" ht="15" customHeight="1" x14ac:dyDescent="0.25">
      <c r="A4798" s="18" t="s">
        <v>579</v>
      </c>
      <c r="B4798" s="18" t="s">
        <v>863</v>
      </c>
      <c r="C4798" s="5" t="s">
        <v>1667</v>
      </c>
      <c r="D4798" s="1" t="s">
        <v>24</v>
      </c>
      <c r="E4798" s="1" t="s">
        <v>2</v>
      </c>
      <c r="F4798" s="18">
        <v>2165</v>
      </c>
      <c r="G4798" s="18">
        <v>25</v>
      </c>
      <c r="H4798" s="5">
        <v>22</v>
      </c>
      <c r="I4798" s="1">
        <v>94</v>
      </c>
      <c r="J4798" s="1" t="s">
        <v>3271</v>
      </c>
      <c r="K4798" s="1"/>
      <c r="L4798" t="str">
        <f t="shared" si="74"/>
        <v>http://www.badatelna.eu/reprodukce/?fondId=1073&amp;zaznamId=1108952&amp;reproId=3778886</v>
      </c>
      <c r="M4798">
        <f>VLOOKUP(F4798,Sheet2!$B$1:$E$19,2,FALSE)</f>
        <v>1073</v>
      </c>
      <c r="N4798">
        <f>VLOOKUP(F4798,Sheet2!$B$1:$E$19,3,FALSE)</f>
        <v>1108952</v>
      </c>
      <c r="O4798">
        <f>IF(G4798="Not available","",VLOOKUP(F4798,Sheet2!$B$1:$E$19,4,FALSE)+(G4798-1))</f>
        <v>3778886</v>
      </c>
    </row>
    <row r="4799" spans="1:15" s="3" customFormat="1" ht="15" customHeight="1" x14ac:dyDescent="0.25">
      <c r="A4799" s="18" t="s">
        <v>579</v>
      </c>
      <c r="B4799" s="18" t="s">
        <v>624</v>
      </c>
      <c r="C4799" s="5">
        <v>1835</v>
      </c>
      <c r="D4799" s="1" t="s">
        <v>100</v>
      </c>
      <c r="E4799" s="1" t="s">
        <v>2</v>
      </c>
      <c r="F4799" s="18">
        <v>2174</v>
      </c>
      <c r="G4799" s="18">
        <v>82</v>
      </c>
      <c r="H4799" s="6" t="s">
        <v>3149</v>
      </c>
      <c r="I4799" s="1">
        <v>204</v>
      </c>
      <c r="J4799" s="1">
        <v>239</v>
      </c>
      <c r="K4799" s="1"/>
      <c r="L4799" t="str">
        <f t="shared" si="74"/>
        <v>http://www.badatelna.eu/reprodukce/?fondId=1073&amp;zaznamId=1108960&amp;reproId=3780306</v>
      </c>
      <c r="M4799">
        <f>VLOOKUP(F4799,Sheet2!$B$1:$E$19,2,FALSE)</f>
        <v>1073</v>
      </c>
      <c r="N4799">
        <f>VLOOKUP(F4799,Sheet2!$B$1:$E$19,3,FALSE)</f>
        <v>1108960</v>
      </c>
      <c r="O4799">
        <f>IF(G4799="Not available","",VLOOKUP(F4799,Sheet2!$B$1:$E$19,4,FALSE)+(G4799-1))</f>
        <v>3780306</v>
      </c>
    </row>
    <row r="4800" spans="1:15" s="3" customFormat="1" ht="15" customHeight="1" x14ac:dyDescent="0.25">
      <c r="A4800" s="19" t="s">
        <v>579</v>
      </c>
      <c r="B4800" s="18" t="s">
        <v>105</v>
      </c>
      <c r="C4800" s="5">
        <v>1796</v>
      </c>
      <c r="D4800" s="11"/>
      <c r="E4800" s="1" t="s">
        <v>2</v>
      </c>
      <c r="F4800" s="18">
        <v>2173</v>
      </c>
      <c r="G4800" s="18">
        <v>34</v>
      </c>
      <c r="H4800" s="5">
        <v>63</v>
      </c>
      <c r="I4800" s="1">
        <v>117</v>
      </c>
      <c r="J4800" s="1">
        <v>255</v>
      </c>
      <c r="K4800" s="1"/>
      <c r="L4800" t="str">
        <f t="shared" si="74"/>
        <v>http://www.badatelna.eu/reprodukce/?fondId=1073&amp;zaznamId=1108959&amp;reproId=3780027</v>
      </c>
      <c r="M4800">
        <f>VLOOKUP(F4800,Sheet2!$B$1:$E$19,2,FALSE)</f>
        <v>1073</v>
      </c>
      <c r="N4800">
        <f>VLOOKUP(F4800,Sheet2!$B$1:$E$19,3,FALSE)</f>
        <v>1108959</v>
      </c>
      <c r="O4800">
        <f>IF(G4800="Not available","",VLOOKUP(F4800,Sheet2!$B$1:$E$19,4,FALSE)+(G4800-1))</f>
        <v>3780027</v>
      </c>
    </row>
    <row r="4801" spans="1:15" s="3" customFormat="1" ht="15" customHeight="1" x14ac:dyDescent="0.25">
      <c r="A4801" s="18" t="s">
        <v>579</v>
      </c>
      <c r="B4801" s="18" t="s">
        <v>21</v>
      </c>
      <c r="C4801" s="5">
        <v>1816</v>
      </c>
      <c r="D4801" s="1"/>
      <c r="E4801" s="1" t="s">
        <v>2</v>
      </c>
      <c r="F4801" s="18">
        <v>2173</v>
      </c>
      <c r="G4801" s="18">
        <v>66</v>
      </c>
      <c r="H4801" s="5">
        <v>127</v>
      </c>
      <c r="I4801" s="1">
        <v>118</v>
      </c>
      <c r="J4801" s="1">
        <v>256</v>
      </c>
      <c r="K4801" s="1"/>
      <c r="L4801" t="str">
        <f t="shared" si="74"/>
        <v>http://www.badatelna.eu/reprodukce/?fondId=1073&amp;zaznamId=1108959&amp;reproId=3780059</v>
      </c>
      <c r="M4801">
        <f>VLOOKUP(F4801,Sheet2!$B$1:$E$19,2,FALSE)</f>
        <v>1073</v>
      </c>
      <c r="N4801">
        <f>VLOOKUP(F4801,Sheet2!$B$1:$E$19,3,FALSE)</f>
        <v>1108959</v>
      </c>
      <c r="O4801">
        <f>IF(G4801="Not available","",VLOOKUP(F4801,Sheet2!$B$1:$E$19,4,FALSE)+(G4801-1))</f>
        <v>3780059</v>
      </c>
    </row>
    <row r="4802" spans="1:15" s="3" customFormat="1" ht="15" customHeight="1" x14ac:dyDescent="0.25">
      <c r="A4802" s="18" t="s">
        <v>579</v>
      </c>
      <c r="B4802" s="18" t="s">
        <v>432</v>
      </c>
      <c r="C4802" s="10" t="s">
        <v>2043</v>
      </c>
      <c r="D4802" s="3" t="s">
        <v>2750</v>
      </c>
      <c r="E4802" s="4" t="s">
        <v>2</v>
      </c>
      <c r="F4802" s="18">
        <v>2176</v>
      </c>
      <c r="G4802" s="18" t="s">
        <v>3271</v>
      </c>
      <c r="H4802" s="10" t="s">
        <v>2061</v>
      </c>
      <c r="I4802" s="3">
        <v>46</v>
      </c>
      <c r="J4802" s="3" t="s">
        <v>3271</v>
      </c>
      <c r="L4802" t="str">
        <f t="shared" si="74"/>
        <v/>
      </c>
      <c r="M4802">
        <f>VLOOKUP(F4802,Sheet2!$B$1:$E$19,2,FALSE)</f>
        <v>1073</v>
      </c>
      <c r="N4802">
        <f>VLOOKUP(F4802,Sheet2!$B$1:$E$19,3,FALSE)</f>
        <v>1108963</v>
      </c>
      <c r="O4802" t="str">
        <f>IF(G4802="Not available","",VLOOKUP(F4802,Sheet2!$B$1:$E$19,4,FALSE)+(G4802-1))</f>
        <v/>
      </c>
    </row>
    <row r="4803" spans="1:15" s="3" customFormat="1" ht="15" customHeight="1" x14ac:dyDescent="0.25">
      <c r="A4803" s="18" t="s">
        <v>579</v>
      </c>
      <c r="B4803" s="18" t="s">
        <v>432</v>
      </c>
      <c r="C4803" s="5">
        <v>1885</v>
      </c>
      <c r="D4803" s="1" t="s">
        <v>988</v>
      </c>
      <c r="E4803" s="1" t="s">
        <v>2</v>
      </c>
      <c r="F4803" s="18">
        <v>2165</v>
      </c>
      <c r="G4803" s="18">
        <v>200</v>
      </c>
      <c r="H4803" s="5">
        <v>2</v>
      </c>
      <c r="I4803" s="1">
        <v>204</v>
      </c>
      <c r="J4803" s="1">
        <v>187</v>
      </c>
      <c r="K4803" s="1"/>
      <c r="L4803" t="str">
        <f t="shared" ref="L4803:L4866" si="75">IF(G4803="Not available","","http://www.badatelna.eu/reprodukce/?fondId="&amp;M4803&amp;"&amp;zaznamId="&amp;N4803&amp;"&amp;reproId="&amp;O4803)</f>
        <v>http://www.badatelna.eu/reprodukce/?fondId=1073&amp;zaznamId=1108952&amp;reproId=3779061</v>
      </c>
      <c r="M4803">
        <f>VLOOKUP(F4803,Sheet2!$B$1:$E$19,2,FALSE)</f>
        <v>1073</v>
      </c>
      <c r="N4803">
        <f>VLOOKUP(F4803,Sheet2!$B$1:$E$19,3,FALSE)</f>
        <v>1108952</v>
      </c>
      <c r="O4803">
        <f>IF(G4803="Not available","",VLOOKUP(F4803,Sheet2!$B$1:$E$19,4,FALSE)+(G4803-1))</f>
        <v>3779061</v>
      </c>
    </row>
    <row r="4804" spans="1:15" s="3" customFormat="1" ht="15" customHeight="1" x14ac:dyDescent="0.25">
      <c r="A4804" s="18" t="s">
        <v>579</v>
      </c>
      <c r="B4804" s="18" t="s">
        <v>434</v>
      </c>
      <c r="C4804" s="5">
        <v>1862</v>
      </c>
      <c r="D4804" s="1"/>
      <c r="E4804" s="1" t="s">
        <v>939</v>
      </c>
      <c r="F4804" s="18">
        <v>999</v>
      </c>
      <c r="G4804" s="18">
        <v>39</v>
      </c>
      <c r="H4804" s="5">
        <v>37</v>
      </c>
      <c r="I4804" s="1">
        <v>77</v>
      </c>
      <c r="J4804" s="1">
        <v>112</v>
      </c>
      <c r="K4804" s="1"/>
      <c r="L4804" t="str">
        <f t="shared" si="75"/>
        <v>http://www.badatelna.eu/reprodukce/?fondId=241&amp;zaznamId=1133739&amp;reproId=3885768</v>
      </c>
      <c r="M4804">
        <f>VLOOKUP(F4804,Sheet2!$B$1:$E$19,2,FALSE)</f>
        <v>241</v>
      </c>
      <c r="N4804">
        <f>VLOOKUP(F4804,Sheet2!$B$1:$E$19,3,FALSE)</f>
        <v>1133739</v>
      </c>
      <c r="O4804">
        <f>IF(G4804="Not available","",VLOOKUP(F4804,Sheet2!$B$1:$E$19,4,FALSE)+(G4804-1))</f>
        <v>3885768</v>
      </c>
    </row>
    <row r="4805" spans="1:15" ht="15" customHeight="1" x14ac:dyDescent="0.25">
      <c r="A4805" s="18" t="s">
        <v>579</v>
      </c>
      <c r="B4805" s="18" t="s">
        <v>100</v>
      </c>
      <c r="C4805" s="5">
        <v>1808</v>
      </c>
      <c r="D4805" s="1"/>
      <c r="E4805" s="1" t="s">
        <v>2</v>
      </c>
      <c r="F4805" s="18">
        <v>2173</v>
      </c>
      <c r="G4805" s="18">
        <v>55</v>
      </c>
      <c r="H4805" s="5">
        <v>104</v>
      </c>
      <c r="I4805" s="1">
        <v>117</v>
      </c>
      <c r="J4805" s="1">
        <v>255</v>
      </c>
      <c r="K4805" s="1"/>
      <c r="L4805" t="str">
        <f t="shared" si="75"/>
        <v>http://www.badatelna.eu/reprodukce/?fondId=1073&amp;zaznamId=1108959&amp;reproId=3780048</v>
      </c>
      <c r="M4805">
        <f>VLOOKUP(F4805,Sheet2!$B$1:$E$19,2,FALSE)</f>
        <v>1073</v>
      </c>
      <c r="N4805">
        <f>VLOOKUP(F4805,Sheet2!$B$1:$E$19,3,FALSE)</f>
        <v>1108959</v>
      </c>
      <c r="O4805">
        <f>IF(G4805="Not available","",VLOOKUP(F4805,Sheet2!$B$1:$E$19,4,FALSE)+(G4805-1))</f>
        <v>3780048</v>
      </c>
    </row>
    <row r="4806" spans="1:15" s="3" customFormat="1" ht="15" customHeight="1" x14ac:dyDescent="0.25">
      <c r="A4806" s="18" t="s">
        <v>579</v>
      </c>
      <c r="B4806" s="18" t="s">
        <v>1033</v>
      </c>
      <c r="C4806" s="5">
        <v>1887</v>
      </c>
      <c r="D4806" s="1" t="s">
        <v>50</v>
      </c>
      <c r="E4806" s="1" t="s">
        <v>2</v>
      </c>
      <c r="F4806" s="18">
        <v>2165</v>
      </c>
      <c r="G4806" s="18">
        <v>214</v>
      </c>
      <c r="H4806" s="5">
        <v>3</v>
      </c>
      <c r="I4806" s="1">
        <v>216</v>
      </c>
      <c r="J4806" s="1">
        <v>192</v>
      </c>
      <c r="K4806" s="1"/>
      <c r="L4806" t="str">
        <f t="shared" si="75"/>
        <v>http://www.badatelna.eu/reprodukce/?fondId=1073&amp;zaznamId=1108952&amp;reproId=3779075</v>
      </c>
      <c r="M4806">
        <f>VLOOKUP(F4806,Sheet2!$B$1:$E$19,2,FALSE)</f>
        <v>1073</v>
      </c>
      <c r="N4806">
        <f>VLOOKUP(F4806,Sheet2!$B$1:$E$19,3,FALSE)</f>
        <v>1108952</v>
      </c>
      <c r="O4806">
        <f>IF(G4806="Not available","",VLOOKUP(F4806,Sheet2!$B$1:$E$19,4,FALSE)+(G4806-1))</f>
        <v>3779075</v>
      </c>
    </row>
    <row r="4807" spans="1:15" s="3" customFormat="1" ht="15" customHeight="1" x14ac:dyDescent="0.25">
      <c r="A4807" s="18" t="s">
        <v>579</v>
      </c>
      <c r="B4807" s="19" t="s">
        <v>3030</v>
      </c>
      <c r="C4807" s="5">
        <v>1786</v>
      </c>
      <c r="D4807" s="1" t="s">
        <v>50</v>
      </c>
      <c r="E4807" s="1" t="s">
        <v>2</v>
      </c>
      <c r="F4807" s="18">
        <v>2173</v>
      </c>
      <c r="G4807" s="18">
        <v>12</v>
      </c>
      <c r="H4807" s="5">
        <v>19</v>
      </c>
      <c r="I4807" s="1">
        <v>117</v>
      </c>
      <c r="J4807" s="1">
        <v>255</v>
      </c>
      <c r="K4807" s="1"/>
      <c r="L4807" t="str">
        <f t="shared" si="75"/>
        <v>http://www.badatelna.eu/reprodukce/?fondId=1073&amp;zaznamId=1108959&amp;reproId=3780005</v>
      </c>
      <c r="M4807">
        <f>VLOOKUP(F4807,Sheet2!$B$1:$E$19,2,FALSE)</f>
        <v>1073</v>
      </c>
      <c r="N4807">
        <f>VLOOKUP(F4807,Sheet2!$B$1:$E$19,3,FALSE)</f>
        <v>1108959</v>
      </c>
      <c r="O4807">
        <f>IF(G4807="Not available","",VLOOKUP(F4807,Sheet2!$B$1:$E$19,4,FALSE)+(G4807-1))</f>
        <v>3780005</v>
      </c>
    </row>
    <row r="4808" spans="1:15" s="3" customFormat="1" ht="15" customHeight="1" x14ac:dyDescent="0.25">
      <c r="A4808" s="18" t="s">
        <v>579</v>
      </c>
      <c r="B4808" s="18" t="s">
        <v>1007</v>
      </c>
      <c r="C4808" s="5">
        <v>1886</v>
      </c>
      <c r="D4808" s="1" t="s">
        <v>50</v>
      </c>
      <c r="E4808" s="1" t="s">
        <v>2</v>
      </c>
      <c r="F4808" s="18">
        <v>2165</v>
      </c>
      <c r="G4808" s="18">
        <v>208</v>
      </c>
      <c r="H4808" s="5">
        <v>2</v>
      </c>
      <c r="I4808" s="1">
        <v>211</v>
      </c>
      <c r="J4808" s="1">
        <v>187</v>
      </c>
      <c r="K4808" s="1"/>
      <c r="L4808" t="str">
        <f t="shared" si="75"/>
        <v>http://www.badatelna.eu/reprodukce/?fondId=1073&amp;zaznamId=1108952&amp;reproId=3779069</v>
      </c>
      <c r="M4808">
        <f>VLOOKUP(F4808,Sheet2!$B$1:$E$19,2,FALSE)</f>
        <v>1073</v>
      </c>
      <c r="N4808">
        <f>VLOOKUP(F4808,Sheet2!$B$1:$E$19,3,FALSE)</f>
        <v>1108952</v>
      </c>
      <c r="O4808">
        <f>IF(G4808="Not available","",VLOOKUP(F4808,Sheet2!$B$1:$E$19,4,FALSE)+(G4808-1))</f>
        <v>3779069</v>
      </c>
    </row>
    <row r="4809" spans="1:15" s="3" customFormat="1" ht="15" customHeight="1" x14ac:dyDescent="0.25">
      <c r="A4809" s="18" t="s">
        <v>579</v>
      </c>
      <c r="B4809" s="18" t="s">
        <v>1007</v>
      </c>
      <c r="C4809" s="10" t="s">
        <v>2052</v>
      </c>
      <c r="D4809" s="3" t="s">
        <v>2750</v>
      </c>
      <c r="E4809" s="4" t="s">
        <v>2</v>
      </c>
      <c r="F4809" s="18">
        <v>2176</v>
      </c>
      <c r="G4809" s="18" t="s">
        <v>3271</v>
      </c>
      <c r="H4809" s="10" t="s">
        <v>2054</v>
      </c>
      <c r="I4809" s="3">
        <v>46</v>
      </c>
      <c r="J4809" s="3" t="s">
        <v>3271</v>
      </c>
      <c r="L4809" t="str">
        <f t="shared" si="75"/>
        <v/>
      </c>
      <c r="M4809">
        <f>VLOOKUP(F4809,Sheet2!$B$1:$E$19,2,FALSE)</f>
        <v>1073</v>
      </c>
      <c r="N4809">
        <f>VLOOKUP(F4809,Sheet2!$B$1:$E$19,3,FALSE)</f>
        <v>1108963</v>
      </c>
      <c r="O4809" t="str">
        <f>IF(G4809="Not available","",VLOOKUP(F4809,Sheet2!$B$1:$E$19,4,FALSE)+(G4809-1))</f>
        <v/>
      </c>
    </row>
    <row r="4810" spans="1:15" s="3" customFormat="1" ht="15" customHeight="1" x14ac:dyDescent="0.25">
      <c r="A4810" s="18" t="s">
        <v>579</v>
      </c>
      <c r="B4810" s="18" t="s">
        <v>491</v>
      </c>
      <c r="C4810" s="5">
        <v>1837</v>
      </c>
      <c r="D4810" s="1" t="s">
        <v>100</v>
      </c>
      <c r="E4810" s="1" t="s">
        <v>2</v>
      </c>
      <c r="F4810" s="18">
        <v>2174</v>
      </c>
      <c r="G4810" s="18">
        <v>95</v>
      </c>
      <c r="H4810" s="6" t="s">
        <v>3163</v>
      </c>
      <c r="I4810" s="1">
        <v>205</v>
      </c>
      <c r="J4810" s="1">
        <v>240</v>
      </c>
      <c r="K4810" s="1"/>
      <c r="L4810" t="str">
        <f t="shared" si="75"/>
        <v>http://www.badatelna.eu/reprodukce/?fondId=1073&amp;zaznamId=1108960&amp;reproId=3780319</v>
      </c>
      <c r="M4810">
        <f>VLOOKUP(F4810,Sheet2!$B$1:$E$19,2,FALSE)</f>
        <v>1073</v>
      </c>
      <c r="N4810">
        <f>VLOOKUP(F4810,Sheet2!$B$1:$E$19,3,FALSE)</f>
        <v>1108960</v>
      </c>
      <c r="O4810">
        <f>IF(G4810="Not available","",VLOOKUP(F4810,Sheet2!$B$1:$E$19,4,FALSE)+(G4810-1))</f>
        <v>3780319</v>
      </c>
    </row>
    <row r="4811" spans="1:15" s="3" customFormat="1" ht="15" customHeight="1" x14ac:dyDescent="0.25">
      <c r="A4811" s="18" t="s">
        <v>579</v>
      </c>
      <c r="B4811" s="18" t="s">
        <v>545</v>
      </c>
      <c r="C4811" s="5">
        <v>1840</v>
      </c>
      <c r="D4811" s="1" t="s">
        <v>100</v>
      </c>
      <c r="E4811" s="1" t="s">
        <v>2</v>
      </c>
      <c r="F4811" s="18">
        <v>2174</v>
      </c>
      <c r="G4811" s="18">
        <v>109</v>
      </c>
      <c r="H4811" s="6" t="s">
        <v>3176</v>
      </c>
      <c r="I4811" s="1">
        <v>205</v>
      </c>
      <c r="J4811" s="1">
        <v>240</v>
      </c>
      <c r="K4811" s="1"/>
      <c r="L4811" t="str">
        <f t="shared" si="75"/>
        <v>http://www.badatelna.eu/reprodukce/?fondId=1073&amp;zaznamId=1108960&amp;reproId=3780333</v>
      </c>
      <c r="M4811">
        <f>VLOOKUP(F4811,Sheet2!$B$1:$E$19,2,FALSE)</f>
        <v>1073</v>
      </c>
      <c r="N4811">
        <f>VLOOKUP(F4811,Sheet2!$B$1:$E$19,3,FALSE)</f>
        <v>1108960</v>
      </c>
      <c r="O4811">
        <f>IF(G4811="Not available","",VLOOKUP(F4811,Sheet2!$B$1:$E$19,4,FALSE)+(G4811-1))</f>
        <v>3780333</v>
      </c>
    </row>
    <row r="4812" spans="1:15" s="3" customFormat="1" ht="15" customHeight="1" x14ac:dyDescent="0.25">
      <c r="A4812" s="18" t="s">
        <v>934</v>
      </c>
      <c r="B4812" s="18" t="s">
        <v>100</v>
      </c>
      <c r="C4812" s="5">
        <v>1847</v>
      </c>
      <c r="D4812" s="1" t="s">
        <v>935</v>
      </c>
      <c r="E4812" s="1" t="s">
        <v>2</v>
      </c>
      <c r="F4812" s="18">
        <v>2164</v>
      </c>
      <c r="G4812" s="18">
        <v>12</v>
      </c>
      <c r="H4812" s="5">
        <v>10</v>
      </c>
      <c r="I4812" s="1">
        <v>140</v>
      </c>
      <c r="J4812" s="3" t="s">
        <v>3271</v>
      </c>
      <c r="K4812" s="1"/>
      <c r="L4812" t="str">
        <f t="shared" si="75"/>
        <v>http://www.badatelna.eu/reprodukce/?fondId=1073&amp;zaznamId=1108951&amp;reproId=3778726</v>
      </c>
      <c r="M4812">
        <f>VLOOKUP(F4812,Sheet2!$B$1:$E$19,2,FALSE)</f>
        <v>1073</v>
      </c>
      <c r="N4812">
        <f>VLOOKUP(F4812,Sheet2!$B$1:$E$19,3,FALSE)</f>
        <v>1108951</v>
      </c>
      <c r="O4812">
        <f>IF(G4812="Not available","",VLOOKUP(F4812,Sheet2!$B$1:$E$19,4,FALSE)+(G4812-1))</f>
        <v>3778726</v>
      </c>
    </row>
    <row r="4813" spans="1:15" s="3" customFormat="1" ht="15" customHeight="1" x14ac:dyDescent="0.25">
      <c r="A4813" s="18" t="s">
        <v>596</v>
      </c>
      <c r="B4813" s="18" t="s">
        <v>507</v>
      </c>
      <c r="C4813" s="5">
        <v>1853</v>
      </c>
      <c r="D4813" s="4" t="s">
        <v>2888</v>
      </c>
      <c r="E4813" s="1" t="s">
        <v>2</v>
      </c>
      <c r="F4813" s="18">
        <v>2164</v>
      </c>
      <c r="G4813" s="18">
        <v>88</v>
      </c>
      <c r="H4813" s="6" t="s">
        <v>2889</v>
      </c>
      <c r="I4813" s="1">
        <v>140</v>
      </c>
      <c r="J4813" s="3" t="s">
        <v>3271</v>
      </c>
      <c r="K4813" s="1"/>
      <c r="L4813" t="str">
        <f t="shared" si="75"/>
        <v>http://www.badatelna.eu/reprodukce/?fondId=1073&amp;zaznamId=1108951&amp;reproId=3778802</v>
      </c>
      <c r="M4813">
        <f>VLOOKUP(F4813,Sheet2!$B$1:$E$19,2,FALSE)</f>
        <v>1073</v>
      </c>
      <c r="N4813">
        <f>VLOOKUP(F4813,Sheet2!$B$1:$E$19,3,FALSE)</f>
        <v>1108951</v>
      </c>
      <c r="O4813">
        <f>IF(G4813="Not available","",VLOOKUP(F4813,Sheet2!$B$1:$E$19,4,FALSE)+(G4813-1))</f>
        <v>3778802</v>
      </c>
    </row>
    <row r="4814" spans="1:15" s="3" customFormat="1" ht="15" customHeight="1" x14ac:dyDescent="0.25">
      <c r="A4814" s="18" t="s">
        <v>596</v>
      </c>
      <c r="B4814" s="18" t="s">
        <v>136</v>
      </c>
      <c r="C4814" s="5">
        <v>1816</v>
      </c>
      <c r="D4814" s="1"/>
      <c r="E4814" s="1" t="s">
        <v>2</v>
      </c>
      <c r="F4814" s="18">
        <v>2173</v>
      </c>
      <c r="G4814" s="18">
        <v>69</v>
      </c>
      <c r="H4814" s="5">
        <v>131</v>
      </c>
      <c r="I4814" s="1">
        <v>118</v>
      </c>
      <c r="J4814" s="1">
        <v>256</v>
      </c>
      <c r="K4814" s="1"/>
      <c r="L4814" t="str">
        <f t="shared" si="75"/>
        <v>http://www.badatelna.eu/reprodukce/?fondId=1073&amp;zaznamId=1108959&amp;reproId=3780062</v>
      </c>
      <c r="M4814">
        <f>VLOOKUP(F4814,Sheet2!$B$1:$E$19,2,FALSE)</f>
        <v>1073</v>
      </c>
      <c r="N4814">
        <f>VLOOKUP(F4814,Sheet2!$B$1:$E$19,3,FALSE)</f>
        <v>1108959</v>
      </c>
      <c r="O4814">
        <f>IF(G4814="Not available","",VLOOKUP(F4814,Sheet2!$B$1:$E$19,4,FALSE)+(G4814-1))</f>
        <v>3780062</v>
      </c>
    </row>
    <row r="4815" spans="1:15" s="3" customFormat="1" ht="15" customHeight="1" x14ac:dyDescent="0.25">
      <c r="A4815" s="18" t="s">
        <v>596</v>
      </c>
      <c r="B4815" s="18" t="s">
        <v>17</v>
      </c>
      <c r="C4815" s="5">
        <v>1821</v>
      </c>
      <c r="D4815" s="1"/>
      <c r="E4815" s="1" t="s">
        <v>2</v>
      </c>
      <c r="F4815" s="18">
        <v>2173</v>
      </c>
      <c r="G4815" s="18">
        <v>71</v>
      </c>
      <c r="H4815" s="5">
        <v>135</v>
      </c>
      <c r="I4815" s="1">
        <v>118</v>
      </c>
      <c r="J4815" s="1">
        <v>256</v>
      </c>
      <c r="K4815" s="1"/>
      <c r="L4815" t="str">
        <f t="shared" si="75"/>
        <v>http://www.badatelna.eu/reprodukce/?fondId=1073&amp;zaznamId=1108959&amp;reproId=3780064</v>
      </c>
      <c r="M4815">
        <f>VLOOKUP(F4815,Sheet2!$B$1:$E$19,2,FALSE)</f>
        <v>1073</v>
      </c>
      <c r="N4815">
        <f>VLOOKUP(F4815,Sheet2!$B$1:$E$19,3,FALSE)</f>
        <v>1108959</v>
      </c>
      <c r="O4815">
        <f>IF(G4815="Not available","",VLOOKUP(F4815,Sheet2!$B$1:$E$19,4,FALSE)+(G4815-1))</f>
        <v>3780064</v>
      </c>
    </row>
    <row r="4816" spans="1:15" s="3" customFormat="1" ht="15" customHeight="1" x14ac:dyDescent="0.25">
      <c r="A4816" s="18" t="s">
        <v>596</v>
      </c>
      <c r="B4816" s="18" t="s">
        <v>304</v>
      </c>
      <c r="C4816" s="5">
        <v>1856</v>
      </c>
      <c r="D4816" s="1" t="s">
        <v>24</v>
      </c>
      <c r="E4816" s="1" t="s">
        <v>2</v>
      </c>
      <c r="F4816" s="18">
        <v>2164</v>
      </c>
      <c r="G4816" s="18">
        <v>113</v>
      </c>
      <c r="H4816" s="5">
        <v>111</v>
      </c>
      <c r="I4816" s="1">
        <v>140</v>
      </c>
      <c r="J4816" s="3" t="s">
        <v>3271</v>
      </c>
      <c r="K4816" s="1"/>
      <c r="L4816" t="str">
        <f t="shared" si="75"/>
        <v>http://www.badatelna.eu/reprodukce/?fondId=1073&amp;zaznamId=1108951&amp;reproId=3778827</v>
      </c>
      <c r="M4816">
        <f>VLOOKUP(F4816,Sheet2!$B$1:$E$19,2,FALSE)</f>
        <v>1073</v>
      </c>
      <c r="N4816">
        <f>VLOOKUP(F4816,Sheet2!$B$1:$E$19,3,FALSE)</f>
        <v>1108951</v>
      </c>
      <c r="O4816">
        <f>IF(G4816="Not available","",VLOOKUP(F4816,Sheet2!$B$1:$E$19,4,FALSE)+(G4816-1))</f>
        <v>3778827</v>
      </c>
    </row>
    <row r="4817" spans="1:15" s="3" customFormat="1" ht="15" customHeight="1" x14ac:dyDescent="0.25">
      <c r="A4817" s="18" t="s">
        <v>596</v>
      </c>
      <c r="B4817" s="18" t="s">
        <v>938</v>
      </c>
      <c r="C4817" s="5">
        <v>1854</v>
      </c>
      <c r="D4817" s="1" t="s">
        <v>21</v>
      </c>
      <c r="E4817" s="1" t="s">
        <v>2</v>
      </c>
      <c r="F4817" s="18">
        <v>2164</v>
      </c>
      <c r="G4817" s="18">
        <v>100</v>
      </c>
      <c r="H4817" s="5">
        <v>98</v>
      </c>
      <c r="I4817" s="1">
        <v>140</v>
      </c>
      <c r="J4817" s="3" t="s">
        <v>3271</v>
      </c>
      <c r="K4817" s="1"/>
      <c r="L4817" t="str">
        <f t="shared" si="75"/>
        <v>http://www.badatelna.eu/reprodukce/?fondId=1073&amp;zaznamId=1108951&amp;reproId=3778814</v>
      </c>
      <c r="M4817">
        <f>VLOOKUP(F4817,Sheet2!$B$1:$E$19,2,FALSE)</f>
        <v>1073</v>
      </c>
      <c r="N4817">
        <f>VLOOKUP(F4817,Sheet2!$B$1:$E$19,3,FALSE)</f>
        <v>1108951</v>
      </c>
      <c r="O4817">
        <f>IF(G4817="Not available","",VLOOKUP(F4817,Sheet2!$B$1:$E$19,4,FALSE)+(G4817-1))</f>
        <v>3778814</v>
      </c>
    </row>
    <row r="4818" spans="1:15" s="3" customFormat="1" ht="15" customHeight="1" x14ac:dyDescent="0.25">
      <c r="A4818" s="18" t="s">
        <v>592</v>
      </c>
      <c r="B4818" s="18" t="s">
        <v>482</v>
      </c>
      <c r="C4818" s="5">
        <v>1856</v>
      </c>
      <c r="D4818" s="1" t="s">
        <v>21</v>
      </c>
      <c r="E4818" s="1" t="s">
        <v>2</v>
      </c>
      <c r="F4818" s="18">
        <v>2164</v>
      </c>
      <c r="G4818" s="18">
        <v>112</v>
      </c>
      <c r="H4818" s="5">
        <v>110</v>
      </c>
      <c r="I4818" s="1">
        <v>140</v>
      </c>
      <c r="J4818" s="3" t="s">
        <v>3271</v>
      </c>
      <c r="K4818" s="1"/>
      <c r="L4818" t="str">
        <f t="shared" si="75"/>
        <v>http://www.badatelna.eu/reprodukce/?fondId=1073&amp;zaznamId=1108951&amp;reproId=3778826</v>
      </c>
      <c r="M4818">
        <f>VLOOKUP(F4818,Sheet2!$B$1:$E$19,2,FALSE)</f>
        <v>1073</v>
      </c>
      <c r="N4818">
        <f>VLOOKUP(F4818,Sheet2!$B$1:$E$19,3,FALSE)</f>
        <v>1108951</v>
      </c>
      <c r="O4818">
        <f>IF(G4818="Not available","",VLOOKUP(F4818,Sheet2!$B$1:$E$19,4,FALSE)+(G4818-1))</f>
        <v>3778826</v>
      </c>
    </row>
    <row r="4819" spans="1:15" s="3" customFormat="1" ht="15" customHeight="1" x14ac:dyDescent="0.25">
      <c r="A4819" s="18" t="s">
        <v>592</v>
      </c>
      <c r="B4819" s="18" t="s">
        <v>26</v>
      </c>
      <c r="C4819" s="5">
        <v>1802</v>
      </c>
      <c r="D4819" s="1"/>
      <c r="E4819" s="1" t="s">
        <v>2</v>
      </c>
      <c r="F4819" s="18">
        <v>2173</v>
      </c>
      <c r="G4819" s="18">
        <v>45</v>
      </c>
      <c r="H4819" s="5">
        <v>84</v>
      </c>
      <c r="I4819" s="1">
        <v>117</v>
      </c>
      <c r="J4819" s="1">
        <v>255</v>
      </c>
      <c r="K4819" s="1"/>
      <c r="L4819" t="str">
        <f t="shared" si="75"/>
        <v>http://www.badatelna.eu/reprodukce/?fondId=1073&amp;zaznamId=1108959&amp;reproId=3780038</v>
      </c>
      <c r="M4819">
        <f>VLOOKUP(F4819,Sheet2!$B$1:$E$19,2,FALSE)</f>
        <v>1073</v>
      </c>
      <c r="N4819">
        <f>VLOOKUP(F4819,Sheet2!$B$1:$E$19,3,FALSE)</f>
        <v>1108959</v>
      </c>
      <c r="O4819">
        <f>IF(G4819="Not available","",VLOOKUP(F4819,Sheet2!$B$1:$E$19,4,FALSE)+(G4819-1))</f>
        <v>3780038</v>
      </c>
    </row>
    <row r="4820" spans="1:15" s="3" customFormat="1" ht="15" customHeight="1" x14ac:dyDescent="0.25">
      <c r="A4820" s="18" t="s">
        <v>592</v>
      </c>
      <c r="B4820" s="18" t="s">
        <v>26</v>
      </c>
      <c r="C4820" s="5">
        <v>1811</v>
      </c>
      <c r="D4820" s="1"/>
      <c r="E4820" s="1" t="s">
        <v>2</v>
      </c>
      <c r="F4820" s="18">
        <v>2173</v>
      </c>
      <c r="G4820" s="18">
        <v>57</v>
      </c>
      <c r="H4820" s="5">
        <v>109</v>
      </c>
      <c r="I4820" s="1">
        <v>117</v>
      </c>
      <c r="J4820" s="1">
        <v>255</v>
      </c>
      <c r="K4820" s="1"/>
      <c r="L4820" t="str">
        <f t="shared" si="75"/>
        <v>http://www.badatelna.eu/reprodukce/?fondId=1073&amp;zaznamId=1108959&amp;reproId=3780050</v>
      </c>
      <c r="M4820">
        <f>VLOOKUP(F4820,Sheet2!$B$1:$E$19,2,FALSE)</f>
        <v>1073</v>
      </c>
      <c r="N4820">
        <f>VLOOKUP(F4820,Sheet2!$B$1:$E$19,3,FALSE)</f>
        <v>1108959</v>
      </c>
      <c r="O4820">
        <f>IF(G4820="Not available","",VLOOKUP(F4820,Sheet2!$B$1:$E$19,4,FALSE)+(G4820-1))</f>
        <v>3780050</v>
      </c>
    </row>
    <row r="4821" spans="1:15" s="3" customFormat="1" ht="15" customHeight="1" x14ac:dyDescent="0.25">
      <c r="A4821" s="18" t="s">
        <v>592</v>
      </c>
      <c r="B4821" s="18" t="s">
        <v>479</v>
      </c>
      <c r="C4821" s="5">
        <v>1854</v>
      </c>
      <c r="D4821" s="1" t="s">
        <v>24</v>
      </c>
      <c r="E4821" s="1" t="s">
        <v>2</v>
      </c>
      <c r="F4821" s="18">
        <v>2164</v>
      </c>
      <c r="G4821" s="18">
        <v>95</v>
      </c>
      <c r="H4821" s="5">
        <v>93</v>
      </c>
      <c r="I4821" s="1">
        <v>140</v>
      </c>
      <c r="J4821" s="3" t="s">
        <v>3271</v>
      </c>
      <c r="K4821" s="1"/>
      <c r="L4821" t="str">
        <f t="shared" si="75"/>
        <v>http://www.badatelna.eu/reprodukce/?fondId=1073&amp;zaznamId=1108951&amp;reproId=3778809</v>
      </c>
      <c r="M4821">
        <f>VLOOKUP(F4821,Sheet2!$B$1:$E$19,2,FALSE)</f>
        <v>1073</v>
      </c>
      <c r="N4821">
        <f>VLOOKUP(F4821,Sheet2!$B$1:$E$19,3,FALSE)</f>
        <v>1108951</v>
      </c>
      <c r="O4821">
        <f>IF(G4821="Not available","",VLOOKUP(F4821,Sheet2!$B$1:$E$19,4,FALSE)+(G4821-1))</f>
        <v>3778809</v>
      </c>
    </row>
    <row r="4822" spans="1:15" s="3" customFormat="1" ht="15" customHeight="1" x14ac:dyDescent="0.25">
      <c r="A4822" s="18" t="s">
        <v>592</v>
      </c>
      <c r="B4822" s="18" t="s">
        <v>624</v>
      </c>
      <c r="C4822" s="5">
        <v>1842</v>
      </c>
      <c r="D4822" s="1" t="s">
        <v>100</v>
      </c>
      <c r="E4822" s="1" t="s">
        <v>2</v>
      </c>
      <c r="F4822" s="18">
        <v>2174</v>
      </c>
      <c r="G4822" s="18">
        <v>138</v>
      </c>
      <c r="H4822" s="6" t="s">
        <v>3194</v>
      </c>
      <c r="I4822" s="1">
        <v>205</v>
      </c>
      <c r="J4822" s="1">
        <v>240</v>
      </c>
      <c r="K4822" s="1"/>
      <c r="L4822" t="str">
        <f t="shared" si="75"/>
        <v>http://www.badatelna.eu/reprodukce/?fondId=1073&amp;zaznamId=1108960&amp;reproId=3780362</v>
      </c>
      <c r="M4822">
        <f>VLOOKUP(F4822,Sheet2!$B$1:$E$19,2,FALSE)</f>
        <v>1073</v>
      </c>
      <c r="N4822">
        <f>VLOOKUP(F4822,Sheet2!$B$1:$E$19,3,FALSE)</f>
        <v>1108960</v>
      </c>
      <c r="O4822">
        <f>IF(G4822="Not available","",VLOOKUP(F4822,Sheet2!$B$1:$E$19,4,FALSE)+(G4822-1))</f>
        <v>3780362</v>
      </c>
    </row>
    <row r="4823" spans="1:15" s="3" customFormat="1" ht="15" customHeight="1" x14ac:dyDescent="0.25">
      <c r="A4823" s="18" t="s">
        <v>597</v>
      </c>
      <c r="B4823" s="18" t="s">
        <v>34</v>
      </c>
      <c r="C4823" s="5">
        <v>1823</v>
      </c>
      <c r="D4823" s="1"/>
      <c r="E4823" s="1" t="s">
        <v>2</v>
      </c>
      <c r="F4823" s="18">
        <v>2173</v>
      </c>
      <c r="G4823" s="18">
        <v>74</v>
      </c>
      <c r="H4823" s="5">
        <v>141</v>
      </c>
      <c r="I4823" s="1">
        <v>118</v>
      </c>
      <c r="J4823" s="1">
        <v>256</v>
      </c>
      <c r="K4823" s="1"/>
      <c r="L4823" t="str">
        <f t="shared" si="75"/>
        <v>http://www.badatelna.eu/reprodukce/?fondId=1073&amp;zaznamId=1108959&amp;reproId=3780067</v>
      </c>
      <c r="M4823">
        <f>VLOOKUP(F4823,Sheet2!$B$1:$E$19,2,FALSE)</f>
        <v>1073</v>
      </c>
      <c r="N4823">
        <f>VLOOKUP(F4823,Sheet2!$B$1:$E$19,3,FALSE)</f>
        <v>1108959</v>
      </c>
      <c r="O4823">
        <f>IF(G4823="Not available","",VLOOKUP(F4823,Sheet2!$B$1:$E$19,4,FALSE)+(G4823-1))</f>
        <v>3780067</v>
      </c>
    </row>
    <row r="4824" spans="1:15" s="3" customFormat="1" ht="15" customHeight="1" x14ac:dyDescent="0.25">
      <c r="A4824" s="18" t="s">
        <v>597</v>
      </c>
      <c r="B4824" s="18" t="s">
        <v>137</v>
      </c>
      <c r="C4824" s="5">
        <v>1820</v>
      </c>
      <c r="D4824" s="1"/>
      <c r="E4824" s="1" t="s">
        <v>2</v>
      </c>
      <c r="F4824" s="18">
        <v>2173</v>
      </c>
      <c r="G4824" s="18">
        <v>71</v>
      </c>
      <c r="H4824" s="5">
        <v>134</v>
      </c>
      <c r="I4824" s="1">
        <v>118</v>
      </c>
      <c r="J4824" s="1">
        <v>256</v>
      </c>
      <c r="K4824" s="1"/>
      <c r="L4824" t="str">
        <f t="shared" si="75"/>
        <v>http://www.badatelna.eu/reprodukce/?fondId=1073&amp;zaznamId=1108959&amp;reproId=3780064</v>
      </c>
      <c r="M4824">
        <f>VLOOKUP(F4824,Sheet2!$B$1:$E$19,2,FALSE)</f>
        <v>1073</v>
      </c>
      <c r="N4824">
        <f>VLOOKUP(F4824,Sheet2!$B$1:$E$19,3,FALSE)</f>
        <v>1108959</v>
      </c>
      <c r="O4824">
        <f>IF(G4824="Not available","",VLOOKUP(F4824,Sheet2!$B$1:$E$19,4,FALSE)+(G4824-1))</f>
        <v>3780064</v>
      </c>
    </row>
    <row r="4825" spans="1:15" s="3" customFormat="1" ht="15" customHeight="1" x14ac:dyDescent="0.25">
      <c r="A4825" s="18" t="s">
        <v>597</v>
      </c>
      <c r="B4825" s="18" t="s">
        <v>25</v>
      </c>
      <c r="C4825" s="5">
        <v>1833</v>
      </c>
      <c r="D4825" s="1" t="s">
        <v>21</v>
      </c>
      <c r="E4825" s="1" t="s">
        <v>2</v>
      </c>
      <c r="F4825" s="18">
        <v>2174</v>
      </c>
      <c r="G4825" s="18">
        <v>74</v>
      </c>
      <c r="H4825" s="6" t="s">
        <v>3136</v>
      </c>
      <c r="I4825" s="1">
        <v>204</v>
      </c>
      <c r="J4825" s="1">
        <v>239</v>
      </c>
      <c r="K4825" s="1"/>
      <c r="L4825" t="str">
        <f t="shared" si="75"/>
        <v>http://www.badatelna.eu/reprodukce/?fondId=1073&amp;zaznamId=1108960&amp;reproId=3780298</v>
      </c>
      <c r="M4825">
        <f>VLOOKUP(F4825,Sheet2!$B$1:$E$19,2,FALSE)</f>
        <v>1073</v>
      </c>
      <c r="N4825">
        <f>VLOOKUP(F4825,Sheet2!$B$1:$E$19,3,FALSE)</f>
        <v>1108960</v>
      </c>
      <c r="O4825">
        <f>IF(G4825="Not available","",VLOOKUP(F4825,Sheet2!$B$1:$E$19,4,FALSE)+(G4825-1))</f>
        <v>3780298</v>
      </c>
    </row>
    <row r="4826" spans="1:15" s="3" customFormat="1" ht="15" customHeight="1" x14ac:dyDescent="0.25">
      <c r="A4826" s="18" t="s">
        <v>2752</v>
      </c>
      <c r="B4826" s="18" t="s">
        <v>2753</v>
      </c>
      <c r="C4826" s="10" t="s">
        <v>2452</v>
      </c>
      <c r="D4826" s="3" t="s">
        <v>2754</v>
      </c>
      <c r="E4826" s="4" t="s">
        <v>2</v>
      </c>
      <c r="F4826" s="18">
        <v>2176</v>
      </c>
      <c r="G4826" s="18" t="s">
        <v>3271</v>
      </c>
      <c r="H4826" s="10" t="s">
        <v>2083</v>
      </c>
      <c r="I4826" s="3">
        <v>46</v>
      </c>
      <c r="J4826" s="3" t="s">
        <v>3271</v>
      </c>
      <c r="L4826" t="str">
        <f t="shared" si="75"/>
        <v/>
      </c>
      <c r="M4826">
        <f>VLOOKUP(F4826,Sheet2!$B$1:$E$19,2,FALSE)</f>
        <v>1073</v>
      </c>
      <c r="N4826">
        <f>VLOOKUP(F4826,Sheet2!$B$1:$E$19,3,FALSE)</f>
        <v>1108963</v>
      </c>
      <c r="O4826" t="str">
        <f>IF(G4826="Not available","",VLOOKUP(F4826,Sheet2!$B$1:$E$19,4,FALSE)+(G4826-1))</f>
        <v/>
      </c>
    </row>
    <row r="4827" spans="1:15" s="3" customFormat="1" ht="15" customHeight="1" x14ac:dyDescent="0.25">
      <c r="A4827" s="18" t="s">
        <v>782</v>
      </c>
      <c r="B4827" s="18" t="s">
        <v>547</v>
      </c>
      <c r="C4827" s="5">
        <v>1854</v>
      </c>
      <c r="D4827" s="1" t="s">
        <v>422</v>
      </c>
      <c r="E4827" s="1" t="s">
        <v>2</v>
      </c>
      <c r="F4827" s="18">
        <v>2164</v>
      </c>
      <c r="G4827" s="18">
        <v>102</v>
      </c>
      <c r="H4827" s="5">
        <v>100</v>
      </c>
      <c r="I4827" s="1">
        <v>140</v>
      </c>
      <c r="J4827" s="3" t="s">
        <v>3271</v>
      </c>
      <c r="K4827" s="1"/>
      <c r="L4827" t="str">
        <f t="shared" si="75"/>
        <v>http://www.badatelna.eu/reprodukce/?fondId=1073&amp;zaznamId=1108951&amp;reproId=3778816</v>
      </c>
      <c r="M4827">
        <f>VLOOKUP(F4827,Sheet2!$B$1:$E$19,2,FALSE)</f>
        <v>1073</v>
      </c>
      <c r="N4827">
        <f>VLOOKUP(F4827,Sheet2!$B$1:$E$19,3,FALSE)</f>
        <v>1108951</v>
      </c>
      <c r="O4827">
        <f>IF(G4827="Not available","",VLOOKUP(F4827,Sheet2!$B$1:$E$19,4,FALSE)+(G4827-1))</f>
        <v>3778816</v>
      </c>
    </row>
    <row r="4828" spans="1:15" s="3" customFormat="1" ht="15" customHeight="1" x14ac:dyDescent="0.25">
      <c r="A4828" s="18" t="s">
        <v>782</v>
      </c>
      <c r="B4828" s="18" t="s">
        <v>490</v>
      </c>
      <c r="C4828" s="5">
        <v>1853</v>
      </c>
      <c r="D4828" s="1" t="s">
        <v>422</v>
      </c>
      <c r="E4828" s="1" t="s">
        <v>2</v>
      </c>
      <c r="F4828" s="18">
        <v>2164</v>
      </c>
      <c r="G4828" s="18">
        <v>89</v>
      </c>
      <c r="H4828" s="5">
        <v>87</v>
      </c>
      <c r="I4828" s="1">
        <v>140</v>
      </c>
      <c r="J4828" s="3" t="s">
        <v>3271</v>
      </c>
      <c r="K4828" s="1"/>
      <c r="L4828" t="str">
        <f t="shared" si="75"/>
        <v>http://www.badatelna.eu/reprodukce/?fondId=1073&amp;zaznamId=1108951&amp;reproId=3778803</v>
      </c>
      <c r="M4828">
        <f>VLOOKUP(F4828,Sheet2!$B$1:$E$19,2,FALSE)</f>
        <v>1073</v>
      </c>
      <c r="N4828">
        <f>VLOOKUP(F4828,Sheet2!$B$1:$E$19,3,FALSE)</f>
        <v>1108951</v>
      </c>
      <c r="O4828">
        <f>IF(G4828="Not available","",VLOOKUP(F4828,Sheet2!$B$1:$E$19,4,FALSE)+(G4828-1))</f>
        <v>3778803</v>
      </c>
    </row>
    <row r="4829" spans="1:15" s="3" customFormat="1" ht="15" customHeight="1" x14ac:dyDescent="0.25">
      <c r="A4829" s="18" t="s">
        <v>782</v>
      </c>
      <c r="B4829" s="18" t="s">
        <v>135</v>
      </c>
      <c r="C4829" s="10" t="s">
        <v>2087</v>
      </c>
      <c r="D4829" s="3" t="s">
        <v>2751</v>
      </c>
      <c r="E4829" s="4" t="s">
        <v>2</v>
      </c>
      <c r="F4829" s="18">
        <v>2176</v>
      </c>
      <c r="G4829" s="18" t="s">
        <v>3271</v>
      </c>
      <c r="H4829" s="10" t="s">
        <v>2470</v>
      </c>
      <c r="I4829" s="3">
        <v>46</v>
      </c>
      <c r="J4829" s="3" t="s">
        <v>3271</v>
      </c>
      <c r="L4829" t="str">
        <f t="shared" si="75"/>
        <v/>
      </c>
      <c r="M4829">
        <f>VLOOKUP(F4829,Sheet2!$B$1:$E$19,2,FALSE)</f>
        <v>1073</v>
      </c>
      <c r="N4829">
        <f>VLOOKUP(F4829,Sheet2!$B$1:$E$19,3,FALSE)</f>
        <v>1108963</v>
      </c>
      <c r="O4829" t="str">
        <f>IF(G4829="Not available","",VLOOKUP(F4829,Sheet2!$B$1:$E$19,4,FALSE)+(G4829-1))</f>
        <v/>
      </c>
    </row>
    <row r="4830" spans="1:15" s="3" customFormat="1" ht="15" customHeight="1" x14ac:dyDescent="0.25">
      <c r="A4830" s="18" t="s">
        <v>782</v>
      </c>
      <c r="B4830" s="18" t="s">
        <v>135</v>
      </c>
      <c r="C4830" s="5" t="s">
        <v>1881</v>
      </c>
      <c r="D4830" s="1" t="s">
        <v>44</v>
      </c>
      <c r="E4830" s="1" t="s">
        <v>2</v>
      </c>
      <c r="F4830" s="18">
        <v>2165</v>
      </c>
      <c r="G4830" s="18">
        <v>263</v>
      </c>
      <c r="H4830" s="5">
        <v>4</v>
      </c>
      <c r="I4830" s="1">
        <v>266</v>
      </c>
      <c r="J4830" s="1">
        <v>240</v>
      </c>
      <c r="K4830" s="1"/>
      <c r="L4830" t="str">
        <f t="shared" si="75"/>
        <v>http://www.badatelna.eu/reprodukce/?fondId=1073&amp;zaznamId=1108952&amp;reproId=3779124</v>
      </c>
      <c r="M4830">
        <f>VLOOKUP(F4830,Sheet2!$B$1:$E$19,2,FALSE)</f>
        <v>1073</v>
      </c>
      <c r="N4830">
        <f>VLOOKUP(F4830,Sheet2!$B$1:$E$19,3,FALSE)</f>
        <v>1108952</v>
      </c>
      <c r="O4830">
        <f>IF(G4830="Not available","",VLOOKUP(F4830,Sheet2!$B$1:$E$19,4,FALSE)+(G4830-1))</f>
        <v>3779124</v>
      </c>
    </row>
    <row r="4831" spans="1:15" s="3" customFormat="1" ht="15" customHeight="1" x14ac:dyDescent="0.25">
      <c r="A4831" s="18" t="s">
        <v>782</v>
      </c>
      <c r="B4831" s="18" t="s">
        <v>26</v>
      </c>
      <c r="C4831" s="5">
        <v>1857</v>
      </c>
      <c r="D4831" s="1" t="s">
        <v>422</v>
      </c>
      <c r="E4831" s="1" t="s">
        <v>2</v>
      </c>
      <c r="F4831" s="18">
        <v>2164</v>
      </c>
      <c r="G4831" s="18">
        <v>119</v>
      </c>
      <c r="H4831" s="5">
        <v>117</v>
      </c>
      <c r="I4831" s="1">
        <v>140</v>
      </c>
      <c r="J4831" s="3" t="s">
        <v>3271</v>
      </c>
      <c r="K4831" s="1"/>
      <c r="L4831" t="str">
        <f t="shared" si="75"/>
        <v>http://www.badatelna.eu/reprodukce/?fondId=1073&amp;zaznamId=1108951&amp;reproId=3778833</v>
      </c>
      <c r="M4831">
        <f>VLOOKUP(F4831,Sheet2!$B$1:$E$19,2,FALSE)</f>
        <v>1073</v>
      </c>
      <c r="N4831">
        <f>VLOOKUP(F4831,Sheet2!$B$1:$E$19,3,FALSE)</f>
        <v>1108951</v>
      </c>
      <c r="O4831">
        <f>IF(G4831="Not available","",VLOOKUP(F4831,Sheet2!$B$1:$E$19,4,FALSE)+(G4831-1))</f>
        <v>3778833</v>
      </c>
    </row>
    <row r="4832" spans="1:15" s="3" customFormat="1" ht="15" customHeight="1" x14ac:dyDescent="0.25">
      <c r="A4832" s="18" t="s">
        <v>782</v>
      </c>
      <c r="B4832" s="18" t="s">
        <v>437</v>
      </c>
      <c r="C4832" s="5" t="s">
        <v>1671</v>
      </c>
      <c r="D4832" s="1" t="s">
        <v>422</v>
      </c>
      <c r="E4832" s="1" t="s">
        <v>2</v>
      </c>
      <c r="F4832" s="18">
        <v>2165</v>
      </c>
      <c r="G4832" s="18">
        <v>51</v>
      </c>
      <c r="H4832" s="5">
        <v>48</v>
      </c>
      <c r="I4832" s="1">
        <v>94</v>
      </c>
      <c r="J4832" s="1" t="s">
        <v>3271</v>
      </c>
      <c r="K4832" s="1"/>
      <c r="L4832" t="str">
        <f t="shared" si="75"/>
        <v>http://www.badatelna.eu/reprodukce/?fondId=1073&amp;zaznamId=1108952&amp;reproId=3778912</v>
      </c>
      <c r="M4832">
        <f>VLOOKUP(F4832,Sheet2!$B$1:$E$19,2,FALSE)</f>
        <v>1073</v>
      </c>
      <c r="N4832">
        <f>VLOOKUP(F4832,Sheet2!$B$1:$E$19,3,FALSE)</f>
        <v>1108952</v>
      </c>
      <c r="O4832">
        <f>IF(G4832="Not available","",VLOOKUP(F4832,Sheet2!$B$1:$E$19,4,FALSE)+(G4832-1))</f>
        <v>3778912</v>
      </c>
    </row>
    <row r="4833" spans="1:15" s="3" customFormat="1" ht="15" customHeight="1" x14ac:dyDescent="0.25">
      <c r="A4833" s="18" t="s">
        <v>782</v>
      </c>
      <c r="B4833" s="18" t="s">
        <v>506</v>
      </c>
      <c r="C4833" s="5">
        <v>1834</v>
      </c>
      <c r="D4833" s="1" t="s">
        <v>26</v>
      </c>
      <c r="E4833" s="1" t="s">
        <v>2</v>
      </c>
      <c r="F4833" s="18">
        <v>2174</v>
      </c>
      <c r="G4833" s="18">
        <v>77</v>
      </c>
      <c r="H4833" s="6" t="s">
        <v>3143</v>
      </c>
      <c r="I4833" s="1">
        <v>204</v>
      </c>
      <c r="J4833" s="1">
        <v>239</v>
      </c>
      <c r="K4833" s="1"/>
      <c r="L4833" t="str">
        <f t="shared" si="75"/>
        <v>http://www.badatelna.eu/reprodukce/?fondId=1073&amp;zaznamId=1108960&amp;reproId=3780301</v>
      </c>
      <c r="M4833">
        <f>VLOOKUP(F4833,Sheet2!$B$1:$E$19,2,FALSE)</f>
        <v>1073</v>
      </c>
      <c r="N4833">
        <f>VLOOKUP(F4833,Sheet2!$B$1:$E$19,3,FALSE)</f>
        <v>1108960</v>
      </c>
      <c r="O4833">
        <f>IF(G4833="Not available","",VLOOKUP(F4833,Sheet2!$B$1:$E$19,4,FALSE)+(G4833-1))</f>
        <v>3780301</v>
      </c>
    </row>
    <row r="4834" spans="1:15" s="3" customFormat="1" ht="15" customHeight="1" x14ac:dyDescent="0.25">
      <c r="A4834" s="18" t="s">
        <v>782</v>
      </c>
      <c r="B4834" s="18" t="s">
        <v>544</v>
      </c>
      <c r="C4834" s="5">
        <v>1833</v>
      </c>
      <c r="D4834" s="1" t="s">
        <v>26</v>
      </c>
      <c r="E4834" s="1" t="s">
        <v>2</v>
      </c>
      <c r="F4834" s="18">
        <v>2174</v>
      </c>
      <c r="G4834" s="18">
        <v>71</v>
      </c>
      <c r="H4834" s="6" t="s">
        <v>3139</v>
      </c>
      <c r="I4834" s="1">
        <v>204</v>
      </c>
      <c r="J4834" s="1">
        <v>239</v>
      </c>
      <c r="K4834" s="1"/>
      <c r="L4834" t="str">
        <f t="shared" si="75"/>
        <v>http://www.badatelna.eu/reprodukce/?fondId=1073&amp;zaznamId=1108960&amp;reproId=3780295</v>
      </c>
      <c r="M4834">
        <f>VLOOKUP(F4834,Sheet2!$B$1:$E$19,2,FALSE)</f>
        <v>1073</v>
      </c>
      <c r="N4834">
        <f>VLOOKUP(F4834,Sheet2!$B$1:$E$19,3,FALSE)</f>
        <v>1108960</v>
      </c>
      <c r="O4834">
        <f>IF(G4834="Not available","",VLOOKUP(F4834,Sheet2!$B$1:$E$19,4,FALSE)+(G4834-1))</f>
        <v>3780295</v>
      </c>
    </row>
    <row r="4835" spans="1:15" s="3" customFormat="1" ht="15" customHeight="1" x14ac:dyDescent="0.25">
      <c r="A4835" s="18" t="s">
        <v>782</v>
      </c>
      <c r="B4835" s="18" t="s">
        <v>544</v>
      </c>
      <c r="C4835" s="5">
        <v>1859</v>
      </c>
      <c r="D4835" s="1"/>
      <c r="E4835" s="1" t="s">
        <v>939</v>
      </c>
      <c r="F4835" s="18">
        <v>999</v>
      </c>
      <c r="G4835" s="18">
        <v>15</v>
      </c>
      <c r="H4835" s="5">
        <v>13</v>
      </c>
      <c r="I4835" s="1">
        <v>77</v>
      </c>
      <c r="J4835" s="1">
        <v>112</v>
      </c>
      <c r="K4835" s="1"/>
      <c r="L4835" t="str">
        <f t="shared" si="75"/>
        <v>http://www.badatelna.eu/reprodukce/?fondId=241&amp;zaznamId=1133739&amp;reproId=3885744</v>
      </c>
      <c r="M4835">
        <f>VLOOKUP(F4835,Sheet2!$B$1:$E$19,2,FALSE)</f>
        <v>241</v>
      </c>
      <c r="N4835">
        <f>VLOOKUP(F4835,Sheet2!$B$1:$E$19,3,FALSE)</f>
        <v>1133739</v>
      </c>
      <c r="O4835">
        <f>IF(G4835="Not available","",VLOOKUP(F4835,Sheet2!$B$1:$E$19,4,FALSE)+(G4835-1))</f>
        <v>3885744</v>
      </c>
    </row>
    <row r="4836" spans="1:15" s="3" customFormat="1" ht="15" customHeight="1" x14ac:dyDescent="0.25">
      <c r="A4836" s="18" t="s">
        <v>782</v>
      </c>
      <c r="B4836" s="18" t="s">
        <v>1121</v>
      </c>
      <c r="C4836" s="10" t="s">
        <v>2081</v>
      </c>
      <c r="D4836" s="3" t="s">
        <v>2751</v>
      </c>
      <c r="E4836" s="4" t="s">
        <v>2</v>
      </c>
      <c r="F4836" s="18">
        <v>2176</v>
      </c>
      <c r="G4836" s="18" t="s">
        <v>3271</v>
      </c>
      <c r="H4836" s="10" t="s">
        <v>2016</v>
      </c>
      <c r="I4836" s="3">
        <v>46</v>
      </c>
      <c r="J4836" s="3" t="s">
        <v>3271</v>
      </c>
      <c r="L4836" t="str">
        <f t="shared" si="75"/>
        <v/>
      </c>
      <c r="M4836">
        <f>VLOOKUP(F4836,Sheet2!$B$1:$E$19,2,FALSE)</f>
        <v>1073</v>
      </c>
      <c r="N4836">
        <f>VLOOKUP(F4836,Sheet2!$B$1:$E$19,3,FALSE)</f>
        <v>1108963</v>
      </c>
      <c r="O4836" t="str">
        <f>IF(G4836="Not available","",VLOOKUP(F4836,Sheet2!$B$1:$E$19,4,FALSE)+(G4836-1))</f>
        <v/>
      </c>
    </row>
    <row r="4837" spans="1:15" s="3" customFormat="1" ht="15" customHeight="1" x14ac:dyDescent="0.25">
      <c r="A4837" s="18" t="s">
        <v>782</v>
      </c>
      <c r="B4837" s="18" t="s">
        <v>1121</v>
      </c>
      <c r="C4837" s="5" t="s">
        <v>1832</v>
      </c>
      <c r="D4837" s="1" t="s">
        <v>44</v>
      </c>
      <c r="E4837" s="1" t="s">
        <v>2</v>
      </c>
      <c r="F4837" s="18">
        <v>2165</v>
      </c>
      <c r="G4837" s="18">
        <v>248</v>
      </c>
      <c r="H4837" s="5">
        <v>2</v>
      </c>
      <c r="I4837" s="1">
        <v>251</v>
      </c>
      <c r="J4837" s="1">
        <v>227</v>
      </c>
      <c r="K4837" s="1"/>
      <c r="L4837" t="str">
        <f t="shared" si="75"/>
        <v>http://www.badatelna.eu/reprodukce/?fondId=1073&amp;zaznamId=1108952&amp;reproId=3779109</v>
      </c>
      <c r="M4837">
        <f>VLOOKUP(F4837,Sheet2!$B$1:$E$19,2,FALSE)</f>
        <v>1073</v>
      </c>
      <c r="N4837">
        <f>VLOOKUP(F4837,Sheet2!$B$1:$E$19,3,FALSE)</f>
        <v>1108952</v>
      </c>
      <c r="O4837">
        <f>IF(G4837="Not available","",VLOOKUP(F4837,Sheet2!$B$1:$E$19,4,FALSE)+(G4837-1))</f>
        <v>3779109</v>
      </c>
    </row>
    <row r="4838" spans="1:15" s="3" customFormat="1" ht="15" customHeight="1" x14ac:dyDescent="0.25">
      <c r="A4838" s="18" t="s">
        <v>782</v>
      </c>
      <c r="B4838" s="18" t="s">
        <v>1186</v>
      </c>
      <c r="C4838" s="14" t="s">
        <v>2095</v>
      </c>
      <c r="D4838" s="1" t="s">
        <v>44</v>
      </c>
      <c r="E4838" s="1" t="s">
        <v>2</v>
      </c>
      <c r="F4838" s="18">
        <v>2165</v>
      </c>
      <c r="G4838" s="18">
        <v>290</v>
      </c>
      <c r="H4838" s="5">
        <v>3</v>
      </c>
      <c r="I4838" s="1">
        <v>287</v>
      </c>
      <c r="J4838" s="1">
        <v>261</v>
      </c>
      <c r="K4838" s="1"/>
      <c r="L4838" t="str">
        <f t="shared" si="75"/>
        <v>http://www.badatelna.eu/reprodukce/?fondId=1073&amp;zaznamId=1108952&amp;reproId=3779151</v>
      </c>
      <c r="M4838">
        <f>VLOOKUP(F4838,Sheet2!$B$1:$E$19,2,FALSE)</f>
        <v>1073</v>
      </c>
      <c r="N4838">
        <f>VLOOKUP(F4838,Sheet2!$B$1:$E$19,3,FALSE)</f>
        <v>1108952</v>
      </c>
      <c r="O4838">
        <f>IF(G4838="Not available","",VLOOKUP(F4838,Sheet2!$B$1:$E$19,4,FALSE)+(G4838-1))</f>
        <v>3779151</v>
      </c>
    </row>
    <row r="4839" spans="1:15" s="3" customFormat="1" ht="15" customHeight="1" x14ac:dyDescent="0.25">
      <c r="A4839" s="18" t="s">
        <v>782</v>
      </c>
      <c r="B4839" s="18" t="s">
        <v>2253</v>
      </c>
      <c r="C4839" s="10" t="s">
        <v>2095</v>
      </c>
      <c r="D4839" s="3" t="s">
        <v>2751</v>
      </c>
      <c r="E4839" s="4" t="s">
        <v>2</v>
      </c>
      <c r="F4839" s="18">
        <v>2176</v>
      </c>
      <c r="G4839" s="18" t="s">
        <v>3271</v>
      </c>
      <c r="H4839" s="10" t="s">
        <v>2073</v>
      </c>
      <c r="I4839" s="3">
        <v>46</v>
      </c>
      <c r="J4839" s="3" t="s">
        <v>3271</v>
      </c>
      <c r="L4839" t="str">
        <f t="shared" si="75"/>
        <v/>
      </c>
      <c r="M4839">
        <f>VLOOKUP(F4839,Sheet2!$B$1:$E$19,2,FALSE)</f>
        <v>1073</v>
      </c>
      <c r="N4839">
        <f>VLOOKUP(F4839,Sheet2!$B$1:$E$19,3,FALSE)</f>
        <v>1108963</v>
      </c>
      <c r="O4839" t="str">
        <f>IF(G4839="Not available","",VLOOKUP(F4839,Sheet2!$B$1:$E$19,4,FALSE)+(G4839-1))</f>
        <v/>
      </c>
    </row>
    <row r="4840" spans="1:15" s="3" customFormat="1" ht="15" customHeight="1" x14ac:dyDescent="0.25">
      <c r="A4840" s="18" t="s">
        <v>782</v>
      </c>
      <c r="B4840" s="18" t="s">
        <v>783</v>
      </c>
      <c r="C4840" s="5">
        <v>1831</v>
      </c>
      <c r="D4840" s="1" t="s">
        <v>26</v>
      </c>
      <c r="E4840" s="1" t="s">
        <v>2</v>
      </c>
      <c r="F4840" s="18">
        <v>2174</v>
      </c>
      <c r="G4840" s="18">
        <v>62</v>
      </c>
      <c r="H4840" s="6" t="s">
        <v>3106</v>
      </c>
      <c r="I4840" s="1">
        <v>204</v>
      </c>
      <c r="J4840" s="1">
        <v>239</v>
      </c>
      <c r="K4840" s="1"/>
      <c r="L4840" t="str">
        <f t="shared" si="75"/>
        <v>http://www.badatelna.eu/reprodukce/?fondId=1073&amp;zaznamId=1108960&amp;reproId=3780286</v>
      </c>
      <c r="M4840">
        <f>VLOOKUP(F4840,Sheet2!$B$1:$E$19,2,FALSE)</f>
        <v>1073</v>
      </c>
      <c r="N4840">
        <f>VLOOKUP(F4840,Sheet2!$B$1:$E$19,3,FALSE)</f>
        <v>1108960</v>
      </c>
      <c r="O4840">
        <f>IF(G4840="Not available","",VLOOKUP(F4840,Sheet2!$B$1:$E$19,4,FALSE)+(G4840-1))</f>
        <v>3780286</v>
      </c>
    </row>
    <row r="4841" spans="1:15" s="3" customFormat="1" ht="15" customHeight="1" x14ac:dyDescent="0.25">
      <c r="A4841" s="18" t="s">
        <v>782</v>
      </c>
      <c r="B4841" s="18" t="s">
        <v>44</v>
      </c>
      <c r="C4841" s="5">
        <v>1861</v>
      </c>
      <c r="D4841" s="1"/>
      <c r="E4841" s="1" t="s">
        <v>939</v>
      </c>
      <c r="F4841" s="18">
        <v>999</v>
      </c>
      <c r="G4841" s="18">
        <v>32</v>
      </c>
      <c r="H4841" s="5">
        <v>30</v>
      </c>
      <c r="I4841" s="1">
        <v>77</v>
      </c>
      <c r="J4841" s="1">
        <v>112</v>
      </c>
      <c r="K4841" s="1"/>
      <c r="L4841" t="str">
        <f t="shared" si="75"/>
        <v>http://www.badatelna.eu/reprodukce/?fondId=241&amp;zaznamId=1133739&amp;reproId=3885761</v>
      </c>
      <c r="M4841">
        <f>VLOOKUP(F4841,Sheet2!$B$1:$E$19,2,FALSE)</f>
        <v>241</v>
      </c>
      <c r="N4841">
        <f>VLOOKUP(F4841,Sheet2!$B$1:$E$19,3,FALSE)</f>
        <v>1133739</v>
      </c>
      <c r="O4841">
        <f>IF(G4841="Not available","",VLOOKUP(F4841,Sheet2!$B$1:$E$19,4,FALSE)+(G4841-1))</f>
        <v>3885761</v>
      </c>
    </row>
    <row r="4842" spans="1:15" s="3" customFormat="1" ht="15" customHeight="1" x14ac:dyDescent="0.25">
      <c r="A4842" s="18" t="s">
        <v>782</v>
      </c>
      <c r="B4842" s="18" t="s">
        <v>998</v>
      </c>
      <c r="C4842" s="5" t="s">
        <v>1669</v>
      </c>
      <c r="D4842" s="1" t="s">
        <v>422</v>
      </c>
      <c r="E4842" s="1" t="s">
        <v>2</v>
      </c>
      <c r="F4842" s="18">
        <v>2165</v>
      </c>
      <c r="G4842" s="18">
        <v>24</v>
      </c>
      <c r="H4842" s="5">
        <v>21</v>
      </c>
      <c r="I4842" s="1">
        <v>94</v>
      </c>
      <c r="J4842" s="1" t="s">
        <v>3271</v>
      </c>
      <c r="K4842" s="1"/>
      <c r="L4842" t="str">
        <f t="shared" si="75"/>
        <v>http://www.badatelna.eu/reprodukce/?fondId=1073&amp;zaznamId=1108952&amp;reproId=3778885</v>
      </c>
      <c r="M4842">
        <f>VLOOKUP(F4842,Sheet2!$B$1:$E$19,2,FALSE)</f>
        <v>1073</v>
      </c>
      <c r="N4842">
        <f>VLOOKUP(F4842,Sheet2!$B$1:$E$19,3,FALSE)</f>
        <v>1108952</v>
      </c>
      <c r="O4842">
        <f>IF(G4842="Not available","",VLOOKUP(F4842,Sheet2!$B$1:$E$19,4,FALSE)+(G4842-1))</f>
        <v>3778885</v>
      </c>
    </row>
    <row r="4843" spans="1:15" s="3" customFormat="1" ht="15" customHeight="1" x14ac:dyDescent="0.25">
      <c r="A4843" s="18" t="s">
        <v>588</v>
      </c>
      <c r="B4843" s="18" t="s">
        <v>87</v>
      </c>
      <c r="C4843" s="5">
        <v>1794</v>
      </c>
      <c r="D4843" s="1" t="s">
        <v>21</v>
      </c>
      <c r="E4843" s="1" t="s">
        <v>2</v>
      </c>
      <c r="F4843" s="18">
        <v>2173</v>
      </c>
      <c r="G4843" s="18">
        <v>31</v>
      </c>
      <c r="H4843" s="5">
        <v>56</v>
      </c>
      <c r="I4843" s="1">
        <v>117</v>
      </c>
      <c r="J4843" s="1">
        <v>255</v>
      </c>
      <c r="K4843" s="1"/>
      <c r="L4843" t="str">
        <f t="shared" si="75"/>
        <v>http://www.badatelna.eu/reprodukce/?fondId=1073&amp;zaznamId=1108959&amp;reproId=3780024</v>
      </c>
      <c r="M4843">
        <f>VLOOKUP(F4843,Sheet2!$B$1:$E$19,2,FALSE)</f>
        <v>1073</v>
      </c>
      <c r="N4843">
        <f>VLOOKUP(F4843,Sheet2!$B$1:$E$19,3,FALSE)</f>
        <v>1108959</v>
      </c>
      <c r="O4843">
        <f>IF(G4843="Not available","",VLOOKUP(F4843,Sheet2!$B$1:$E$19,4,FALSE)+(G4843-1))</f>
        <v>3780024</v>
      </c>
    </row>
    <row r="4844" spans="1:15" s="3" customFormat="1" ht="15" customHeight="1" x14ac:dyDescent="0.25">
      <c r="A4844" s="19" t="s">
        <v>3033</v>
      </c>
      <c r="B4844" s="18" t="s">
        <v>229</v>
      </c>
      <c r="C4844" s="5">
        <v>1796</v>
      </c>
      <c r="D4844" s="1" t="s">
        <v>21</v>
      </c>
      <c r="E4844" s="1" t="s">
        <v>2</v>
      </c>
      <c r="F4844" s="18">
        <v>2173</v>
      </c>
      <c r="G4844" s="18">
        <v>34</v>
      </c>
      <c r="H4844" s="5">
        <v>62</v>
      </c>
      <c r="I4844" s="1">
        <v>117</v>
      </c>
      <c r="J4844" s="1">
        <v>255</v>
      </c>
      <c r="K4844" s="1"/>
      <c r="L4844" t="str">
        <f t="shared" si="75"/>
        <v>http://www.badatelna.eu/reprodukce/?fondId=1073&amp;zaznamId=1108959&amp;reproId=3780027</v>
      </c>
      <c r="M4844">
        <f>VLOOKUP(F4844,Sheet2!$B$1:$E$19,2,FALSE)</f>
        <v>1073</v>
      </c>
      <c r="N4844">
        <f>VLOOKUP(F4844,Sheet2!$B$1:$E$19,3,FALSE)</f>
        <v>1108959</v>
      </c>
      <c r="O4844">
        <f>IF(G4844="Not available","",VLOOKUP(F4844,Sheet2!$B$1:$E$19,4,FALSE)+(G4844-1))</f>
        <v>3780027</v>
      </c>
    </row>
    <row r="4845" spans="1:15" s="3" customFormat="1" ht="15" customHeight="1" x14ac:dyDescent="0.25">
      <c r="A4845" s="19" t="s">
        <v>3032</v>
      </c>
      <c r="B4845" s="18" t="s">
        <v>34</v>
      </c>
      <c r="C4845" s="5">
        <v>1785</v>
      </c>
      <c r="D4845" s="1" t="s">
        <v>12</v>
      </c>
      <c r="E4845" s="1" t="s">
        <v>2</v>
      </c>
      <c r="F4845" s="18">
        <v>2173</v>
      </c>
      <c r="G4845" s="18">
        <v>10</v>
      </c>
      <c r="H4845" s="5">
        <v>14</v>
      </c>
      <c r="I4845" s="1">
        <v>117</v>
      </c>
      <c r="J4845" s="1">
        <v>255</v>
      </c>
      <c r="K4845" s="1"/>
      <c r="L4845" t="str">
        <f t="shared" si="75"/>
        <v>http://www.badatelna.eu/reprodukce/?fondId=1073&amp;zaznamId=1108959&amp;reproId=3780003</v>
      </c>
      <c r="M4845">
        <f>VLOOKUP(F4845,Sheet2!$B$1:$E$19,2,FALSE)</f>
        <v>1073</v>
      </c>
      <c r="N4845">
        <f>VLOOKUP(F4845,Sheet2!$B$1:$E$19,3,FALSE)</f>
        <v>1108959</v>
      </c>
      <c r="O4845">
        <f>IF(G4845="Not available","",VLOOKUP(F4845,Sheet2!$B$1:$E$19,4,FALSE)+(G4845-1))</f>
        <v>3780003</v>
      </c>
    </row>
    <row r="4846" spans="1:15" s="3" customFormat="1" ht="15" customHeight="1" x14ac:dyDescent="0.25">
      <c r="A4846" s="19" t="s">
        <v>3032</v>
      </c>
      <c r="B4846" s="18" t="s">
        <v>576</v>
      </c>
      <c r="C4846" s="5">
        <v>1785</v>
      </c>
      <c r="D4846" s="1" t="s">
        <v>577</v>
      </c>
      <c r="E4846" s="1" t="s">
        <v>2</v>
      </c>
      <c r="F4846" s="18">
        <v>2173</v>
      </c>
      <c r="G4846" s="18">
        <v>7</v>
      </c>
      <c r="H4846" s="5">
        <v>8</v>
      </c>
      <c r="I4846" s="1">
        <v>117</v>
      </c>
      <c r="J4846" s="1">
        <v>255</v>
      </c>
      <c r="K4846" s="1"/>
      <c r="L4846" t="str">
        <f t="shared" si="75"/>
        <v>http://www.badatelna.eu/reprodukce/?fondId=1073&amp;zaznamId=1108959&amp;reproId=3780000</v>
      </c>
      <c r="M4846">
        <f>VLOOKUP(F4846,Sheet2!$B$1:$E$19,2,FALSE)</f>
        <v>1073</v>
      </c>
      <c r="N4846">
        <f>VLOOKUP(F4846,Sheet2!$B$1:$E$19,3,FALSE)</f>
        <v>1108959</v>
      </c>
      <c r="O4846">
        <f>IF(G4846="Not available","",VLOOKUP(F4846,Sheet2!$B$1:$E$19,4,FALSE)+(G4846-1))</f>
        <v>3780000</v>
      </c>
    </row>
    <row r="4847" spans="1:15" s="3" customFormat="1" ht="15" customHeight="1" x14ac:dyDescent="0.25">
      <c r="A4847" s="18" t="s">
        <v>582</v>
      </c>
      <c r="B4847" s="18" t="s">
        <v>580</v>
      </c>
      <c r="C4847" s="5">
        <v>1789</v>
      </c>
      <c r="D4847" s="1" t="s">
        <v>581</v>
      </c>
      <c r="E4847" s="1" t="s">
        <v>2</v>
      </c>
      <c r="F4847" s="18">
        <v>2173</v>
      </c>
      <c r="G4847" s="18">
        <v>20</v>
      </c>
      <c r="H4847" s="5">
        <v>35</v>
      </c>
      <c r="I4847" s="1">
        <v>117</v>
      </c>
      <c r="J4847" s="1">
        <v>255</v>
      </c>
      <c r="K4847" s="1"/>
      <c r="L4847" t="str">
        <f t="shared" si="75"/>
        <v>http://www.badatelna.eu/reprodukce/?fondId=1073&amp;zaznamId=1108959&amp;reproId=3780013</v>
      </c>
      <c r="M4847">
        <f>VLOOKUP(F4847,Sheet2!$B$1:$E$19,2,FALSE)</f>
        <v>1073</v>
      </c>
      <c r="N4847">
        <f>VLOOKUP(F4847,Sheet2!$B$1:$E$19,3,FALSE)</f>
        <v>1108959</v>
      </c>
      <c r="O4847">
        <f>IF(G4847="Not available","",VLOOKUP(F4847,Sheet2!$B$1:$E$19,4,FALSE)+(G4847-1))</f>
        <v>3780013</v>
      </c>
    </row>
    <row r="4848" spans="1:15" s="3" customFormat="1" ht="15" customHeight="1" x14ac:dyDescent="0.25">
      <c r="A4848" s="19" t="s">
        <v>3037</v>
      </c>
      <c r="B4848" s="18" t="s">
        <v>14</v>
      </c>
      <c r="C4848" s="6" t="s">
        <v>3036</v>
      </c>
      <c r="D4848" s="1"/>
      <c r="E4848" s="1" t="s">
        <v>2</v>
      </c>
      <c r="F4848" s="18">
        <v>2173</v>
      </c>
      <c r="G4848" s="18">
        <v>49</v>
      </c>
      <c r="H4848" s="5">
        <v>93</v>
      </c>
      <c r="I4848" s="1">
        <v>117</v>
      </c>
      <c r="J4848" s="1">
        <v>255</v>
      </c>
      <c r="K4848" s="1"/>
      <c r="L4848" t="str">
        <f t="shared" si="75"/>
        <v>http://www.badatelna.eu/reprodukce/?fondId=1073&amp;zaznamId=1108959&amp;reproId=3780042</v>
      </c>
      <c r="M4848">
        <f>VLOOKUP(F4848,Sheet2!$B$1:$E$19,2,FALSE)</f>
        <v>1073</v>
      </c>
      <c r="N4848">
        <f>VLOOKUP(F4848,Sheet2!$B$1:$E$19,3,FALSE)</f>
        <v>1108959</v>
      </c>
      <c r="O4848">
        <f>IF(G4848="Not available","",VLOOKUP(F4848,Sheet2!$B$1:$E$19,4,FALSE)+(G4848-1))</f>
        <v>3780042</v>
      </c>
    </row>
    <row r="4849" spans="1:15" s="3" customFormat="1" ht="15" customHeight="1" x14ac:dyDescent="0.25">
      <c r="A4849" s="18" t="s">
        <v>594</v>
      </c>
      <c r="B4849" s="18" t="s">
        <v>14</v>
      </c>
      <c r="C4849" s="5">
        <v>1814</v>
      </c>
      <c r="D4849" s="1"/>
      <c r="E4849" s="1" t="s">
        <v>2</v>
      </c>
      <c r="F4849" s="18">
        <v>2173</v>
      </c>
      <c r="G4849" s="18">
        <v>63</v>
      </c>
      <c r="H4849" s="5">
        <v>121</v>
      </c>
      <c r="I4849" s="1">
        <v>118</v>
      </c>
      <c r="J4849" s="1">
        <v>256</v>
      </c>
      <c r="K4849" s="1"/>
      <c r="L4849" t="str">
        <f t="shared" si="75"/>
        <v>http://www.badatelna.eu/reprodukce/?fondId=1073&amp;zaznamId=1108959&amp;reproId=3780056</v>
      </c>
      <c r="M4849">
        <f>VLOOKUP(F4849,Sheet2!$B$1:$E$19,2,FALSE)</f>
        <v>1073</v>
      </c>
      <c r="N4849">
        <f>VLOOKUP(F4849,Sheet2!$B$1:$E$19,3,FALSE)</f>
        <v>1108959</v>
      </c>
      <c r="O4849">
        <f>IF(G4849="Not available","",VLOOKUP(F4849,Sheet2!$B$1:$E$19,4,FALSE)+(G4849-1))</f>
        <v>3780056</v>
      </c>
    </row>
    <row r="4850" spans="1:15" s="3" customFormat="1" ht="15" customHeight="1" x14ac:dyDescent="0.25">
      <c r="A4850" s="18" t="s">
        <v>594</v>
      </c>
      <c r="B4850" s="18" t="s">
        <v>137</v>
      </c>
      <c r="C4850" s="5">
        <v>1816</v>
      </c>
      <c r="D4850" s="1"/>
      <c r="E4850" s="1" t="s">
        <v>2</v>
      </c>
      <c r="F4850" s="18">
        <v>2173</v>
      </c>
      <c r="G4850" s="18">
        <v>65</v>
      </c>
      <c r="H4850" s="5">
        <v>125</v>
      </c>
      <c r="I4850" s="1">
        <v>118</v>
      </c>
      <c r="J4850" s="1">
        <v>256</v>
      </c>
      <c r="K4850" s="1"/>
      <c r="L4850" t="str">
        <f t="shared" si="75"/>
        <v>http://www.badatelna.eu/reprodukce/?fondId=1073&amp;zaznamId=1108959&amp;reproId=3780058</v>
      </c>
      <c r="M4850">
        <f>VLOOKUP(F4850,Sheet2!$B$1:$E$19,2,FALSE)</f>
        <v>1073</v>
      </c>
      <c r="N4850">
        <f>VLOOKUP(F4850,Sheet2!$B$1:$E$19,3,FALSE)</f>
        <v>1108959</v>
      </c>
      <c r="O4850">
        <f>IF(G4850="Not available","",VLOOKUP(F4850,Sheet2!$B$1:$E$19,4,FALSE)+(G4850-1))</f>
        <v>3780058</v>
      </c>
    </row>
    <row r="4851" spans="1:15" s="3" customFormat="1" ht="15" customHeight="1" x14ac:dyDescent="0.25">
      <c r="A4851" s="18" t="s">
        <v>594</v>
      </c>
      <c r="B4851" s="18" t="s">
        <v>49</v>
      </c>
      <c r="C4851" s="5">
        <v>1816</v>
      </c>
      <c r="D4851" s="1"/>
      <c r="E4851" s="1" t="s">
        <v>2</v>
      </c>
      <c r="F4851" s="18">
        <v>2173</v>
      </c>
      <c r="G4851" s="18">
        <v>70</v>
      </c>
      <c r="H4851" s="5">
        <v>132</v>
      </c>
      <c r="I4851" s="1">
        <v>118</v>
      </c>
      <c r="J4851" s="1">
        <v>256</v>
      </c>
      <c r="K4851" s="1"/>
      <c r="L4851" t="str">
        <f t="shared" si="75"/>
        <v>http://www.badatelna.eu/reprodukce/?fondId=1073&amp;zaznamId=1108959&amp;reproId=3780063</v>
      </c>
      <c r="M4851">
        <f>VLOOKUP(F4851,Sheet2!$B$1:$E$19,2,FALSE)</f>
        <v>1073</v>
      </c>
      <c r="N4851">
        <f>VLOOKUP(F4851,Sheet2!$B$1:$E$19,3,FALSE)</f>
        <v>1108959</v>
      </c>
      <c r="O4851">
        <f>IF(G4851="Not available","",VLOOKUP(F4851,Sheet2!$B$1:$E$19,4,FALSE)+(G4851-1))</f>
        <v>3780063</v>
      </c>
    </row>
    <row r="4852" spans="1:15" s="3" customFormat="1" ht="15" customHeight="1" x14ac:dyDescent="0.25">
      <c r="A4852" s="18" t="s">
        <v>594</v>
      </c>
      <c r="B4852" s="18" t="s">
        <v>599</v>
      </c>
      <c r="C4852" s="5">
        <v>1826</v>
      </c>
      <c r="D4852" s="1"/>
      <c r="E4852" s="1" t="s">
        <v>2</v>
      </c>
      <c r="F4852" s="18">
        <v>2173</v>
      </c>
      <c r="G4852" s="18">
        <v>78</v>
      </c>
      <c r="H4852" s="5">
        <v>149</v>
      </c>
      <c r="I4852" s="1">
        <v>118</v>
      </c>
      <c r="J4852" s="1">
        <v>256</v>
      </c>
      <c r="K4852" s="1"/>
      <c r="L4852" t="str">
        <f t="shared" si="75"/>
        <v>http://www.badatelna.eu/reprodukce/?fondId=1073&amp;zaznamId=1108959&amp;reproId=3780071</v>
      </c>
      <c r="M4852">
        <f>VLOOKUP(F4852,Sheet2!$B$1:$E$19,2,FALSE)</f>
        <v>1073</v>
      </c>
      <c r="N4852">
        <f>VLOOKUP(F4852,Sheet2!$B$1:$E$19,3,FALSE)</f>
        <v>1108959</v>
      </c>
      <c r="O4852">
        <f>IF(G4852="Not available","",VLOOKUP(F4852,Sheet2!$B$1:$E$19,4,FALSE)+(G4852-1))</f>
        <v>3780071</v>
      </c>
    </row>
    <row r="4853" spans="1:15" s="3" customFormat="1" ht="15" customHeight="1" x14ac:dyDescent="0.25">
      <c r="A4853" s="18" t="s">
        <v>594</v>
      </c>
      <c r="B4853" s="18" t="s">
        <v>21</v>
      </c>
      <c r="C4853" s="5">
        <v>1811</v>
      </c>
      <c r="D4853" s="1"/>
      <c r="E4853" s="1" t="s">
        <v>2</v>
      </c>
      <c r="F4853" s="18">
        <v>2173</v>
      </c>
      <c r="G4853" s="18">
        <v>58</v>
      </c>
      <c r="H4853" s="5">
        <v>110</v>
      </c>
      <c r="I4853" s="1">
        <v>118</v>
      </c>
      <c r="J4853" s="1">
        <v>256</v>
      </c>
      <c r="K4853" s="1"/>
      <c r="L4853" t="str">
        <f t="shared" si="75"/>
        <v>http://www.badatelna.eu/reprodukce/?fondId=1073&amp;zaznamId=1108959&amp;reproId=3780051</v>
      </c>
      <c r="M4853">
        <f>VLOOKUP(F4853,Sheet2!$B$1:$E$19,2,FALSE)</f>
        <v>1073</v>
      </c>
      <c r="N4853">
        <f>VLOOKUP(F4853,Sheet2!$B$1:$E$19,3,FALSE)</f>
        <v>1108959</v>
      </c>
      <c r="O4853">
        <f>IF(G4853="Not available","",VLOOKUP(F4853,Sheet2!$B$1:$E$19,4,FALSE)+(G4853-1))</f>
        <v>3780051</v>
      </c>
    </row>
    <row r="4854" spans="1:15" s="3" customFormat="1" ht="15" customHeight="1" x14ac:dyDescent="0.25">
      <c r="A4854" s="18" t="s">
        <v>594</v>
      </c>
      <c r="B4854" s="18" t="s">
        <v>13</v>
      </c>
      <c r="C4854" s="5">
        <v>1823</v>
      </c>
      <c r="D4854" s="1"/>
      <c r="E4854" s="1" t="s">
        <v>2</v>
      </c>
      <c r="F4854" s="18">
        <v>2173</v>
      </c>
      <c r="G4854" s="18">
        <v>74</v>
      </c>
      <c r="H4854" s="5">
        <v>140</v>
      </c>
      <c r="I4854" s="1">
        <v>118</v>
      </c>
      <c r="J4854" s="1">
        <v>256</v>
      </c>
      <c r="K4854" s="1"/>
      <c r="L4854" t="str">
        <f t="shared" si="75"/>
        <v>http://www.badatelna.eu/reprodukce/?fondId=1073&amp;zaznamId=1108959&amp;reproId=3780067</v>
      </c>
      <c r="M4854">
        <f>VLOOKUP(F4854,Sheet2!$B$1:$E$19,2,FALSE)</f>
        <v>1073</v>
      </c>
      <c r="N4854">
        <f>VLOOKUP(F4854,Sheet2!$B$1:$E$19,3,FALSE)</f>
        <v>1108959</v>
      </c>
      <c r="O4854">
        <f>IF(G4854="Not available","",VLOOKUP(F4854,Sheet2!$B$1:$E$19,4,FALSE)+(G4854-1))</f>
        <v>3780067</v>
      </c>
    </row>
    <row r="4855" spans="1:15" s="3" customFormat="1" ht="15" customHeight="1" x14ac:dyDescent="0.25">
      <c r="A4855" s="18" t="s">
        <v>594</v>
      </c>
      <c r="B4855" s="18" t="s">
        <v>18</v>
      </c>
      <c r="C4855" s="5">
        <v>1829</v>
      </c>
      <c r="D4855" s="1"/>
      <c r="E4855" s="1" t="s">
        <v>2</v>
      </c>
      <c r="F4855" s="18">
        <v>2173</v>
      </c>
      <c r="G4855" s="18">
        <v>81</v>
      </c>
      <c r="H4855" s="5">
        <v>155</v>
      </c>
      <c r="I4855" s="1">
        <v>118</v>
      </c>
      <c r="J4855" s="1">
        <v>256</v>
      </c>
      <c r="K4855" s="1"/>
      <c r="L4855" t="str">
        <f t="shared" si="75"/>
        <v>http://www.badatelna.eu/reprodukce/?fondId=1073&amp;zaznamId=1108959&amp;reproId=3780074</v>
      </c>
      <c r="M4855">
        <f>VLOOKUP(F4855,Sheet2!$B$1:$E$19,2,FALSE)</f>
        <v>1073</v>
      </c>
      <c r="N4855">
        <f>VLOOKUP(F4855,Sheet2!$B$1:$E$19,3,FALSE)</f>
        <v>1108959</v>
      </c>
      <c r="O4855">
        <f>IF(G4855="Not available","",VLOOKUP(F4855,Sheet2!$B$1:$E$19,4,FALSE)+(G4855-1))</f>
        <v>3780074</v>
      </c>
    </row>
    <row r="4856" spans="1:15" s="3" customFormat="1" ht="15" customHeight="1" x14ac:dyDescent="0.25">
      <c r="A4856" s="19" t="s">
        <v>594</v>
      </c>
      <c r="B4856" s="18" t="s">
        <v>17</v>
      </c>
      <c r="C4856" s="5">
        <v>1824</v>
      </c>
      <c r="D4856" s="1"/>
      <c r="E4856" s="1" t="s">
        <v>2</v>
      </c>
      <c r="F4856" s="18">
        <v>2173</v>
      </c>
      <c r="G4856" s="18">
        <v>76</v>
      </c>
      <c r="H4856" s="5">
        <v>144</v>
      </c>
      <c r="I4856" s="1">
        <v>118</v>
      </c>
      <c r="J4856" s="1">
        <v>256</v>
      </c>
      <c r="K4856" s="1"/>
      <c r="L4856" t="str">
        <f t="shared" si="75"/>
        <v>http://www.badatelna.eu/reprodukce/?fondId=1073&amp;zaznamId=1108959&amp;reproId=3780069</v>
      </c>
      <c r="M4856">
        <f>VLOOKUP(F4856,Sheet2!$B$1:$E$19,2,FALSE)</f>
        <v>1073</v>
      </c>
      <c r="N4856">
        <f>VLOOKUP(F4856,Sheet2!$B$1:$E$19,3,FALSE)</f>
        <v>1108959</v>
      </c>
      <c r="O4856">
        <f>IF(G4856="Not available","",VLOOKUP(F4856,Sheet2!$B$1:$E$19,4,FALSE)+(G4856-1))</f>
        <v>3780069</v>
      </c>
    </row>
    <row r="4857" spans="1:15" s="3" customFormat="1" ht="15" customHeight="1" x14ac:dyDescent="0.25">
      <c r="A4857" s="18" t="s">
        <v>794</v>
      </c>
      <c r="B4857" s="18" t="s">
        <v>51</v>
      </c>
      <c r="C4857" s="5">
        <v>1845</v>
      </c>
      <c r="D4857" s="1" t="s">
        <v>696</v>
      </c>
      <c r="E4857" s="1" t="s">
        <v>2</v>
      </c>
      <c r="F4857" s="18">
        <v>2174</v>
      </c>
      <c r="G4857" s="18">
        <v>156</v>
      </c>
      <c r="H4857" s="6" t="s">
        <v>3227</v>
      </c>
      <c r="I4857" s="1">
        <v>205</v>
      </c>
      <c r="J4857" s="1">
        <v>240</v>
      </c>
      <c r="K4857" s="1"/>
      <c r="L4857" t="str">
        <f t="shared" si="75"/>
        <v>http://www.badatelna.eu/reprodukce/?fondId=1073&amp;zaznamId=1108960&amp;reproId=3780380</v>
      </c>
      <c r="M4857">
        <f>VLOOKUP(F4857,Sheet2!$B$1:$E$19,2,FALSE)</f>
        <v>1073</v>
      </c>
      <c r="N4857">
        <f>VLOOKUP(F4857,Sheet2!$B$1:$E$19,3,FALSE)</f>
        <v>1108960</v>
      </c>
      <c r="O4857">
        <f>IF(G4857="Not available","",VLOOKUP(F4857,Sheet2!$B$1:$E$19,4,FALSE)+(G4857-1))</f>
        <v>3780380</v>
      </c>
    </row>
    <row r="4858" spans="1:15" s="3" customFormat="1" ht="15" customHeight="1" x14ac:dyDescent="0.25">
      <c r="A4858" s="18" t="s">
        <v>787</v>
      </c>
      <c r="B4858" s="18" t="s">
        <v>632</v>
      </c>
      <c r="C4858" s="5">
        <v>1846</v>
      </c>
      <c r="D4858" s="1" t="s">
        <v>489</v>
      </c>
      <c r="E4858" s="1" t="s">
        <v>2</v>
      </c>
      <c r="F4858" s="18">
        <v>2174</v>
      </c>
      <c r="G4858" s="18">
        <v>164</v>
      </c>
      <c r="H4858" s="6" t="s">
        <v>3231</v>
      </c>
      <c r="I4858" s="1">
        <v>205</v>
      </c>
      <c r="J4858" s="1">
        <v>240</v>
      </c>
      <c r="K4858" s="1"/>
      <c r="L4858" t="str">
        <f t="shared" si="75"/>
        <v>http://www.badatelna.eu/reprodukce/?fondId=1073&amp;zaznamId=1108960&amp;reproId=3780388</v>
      </c>
      <c r="M4858">
        <f>VLOOKUP(F4858,Sheet2!$B$1:$E$19,2,FALSE)</f>
        <v>1073</v>
      </c>
      <c r="N4858">
        <f>VLOOKUP(F4858,Sheet2!$B$1:$E$19,3,FALSE)</f>
        <v>1108960</v>
      </c>
      <c r="O4858">
        <f>IF(G4858="Not available","",VLOOKUP(F4858,Sheet2!$B$1:$E$19,4,FALSE)+(G4858-1))</f>
        <v>3780388</v>
      </c>
    </row>
    <row r="4859" spans="1:15" s="3" customFormat="1" ht="15" customHeight="1" x14ac:dyDescent="0.25">
      <c r="A4859" s="18" t="s">
        <v>787</v>
      </c>
      <c r="B4859" s="18" t="s">
        <v>155</v>
      </c>
      <c r="C4859" s="5">
        <v>1833</v>
      </c>
      <c r="D4859" s="1" t="s">
        <v>21</v>
      </c>
      <c r="E4859" s="1" t="s">
        <v>2</v>
      </c>
      <c r="F4859" s="18">
        <v>2174</v>
      </c>
      <c r="G4859" s="18">
        <v>71</v>
      </c>
      <c r="H4859" s="6" t="s">
        <v>3139</v>
      </c>
      <c r="I4859" s="1">
        <v>204</v>
      </c>
      <c r="J4859" s="1">
        <v>239</v>
      </c>
      <c r="K4859" s="1"/>
      <c r="L4859" t="str">
        <f t="shared" si="75"/>
        <v>http://www.badatelna.eu/reprodukce/?fondId=1073&amp;zaznamId=1108960&amp;reproId=3780295</v>
      </c>
      <c r="M4859">
        <f>VLOOKUP(F4859,Sheet2!$B$1:$E$19,2,FALSE)</f>
        <v>1073</v>
      </c>
      <c r="N4859">
        <f>VLOOKUP(F4859,Sheet2!$B$1:$E$19,3,FALSE)</f>
        <v>1108960</v>
      </c>
      <c r="O4859">
        <f>IF(G4859="Not available","",VLOOKUP(F4859,Sheet2!$B$1:$E$19,4,FALSE)+(G4859-1))</f>
        <v>3780295</v>
      </c>
    </row>
    <row r="4860" spans="1:15" s="3" customFormat="1" ht="15" customHeight="1" x14ac:dyDescent="0.25">
      <c r="A4860" s="18" t="s">
        <v>787</v>
      </c>
      <c r="B4860" s="18" t="s">
        <v>548</v>
      </c>
      <c r="C4860" s="5">
        <v>1834</v>
      </c>
      <c r="D4860" s="1" t="s">
        <v>21</v>
      </c>
      <c r="E4860" s="1" t="s">
        <v>2</v>
      </c>
      <c r="F4860" s="18">
        <v>2174</v>
      </c>
      <c r="G4860" s="18">
        <v>78</v>
      </c>
      <c r="H4860" s="6" t="s">
        <v>3144</v>
      </c>
      <c r="I4860" s="1">
        <v>204</v>
      </c>
      <c r="J4860" s="1">
        <v>239</v>
      </c>
      <c r="K4860" s="1"/>
      <c r="L4860" t="str">
        <f t="shared" si="75"/>
        <v>http://www.badatelna.eu/reprodukce/?fondId=1073&amp;zaznamId=1108960&amp;reproId=3780302</v>
      </c>
      <c r="M4860">
        <f>VLOOKUP(F4860,Sheet2!$B$1:$E$19,2,FALSE)</f>
        <v>1073</v>
      </c>
      <c r="N4860">
        <f>VLOOKUP(F4860,Sheet2!$B$1:$E$19,3,FALSE)</f>
        <v>1108960</v>
      </c>
      <c r="O4860">
        <f>IF(G4860="Not available","",VLOOKUP(F4860,Sheet2!$B$1:$E$19,4,FALSE)+(G4860-1))</f>
        <v>3780302</v>
      </c>
    </row>
    <row r="4861" spans="1:15" s="3" customFormat="1" ht="15" customHeight="1" x14ac:dyDescent="0.25">
      <c r="A4861" s="18" t="s">
        <v>787</v>
      </c>
      <c r="B4861" s="18" t="s">
        <v>603</v>
      </c>
      <c r="C4861" s="5">
        <v>1836</v>
      </c>
      <c r="D4861" s="1" t="s">
        <v>21</v>
      </c>
      <c r="E4861" s="1" t="s">
        <v>2</v>
      </c>
      <c r="F4861" s="18">
        <v>2174</v>
      </c>
      <c r="G4861" s="18">
        <v>89</v>
      </c>
      <c r="H4861" s="6" t="s">
        <v>3154</v>
      </c>
      <c r="I4861" s="1">
        <v>204</v>
      </c>
      <c r="J4861" s="1">
        <v>239</v>
      </c>
      <c r="K4861" s="1"/>
      <c r="L4861" t="str">
        <f t="shared" si="75"/>
        <v>http://www.badatelna.eu/reprodukce/?fondId=1073&amp;zaznamId=1108960&amp;reproId=3780313</v>
      </c>
      <c r="M4861">
        <f>VLOOKUP(F4861,Sheet2!$B$1:$E$19,2,FALSE)</f>
        <v>1073</v>
      </c>
      <c r="N4861">
        <f>VLOOKUP(F4861,Sheet2!$B$1:$E$19,3,FALSE)</f>
        <v>1108960</v>
      </c>
      <c r="O4861">
        <f>IF(G4861="Not available","",VLOOKUP(F4861,Sheet2!$B$1:$E$19,4,FALSE)+(G4861-1))</f>
        <v>3780313</v>
      </c>
    </row>
    <row r="4862" spans="1:15" s="3" customFormat="1" ht="15" customHeight="1" x14ac:dyDescent="0.25">
      <c r="A4862" s="18" t="s">
        <v>787</v>
      </c>
      <c r="B4862" s="18" t="s">
        <v>304</v>
      </c>
      <c r="C4862" s="5">
        <v>1842</v>
      </c>
      <c r="D4862" s="1" t="s">
        <v>495</v>
      </c>
      <c r="E4862" s="1" t="s">
        <v>2</v>
      </c>
      <c r="F4862" s="18">
        <v>2174</v>
      </c>
      <c r="G4862" s="18">
        <v>127</v>
      </c>
      <c r="H4862" s="6" t="s">
        <v>3190</v>
      </c>
      <c r="I4862" s="1">
        <v>205</v>
      </c>
      <c r="J4862" s="1">
        <v>240</v>
      </c>
      <c r="K4862" s="1"/>
      <c r="L4862" t="str">
        <f t="shared" si="75"/>
        <v>http://www.badatelna.eu/reprodukce/?fondId=1073&amp;zaznamId=1108960&amp;reproId=3780351</v>
      </c>
      <c r="M4862">
        <f>VLOOKUP(F4862,Sheet2!$B$1:$E$19,2,FALSE)</f>
        <v>1073</v>
      </c>
      <c r="N4862">
        <f>VLOOKUP(F4862,Sheet2!$B$1:$E$19,3,FALSE)</f>
        <v>1108960</v>
      </c>
      <c r="O4862">
        <f>IF(G4862="Not available","",VLOOKUP(F4862,Sheet2!$B$1:$E$19,4,FALSE)+(G4862-1))</f>
        <v>3780351</v>
      </c>
    </row>
    <row r="4863" spans="1:15" s="3" customFormat="1" ht="15" customHeight="1" x14ac:dyDescent="0.25">
      <c r="A4863" s="18" t="s">
        <v>787</v>
      </c>
      <c r="B4863" s="18"/>
      <c r="C4863" s="5">
        <v>1847</v>
      </c>
      <c r="D4863" s="4" t="s">
        <v>3118</v>
      </c>
      <c r="E4863" s="1" t="s">
        <v>2</v>
      </c>
      <c r="F4863" s="18">
        <v>2174</v>
      </c>
      <c r="G4863" s="18">
        <v>172</v>
      </c>
      <c r="H4863" s="6" t="s">
        <v>3240</v>
      </c>
      <c r="I4863" s="1">
        <v>205</v>
      </c>
      <c r="J4863" s="1">
        <v>240</v>
      </c>
      <c r="K4863" s="1"/>
      <c r="L4863" t="str">
        <f t="shared" si="75"/>
        <v>http://www.badatelna.eu/reprodukce/?fondId=1073&amp;zaznamId=1108960&amp;reproId=3780396</v>
      </c>
      <c r="M4863">
        <f>VLOOKUP(F4863,Sheet2!$B$1:$E$19,2,FALSE)</f>
        <v>1073</v>
      </c>
      <c r="N4863">
        <f>VLOOKUP(F4863,Sheet2!$B$1:$E$19,3,FALSE)</f>
        <v>1108960</v>
      </c>
      <c r="O4863">
        <f>IF(G4863="Not available","",VLOOKUP(F4863,Sheet2!$B$1:$E$19,4,FALSE)+(G4863-1))</f>
        <v>3780396</v>
      </c>
    </row>
    <row r="4864" spans="1:15" s="3" customFormat="1" ht="15" customHeight="1" x14ac:dyDescent="0.25">
      <c r="A4864" s="18" t="s">
        <v>785</v>
      </c>
      <c r="B4864" s="18" t="s">
        <v>219</v>
      </c>
      <c r="C4864" s="5">
        <v>1831</v>
      </c>
      <c r="D4864" s="1" t="s">
        <v>21</v>
      </c>
      <c r="E4864" s="1" t="s">
        <v>2</v>
      </c>
      <c r="F4864" s="18">
        <v>2174</v>
      </c>
      <c r="G4864" s="18">
        <v>65</v>
      </c>
      <c r="H4864" s="6" t="s">
        <v>3109</v>
      </c>
      <c r="I4864" s="1">
        <v>204</v>
      </c>
      <c r="J4864" s="1">
        <v>239</v>
      </c>
      <c r="K4864" s="1"/>
      <c r="L4864" t="str">
        <f t="shared" si="75"/>
        <v>http://www.badatelna.eu/reprodukce/?fondId=1073&amp;zaznamId=1108960&amp;reproId=3780289</v>
      </c>
      <c r="M4864">
        <f>VLOOKUP(F4864,Sheet2!$B$1:$E$19,2,FALSE)</f>
        <v>1073</v>
      </c>
      <c r="N4864">
        <f>VLOOKUP(F4864,Sheet2!$B$1:$E$19,3,FALSE)</f>
        <v>1108960</v>
      </c>
      <c r="O4864">
        <f>IF(G4864="Not available","",VLOOKUP(F4864,Sheet2!$B$1:$E$19,4,FALSE)+(G4864-1))</f>
        <v>3780289</v>
      </c>
    </row>
    <row r="4865" spans="1:15" s="3" customFormat="1" ht="15" customHeight="1" x14ac:dyDescent="0.25">
      <c r="A4865" s="18" t="s">
        <v>793</v>
      </c>
      <c r="B4865" s="18" t="s">
        <v>735</v>
      </c>
      <c r="C4865" s="5">
        <v>1845</v>
      </c>
      <c r="D4865" s="1" t="s">
        <v>489</v>
      </c>
      <c r="E4865" s="1" t="s">
        <v>2</v>
      </c>
      <c r="F4865" s="18">
        <v>2174</v>
      </c>
      <c r="G4865" s="18">
        <v>152</v>
      </c>
      <c r="H4865" s="6" t="s">
        <v>3219</v>
      </c>
      <c r="I4865" s="1">
        <v>205</v>
      </c>
      <c r="J4865" s="1">
        <v>240</v>
      </c>
      <c r="K4865" s="1"/>
      <c r="L4865" t="str">
        <f t="shared" si="75"/>
        <v>http://www.badatelna.eu/reprodukce/?fondId=1073&amp;zaznamId=1108960&amp;reproId=3780376</v>
      </c>
      <c r="M4865">
        <f>VLOOKUP(F4865,Sheet2!$B$1:$E$19,2,FALSE)</f>
        <v>1073</v>
      </c>
      <c r="N4865">
        <f>VLOOKUP(F4865,Sheet2!$B$1:$E$19,3,FALSE)</f>
        <v>1108960</v>
      </c>
      <c r="O4865">
        <f>IF(G4865="Not available","",VLOOKUP(F4865,Sheet2!$B$1:$E$19,4,FALSE)+(G4865-1))</f>
        <v>3780376</v>
      </c>
    </row>
    <row r="4866" spans="1:15" s="3" customFormat="1" ht="15" customHeight="1" x14ac:dyDescent="0.25">
      <c r="A4866" s="18" t="s">
        <v>596</v>
      </c>
      <c r="B4866" s="18" t="s">
        <v>3272</v>
      </c>
      <c r="C4866" s="5"/>
      <c r="D4866" s="1"/>
      <c r="E4866" s="1"/>
      <c r="F4866" s="18"/>
      <c r="G4866" s="18"/>
      <c r="H4866" s="6"/>
      <c r="I4866" s="1"/>
      <c r="J4866" s="1"/>
      <c r="K4866" s="1"/>
      <c r="L4866" t="e">
        <f t="shared" si="75"/>
        <v>#N/A</v>
      </c>
      <c r="M4866" t="e">
        <f>VLOOKUP(F4866,Sheet2!$B$1:$E$19,2,FALSE)</f>
        <v>#N/A</v>
      </c>
      <c r="N4866" t="e">
        <f>VLOOKUP(F4866,Sheet2!$B$1:$E$19,3,FALSE)</f>
        <v>#N/A</v>
      </c>
      <c r="O4866" t="e">
        <f>IF(G4866="Not available","",VLOOKUP(F4866,Sheet2!$B$1:$E$19,4,FALSE)+(G4866-1))</f>
        <v>#N/A</v>
      </c>
    </row>
    <row r="4867" spans="1:15" s="3" customFormat="1" ht="15" customHeight="1" x14ac:dyDescent="0.25">
      <c r="A4867" s="18" t="s">
        <v>587</v>
      </c>
      <c r="B4867" s="18" t="s">
        <v>586</v>
      </c>
      <c r="C4867" s="5">
        <v>1792</v>
      </c>
      <c r="D4867" s="1" t="s">
        <v>50</v>
      </c>
      <c r="E4867" s="1" t="s">
        <v>2</v>
      </c>
      <c r="F4867" s="18">
        <v>2173</v>
      </c>
      <c r="G4867" s="18">
        <v>28</v>
      </c>
      <c r="H4867" s="5">
        <v>50</v>
      </c>
      <c r="I4867" s="1">
        <v>117</v>
      </c>
      <c r="J4867" s="1">
        <v>255</v>
      </c>
      <c r="K4867" s="1"/>
      <c r="L4867" t="str">
        <f t="shared" ref="L4867:L4930" si="76">IF(G4867="Not available","","http://www.badatelna.eu/reprodukce/?fondId="&amp;M4867&amp;"&amp;zaznamId="&amp;N4867&amp;"&amp;reproId="&amp;O4867)</f>
        <v>http://www.badatelna.eu/reprodukce/?fondId=1073&amp;zaznamId=1108959&amp;reproId=3780021</v>
      </c>
      <c r="M4867">
        <f>VLOOKUP(F4867,Sheet2!$B$1:$E$19,2,FALSE)</f>
        <v>1073</v>
      </c>
      <c r="N4867">
        <f>VLOOKUP(F4867,Sheet2!$B$1:$E$19,3,FALSE)</f>
        <v>1108959</v>
      </c>
      <c r="O4867">
        <f>IF(G4867="Not available","",VLOOKUP(F4867,Sheet2!$B$1:$E$19,4,FALSE)+(G4867-1))</f>
        <v>3780021</v>
      </c>
    </row>
    <row r="4868" spans="1:15" s="3" customFormat="1" ht="15" customHeight="1" x14ac:dyDescent="0.25">
      <c r="A4868" s="19" t="s">
        <v>3034</v>
      </c>
      <c r="B4868" s="19" t="s">
        <v>3035</v>
      </c>
      <c r="C4868" s="5">
        <v>1791</v>
      </c>
      <c r="D4868" s="1" t="s">
        <v>50</v>
      </c>
      <c r="E4868" s="1" t="s">
        <v>2</v>
      </c>
      <c r="F4868" s="18">
        <v>2173</v>
      </c>
      <c r="G4868" s="18">
        <v>24</v>
      </c>
      <c r="H4868" s="5">
        <v>43</v>
      </c>
      <c r="I4868" s="1">
        <v>117</v>
      </c>
      <c r="J4868" s="1">
        <v>255</v>
      </c>
      <c r="K4868" s="1"/>
      <c r="L4868" t="str">
        <f t="shared" si="76"/>
        <v>http://www.badatelna.eu/reprodukce/?fondId=1073&amp;zaznamId=1108959&amp;reproId=3780017</v>
      </c>
      <c r="M4868">
        <f>VLOOKUP(F4868,Sheet2!$B$1:$E$19,2,FALSE)</f>
        <v>1073</v>
      </c>
      <c r="N4868">
        <f>VLOOKUP(F4868,Sheet2!$B$1:$E$19,3,FALSE)</f>
        <v>1108959</v>
      </c>
      <c r="O4868">
        <f>IF(G4868="Not available","",VLOOKUP(F4868,Sheet2!$B$1:$E$19,4,FALSE)+(G4868-1))</f>
        <v>3780017</v>
      </c>
    </row>
    <row r="4869" spans="1:15" s="3" customFormat="1" ht="15" customHeight="1" x14ac:dyDescent="0.25">
      <c r="A4869" s="18" t="s">
        <v>2764</v>
      </c>
      <c r="B4869" s="18" t="s">
        <v>2765</v>
      </c>
      <c r="C4869" s="10" t="s">
        <v>2372</v>
      </c>
      <c r="D4869" s="3" t="s">
        <v>2766</v>
      </c>
      <c r="E4869" s="4" t="s">
        <v>2</v>
      </c>
      <c r="F4869" s="18">
        <v>2176</v>
      </c>
      <c r="G4869" s="18" t="s">
        <v>3271</v>
      </c>
      <c r="H4869" s="10" t="s">
        <v>1955</v>
      </c>
      <c r="I4869" s="3">
        <v>49</v>
      </c>
      <c r="J4869" s="3" t="s">
        <v>3271</v>
      </c>
      <c r="L4869" t="str">
        <f t="shared" si="76"/>
        <v/>
      </c>
      <c r="M4869">
        <f>VLOOKUP(F4869,Sheet2!$B$1:$E$19,2,FALSE)</f>
        <v>1073</v>
      </c>
      <c r="N4869">
        <f>VLOOKUP(F4869,Sheet2!$B$1:$E$19,3,FALSE)</f>
        <v>1108963</v>
      </c>
      <c r="O4869" t="str">
        <f>IF(G4869="Not available","",VLOOKUP(F4869,Sheet2!$B$1:$E$19,4,FALSE)+(G4869-1))</f>
        <v/>
      </c>
    </row>
    <row r="4870" spans="1:15" s="3" customFormat="1" ht="15" customHeight="1" x14ac:dyDescent="0.25">
      <c r="A4870" s="18" t="s">
        <v>1104</v>
      </c>
      <c r="B4870" s="18" t="s">
        <v>2096</v>
      </c>
      <c r="C4870" s="10" t="s">
        <v>1969</v>
      </c>
      <c r="D4870" s="3" t="s">
        <v>2763</v>
      </c>
      <c r="E4870" s="4" t="s">
        <v>2</v>
      </c>
      <c r="F4870" s="18">
        <v>2176</v>
      </c>
      <c r="G4870" s="18" t="s">
        <v>3271</v>
      </c>
      <c r="H4870" s="10" t="s">
        <v>2470</v>
      </c>
      <c r="I4870" s="3">
        <v>49</v>
      </c>
      <c r="J4870" s="3" t="s">
        <v>3271</v>
      </c>
      <c r="K4870" s="1"/>
      <c r="L4870" t="str">
        <f t="shared" si="76"/>
        <v/>
      </c>
      <c r="M4870">
        <f>VLOOKUP(F4870,Sheet2!$B$1:$E$19,2,FALSE)</f>
        <v>1073</v>
      </c>
      <c r="N4870">
        <f>VLOOKUP(F4870,Sheet2!$B$1:$E$19,3,FALSE)</f>
        <v>1108963</v>
      </c>
      <c r="O4870" t="str">
        <f>IF(G4870="Not available","",VLOOKUP(F4870,Sheet2!$B$1:$E$19,4,FALSE)+(G4870-1))</f>
        <v/>
      </c>
    </row>
    <row r="4871" spans="1:15" s="3" customFormat="1" ht="15" customHeight="1" x14ac:dyDescent="0.25">
      <c r="A4871" s="18" t="s">
        <v>1104</v>
      </c>
      <c r="B4871" s="18" t="s">
        <v>16</v>
      </c>
      <c r="C4871" s="5" t="s">
        <v>1569</v>
      </c>
      <c r="D4871" s="1" t="s">
        <v>71</v>
      </c>
      <c r="E4871" s="1" t="s">
        <v>2</v>
      </c>
      <c r="F4871" s="18">
        <v>2165</v>
      </c>
      <c r="G4871" s="18">
        <v>69</v>
      </c>
      <c r="H4871" s="5">
        <v>66</v>
      </c>
      <c r="I4871" s="1">
        <v>96</v>
      </c>
      <c r="J4871" s="4" t="s">
        <v>3271</v>
      </c>
      <c r="K4871" s="1"/>
      <c r="L4871" t="str">
        <f t="shared" si="76"/>
        <v>http://www.badatelna.eu/reprodukce/?fondId=1073&amp;zaznamId=1108952&amp;reproId=3778930</v>
      </c>
      <c r="M4871">
        <f>VLOOKUP(F4871,Sheet2!$B$1:$E$19,2,FALSE)</f>
        <v>1073</v>
      </c>
      <c r="N4871">
        <f>VLOOKUP(F4871,Sheet2!$B$1:$E$19,3,FALSE)</f>
        <v>1108952</v>
      </c>
      <c r="O4871">
        <f>IF(G4871="Not available","",VLOOKUP(F4871,Sheet2!$B$1:$E$19,4,FALSE)+(G4871-1))</f>
        <v>3778930</v>
      </c>
    </row>
    <row r="4872" spans="1:15" s="3" customFormat="1" ht="15" customHeight="1" x14ac:dyDescent="0.25">
      <c r="A4872" s="18" t="s">
        <v>1104</v>
      </c>
      <c r="B4872" s="18" t="s">
        <v>809</v>
      </c>
      <c r="C4872" s="5" t="s">
        <v>1673</v>
      </c>
      <c r="D4872" s="1" t="s">
        <v>71</v>
      </c>
      <c r="E4872" s="1" t="s">
        <v>2</v>
      </c>
      <c r="F4872" s="18">
        <v>2165</v>
      </c>
      <c r="G4872" s="18">
        <v>52</v>
      </c>
      <c r="H4872" s="5">
        <v>49</v>
      </c>
      <c r="I4872" s="1">
        <v>96</v>
      </c>
      <c r="J4872" s="4" t="s">
        <v>3271</v>
      </c>
      <c r="K4872" s="1"/>
      <c r="L4872" t="str">
        <f t="shared" si="76"/>
        <v>http://www.badatelna.eu/reprodukce/?fondId=1073&amp;zaznamId=1108952&amp;reproId=3778913</v>
      </c>
      <c r="M4872">
        <f>VLOOKUP(F4872,Sheet2!$B$1:$E$19,2,FALSE)</f>
        <v>1073</v>
      </c>
      <c r="N4872">
        <f>VLOOKUP(F4872,Sheet2!$B$1:$E$19,3,FALSE)</f>
        <v>1108952</v>
      </c>
      <c r="O4872">
        <f>IF(G4872="Not available","",VLOOKUP(F4872,Sheet2!$B$1:$E$19,4,FALSE)+(G4872-1))</f>
        <v>3778913</v>
      </c>
    </row>
    <row r="4873" spans="1:15" s="3" customFormat="1" ht="15" customHeight="1" x14ac:dyDescent="0.25">
      <c r="A4873" s="18" t="s">
        <v>1104</v>
      </c>
      <c r="B4873" s="18" t="s">
        <v>1105</v>
      </c>
      <c r="C4873" s="5" t="s">
        <v>1319</v>
      </c>
      <c r="D4873" s="1" t="s">
        <v>71</v>
      </c>
      <c r="E4873" s="1" t="s">
        <v>2</v>
      </c>
      <c r="F4873" s="18">
        <v>2165</v>
      </c>
      <c r="G4873" s="18">
        <v>32</v>
      </c>
      <c r="H4873" s="5">
        <v>29</v>
      </c>
      <c r="I4873" s="1">
        <v>96</v>
      </c>
      <c r="J4873" s="4" t="s">
        <v>3271</v>
      </c>
      <c r="K4873" s="1"/>
      <c r="L4873" t="str">
        <f t="shared" si="76"/>
        <v>http://www.badatelna.eu/reprodukce/?fondId=1073&amp;zaznamId=1108952&amp;reproId=3778893</v>
      </c>
      <c r="M4873">
        <f>VLOOKUP(F4873,Sheet2!$B$1:$E$19,2,FALSE)</f>
        <v>1073</v>
      </c>
      <c r="N4873">
        <f>VLOOKUP(F4873,Sheet2!$B$1:$E$19,3,FALSE)</f>
        <v>1108952</v>
      </c>
      <c r="O4873">
        <f>IF(G4873="Not available","",VLOOKUP(F4873,Sheet2!$B$1:$E$19,4,FALSE)+(G4873-1))</f>
        <v>3778893</v>
      </c>
    </row>
    <row r="4874" spans="1:15" s="3" customFormat="1" ht="15" customHeight="1" x14ac:dyDescent="0.25">
      <c r="A4874" s="18" t="s">
        <v>1104</v>
      </c>
      <c r="B4874" s="18" t="s">
        <v>2143</v>
      </c>
      <c r="C4874" s="10" t="s">
        <v>2025</v>
      </c>
      <c r="D4874" s="3" t="s">
        <v>2762</v>
      </c>
      <c r="E4874" s="4" t="s">
        <v>2</v>
      </c>
      <c r="F4874" s="18">
        <v>2176</v>
      </c>
      <c r="G4874" s="18" t="s">
        <v>3271</v>
      </c>
      <c r="H4874" s="10" t="s">
        <v>2142</v>
      </c>
      <c r="I4874" s="3">
        <v>49</v>
      </c>
      <c r="J4874" s="4" t="s">
        <v>3271</v>
      </c>
      <c r="L4874" t="str">
        <f t="shared" si="76"/>
        <v/>
      </c>
      <c r="M4874">
        <f>VLOOKUP(F4874,Sheet2!$B$1:$E$19,2,FALSE)</f>
        <v>1073</v>
      </c>
      <c r="N4874">
        <f>VLOOKUP(F4874,Sheet2!$B$1:$E$19,3,FALSE)</f>
        <v>1108963</v>
      </c>
      <c r="O4874" t="str">
        <f>IF(G4874="Not available","",VLOOKUP(F4874,Sheet2!$B$1:$E$19,4,FALSE)+(G4874-1))</f>
        <v/>
      </c>
    </row>
    <row r="4875" spans="1:15" s="3" customFormat="1" ht="15" customHeight="1" x14ac:dyDescent="0.25">
      <c r="A4875" s="18" t="s">
        <v>1274</v>
      </c>
      <c r="B4875" s="18" t="s">
        <v>2430</v>
      </c>
      <c r="C4875" s="10" t="s">
        <v>2109</v>
      </c>
      <c r="D4875" s="3" t="s">
        <v>2801</v>
      </c>
      <c r="E4875" s="4" t="s">
        <v>2</v>
      </c>
      <c r="F4875" s="18">
        <v>2176</v>
      </c>
      <c r="G4875" s="18" t="s">
        <v>3271</v>
      </c>
      <c r="H4875" s="10" t="s">
        <v>1974</v>
      </c>
      <c r="I4875" s="3">
        <v>51</v>
      </c>
      <c r="J4875" s="3" t="s">
        <v>3271</v>
      </c>
      <c r="L4875" t="str">
        <f t="shared" si="76"/>
        <v/>
      </c>
      <c r="M4875">
        <f>VLOOKUP(F4875,Sheet2!$B$1:$E$19,2,FALSE)</f>
        <v>1073</v>
      </c>
      <c r="N4875">
        <f>VLOOKUP(F4875,Sheet2!$B$1:$E$19,3,FALSE)</f>
        <v>1108963</v>
      </c>
      <c r="O4875" t="str">
        <f>IF(G4875="Not available","",VLOOKUP(F4875,Sheet2!$B$1:$E$19,4,FALSE)+(G4875-1))</f>
        <v/>
      </c>
    </row>
    <row r="4876" spans="1:15" s="3" customFormat="1" ht="15" customHeight="1" x14ac:dyDescent="0.25">
      <c r="A4876" s="18" t="s">
        <v>1274</v>
      </c>
      <c r="B4876" s="18" t="s">
        <v>1171</v>
      </c>
      <c r="C4876" s="14" t="s">
        <v>2098</v>
      </c>
      <c r="D4876" s="4" t="s">
        <v>484</v>
      </c>
      <c r="E4876" s="1" t="s">
        <v>2</v>
      </c>
      <c r="F4876" s="18">
        <v>2165</v>
      </c>
      <c r="G4876" s="18">
        <v>304</v>
      </c>
      <c r="H4876" s="5">
        <v>3</v>
      </c>
      <c r="I4876" s="1">
        <v>306</v>
      </c>
      <c r="J4876" s="1">
        <v>279</v>
      </c>
      <c r="K4876" s="1"/>
      <c r="L4876" t="str">
        <f t="shared" si="76"/>
        <v>http://www.badatelna.eu/reprodukce/?fondId=1073&amp;zaznamId=1108952&amp;reproId=3779165</v>
      </c>
      <c r="M4876">
        <f>VLOOKUP(F4876,Sheet2!$B$1:$E$19,2,FALSE)</f>
        <v>1073</v>
      </c>
      <c r="N4876">
        <f>VLOOKUP(F4876,Sheet2!$B$1:$E$19,3,FALSE)</f>
        <v>1108952</v>
      </c>
      <c r="O4876">
        <f>IF(G4876="Not available","",VLOOKUP(F4876,Sheet2!$B$1:$E$19,4,FALSE)+(G4876-1))</f>
        <v>3779165</v>
      </c>
    </row>
    <row r="4877" spans="1:15" s="3" customFormat="1" ht="15" customHeight="1" x14ac:dyDescent="0.25">
      <c r="A4877" s="18" t="s">
        <v>1180</v>
      </c>
      <c r="B4877" s="18" t="s">
        <v>1126</v>
      </c>
      <c r="C4877" s="5">
        <v>1886</v>
      </c>
      <c r="D4877" s="1" t="s">
        <v>885</v>
      </c>
      <c r="E4877" s="1" t="s">
        <v>2</v>
      </c>
      <c r="F4877" s="18">
        <v>2165</v>
      </c>
      <c r="G4877" s="18">
        <v>208</v>
      </c>
      <c r="H4877" s="5">
        <v>2</v>
      </c>
      <c r="I4877" s="1">
        <v>211</v>
      </c>
      <c r="J4877" s="1">
        <v>187</v>
      </c>
      <c r="K4877" s="1"/>
      <c r="L4877" t="str">
        <f t="shared" si="76"/>
        <v>http://www.badatelna.eu/reprodukce/?fondId=1073&amp;zaznamId=1108952&amp;reproId=3779069</v>
      </c>
      <c r="M4877">
        <f>VLOOKUP(F4877,Sheet2!$B$1:$E$19,2,FALSE)</f>
        <v>1073</v>
      </c>
      <c r="N4877">
        <f>VLOOKUP(F4877,Sheet2!$B$1:$E$19,3,FALSE)</f>
        <v>1108952</v>
      </c>
      <c r="O4877">
        <f>IF(G4877="Not available","",VLOOKUP(F4877,Sheet2!$B$1:$E$19,4,FALSE)+(G4877-1))</f>
        <v>3779069</v>
      </c>
    </row>
    <row r="4878" spans="1:15" s="3" customFormat="1" ht="15" customHeight="1" x14ac:dyDescent="0.25">
      <c r="A4878" s="18" t="s">
        <v>1180</v>
      </c>
      <c r="B4878" s="18" t="s">
        <v>1126</v>
      </c>
      <c r="C4878" s="10" t="s">
        <v>2052</v>
      </c>
      <c r="D4878" s="3" t="s">
        <v>2784</v>
      </c>
      <c r="E4878" s="4" t="s">
        <v>2</v>
      </c>
      <c r="F4878" s="18">
        <v>2176</v>
      </c>
      <c r="G4878" s="18" t="s">
        <v>3271</v>
      </c>
      <c r="H4878" s="10" t="s">
        <v>2058</v>
      </c>
      <c r="I4878" s="3">
        <v>51</v>
      </c>
      <c r="J4878" s="3" t="s">
        <v>3271</v>
      </c>
      <c r="L4878" t="str">
        <f t="shared" si="76"/>
        <v/>
      </c>
      <c r="M4878">
        <f>VLOOKUP(F4878,Sheet2!$B$1:$E$19,2,FALSE)</f>
        <v>1073</v>
      </c>
      <c r="N4878">
        <f>VLOOKUP(F4878,Sheet2!$B$1:$E$19,3,FALSE)</f>
        <v>1108963</v>
      </c>
      <c r="O4878" t="str">
        <f>IF(G4878="Not available","",VLOOKUP(F4878,Sheet2!$B$1:$E$19,4,FALSE)+(G4878-1))</f>
        <v/>
      </c>
    </row>
    <row r="4879" spans="1:15" s="3" customFormat="1" ht="15" customHeight="1" x14ac:dyDescent="0.25">
      <c r="A4879" s="18" t="s">
        <v>1180</v>
      </c>
      <c r="B4879" s="18" t="s">
        <v>1171</v>
      </c>
      <c r="C4879" s="10" t="s">
        <v>2098</v>
      </c>
      <c r="D4879" s="3" t="s">
        <v>2801</v>
      </c>
      <c r="E4879" s="4" t="s">
        <v>2</v>
      </c>
      <c r="F4879" s="18">
        <v>2176</v>
      </c>
      <c r="G4879" s="18" t="s">
        <v>3271</v>
      </c>
      <c r="H4879" s="10" t="s">
        <v>2080</v>
      </c>
      <c r="I4879" s="3">
        <v>51</v>
      </c>
      <c r="J4879" s="3" t="s">
        <v>3271</v>
      </c>
      <c r="L4879" t="str">
        <f t="shared" si="76"/>
        <v/>
      </c>
      <c r="M4879">
        <f>VLOOKUP(F4879,Sheet2!$B$1:$E$19,2,FALSE)</f>
        <v>1073</v>
      </c>
      <c r="N4879">
        <f>VLOOKUP(F4879,Sheet2!$B$1:$E$19,3,FALSE)</f>
        <v>1108963</v>
      </c>
      <c r="O4879" t="str">
        <f>IF(G4879="Not available","",VLOOKUP(F4879,Sheet2!$B$1:$E$19,4,FALSE)+(G4879-1))</f>
        <v/>
      </c>
    </row>
    <row r="4880" spans="1:15" s="3" customFormat="1" ht="15" customHeight="1" x14ac:dyDescent="0.25">
      <c r="A4880" s="19" t="s">
        <v>500</v>
      </c>
      <c r="B4880" s="18" t="s">
        <v>196</v>
      </c>
      <c r="C4880" s="5">
        <v>1854</v>
      </c>
      <c r="D4880" s="1" t="s">
        <v>4</v>
      </c>
      <c r="E4880" s="1" t="s">
        <v>2</v>
      </c>
      <c r="F4880" s="18">
        <v>2164</v>
      </c>
      <c r="G4880" s="18">
        <v>108</v>
      </c>
      <c r="H4880" s="5">
        <v>106</v>
      </c>
      <c r="I4880" s="1">
        <v>143</v>
      </c>
      <c r="J4880" s="1">
        <v>246</v>
      </c>
      <c r="K4880" s="1"/>
      <c r="L4880" t="str">
        <f t="shared" si="76"/>
        <v>http://www.badatelna.eu/reprodukce/?fondId=1073&amp;zaznamId=1108951&amp;reproId=3778822</v>
      </c>
      <c r="M4880">
        <f>VLOOKUP(F4880,Sheet2!$B$1:$E$19,2,FALSE)</f>
        <v>1073</v>
      </c>
      <c r="N4880">
        <f>VLOOKUP(F4880,Sheet2!$B$1:$E$19,3,FALSE)</f>
        <v>1108951</v>
      </c>
      <c r="O4880">
        <f>IF(G4880="Not available","",VLOOKUP(F4880,Sheet2!$B$1:$E$19,4,FALSE)+(G4880-1))</f>
        <v>3778822</v>
      </c>
    </row>
    <row r="4881" spans="1:15" s="3" customFormat="1" ht="15" customHeight="1" x14ac:dyDescent="0.25">
      <c r="A4881" s="18" t="s">
        <v>500</v>
      </c>
      <c r="B4881" s="18" t="s">
        <v>1968</v>
      </c>
      <c r="C4881" s="10" t="s">
        <v>2087</v>
      </c>
      <c r="D4881" s="3" t="s">
        <v>2785</v>
      </c>
      <c r="E4881" s="4" t="s">
        <v>2</v>
      </c>
      <c r="F4881" s="18">
        <v>2176</v>
      </c>
      <c r="G4881" s="18" t="s">
        <v>3271</v>
      </c>
      <c r="H4881" s="10" t="s">
        <v>1979</v>
      </c>
      <c r="I4881" s="3">
        <v>51</v>
      </c>
      <c r="J4881" s="3" t="s">
        <v>3271</v>
      </c>
      <c r="L4881" t="str">
        <f t="shared" si="76"/>
        <v/>
      </c>
      <c r="M4881">
        <f>VLOOKUP(F4881,Sheet2!$B$1:$E$19,2,FALSE)</f>
        <v>1073</v>
      </c>
      <c r="N4881">
        <f>VLOOKUP(F4881,Sheet2!$B$1:$E$19,3,FALSE)</f>
        <v>1108963</v>
      </c>
      <c r="O4881" t="str">
        <f>IF(G4881="Not available","",VLOOKUP(F4881,Sheet2!$B$1:$E$19,4,FALSE)+(G4881-1))</f>
        <v/>
      </c>
    </row>
    <row r="4882" spans="1:15" s="3" customFormat="1" ht="15" customHeight="1" x14ac:dyDescent="0.25">
      <c r="A4882" s="18" t="s">
        <v>500</v>
      </c>
      <c r="B4882" s="18" t="s">
        <v>769</v>
      </c>
      <c r="C4882" s="10" t="s">
        <v>1952</v>
      </c>
      <c r="D4882" s="3" t="s">
        <v>2785</v>
      </c>
      <c r="E4882" s="4" t="s">
        <v>2</v>
      </c>
      <c r="F4882" s="18">
        <v>2176</v>
      </c>
      <c r="G4882" s="18" t="s">
        <v>3271</v>
      </c>
      <c r="H4882" s="10" t="s">
        <v>1954</v>
      </c>
      <c r="I4882" s="3">
        <v>51</v>
      </c>
      <c r="J4882" s="3" t="s">
        <v>3271</v>
      </c>
      <c r="L4882" t="str">
        <f t="shared" si="76"/>
        <v/>
      </c>
      <c r="M4882">
        <f>VLOOKUP(F4882,Sheet2!$B$1:$E$19,2,FALSE)</f>
        <v>1073</v>
      </c>
      <c r="N4882">
        <f>VLOOKUP(F4882,Sheet2!$B$1:$E$19,3,FALSE)</f>
        <v>1108963</v>
      </c>
      <c r="O4882" t="str">
        <f>IF(G4882="Not available","",VLOOKUP(F4882,Sheet2!$B$1:$E$19,4,FALSE)+(G4882-1))</f>
        <v/>
      </c>
    </row>
    <row r="4883" spans="1:15" s="3" customFormat="1" ht="15" customHeight="1" x14ac:dyDescent="0.25">
      <c r="A4883" s="18" t="s">
        <v>500</v>
      </c>
      <c r="B4883" s="18" t="s">
        <v>769</v>
      </c>
      <c r="C4883" s="5" t="s">
        <v>1859</v>
      </c>
      <c r="D4883" s="1" t="s">
        <v>44</v>
      </c>
      <c r="E4883" s="1" t="s">
        <v>2</v>
      </c>
      <c r="F4883" s="18">
        <v>2165</v>
      </c>
      <c r="G4883" s="18">
        <v>254</v>
      </c>
      <c r="H4883" s="5">
        <v>1</v>
      </c>
      <c r="I4883" s="1">
        <v>253</v>
      </c>
      <c r="J4883" s="1">
        <v>229</v>
      </c>
      <c r="K4883" s="1"/>
      <c r="L4883" t="str">
        <f t="shared" si="76"/>
        <v>http://www.badatelna.eu/reprodukce/?fondId=1073&amp;zaznamId=1108952&amp;reproId=3779115</v>
      </c>
      <c r="M4883">
        <f>VLOOKUP(F4883,Sheet2!$B$1:$E$19,2,FALSE)</f>
        <v>1073</v>
      </c>
      <c r="N4883">
        <f>VLOOKUP(F4883,Sheet2!$B$1:$E$19,3,FALSE)</f>
        <v>1108952</v>
      </c>
      <c r="O4883">
        <f>IF(G4883="Not available","",VLOOKUP(F4883,Sheet2!$B$1:$E$19,4,FALSE)+(G4883-1))</f>
        <v>3779115</v>
      </c>
    </row>
    <row r="4884" spans="1:15" s="3" customFormat="1" ht="15" customHeight="1" x14ac:dyDescent="0.25">
      <c r="A4884" s="18" t="s">
        <v>500</v>
      </c>
      <c r="B4884" s="18" t="s">
        <v>1051</v>
      </c>
      <c r="C4884" s="5" t="s">
        <v>1883</v>
      </c>
      <c r="D4884" s="1" t="s">
        <v>44</v>
      </c>
      <c r="E4884" s="1" t="s">
        <v>2</v>
      </c>
      <c r="F4884" s="18">
        <v>2165</v>
      </c>
      <c r="G4884" s="18">
        <v>261</v>
      </c>
      <c r="H4884" s="5">
        <v>2</v>
      </c>
      <c r="I4884" s="1">
        <v>266</v>
      </c>
      <c r="J4884" s="1">
        <v>240</v>
      </c>
      <c r="K4884" s="1"/>
      <c r="L4884" t="str">
        <f t="shared" si="76"/>
        <v>http://www.badatelna.eu/reprodukce/?fondId=1073&amp;zaznamId=1108952&amp;reproId=3779122</v>
      </c>
      <c r="M4884">
        <f>VLOOKUP(F4884,Sheet2!$B$1:$E$19,2,FALSE)</f>
        <v>1073</v>
      </c>
      <c r="N4884">
        <f>VLOOKUP(F4884,Sheet2!$B$1:$E$19,3,FALSE)</f>
        <v>1108952</v>
      </c>
      <c r="O4884">
        <f>IF(G4884="Not available","",VLOOKUP(F4884,Sheet2!$B$1:$E$19,4,FALSE)+(G4884-1))</f>
        <v>3779122</v>
      </c>
    </row>
    <row r="4885" spans="1:15" s="3" customFormat="1" ht="15" customHeight="1" x14ac:dyDescent="0.25">
      <c r="A4885" s="18" t="s">
        <v>500</v>
      </c>
      <c r="B4885" s="18" t="s">
        <v>135</v>
      </c>
      <c r="C4885" s="10" t="s">
        <v>2158</v>
      </c>
      <c r="D4885" s="3" t="s">
        <v>2802</v>
      </c>
      <c r="E4885" s="4" t="s">
        <v>2</v>
      </c>
      <c r="F4885" s="18">
        <v>2176</v>
      </c>
      <c r="G4885" s="18" t="s">
        <v>3271</v>
      </c>
      <c r="H4885" s="10" t="s">
        <v>2142</v>
      </c>
      <c r="I4885" s="3">
        <v>51</v>
      </c>
      <c r="J4885" s="3" t="s">
        <v>3271</v>
      </c>
      <c r="L4885" t="str">
        <f t="shared" si="76"/>
        <v/>
      </c>
      <c r="M4885">
        <f>VLOOKUP(F4885,Sheet2!$B$1:$E$19,2,FALSE)</f>
        <v>1073</v>
      </c>
      <c r="N4885">
        <f>VLOOKUP(F4885,Sheet2!$B$1:$E$19,3,FALSE)</f>
        <v>1108963</v>
      </c>
      <c r="O4885" t="str">
        <f>IF(G4885="Not available","",VLOOKUP(F4885,Sheet2!$B$1:$E$19,4,FALSE)+(G4885-1))</f>
        <v/>
      </c>
    </row>
    <row r="4886" spans="1:15" s="3" customFormat="1" ht="15" customHeight="1" x14ac:dyDescent="0.25">
      <c r="A4886" s="18" t="s">
        <v>500</v>
      </c>
      <c r="B4886" s="18" t="s">
        <v>1102</v>
      </c>
      <c r="C4886" s="10" t="s">
        <v>2109</v>
      </c>
      <c r="D4886" s="3" t="s">
        <v>2808</v>
      </c>
      <c r="E4886" s="4" t="s">
        <v>2</v>
      </c>
      <c r="F4886" s="18">
        <v>2176</v>
      </c>
      <c r="G4886" s="18" t="s">
        <v>3271</v>
      </c>
      <c r="H4886" s="10" t="s">
        <v>2351</v>
      </c>
      <c r="I4886" s="3">
        <v>51</v>
      </c>
      <c r="J4886" s="3" t="s">
        <v>3271</v>
      </c>
      <c r="L4886" t="str">
        <f t="shared" si="76"/>
        <v/>
      </c>
      <c r="M4886">
        <f>VLOOKUP(F4886,Sheet2!$B$1:$E$19,2,FALSE)</f>
        <v>1073</v>
      </c>
      <c r="N4886">
        <f>VLOOKUP(F4886,Sheet2!$B$1:$E$19,3,FALSE)</f>
        <v>1108963</v>
      </c>
      <c r="O4886" t="str">
        <f>IF(G4886="Not available","",VLOOKUP(F4886,Sheet2!$B$1:$E$19,4,FALSE)+(G4886-1))</f>
        <v/>
      </c>
    </row>
    <row r="4887" spans="1:15" s="3" customFormat="1" ht="15" customHeight="1" x14ac:dyDescent="0.25">
      <c r="A4887" s="18" t="s">
        <v>500</v>
      </c>
      <c r="B4887" s="18" t="s">
        <v>138</v>
      </c>
      <c r="C4887" s="5">
        <v>1853</v>
      </c>
      <c r="D4887" s="1" t="s">
        <v>4</v>
      </c>
      <c r="E4887" s="1" t="s">
        <v>2</v>
      </c>
      <c r="F4887" s="18">
        <v>2164</v>
      </c>
      <c r="G4887" s="18">
        <v>90</v>
      </c>
      <c r="H4887" s="5">
        <v>88</v>
      </c>
      <c r="I4887" s="1">
        <v>143</v>
      </c>
      <c r="J4887" s="1">
        <v>246</v>
      </c>
      <c r="K4887" s="1"/>
      <c r="L4887" t="str">
        <f t="shared" si="76"/>
        <v>http://www.badatelna.eu/reprodukce/?fondId=1073&amp;zaznamId=1108951&amp;reproId=3778804</v>
      </c>
      <c r="M4887">
        <f>VLOOKUP(F4887,Sheet2!$B$1:$E$19,2,FALSE)</f>
        <v>1073</v>
      </c>
      <c r="N4887">
        <f>VLOOKUP(F4887,Sheet2!$B$1:$E$19,3,FALSE)</f>
        <v>1108951</v>
      </c>
      <c r="O4887">
        <f>IF(G4887="Not available","",VLOOKUP(F4887,Sheet2!$B$1:$E$19,4,FALSE)+(G4887-1))</f>
        <v>3778804</v>
      </c>
    </row>
    <row r="4888" spans="1:15" s="3" customFormat="1" ht="15" customHeight="1" x14ac:dyDescent="0.25">
      <c r="A4888" s="18" t="s">
        <v>500</v>
      </c>
      <c r="B4888" s="18" t="s">
        <v>1011</v>
      </c>
      <c r="C4888" s="10" t="s">
        <v>1987</v>
      </c>
      <c r="D4888" s="3" t="s">
        <v>2773</v>
      </c>
      <c r="E4888" s="4" t="s">
        <v>2</v>
      </c>
      <c r="F4888" s="18">
        <v>2176</v>
      </c>
      <c r="G4888" s="18" t="s">
        <v>3271</v>
      </c>
      <c r="H4888" s="10" t="s">
        <v>2774</v>
      </c>
      <c r="I4888" s="3">
        <v>50</v>
      </c>
      <c r="J4888" s="3" t="s">
        <v>3271</v>
      </c>
      <c r="K4888" s="1"/>
      <c r="L4888" t="str">
        <f t="shared" si="76"/>
        <v/>
      </c>
      <c r="M4888">
        <f>VLOOKUP(F4888,Sheet2!$B$1:$E$19,2,FALSE)</f>
        <v>1073</v>
      </c>
      <c r="N4888">
        <f>VLOOKUP(F4888,Sheet2!$B$1:$E$19,3,FALSE)</f>
        <v>1108963</v>
      </c>
      <c r="O4888" t="str">
        <f>IF(G4888="Not available","",VLOOKUP(F4888,Sheet2!$B$1:$E$19,4,FALSE)+(G4888-1))</f>
        <v/>
      </c>
    </row>
    <row r="4889" spans="1:15" s="3" customFormat="1" ht="15" customHeight="1" x14ac:dyDescent="0.25">
      <c r="A4889" s="18" t="s">
        <v>500</v>
      </c>
      <c r="B4889" s="18" t="s">
        <v>1011</v>
      </c>
      <c r="C4889" s="10" t="s">
        <v>2100</v>
      </c>
      <c r="D4889" s="3" t="s">
        <v>2802</v>
      </c>
      <c r="E4889" s="4" t="s">
        <v>2</v>
      </c>
      <c r="F4889" s="18">
        <v>2176</v>
      </c>
      <c r="G4889" s="18" t="s">
        <v>3271</v>
      </c>
      <c r="H4889" s="10" t="s">
        <v>2803</v>
      </c>
      <c r="I4889" s="3">
        <v>51</v>
      </c>
      <c r="J4889" s="3" t="s">
        <v>3271</v>
      </c>
      <c r="L4889" t="str">
        <f t="shared" si="76"/>
        <v/>
      </c>
      <c r="M4889">
        <f>VLOOKUP(F4889,Sheet2!$B$1:$E$19,2,FALSE)</f>
        <v>1073</v>
      </c>
      <c r="N4889">
        <f>VLOOKUP(F4889,Sheet2!$B$1:$E$19,3,FALSE)</f>
        <v>1108963</v>
      </c>
      <c r="O4889" t="str">
        <f>IF(G4889="Not available","",VLOOKUP(F4889,Sheet2!$B$1:$E$19,4,FALSE)+(G4889-1))</f>
        <v/>
      </c>
    </row>
    <row r="4890" spans="1:15" s="3" customFormat="1" ht="15" customHeight="1" x14ac:dyDescent="0.25">
      <c r="A4890" s="18" t="s">
        <v>500</v>
      </c>
      <c r="B4890" s="18" t="s">
        <v>361</v>
      </c>
      <c r="C4890" s="6" t="s">
        <v>2100</v>
      </c>
      <c r="D4890" s="4" t="s">
        <v>602</v>
      </c>
      <c r="E4890" s="1" t="s">
        <v>2</v>
      </c>
      <c r="F4890" s="18">
        <v>2165</v>
      </c>
      <c r="G4890" s="18">
        <v>308</v>
      </c>
      <c r="H4890" s="5">
        <v>1</v>
      </c>
      <c r="I4890" s="1">
        <v>312</v>
      </c>
      <c r="J4890" s="1">
        <v>285</v>
      </c>
      <c r="K4890" s="1"/>
      <c r="L4890" t="str">
        <f t="shared" si="76"/>
        <v>http://www.badatelna.eu/reprodukce/?fondId=1073&amp;zaznamId=1108952&amp;reproId=3779169</v>
      </c>
      <c r="M4890">
        <f>VLOOKUP(F4890,Sheet2!$B$1:$E$19,2,FALSE)</f>
        <v>1073</v>
      </c>
      <c r="N4890">
        <f>VLOOKUP(F4890,Sheet2!$B$1:$E$19,3,FALSE)</f>
        <v>1108952</v>
      </c>
      <c r="O4890">
        <f>IF(G4890="Not available","",VLOOKUP(F4890,Sheet2!$B$1:$E$19,4,FALSE)+(G4890-1))</f>
        <v>3779169</v>
      </c>
    </row>
    <row r="4891" spans="1:15" s="3" customFormat="1" ht="15" customHeight="1" x14ac:dyDescent="0.25">
      <c r="A4891" s="18" t="s">
        <v>500</v>
      </c>
      <c r="B4891" s="18" t="s">
        <v>602</v>
      </c>
      <c r="C4891" s="10" t="s">
        <v>2015</v>
      </c>
      <c r="D4891" s="3" t="s">
        <v>2773</v>
      </c>
      <c r="E4891" s="4" t="s">
        <v>2</v>
      </c>
      <c r="F4891" s="18">
        <v>2176</v>
      </c>
      <c r="G4891" s="18" t="s">
        <v>3271</v>
      </c>
      <c r="H4891" s="10" t="s">
        <v>2421</v>
      </c>
      <c r="I4891" s="3">
        <v>50</v>
      </c>
      <c r="J4891" s="3" t="s">
        <v>3271</v>
      </c>
      <c r="L4891" t="str">
        <f t="shared" si="76"/>
        <v/>
      </c>
      <c r="M4891">
        <f>VLOOKUP(F4891,Sheet2!$B$1:$E$19,2,FALSE)</f>
        <v>1073</v>
      </c>
      <c r="N4891">
        <f>VLOOKUP(F4891,Sheet2!$B$1:$E$19,3,FALSE)</f>
        <v>1108963</v>
      </c>
      <c r="O4891" t="str">
        <f>IF(G4891="Not available","",VLOOKUP(F4891,Sheet2!$B$1:$E$19,4,FALSE)+(G4891-1))</f>
        <v/>
      </c>
    </row>
    <row r="4892" spans="1:15" s="3" customFormat="1" ht="15" customHeight="1" x14ac:dyDescent="0.25">
      <c r="A4892" s="18" t="s">
        <v>500</v>
      </c>
      <c r="B4892" s="18" t="s">
        <v>2027</v>
      </c>
      <c r="C4892" s="10" t="s">
        <v>2055</v>
      </c>
      <c r="D4892" s="3" t="s">
        <v>2785</v>
      </c>
      <c r="E4892" s="4" t="s">
        <v>2</v>
      </c>
      <c r="F4892" s="18">
        <v>2176</v>
      </c>
      <c r="G4892" s="18" t="s">
        <v>3271</v>
      </c>
      <c r="H4892" s="10" t="s">
        <v>2006</v>
      </c>
      <c r="I4892" s="3">
        <v>51</v>
      </c>
      <c r="J4892" s="3" t="s">
        <v>3271</v>
      </c>
      <c r="L4892" t="str">
        <f t="shared" si="76"/>
        <v/>
      </c>
      <c r="M4892">
        <f>VLOOKUP(F4892,Sheet2!$B$1:$E$19,2,FALSE)</f>
        <v>1073</v>
      </c>
      <c r="N4892">
        <f>VLOOKUP(F4892,Sheet2!$B$1:$E$19,3,FALSE)</f>
        <v>1108963</v>
      </c>
      <c r="O4892" t="str">
        <f>IF(G4892="Not available","",VLOOKUP(F4892,Sheet2!$B$1:$E$19,4,FALSE)+(G4892-1))</f>
        <v/>
      </c>
    </row>
    <row r="4893" spans="1:15" s="3" customFormat="1" ht="15" customHeight="1" x14ac:dyDescent="0.25">
      <c r="A4893" s="18" t="s">
        <v>500</v>
      </c>
      <c r="B4893" s="18" t="s">
        <v>847</v>
      </c>
      <c r="C4893" s="5">
        <v>1887</v>
      </c>
      <c r="D4893" s="1" t="s">
        <v>44</v>
      </c>
      <c r="E4893" s="1" t="s">
        <v>2</v>
      </c>
      <c r="F4893" s="18">
        <v>2165</v>
      </c>
      <c r="G4893" s="18">
        <v>213</v>
      </c>
      <c r="H4893" s="5">
        <v>2</v>
      </c>
      <c r="I4893" s="1">
        <v>216</v>
      </c>
      <c r="J4893" s="1">
        <v>192</v>
      </c>
      <c r="K4893" s="1"/>
      <c r="L4893" t="str">
        <f t="shared" si="76"/>
        <v>http://www.badatelna.eu/reprodukce/?fondId=1073&amp;zaznamId=1108952&amp;reproId=3779074</v>
      </c>
      <c r="M4893">
        <f>VLOOKUP(F4893,Sheet2!$B$1:$E$19,2,FALSE)</f>
        <v>1073</v>
      </c>
      <c r="N4893">
        <f>VLOOKUP(F4893,Sheet2!$B$1:$E$19,3,FALSE)</f>
        <v>1108952</v>
      </c>
      <c r="O4893">
        <f>IF(G4893="Not available","",VLOOKUP(F4893,Sheet2!$B$1:$E$19,4,FALSE)+(G4893-1))</f>
        <v>3779074</v>
      </c>
    </row>
    <row r="4894" spans="1:15" s="3" customFormat="1" ht="14.1" customHeight="1" x14ac:dyDescent="0.25">
      <c r="A4894" s="18" t="s">
        <v>500</v>
      </c>
      <c r="B4894" s="18" t="s">
        <v>2027</v>
      </c>
      <c r="C4894" s="10" t="s">
        <v>2111</v>
      </c>
      <c r="D4894" s="3" t="s">
        <v>2802</v>
      </c>
      <c r="E4894" s="4" t="s">
        <v>2</v>
      </c>
      <c r="F4894" s="18">
        <v>2176</v>
      </c>
      <c r="G4894" s="18" t="s">
        <v>3271</v>
      </c>
      <c r="H4894" s="10" t="s">
        <v>2351</v>
      </c>
      <c r="I4894" s="3">
        <v>51</v>
      </c>
      <c r="J4894" s="3" t="s">
        <v>3271</v>
      </c>
      <c r="L4894" t="str">
        <f t="shared" si="76"/>
        <v/>
      </c>
      <c r="M4894">
        <f>VLOOKUP(F4894,Sheet2!$B$1:$E$19,2,FALSE)</f>
        <v>1073</v>
      </c>
      <c r="N4894">
        <f>VLOOKUP(F4894,Sheet2!$B$1:$E$19,3,FALSE)</f>
        <v>1108963</v>
      </c>
      <c r="O4894" t="str">
        <f>IF(G4894="Not available","",VLOOKUP(F4894,Sheet2!$B$1:$E$19,4,FALSE)+(G4894-1))</f>
        <v/>
      </c>
    </row>
    <row r="4895" spans="1:15" s="3" customFormat="1" ht="15" customHeight="1" x14ac:dyDescent="0.25">
      <c r="A4895" s="18" t="s">
        <v>500</v>
      </c>
      <c r="B4895" s="18" t="s">
        <v>1032</v>
      </c>
      <c r="C4895" s="10" t="s">
        <v>2382</v>
      </c>
      <c r="D4895" s="3" t="s">
        <v>2773</v>
      </c>
      <c r="E4895" s="4" t="s">
        <v>2</v>
      </c>
      <c r="F4895" s="18">
        <v>2176</v>
      </c>
      <c r="G4895" s="18" t="s">
        <v>3271</v>
      </c>
      <c r="H4895" s="10" t="s">
        <v>2290</v>
      </c>
      <c r="I4895" s="3">
        <v>50</v>
      </c>
      <c r="J4895" s="3" t="s">
        <v>3271</v>
      </c>
      <c r="K4895" s="1"/>
      <c r="L4895" t="str">
        <f t="shared" si="76"/>
        <v/>
      </c>
      <c r="M4895">
        <f>VLOOKUP(F4895,Sheet2!$B$1:$E$19,2,FALSE)</f>
        <v>1073</v>
      </c>
      <c r="N4895">
        <f>VLOOKUP(F4895,Sheet2!$B$1:$E$19,3,FALSE)</f>
        <v>1108963</v>
      </c>
      <c r="O4895" t="str">
        <f>IF(G4895="Not available","",VLOOKUP(F4895,Sheet2!$B$1:$E$19,4,FALSE)+(G4895-1))</f>
        <v/>
      </c>
    </row>
    <row r="4896" spans="1:15" s="3" customFormat="1" ht="15" customHeight="1" x14ac:dyDescent="0.25">
      <c r="A4896" s="18" t="s">
        <v>500</v>
      </c>
      <c r="B4896" s="18" t="s">
        <v>1033</v>
      </c>
      <c r="C4896" s="5">
        <v>1885</v>
      </c>
      <c r="D4896" s="1" t="s">
        <v>44</v>
      </c>
      <c r="E4896" s="1" t="s">
        <v>2</v>
      </c>
      <c r="F4896" s="18">
        <v>2165</v>
      </c>
      <c r="G4896" s="18">
        <v>201</v>
      </c>
      <c r="H4896" s="5">
        <v>3</v>
      </c>
      <c r="I4896" s="1">
        <v>204</v>
      </c>
      <c r="J4896" s="1">
        <v>187</v>
      </c>
      <c r="K4896" s="1"/>
      <c r="L4896" t="str">
        <f t="shared" si="76"/>
        <v>http://www.badatelna.eu/reprodukce/?fondId=1073&amp;zaznamId=1108952&amp;reproId=3779062</v>
      </c>
      <c r="M4896">
        <f>VLOOKUP(F4896,Sheet2!$B$1:$E$19,2,FALSE)</f>
        <v>1073</v>
      </c>
      <c r="N4896">
        <f>VLOOKUP(F4896,Sheet2!$B$1:$E$19,3,FALSE)</f>
        <v>1108952</v>
      </c>
      <c r="O4896">
        <f>IF(G4896="Not available","",VLOOKUP(F4896,Sheet2!$B$1:$E$19,4,FALSE)+(G4896-1))</f>
        <v>3779062</v>
      </c>
    </row>
    <row r="4897" spans="1:15" s="3" customFormat="1" ht="15" customHeight="1" x14ac:dyDescent="0.25">
      <c r="A4897" s="18" t="s">
        <v>500</v>
      </c>
      <c r="B4897" s="18" t="s">
        <v>1033</v>
      </c>
      <c r="C4897" s="10" t="s">
        <v>2043</v>
      </c>
      <c r="D4897" s="3" t="s">
        <v>2843</v>
      </c>
      <c r="E4897" s="4" t="s">
        <v>2</v>
      </c>
      <c r="F4897" s="18">
        <v>2176</v>
      </c>
      <c r="G4897" s="18" t="s">
        <v>3271</v>
      </c>
      <c r="H4897" s="10" t="s">
        <v>1959</v>
      </c>
      <c r="I4897" s="3">
        <v>51</v>
      </c>
      <c r="J4897" s="3" t="s">
        <v>3271</v>
      </c>
      <c r="L4897" t="str">
        <f t="shared" si="76"/>
        <v/>
      </c>
      <c r="M4897">
        <f>VLOOKUP(F4897,Sheet2!$B$1:$E$19,2,FALSE)</f>
        <v>1073</v>
      </c>
      <c r="N4897">
        <f>VLOOKUP(F4897,Sheet2!$B$1:$E$19,3,FALSE)</f>
        <v>1108963</v>
      </c>
      <c r="O4897" t="str">
        <f>IF(G4897="Not available","",VLOOKUP(F4897,Sheet2!$B$1:$E$19,4,FALSE)+(G4897-1))</f>
        <v/>
      </c>
    </row>
    <row r="4898" spans="1:15" s="3" customFormat="1" ht="15" customHeight="1" x14ac:dyDescent="0.25">
      <c r="A4898" s="18" t="s">
        <v>500</v>
      </c>
      <c r="B4898" s="19" t="s">
        <v>44</v>
      </c>
      <c r="C4898" s="5">
        <v>1858</v>
      </c>
      <c r="D4898" s="4" t="s">
        <v>4</v>
      </c>
      <c r="E4898" s="1" t="s">
        <v>939</v>
      </c>
      <c r="F4898" s="18">
        <v>999</v>
      </c>
      <c r="G4898" s="18">
        <v>6</v>
      </c>
      <c r="H4898" s="5">
        <v>4</v>
      </c>
      <c r="I4898" s="1">
        <v>77</v>
      </c>
      <c r="J4898" s="1">
        <v>112</v>
      </c>
      <c r="K4898" s="1"/>
      <c r="L4898" t="str">
        <f t="shared" si="76"/>
        <v>http://www.badatelna.eu/reprodukce/?fondId=241&amp;zaznamId=1133739&amp;reproId=3885735</v>
      </c>
      <c r="M4898">
        <f>VLOOKUP(F4898,Sheet2!$B$1:$E$19,2,FALSE)</f>
        <v>241</v>
      </c>
      <c r="N4898">
        <f>VLOOKUP(F4898,Sheet2!$B$1:$E$19,3,FALSE)</f>
        <v>1133739</v>
      </c>
      <c r="O4898">
        <f>IF(G4898="Not available","",VLOOKUP(F4898,Sheet2!$B$1:$E$19,4,FALSE)+(G4898-1))</f>
        <v>3885735</v>
      </c>
    </row>
    <row r="4899" spans="1:15" s="3" customFormat="1" ht="15" customHeight="1" x14ac:dyDescent="0.25">
      <c r="A4899" s="18" t="s">
        <v>462</v>
      </c>
      <c r="B4899" s="18" t="s">
        <v>477</v>
      </c>
      <c r="C4899" s="5">
        <v>1844</v>
      </c>
      <c r="D4899" s="1" t="s">
        <v>26</v>
      </c>
      <c r="E4899" s="1" t="s">
        <v>2</v>
      </c>
      <c r="F4899" s="18">
        <v>2174</v>
      </c>
      <c r="G4899" s="18">
        <v>143</v>
      </c>
      <c r="H4899" s="6" t="s">
        <v>3210</v>
      </c>
      <c r="I4899" s="1">
        <v>209</v>
      </c>
      <c r="J4899" s="1">
        <v>246</v>
      </c>
      <c r="K4899" s="1"/>
      <c r="L4899" t="str">
        <f t="shared" si="76"/>
        <v>http://www.badatelna.eu/reprodukce/?fondId=1073&amp;zaznamId=1108960&amp;reproId=3780367</v>
      </c>
      <c r="M4899">
        <f>VLOOKUP(F4899,Sheet2!$B$1:$E$19,2,FALSE)</f>
        <v>1073</v>
      </c>
      <c r="N4899">
        <f>VLOOKUP(F4899,Sheet2!$B$1:$E$19,3,FALSE)</f>
        <v>1108960</v>
      </c>
      <c r="O4899">
        <f>IF(G4899="Not available","",VLOOKUP(F4899,Sheet2!$B$1:$E$19,4,FALSE)+(G4899-1))</f>
        <v>3780367</v>
      </c>
    </row>
    <row r="4900" spans="1:15" s="3" customFormat="1" ht="15" customHeight="1" x14ac:dyDescent="0.25">
      <c r="A4900" s="18" t="s">
        <v>462</v>
      </c>
      <c r="B4900" s="18" t="s">
        <v>2401</v>
      </c>
      <c r="C4900" s="10" t="s">
        <v>2005</v>
      </c>
      <c r="D4900" s="3" t="s">
        <v>2775</v>
      </c>
      <c r="E4900" s="4" t="s">
        <v>2</v>
      </c>
      <c r="F4900" s="18">
        <v>2176</v>
      </c>
      <c r="G4900" s="18" t="s">
        <v>3271</v>
      </c>
      <c r="H4900" s="10" t="s">
        <v>2665</v>
      </c>
      <c r="I4900" s="3">
        <v>50</v>
      </c>
      <c r="J4900" s="3" t="s">
        <v>3271</v>
      </c>
      <c r="L4900" t="str">
        <f t="shared" si="76"/>
        <v/>
      </c>
      <c r="M4900">
        <f>VLOOKUP(F4900,Sheet2!$B$1:$E$19,2,FALSE)</f>
        <v>1073</v>
      </c>
      <c r="N4900">
        <f>VLOOKUP(F4900,Sheet2!$B$1:$E$19,3,FALSE)</f>
        <v>1108963</v>
      </c>
      <c r="O4900" t="str">
        <f>IF(G4900="Not available","",VLOOKUP(F4900,Sheet2!$B$1:$E$19,4,FALSE)+(G4900-1))</f>
        <v/>
      </c>
    </row>
    <row r="4901" spans="1:15" s="3" customFormat="1" ht="15" customHeight="1" x14ac:dyDescent="0.25">
      <c r="A4901" s="18" t="s">
        <v>462</v>
      </c>
      <c r="B4901" s="18" t="s">
        <v>478</v>
      </c>
      <c r="C4901" s="5">
        <v>1842</v>
      </c>
      <c r="D4901" s="1" t="s">
        <v>26</v>
      </c>
      <c r="E4901" s="1" t="s">
        <v>2</v>
      </c>
      <c r="F4901" s="18">
        <v>2174</v>
      </c>
      <c r="G4901" s="18">
        <v>126</v>
      </c>
      <c r="H4901" s="6" t="s">
        <v>3196</v>
      </c>
      <c r="I4901" s="1">
        <v>208</v>
      </c>
      <c r="J4901" s="1">
        <v>245</v>
      </c>
      <c r="K4901" s="1"/>
      <c r="L4901" t="str">
        <f t="shared" si="76"/>
        <v>http://www.badatelna.eu/reprodukce/?fondId=1073&amp;zaznamId=1108960&amp;reproId=3780350</v>
      </c>
      <c r="M4901">
        <f>VLOOKUP(F4901,Sheet2!$B$1:$E$19,2,FALSE)</f>
        <v>1073</v>
      </c>
      <c r="N4901">
        <f>VLOOKUP(F4901,Sheet2!$B$1:$E$19,3,FALSE)</f>
        <v>1108960</v>
      </c>
      <c r="O4901">
        <f>IF(G4901="Not available","",VLOOKUP(F4901,Sheet2!$B$1:$E$19,4,FALSE)+(G4901-1))</f>
        <v>3780350</v>
      </c>
    </row>
    <row r="4902" spans="1:15" s="3" customFormat="1" ht="15" customHeight="1" x14ac:dyDescent="0.25">
      <c r="A4902" s="18" t="s">
        <v>462</v>
      </c>
      <c r="B4902" s="18" t="s">
        <v>213</v>
      </c>
      <c r="C4902" s="5">
        <v>1824</v>
      </c>
      <c r="D4902" s="1"/>
      <c r="E4902" s="1" t="s">
        <v>2</v>
      </c>
      <c r="F4902" s="18">
        <v>2173</v>
      </c>
      <c r="G4902" s="18">
        <v>75</v>
      </c>
      <c r="H4902" s="5">
        <v>143</v>
      </c>
      <c r="I4902" s="1">
        <v>121</v>
      </c>
      <c r="J4902" s="1">
        <v>264</v>
      </c>
      <c r="K4902" s="1"/>
      <c r="L4902" t="str">
        <f t="shared" si="76"/>
        <v>http://www.badatelna.eu/reprodukce/?fondId=1073&amp;zaznamId=1108959&amp;reproId=3780068</v>
      </c>
      <c r="M4902">
        <f>VLOOKUP(F4902,Sheet2!$B$1:$E$19,2,FALSE)</f>
        <v>1073</v>
      </c>
      <c r="N4902">
        <f>VLOOKUP(F4902,Sheet2!$B$1:$E$19,3,FALSE)</f>
        <v>1108959</v>
      </c>
      <c r="O4902">
        <f>IF(G4902="Not available","",VLOOKUP(F4902,Sheet2!$B$1:$E$19,4,FALSE)+(G4902-1))</f>
        <v>3780068</v>
      </c>
    </row>
    <row r="4903" spans="1:15" s="3" customFormat="1" ht="15" customHeight="1" x14ac:dyDescent="0.25">
      <c r="A4903" s="18" t="s">
        <v>462</v>
      </c>
      <c r="B4903" s="18" t="s">
        <v>51</v>
      </c>
      <c r="C4903" s="5">
        <v>1851</v>
      </c>
      <c r="D4903" s="1" t="s">
        <v>26</v>
      </c>
      <c r="E4903" s="1" t="s">
        <v>2</v>
      </c>
      <c r="F4903" s="18">
        <v>2164</v>
      </c>
      <c r="G4903" s="18">
        <v>72</v>
      </c>
      <c r="H4903" s="5">
        <v>70</v>
      </c>
      <c r="I4903" s="1">
        <v>143</v>
      </c>
      <c r="J4903" s="1">
        <v>246</v>
      </c>
      <c r="K4903" s="1"/>
      <c r="L4903" t="str">
        <f t="shared" si="76"/>
        <v>http://www.badatelna.eu/reprodukce/?fondId=1073&amp;zaznamId=1108951&amp;reproId=3778786</v>
      </c>
      <c r="M4903">
        <f>VLOOKUP(F4903,Sheet2!$B$1:$E$19,2,FALSE)</f>
        <v>1073</v>
      </c>
      <c r="N4903">
        <f>VLOOKUP(F4903,Sheet2!$B$1:$E$19,3,FALSE)</f>
        <v>1108951</v>
      </c>
      <c r="O4903">
        <f>IF(G4903="Not available","",VLOOKUP(F4903,Sheet2!$B$1:$E$19,4,FALSE)+(G4903-1))</f>
        <v>3778786</v>
      </c>
    </row>
    <row r="4904" spans="1:15" s="3" customFormat="1" ht="15" customHeight="1" x14ac:dyDescent="0.25">
      <c r="A4904" s="18" t="s">
        <v>462</v>
      </c>
      <c r="B4904" s="18" t="s">
        <v>212</v>
      </c>
      <c r="C4904" s="5">
        <v>1845</v>
      </c>
      <c r="D4904" s="1" t="s">
        <v>213</v>
      </c>
      <c r="E4904" s="1" t="s">
        <v>2</v>
      </c>
      <c r="F4904" s="18">
        <v>2174</v>
      </c>
      <c r="G4904" s="18">
        <v>159</v>
      </c>
      <c r="H4904" s="6" t="s">
        <v>3225</v>
      </c>
      <c r="I4904" s="1">
        <v>209</v>
      </c>
      <c r="J4904" s="1">
        <v>246</v>
      </c>
      <c r="K4904" s="1"/>
      <c r="L4904" t="str">
        <f t="shared" si="76"/>
        <v>http://www.badatelna.eu/reprodukce/?fondId=1073&amp;zaznamId=1108960&amp;reproId=3780383</v>
      </c>
      <c r="M4904">
        <f>VLOOKUP(F4904,Sheet2!$B$1:$E$19,2,FALSE)</f>
        <v>1073</v>
      </c>
      <c r="N4904">
        <f>VLOOKUP(F4904,Sheet2!$B$1:$E$19,3,FALSE)</f>
        <v>1108960</v>
      </c>
      <c r="O4904">
        <f>IF(G4904="Not available","",VLOOKUP(F4904,Sheet2!$B$1:$E$19,4,FALSE)+(G4904-1))</f>
        <v>3780383</v>
      </c>
    </row>
    <row r="4905" spans="1:15" s="3" customFormat="1" ht="15" customHeight="1" x14ac:dyDescent="0.25">
      <c r="A4905" s="18" t="s">
        <v>451</v>
      </c>
      <c r="B4905" s="18" t="s">
        <v>74</v>
      </c>
      <c r="C4905" s="5">
        <v>1791</v>
      </c>
      <c r="D4905" s="1" t="s">
        <v>26</v>
      </c>
      <c r="E4905" s="1" t="s">
        <v>2</v>
      </c>
      <c r="F4905" s="18">
        <v>2173</v>
      </c>
      <c r="G4905" s="18">
        <v>25</v>
      </c>
      <c r="H4905" s="5">
        <v>44</v>
      </c>
      <c r="I4905" s="1">
        <v>120</v>
      </c>
      <c r="J4905" s="1">
        <v>263</v>
      </c>
      <c r="K4905" s="1"/>
      <c r="L4905" t="str">
        <f t="shared" si="76"/>
        <v>http://www.badatelna.eu/reprodukce/?fondId=1073&amp;zaznamId=1108959&amp;reproId=3780018</v>
      </c>
      <c r="M4905">
        <f>VLOOKUP(F4905,Sheet2!$B$1:$E$19,2,FALSE)</f>
        <v>1073</v>
      </c>
      <c r="N4905">
        <f>VLOOKUP(F4905,Sheet2!$B$1:$E$19,3,FALSE)</f>
        <v>1108959</v>
      </c>
      <c r="O4905">
        <f>IF(G4905="Not available","",VLOOKUP(F4905,Sheet2!$B$1:$E$19,4,FALSE)+(G4905-1))</f>
        <v>3780018</v>
      </c>
    </row>
    <row r="4906" spans="1:15" s="3" customFormat="1" ht="15" customHeight="1" x14ac:dyDescent="0.25">
      <c r="A4906" s="18" t="s">
        <v>451</v>
      </c>
      <c r="B4906" s="18" t="s">
        <v>129</v>
      </c>
      <c r="C4906" s="5" t="s">
        <v>1693</v>
      </c>
      <c r="D4906" s="1" t="s">
        <v>477</v>
      </c>
      <c r="E4906" s="1" t="s">
        <v>2</v>
      </c>
      <c r="F4906" s="18">
        <v>2165</v>
      </c>
      <c r="G4906" s="18">
        <v>35</v>
      </c>
      <c r="H4906" s="5">
        <v>32</v>
      </c>
      <c r="I4906" s="1">
        <v>97</v>
      </c>
      <c r="J4906" s="4" t="s">
        <v>3271</v>
      </c>
      <c r="K4906" s="1"/>
      <c r="L4906" t="str">
        <f t="shared" si="76"/>
        <v>http://www.badatelna.eu/reprodukce/?fondId=1073&amp;zaznamId=1108952&amp;reproId=3778896</v>
      </c>
      <c r="M4906">
        <f>VLOOKUP(F4906,Sheet2!$B$1:$E$19,2,FALSE)</f>
        <v>1073</v>
      </c>
      <c r="N4906">
        <f>VLOOKUP(F4906,Sheet2!$B$1:$E$19,3,FALSE)</f>
        <v>1108952</v>
      </c>
      <c r="O4906">
        <f>IF(G4906="Not available","",VLOOKUP(F4906,Sheet2!$B$1:$E$19,4,FALSE)+(G4906-1))</f>
        <v>3778896</v>
      </c>
    </row>
    <row r="4907" spans="1:15" s="3" customFormat="1" ht="15" customHeight="1" x14ac:dyDescent="0.25">
      <c r="A4907" s="18" t="s">
        <v>451</v>
      </c>
      <c r="B4907" s="18" t="s">
        <v>75</v>
      </c>
      <c r="C4907" s="5">
        <v>1788</v>
      </c>
      <c r="D4907" s="1" t="s">
        <v>26</v>
      </c>
      <c r="E4907" s="1" t="s">
        <v>2</v>
      </c>
      <c r="F4907" s="18">
        <v>2173</v>
      </c>
      <c r="G4907" s="18">
        <v>18</v>
      </c>
      <c r="H4907" s="5">
        <v>30</v>
      </c>
      <c r="I4907" s="1">
        <v>120</v>
      </c>
      <c r="J4907" s="1">
        <v>263</v>
      </c>
      <c r="K4907" s="1"/>
      <c r="L4907" t="str">
        <f t="shared" si="76"/>
        <v>http://www.badatelna.eu/reprodukce/?fondId=1073&amp;zaznamId=1108959&amp;reproId=3780011</v>
      </c>
      <c r="M4907">
        <f>VLOOKUP(F4907,Sheet2!$B$1:$E$19,2,FALSE)</f>
        <v>1073</v>
      </c>
      <c r="N4907">
        <f>VLOOKUP(F4907,Sheet2!$B$1:$E$19,3,FALSE)</f>
        <v>1108959</v>
      </c>
      <c r="O4907">
        <f>IF(G4907="Not available","",VLOOKUP(F4907,Sheet2!$B$1:$E$19,4,FALSE)+(G4907-1))</f>
        <v>3780011</v>
      </c>
    </row>
    <row r="4908" spans="1:15" s="3" customFormat="1" ht="15" customHeight="1" x14ac:dyDescent="0.25">
      <c r="A4908" s="18" t="s">
        <v>451</v>
      </c>
      <c r="B4908" s="18" t="s">
        <v>26</v>
      </c>
      <c r="C4908" s="5">
        <v>1814</v>
      </c>
      <c r="D4908" s="1"/>
      <c r="E4908" s="1" t="s">
        <v>2</v>
      </c>
      <c r="F4908" s="18">
        <v>2173</v>
      </c>
      <c r="G4908" s="18">
        <v>65</v>
      </c>
      <c r="H4908" s="5">
        <v>124</v>
      </c>
      <c r="I4908" s="1">
        <v>121</v>
      </c>
      <c r="J4908" s="1">
        <v>264</v>
      </c>
      <c r="K4908" s="1"/>
      <c r="L4908" t="str">
        <f t="shared" si="76"/>
        <v>http://www.badatelna.eu/reprodukce/?fondId=1073&amp;zaznamId=1108959&amp;reproId=3780058</v>
      </c>
      <c r="M4908">
        <f>VLOOKUP(F4908,Sheet2!$B$1:$E$19,2,FALSE)</f>
        <v>1073</v>
      </c>
      <c r="N4908">
        <f>VLOOKUP(F4908,Sheet2!$B$1:$E$19,3,FALSE)</f>
        <v>1108959</v>
      </c>
      <c r="O4908">
        <f>IF(G4908="Not available","",VLOOKUP(F4908,Sheet2!$B$1:$E$19,4,FALSE)+(G4908-1))</f>
        <v>3780058</v>
      </c>
    </row>
    <row r="4909" spans="1:15" s="3" customFormat="1" ht="15" customHeight="1" x14ac:dyDescent="0.25">
      <c r="A4909" s="18" t="s">
        <v>451</v>
      </c>
      <c r="B4909" s="18" t="s">
        <v>438</v>
      </c>
      <c r="C4909" s="5" t="s">
        <v>1701</v>
      </c>
      <c r="D4909" s="1" t="s">
        <v>477</v>
      </c>
      <c r="E4909" s="1" t="s">
        <v>2</v>
      </c>
      <c r="F4909" s="18">
        <v>2165</v>
      </c>
      <c r="G4909" s="18">
        <v>46</v>
      </c>
      <c r="H4909" s="5">
        <v>43</v>
      </c>
      <c r="I4909" s="1">
        <v>97</v>
      </c>
      <c r="J4909" s="4" t="s">
        <v>3271</v>
      </c>
      <c r="K4909" s="1"/>
      <c r="L4909" t="str">
        <f t="shared" si="76"/>
        <v>http://www.badatelna.eu/reprodukce/?fondId=1073&amp;zaznamId=1108952&amp;reproId=3778907</v>
      </c>
      <c r="M4909">
        <f>VLOOKUP(F4909,Sheet2!$B$1:$E$19,2,FALSE)</f>
        <v>1073</v>
      </c>
      <c r="N4909">
        <f>VLOOKUP(F4909,Sheet2!$B$1:$E$19,3,FALSE)</f>
        <v>1108952</v>
      </c>
      <c r="O4909">
        <f>IF(G4909="Not available","",VLOOKUP(F4909,Sheet2!$B$1:$E$19,4,FALSE)+(G4909-1))</f>
        <v>3778907</v>
      </c>
    </row>
    <row r="4910" spans="1:15" s="3" customFormat="1" ht="15" customHeight="1" x14ac:dyDescent="0.25">
      <c r="A4910" s="18" t="s">
        <v>451</v>
      </c>
      <c r="B4910" s="18" t="s">
        <v>434</v>
      </c>
      <c r="C4910" s="5" t="s">
        <v>1686</v>
      </c>
      <c r="D4910" s="1" t="s">
        <v>477</v>
      </c>
      <c r="E4910" s="1" t="s">
        <v>2</v>
      </c>
      <c r="F4910" s="18">
        <v>2165</v>
      </c>
      <c r="G4910" s="18">
        <v>23</v>
      </c>
      <c r="H4910" s="5">
        <v>20</v>
      </c>
      <c r="I4910" s="1">
        <v>97</v>
      </c>
      <c r="J4910" s="4" t="s">
        <v>3271</v>
      </c>
      <c r="K4910" s="1"/>
      <c r="L4910" t="str">
        <f t="shared" si="76"/>
        <v>http://www.badatelna.eu/reprodukce/?fondId=1073&amp;zaznamId=1108952&amp;reproId=3778884</v>
      </c>
      <c r="M4910">
        <f>VLOOKUP(F4910,Sheet2!$B$1:$E$19,2,FALSE)</f>
        <v>1073</v>
      </c>
      <c r="N4910">
        <f>VLOOKUP(F4910,Sheet2!$B$1:$E$19,3,FALSE)</f>
        <v>1108952</v>
      </c>
      <c r="O4910">
        <f>IF(G4910="Not available","",VLOOKUP(F4910,Sheet2!$B$1:$E$19,4,FALSE)+(G4910-1))</f>
        <v>3778884</v>
      </c>
    </row>
    <row r="4911" spans="1:15" s="3" customFormat="1" ht="15" customHeight="1" x14ac:dyDescent="0.25">
      <c r="A4911" s="19" t="s">
        <v>3128</v>
      </c>
      <c r="B4911" s="18" t="s">
        <v>92</v>
      </c>
      <c r="C4911" s="10" t="s">
        <v>2125</v>
      </c>
      <c r="D4911" s="3" t="s">
        <v>2813</v>
      </c>
      <c r="E4911" s="4" t="s">
        <v>2</v>
      </c>
      <c r="F4911" s="18">
        <v>2176</v>
      </c>
      <c r="G4911" s="18" t="s">
        <v>3271</v>
      </c>
      <c r="H4911" s="10" t="s">
        <v>2088</v>
      </c>
      <c r="I4911" s="3">
        <v>52</v>
      </c>
      <c r="J4911" s="3" t="s">
        <v>3271</v>
      </c>
      <c r="L4911" t="str">
        <f t="shared" si="76"/>
        <v/>
      </c>
      <c r="M4911">
        <f>VLOOKUP(F4911,Sheet2!$B$1:$E$19,2,FALSE)</f>
        <v>1073</v>
      </c>
      <c r="N4911">
        <f>VLOOKUP(F4911,Sheet2!$B$1:$E$19,3,FALSE)</f>
        <v>1108963</v>
      </c>
      <c r="O4911" t="str">
        <f>IF(G4911="Not available","",VLOOKUP(F4911,Sheet2!$B$1:$E$19,4,FALSE)+(G4911-1))</f>
        <v/>
      </c>
    </row>
    <row r="4912" spans="1:15" s="3" customFormat="1" ht="15" customHeight="1" x14ac:dyDescent="0.25">
      <c r="A4912" s="19" t="s">
        <v>459</v>
      </c>
      <c r="B4912" s="18" t="s">
        <v>50</v>
      </c>
      <c r="C4912" s="5">
        <v>1819</v>
      </c>
      <c r="D4912" s="1"/>
      <c r="E4912" s="1" t="s">
        <v>2</v>
      </c>
      <c r="F4912" s="18">
        <v>2173</v>
      </c>
      <c r="G4912" s="18">
        <v>70</v>
      </c>
      <c r="H4912" s="5">
        <v>132</v>
      </c>
      <c r="I4912" s="1">
        <v>121</v>
      </c>
      <c r="J4912" s="1">
        <v>264</v>
      </c>
      <c r="K4912" s="1"/>
      <c r="L4912" t="str">
        <f t="shared" si="76"/>
        <v>http://www.badatelna.eu/reprodukce/?fondId=1073&amp;zaznamId=1108959&amp;reproId=3780063</v>
      </c>
      <c r="M4912">
        <f>VLOOKUP(F4912,Sheet2!$B$1:$E$19,2,FALSE)</f>
        <v>1073</v>
      </c>
      <c r="N4912">
        <f>VLOOKUP(F4912,Sheet2!$B$1:$E$19,3,FALSE)</f>
        <v>1108959</v>
      </c>
      <c r="O4912">
        <f>IF(G4912="Not available","",VLOOKUP(F4912,Sheet2!$B$1:$E$19,4,FALSE)+(G4912-1))</f>
        <v>3780063</v>
      </c>
    </row>
    <row r="4913" spans="1:15" s="3" customFormat="1" ht="15" customHeight="1" x14ac:dyDescent="0.25">
      <c r="A4913" s="19" t="s">
        <v>459</v>
      </c>
      <c r="B4913" s="18" t="s">
        <v>3045</v>
      </c>
      <c r="C4913" s="5">
        <v>1805</v>
      </c>
      <c r="D4913" s="4" t="s">
        <v>167</v>
      </c>
      <c r="E4913" s="1" t="s">
        <v>2</v>
      </c>
      <c r="F4913" s="18">
        <v>2173</v>
      </c>
      <c r="G4913" s="18">
        <v>50</v>
      </c>
      <c r="H4913" s="5">
        <v>95</v>
      </c>
      <c r="I4913" s="1">
        <v>120</v>
      </c>
      <c r="J4913" s="1">
        <v>263</v>
      </c>
      <c r="K4913" s="1"/>
      <c r="L4913" t="str">
        <f t="shared" si="76"/>
        <v>http://www.badatelna.eu/reprodukce/?fondId=1073&amp;zaznamId=1108959&amp;reproId=3780043</v>
      </c>
      <c r="M4913">
        <f>VLOOKUP(F4913,Sheet2!$B$1:$E$19,2,FALSE)</f>
        <v>1073</v>
      </c>
      <c r="N4913">
        <f>VLOOKUP(F4913,Sheet2!$B$1:$E$19,3,FALSE)</f>
        <v>1108959</v>
      </c>
      <c r="O4913">
        <f>IF(G4913="Not available","",VLOOKUP(F4913,Sheet2!$B$1:$E$19,4,FALSE)+(G4913-1))</f>
        <v>3780043</v>
      </c>
    </row>
    <row r="4914" spans="1:15" s="3" customFormat="1" ht="15" customHeight="1" x14ac:dyDescent="0.25">
      <c r="A4914" s="18" t="s">
        <v>459</v>
      </c>
      <c r="B4914" s="18" t="s">
        <v>196</v>
      </c>
      <c r="C4914" s="5">
        <v>1853</v>
      </c>
      <c r="D4914" s="1" t="s">
        <v>21</v>
      </c>
      <c r="E4914" s="1" t="s">
        <v>2</v>
      </c>
      <c r="F4914" s="18">
        <v>2164</v>
      </c>
      <c r="G4914" s="18">
        <v>92</v>
      </c>
      <c r="H4914" s="5">
        <v>90</v>
      </c>
      <c r="I4914" s="1">
        <v>143</v>
      </c>
      <c r="J4914" s="1">
        <v>246</v>
      </c>
      <c r="K4914" s="1"/>
      <c r="L4914" t="str">
        <f t="shared" si="76"/>
        <v>http://www.badatelna.eu/reprodukce/?fondId=1073&amp;zaznamId=1108951&amp;reproId=3778806</v>
      </c>
      <c r="M4914">
        <f>VLOOKUP(F4914,Sheet2!$B$1:$E$19,2,FALSE)</f>
        <v>1073</v>
      </c>
      <c r="N4914">
        <f>VLOOKUP(F4914,Sheet2!$B$1:$E$19,3,FALSE)</f>
        <v>1108951</v>
      </c>
      <c r="O4914">
        <f>IF(G4914="Not available","",VLOOKUP(F4914,Sheet2!$B$1:$E$19,4,FALSE)+(G4914-1))</f>
        <v>3778806</v>
      </c>
    </row>
    <row r="4915" spans="1:15" s="3" customFormat="1" ht="15" customHeight="1" x14ac:dyDescent="0.25">
      <c r="A4915" s="18" t="s">
        <v>459</v>
      </c>
      <c r="B4915" s="18" t="s">
        <v>92</v>
      </c>
      <c r="C4915" s="5">
        <v>1814</v>
      </c>
      <c r="D4915" s="1"/>
      <c r="E4915" s="1" t="s">
        <v>2</v>
      </c>
      <c r="F4915" s="18">
        <v>2173</v>
      </c>
      <c r="G4915" s="18">
        <v>63</v>
      </c>
      <c r="H4915" s="5">
        <v>120</v>
      </c>
      <c r="I4915" s="1">
        <v>121</v>
      </c>
      <c r="J4915" s="1">
        <v>264</v>
      </c>
      <c r="K4915" s="1"/>
      <c r="L4915" t="str">
        <f t="shared" si="76"/>
        <v>http://www.badatelna.eu/reprodukce/?fondId=1073&amp;zaznamId=1108959&amp;reproId=3780056</v>
      </c>
      <c r="M4915">
        <f>VLOOKUP(F4915,Sheet2!$B$1:$E$19,2,FALSE)</f>
        <v>1073</v>
      </c>
      <c r="N4915">
        <f>VLOOKUP(F4915,Sheet2!$B$1:$E$19,3,FALSE)</f>
        <v>1108959</v>
      </c>
      <c r="O4915">
        <f>IF(G4915="Not available","",VLOOKUP(F4915,Sheet2!$B$1:$E$19,4,FALSE)+(G4915-1))</f>
        <v>3780056</v>
      </c>
    </row>
    <row r="4916" spans="1:15" s="3" customFormat="1" ht="15" customHeight="1" x14ac:dyDescent="0.25">
      <c r="A4916" s="18" t="s">
        <v>459</v>
      </c>
      <c r="B4916" s="18" t="s">
        <v>16</v>
      </c>
      <c r="C4916" s="5">
        <v>1863</v>
      </c>
      <c r="D4916" s="1"/>
      <c r="E4916" s="1" t="s">
        <v>939</v>
      </c>
      <c r="F4916" s="18">
        <v>999</v>
      </c>
      <c r="G4916" s="18">
        <v>40</v>
      </c>
      <c r="H4916" s="5">
        <v>38</v>
      </c>
      <c r="I4916" s="1">
        <v>79</v>
      </c>
      <c r="J4916" s="1">
        <v>112</v>
      </c>
      <c r="K4916" s="1"/>
      <c r="L4916" t="str">
        <f t="shared" si="76"/>
        <v>http://www.badatelna.eu/reprodukce/?fondId=241&amp;zaznamId=1133739&amp;reproId=3885769</v>
      </c>
      <c r="M4916">
        <f>VLOOKUP(F4916,Sheet2!$B$1:$E$19,2,FALSE)</f>
        <v>241</v>
      </c>
      <c r="N4916">
        <f>VLOOKUP(F4916,Sheet2!$B$1:$E$19,3,FALSE)</f>
        <v>1133739</v>
      </c>
      <c r="O4916">
        <f>IF(G4916="Not available","",VLOOKUP(F4916,Sheet2!$B$1:$E$19,4,FALSE)+(G4916-1))</f>
        <v>3885769</v>
      </c>
    </row>
    <row r="4917" spans="1:15" s="3" customFormat="1" ht="15" customHeight="1" x14ac:dyDescent="0.25">
      <c r="A4917" s="18" t="s">
        <v>459</v>
      </c>
      <c r="B4917" s="18" t="s">
        <v>478</v>
      </c>
      <c r="C4917" s="5">
        <v>1857</v>
      </c>
      <c r="D4917" s="1" t="s">
        <v>50</v>
      </c>
      <c r="E4917" s="1" t="s">
        <v>2</v>
      </c>
      <c r="F4917" s="18">
        <v>2164</v>
      </c>
      <c r="G4917" s="18">
        <v>114</v>
      </c>
      <c r="H4917" s="5">
        <v>112</v>
      </c>
      <c r="I4917" s="1">
        <v>143</v>
      </c>
      <c r="J4917" s="1">
        <v>246</v>
      </c>
      <c r="K4917" s="1"/>
      <c r="L4917" t="str">
        <f t="shared" si="76"/>
        <v>http://www.badatelna.eu/reprodukce/?fondId=1073&amp;zaznamId=1108951&amp;reproId=3778828</v>
      </c>
      <c r="M4917">
        <f>VLOOKUP(F4917,Sheet2!$B$1:$E$19,2,FALSE)</f>
        <v>1073</v>
      </c>
      <c r="N4917">
        <f>VLOOKUP(F4917,Sheet2!$B$1:$E$19,3,FALSE)</f>
        <v>1108951</v>
      </c>
      <c r="O4917">
        <f>IF(G4917="Not available","",VLOOKUP(F4917,Sheet2!$B$1:$E$19,4,FALSE)+(G4917-1))</f>
        <v>3778828</v>
      </c>
    </row>
    <row r="4918" spans="1:15" s="3" customFormat="1" ht="15" customHeight="1" x14ac:dyDescent="0.25">
      <c r="A4918" s="19" t="s">
        <v>459</v>
      </c>
      <c r="B4918" s="18" t="s">
        <v>6</v>
      </c>
      <c r="C4918" s="5">
        <v>1821</v>
      </c>
      <c r="D4918" s="1"/>
      <c r="E4918" s="1" t="s">
        <v>2</v>
      </c>
      <c r="F4918" s="18">
        <v>2173</v>
      </c>
      <c r="G4918" s="18">
        <v>72</v>
      </c>
      <c r="H4918" s="5">
        <v>136</v>
      </c>
      <c r="I4918" s="1">
        <v>121</v>
      </c>
      <c r="J4918" s="1">
        <v>264</v>
      </c>
      <c r="K4918" s="1"/>
      <c r="L4918" t="str">
        <f t="shared" si="76"/>
        <v>http://www.badatelna.eu/reprodukce/?fondId=1073&amp;zaznamId=1108959&amp;reproId=3780065</v>
      </c>
      <c r="M4918">
        <f>VLOOKUP(F4918,Sheet2!$B$1:$E$19,2,FALSE)</f>
        <v>1073</v>
      </c>
      <c r="N4918">
        <f>VLOOKUP(F4918,Sheet2!$B$1:$E$19,3,FALSE)</f>
        <v>1108959</v>
      </c>
      <c r="O4918">
        <f>IF(G4918="Not available","",VLOOKUP(F4918,Sheet2!$B$1:$E$19,4,FALSE)+(G4918-1))</f>
        <v>3780065</v>
      </c>
    </row>
    <row r="4919" spans="1:15" s="3" customFormat="1" ht="15" customHeight="1" x14ac:dyDescent="0.25">
      <c r="A4919" s="18" t="s">
        <v>459</v>
      </c>
      <c r="B4919" s="18" t="s">
        <v>774</v>
      </c>
      <c r="C4919" s="5">
        <v>1864</v>
      </c>
      <c r="D4919" s="1"/>
      <c r="E4919" s="1" t="s">
        <v>939</v>
      </c>
      <c r="F4919" s="18">
        <v>999</v>
      </c>
      <c r="G4919" s="18">
        <v>49</v>
      </c>
      <c r="H4919" s="5">
        <v>47</v>
      </c>
      <c r="I4919" s="1">
        <v>79</v>
      </c>
      <c r="J4919" s="1">
        <v>112</v>
      </c>
      <c r="K4919" s="1"/>
      <c r="L4919" t="str">
        <f t="shared" si="76"/>
        <v>http://www.badatelna.eu/reprodukce/?fondId=241&amp;zaznamId=1133739&amp;reproId=3885778</v>
      </c>
      <c r="M4919">
        <f>VLOOKUP(F4919,Sheet2!$B$1:$E$19,2,FALSE)</f>
        <v>241</v>
      </c>
      <c r="N4919">
        <f>VLOOKUP(F4919,Sheet2!$B$1:$E$19,3,FALSE)</f>
        <v>1133739</v>
      </c>
      <c r="O4919">
        <f>IF(G4919="Not available","",VLOOKUP(F4919,Sheet2!$B$1:$E$19,4,FALSE)+(G4919-1))</f>
        <v>3885778</v>
      </c>
    </row>
    <row r="4920" spans="1:15" s="3" customFormat="1" ht="15" customHeight="1" x14ac:dyDescent="0.25">
      <c r="A4920" s="18" t="s">
        <v>459</v>
      </c>
      <c r="B4920" s="19" t="s">
        <v>735</v>
      </c>
      <c r="C4920" s="5">
        <v>1859</v>
      </c>
      <c r="D4920" s="4" t="s">
        <v>50</v>
      </c>
      <c r="E4920" s="1" t="s">
        <v>939</v>
      </c>
      <c r="F4920" s="18">
        <v>999</v>
      </c>
      <c r="G4920" s="18">
        <v>18</v>
      </c>
      <c r="H4920" s="5">
        <v>16</v>
      </c>
      <c r="I4920" s="1">
        <v>79</v>
      </c>
      <c r="J4920" s="1">
        <v>112</v>
      </c>
      <c r="K4920" s="1"/>
      <c r="L4920" t="str">
        <f t="shared" si="76"/>
        <v>http://www.badatelna.eu/reprodukce/?fondId=241&amp;zaznamId=1133739&amp;reproId=3885747</v>
      </c>
      <c r="M4920">
        <f>VLOOKUP(F4920,Sheet2!$B$1:$E$19,2,FALSE)</f>
        <v>241</v>
      </c>
      <c r="N4920">
        <f>VLOOKUP(F4920,Sheet2!$B$1:$E$19,3,FALSE)</f>
        <v>1133739</v>
      </c>
      <c r="O4920">
        <f>IF(G4920="Not available","",VLOOKUP(F4920,Sheet2!$B$1:$E$19,4,FALSE)+(G4920-1))</f>
        <v>3885747</v>
      </c>
    </row>
    <row r="4921" spans="1:15" s="3" customFormat="1" ht="15" customHeight="1" x14ac:dyDescent="0.25">
      <c r="A4921" s="18" t="s">
        <v>459</v>
      </c>
      <c r="B4921" s="18" t="s">
        <v>436</v>
      </c>
      <c r="C4921" s="5">
        <v>1858</v>
      </c>
      <c r="D4921" s="1"/>
      <c r="E4921" s="1" t="s">
        <v>939</v>
      </c>
      <c r="F4921" s="18">
        <v>999</v>
      </c>
      <c r="G4921" s="18">
        <v>5</v>
      </c>
      <c r="H4921" s="5">
        <v>3</v>
      </c>
      <c r="I4921" s="1">
        <v>79</v>
      </c>
      <c r="J4921" s="1">
        <v>112</v>
      </c>
      <c r="K4921" s="1"/>
      <c r="L4921" t="str">
        <f t="shared" si="76"/>
        <v>http://www.badatelna.eu/reprodukce/?fondId=241&amp;zaznamId=1133739&amp;reproId=3885734</v>
      </c>
      <c r="M4921">
        <f>VLOOKUP(F4921,Sheet2!$B$1:$E$19,2,FALSE)</f>
        <v>241</v>
      </c>
      <c r="N4921">
        <f>VLOOKUP(F4921,Sheet2!$B$1:$E$19,3,FALSE)</f>
        <v>1133739</v>
      </c>
      <c r="O4921">
        <f>IF(G4921="Not available","",VLOOKUP(F4921,Sheet2!$B$1:$E$19,4,FALSE)+(G4921-1))</f>
        <v>3885734</v>
      </c>
    </row>
    <row r="4922" spans="1:15" s="3" customFormat="1" ht="15" customHeight="1" x14ac:dyDescent="0.25">
      <c r="A4922" s="18" t="s">
        <v>459</v>
      </c>
      <c r="B4922" s="18" t="s">
        <v>12</v>
      </c>
      <c r="C4922" s="5">
        <v>1859</v>
      </c>
      <c r="D4922" s="1"/>
      <c r="E4922" s="1" t="s">
        <v>939</v>
      </c>
      <c r="F4922" s="18">
        <v>999</v>
      </c>
      <c r="G4922" s="18">
        <v>15</v>
      </c>
      <c r="H4922" s="5">
        <v>13</v>
      </c>
      <c r="I4922" s="1">
        <v>79</v>
      </c>
      <c r="J4922" s="1">
        <v>112</v>
      </c>
      <c r="K4922" s="1"/>
      <c r="L4922" t="str">
        <f t="shared" si="76"/>
        <v>http://www.badatelna.eu/reprodukce/?fondId=241&amp;zaznamId=1133739&amp;reproId=3885744</v>
      </c>
      <c r="M4922">
        <f>VLOOKUP(F4922,Sheet2!$B$1:$E$19,2,FALSE)</f>
        <v>241</v>
      </c>
      <c r="N4922">
        <f>VLOOKUP(F4922,Sheet2!$B$1:$E$19,3,FALSE)</f>
        <v>1133739</v>
      </c>
      <c r="O4922">
        <f>IF(G4922="Not available","",VLOOKUP(F4922,Sheet2!$B$1:$E$19,4,FALSE)+(G4922-1))</f>
        <v>3885744</v>
      </c>
    </row>
    <row r="4923" spans="1:15" s="3" customFormat="1" ht="15" customHeight="1" x14ac:dyDescent="0.25">
      <c r="A4923" s="18" t="s">
        <v>459</v>
      </c>
      <c r="B4923" s="18" t="s">
        <v>431</v>
      </c>
      <c r="C4923" s="5">
        <v>1852</v>
      </c>
      <c r="D4923" s="1" t="s">
        <v>21</v>
      </c>
      <c r="E4923" s="1" t="s">
        <v>2</v>
      </c>
      <c r="F4923" s="18">
        <v>2164</v>
      </c>
      <c r="G4923" s="18">
        <v>80</v>
      </c>
      <c r="H4923" s="5">
        <v>78</v>
      </c>
      <c r="I4923" s="1">
        <v>143</v>
      </c>
      <c r="J4923" s="1">
        <v>246</v>
      </c>
      <c r="K4923" s="1"/>
      <c r="L4923" t="str">
        <f t="shared" si="76"/>
        <v>http://www.badatelna.eu/reprodukce/?fondId=1073&amp;zaznamId=1108951&amp;reproId=3778794</v>
      </c>
      <c r="M4923">
        <f>VLOOKUP(F4923,Sheet2!$B$1:$E$19,2,FALSE)</f>
        <v>1073</v>
      </c>
      <c r="N4923">
        <f>VLOOKUP(F4923,Sheet2!$B$1:$E$19,3,FALSE)</f>
        <v>1108951</v>
      </c>
      <c r="O4923">
        <f>IF(G4923="Not available","",VLOOKUP(F4923,Sheet2!$B$1:$E$19,4,FALSE)+(G4923-1))</f>
        <v>3778794</v>
      </c>
    </row>
    <row r="4924" spans="1:15" s="3" customFormat="1" ht="15" customHeight="1" x14ac:dyDescent="0.25">
      <c r="A4924" s="19" t="s">
        <v>459</v>
      </c>
      <c r="B4924" s="18" t="s">
        <v>137</v>
      </c>
      <c r="C4924" s="5">
        <v>1816</v>
      </c>
      <c r="D4924" s="4" t="s">
        <v>93</v>
      </c>
      <c r="E4924" s="1" t="s">
        <v>2</v>
      </c>
      <c r="F4924" s="18">
        <v>2173</v>
      </c>
      <c r="G4924" s="18">
        <v>66</v>
      </c>
      <c r="H4924" s="5">
        <v>126</v>
      </c>
      <c r="I4924" s="1">
        <v>121</v>
      </c>
      <c r="J4924" s="1">
        <v>264</v>
      </c>
      <c r="K4924" s="1"/>
      <c r="L4924" t="str">
        <f t="shared" si="76"/>
        <v>http://www.badatelna.eu/reprodukce/?fondId=1073&amp;zaznamId=1108959&amp;reproId=3780059</v>
      </c>
      <c r="M4924">
        <f>VLOOKUP(F4924,Sheet2!$B$1:$E$19,2,FALSE)</f>
        <v>1073</v>
      </c>
      <c r="N4924">
        <f>VLOOKUP(F4924,Sheet2!$B$1:$E$19,3,FALSE)</f>
        <v>1108959</v>
      </c>
      <c r="O4924">
        <f>IF(G4924="Not available","",VLOOKUP(F4924,Sheet2!$B$1:$E$19,4,FALSE)+(G4924-1))</f>
        <v>3780059</v>
      </c>
    </row>
    <row r="4925" spans="1:15" s="3" customFormat="1" ht="15" customHeight="1" x14ac:dyDescent="0.25">
      <c r="A4925" s="18" t="s">
        <v>459</v>
      </c>
      <c r="B4925" s="18" t="s">
        <v>602</v>
      </c>
      <c r="C4925" s="5">
        <v>1861</v>
      </c>
      <c r="D4925" s="1"/>
      <c r="E4925" s="1" t="s">
        <v>939</v>
      </c>
      <c r="F4925" s="18">
        <v>999</v>
      </c>
      <c r="G4925" s="18">
        <v>28</v>
      </c>
      <c r="H4925" s="5">
        <v>26</v>
      </c>
      <c r="I4925" s="1">
        <v>79</v>
      </c>
      <c r="J4925" s="1">
        <v>112</v>
      </c>
      <c r="K4925" s="1"/>
      <c r="L4925" t="str">
        <f t="shared" si="76"/>
        <v>http://www.badatelna.eu/reprodukce/?fondId=241&amp;zaznamId=1133739&amp;reproId=3885757</v>
      </c>
      <c r="M4925">
        <f>VLOOKUP(F4925,Sheet2!$B$1:$E$19,2,FALSE)</f>
        <v>241</v>
      </c>
      <c r="N4925">
        <f>VLOOKUP(F4925,Sheet2!$B$1:$E$19,3,FALSE)</f>
        <v>1133739</v>
      </c>
      <c r="O4925">
        <f>IF(G4925="Not available","",VLOOKUP(F4925,Sheet2!$B$1:$E$19,4,FALSE)+(G4925-1))</f>
        <v>3885757</v>
      </c>
    </row>
    <row r="4926" spans="1:15" s="3" customFormat="1" ht="15" customHeight="1" x14ac:dyDescent="0.25">
      <c r="A4926" s="18" t="s">
        <v>459</v>
      </c>
      <c r="B4926" s="18" t="s">
        <v>56</v>
      </c>
      <c r="C4926" s="5">
        <v>1814</v>
      </c>
      <c r="D4926" s="1"/>
      <c r="E4926" s="1" t="s">
        <v>2</v>
      </c>
      <c r="F4926" s="18">
        <v>2173</v>
      </c>
      <c r="G4926" s="18">
        <v>65</v>
      </c>
      <c r="H4926" s="5">
        <v>124</v>
      </c>
      <c r="I4926" s="1">
        <v>121</v>
      </c>
      <c r="J4926" s="1">
        <v>264</v>
      </c>
      <c r="K4926" s="1"/>
      <c r="L4926" t="str">
        <f t="shared" si="76"/>
        <v>http://www.badatelna.eu/reprodukce/?fondId=1073&amp;zaznamId=1108959&amp;reproId=3780058</v>
      </c>
      <c r="M4926">
        <f>VLOOKUP(F4926,Sheet2!$B$1:$E$19,2,FALSE)</f>
        <v>1073</v>
      </c>
      <c r="N4926">
        <f>VLOOKUP(F4926,Sheet2!$B$1:$E$19,3,FALSE)</f>
        <v>1108959</v>
      </c>
      <c r="O4926">
        <f>IF(G4926="Not available","",VLOOKUP(F4926,Sheet2!$B$1:$E$19,4,FALSE)+(G4926-1))</f>
        <v>3780058</v>
      </c>
    </row>
    <row r="4927" spans="1:15" s="3" customFormat="1" ht="15" customHeight="1" x14ac:dyDescent="0.25">
      <c r="A4927" s="19" t="s">
        <v>459</v>
      </c>
      <c r="B4927" s="18" t="s">
        <v>21</v>
      </c>
      <c r="C4927" s="5">
        <v>1813</v>
      </c>
      <c r="D4927" s="1"/>
      <c r="E4927" s="1" t="s">
        <v>2</v>
      </c>
      <c r="F4927" s="18">
        <v>2173</v>
      </c>
      <c r="G4927" s="18">
        <v>59</v>
      </c>
      <c r="H4927" s="5">
        <v>113</v>
      </c>
      <c r="I4927" s="1">
        <v>121</v>
      </c>
      <c r="J4927" s="1">
        <v>264</v>
      </c>
      <c r="K4927" s="1"/>
      <c r="L4927" t="str">
        <f t="shared" si="76"/>
        <v>http://www.badatelna.eu/reprodukce/?fondId=1073&amp;zaznamId=1108959&amp;reproId=3780052</v>
      </c>
      <c r="M4927">
        <f>VLOOKUP(F4927,Sheet2!$B$1:$E$19,2,FALSE)</f>
        <v>1073</v>
      </c>
      <c r="N4927">
        <f>VLOOKUP(F4927,Sheet2!$B$1:$E$19,3,FALSE)</f>
        <v>1108959</v>
      </c>
      <c r="O4927">
        <f>IF(G4927="Not available","",VLOOKUP(F4927,Sheet2!$B$1:$E$19,4,FALSE)+(G4927-1))</f>
        <v>3780052</v>
      </c>
    </row>
    <row r="4928" spans="1:15" s="3" customFormat="1" ht="15" customHeight="1" x14ac:dyDescent="0.25">
      <c r="A4928" s="18" t="s">
        <v>459</v>
      </c>
      <c r="B4928" s="18" t="s">
        <v>21</v>
      </c>
      <c r="C4928" s="5">
        <v>1825</v>
      </c>
      <c r="D4928" s="1"/>
      <c r="E4928" s="1" t="s">
        <v>2</v>
      </c>
      <c r="F4928" s="18">
        <v>2173</v>
      </c>
      <c r="G4928" s="18">
        <v>77</v>
      </c>
      <c r="H4928" s="5">
        <v>147</v>
      </c>
      <c r="I4928" s="1">
        <v>121</v>
      </c>
      <c r="J4928" s="1">
        <v>264</v>
      </c>
      <c r="K4928" s="1"/>
      <c r="L4928" t="str">
        <f t="shared" si="76"/>
        <v>http://www.badatelna.eu/reprodukce/?fondId=1073&amp;zaznamId=1108959&amp;reproId=3780070</v>
      </c>
      <c r="M4928">
        <f>VLOOKUP(F4928,Sheet2!$B$1:$E$19,2,FALSE)</f>
        <v>1073</v>
      </c>
      <c r="N4928">
        <f>VLOOKUP(F4928,Sheet2!$B$1:$E$19,3,FALSE)</f>
        <v>1108959</v>
      </c>
      <c r="O4928">
        <f>IF(G4928="Not available","",VLOOKUP(F4928,Sheet2!$B$1:$E$19,4,FALSE)+(G4928-1))</f>
        <v>3780070</v>
      </c>
    </row>
    <row r="4929" spans="1:15" s="3" customFormat="1" ht="15" customHeight="1" x14ac:dyDescent="0.25">
      <c r="A4929" s="18" t="s">
        <v>459</v>
      </c>
      <c r="B4929" s="18" t="s">
        <v>937</v>
      </c>
      <c r="C4929" s="5">
        <v>1861</v>
      </c>
      <c r="D4929" s="1"/>
      <c r="E4929" s="1" t="s">
        <v>939</v>
      </c>
      <c r="F4929" s="18">
        <v>999</v>
      </c>
      <c r="G4929" s="18">
        <v>27</v>
      </c>
      <c r="H4929" s="5">
        <v>25</v>
      </c>
      <c r="I4929" s="1">
        <v>79</v>
      </c>
      <c r="J4929" s="1">
        <v>112</v>
      </c>
      <c r="K4929" s="1"/>
      <c r="L4929" t="str">
        <f t="shared" si="76"/>
        <v>http://www.badatelna.eu/reprodukce/?fondId=241&amp;zaznamId=1133739&amp;reproId=3885756</v>
      </c>
      <c r="M4929">
        <f>VLOOKUP(F4929,Sheet2!$B$1:$E$19,2,FALSE)</f>
        <v>241</v>
      </c>
      <c r="N4929">
        <f>VLOOKUP(F4929,Sheet2!$B$1:$E$19,3,FALSE)</f>
        <v>1133739</v>
      </c>
      <c r="O4929">
        <f>IF(G4929="Not available","",VLOOKUP(F4929,Sheet2!$B$1:$E$19,4,FALSE)+(G4929-1))</f>
        <v>3885756</v>
      </c>
    </row>
    <row r="4930" spans="1:15" s="3" customFormat="1" ht="15" customHeight="1" x14ac:dyDescent="0.25">
      <c r="A4930" s="18" t="s">
        <v>459</v>
      </c>
      <c r="B4930" s="18" t="s">
        <v>937</v>
      </c>
      <c r="C4930" s="5">
        <v>1864</v>
      </c>
      <c r="D4930" s="1"/>
      <c r="E4930" s="1" t="s">
        <v>939</v>
      </c>
      <c r="F4930" s="18">
        <v>999</v>
      </c>
      <c r="G4930" s="18">
        <v>49</v>
      </c>
      <c r="H4930" s="5">
        <v>47</v>
      </c>
      <c r="I4930" s="1">
        <v>79</v>
      </c>
      <c r="J4930" s="1">
        <v>112</v>
      </c>
      <c r="K4930" s="1"/>
      <c r="L4930" t="str">
        <f t="shared" si="76"/>
        <v>http://www.badatelna.eu/reprodukce/?fondId=241&amp;zaznamId=1133739&amp;reproId=3885778</v>
      </c>
      <c r="M4930">
        <f>VLOOKUP(F4930,Sheet2!$B$1:$E$19,2,FALSE)</f>
        <v>241</v>
      </c>
      <c r="N4930">
        <f>VLOOKUP(F4930,Sheet2!$B$1:$E$19,3,FALSE)</f>
        <v>1133739</v>
      </c>
      <c r="O4930">
        <f>IF(G4930="Not available","",VLOOKUP(F4930,Sheet2!$B$1:$E$19,4,FALSE)+(G4930-1))</f>
        <v>3885778</v>
      </c>
    </row>
    <row r="4931" spans="1:15" s="3" customFormat="1" ht="15" customHeight="1" x14ac:dyDescent="0.25">
      <c r="A4931" s="18" t="s">
        <v>459</v>
      </c>
      <c r="B4931" s="18" t="s">
        <v>489</v>
      </c>
      <c r="C4931" s="5">
        <v>1844</v>
      </c>
      <c r="D4931" s="1" t="s">
        <v>16</v>
      </c>
      <c r="E4931" s="1" t="s">
        <v>2</v>
      </c>
      <c r="F4931" s="18">
        <v>2174</v>
      </c>
      <c r="G4931" s="18">
        <v>176</v>
      </c>
      <c r="H4931" s="14" t="s">
        <v>3239</v>
      </c>
      <c r="I4931" s="1">
        <v>209</v>
      </c>
      <c r="J4931" s="1">
        <v>246</v>
      </c>
      <c r="K4931" s="1"/>
      <c r="L4931" t="str">
        <f t="shared" ref="L4931:L4994" si="77">IF(G4931="Not available","","http://www.badatelna.eu/reprodukce/?fondId="&amp;M4931&amp;"&amp;zaznamId="&amp;N4931&amp;"&amp;reproId="&amp;O4931)</f>
        <v>http://www.badatelna.eu/reprodukce/?fondId=1073&amp;zaznamId=1108960&amp;reproId=3780400</v>
      </c>
      <c r="M4931">
        <f>VLOOKUP(F4931,Sheet2!$B$1:$E$19,2,FALSE)</f>
        <v>1073</v>
      </c>
      <c r="N4931">
        <f>VLOOKUP(F4931,Sheet2!$B$1:$E$19,3,FALSE)</f>
        <v>1108960</v>
      </c>
      <c r="O4931">
        <f>IF(G4931="Not available","",VLOOKUP(F4931,Sheet2!$B$1:$E$19,4,FALSE)+(G4931-1))</f>
        <v>3780400</v>
      </c>
    </row>
    <row r="4932" spans="1:15" s="3" customFormat="1" ht="15" customHeight="1" x14ac:dyDescent="0.25">
      <c r="A4932" s="19" t="s">
        <v>459</v>
      </c>
      <c r="B4932" s="18" t="s">
        <v>13</v>
      </c>
      <c r="C4932" s="5">
        <v>1816</v>
      </c>
      <c r="D4932" s="4" t="s">
        <v>167</v>
      </c>
      <c r="E4932" s="1" t="s">
        <v>2</v>
      </c>
      <c r="F4932" s="18">
        <v>2173</v>
      </c>
      <c r="G4932" s="18">
        <v>66</v>
      </c>
      <c r="H4932" s="5">
        <v>126</v>
      </c>
      <c r="I4932" s="1">
        <v>121</v>
      </c>
      <c r="J4932" s="1">
        <v>264</v>
      </c>
      <c r="K4932" s="1"/>
      <c r="L4932" t="str">
        <f t="shared" si="77"/>
        <v>http://www.badatelna.eu/reprodukce/?fondId=1073&amp;zaznamId=1108959&amp;reproId=3780059</v>
      </c>
      <c r="M4932">
        <f>VLOOKUP(F4932,Sheet2!$B$1:$E$19,2,FALSE)</f>
        <v>1073</v>
      </c>
      <c r="N4932">
        <f>VLOOKUP(F4932,Sheet2!$B$1:$E$19,3,FALSE)</f>
        <v>1108959</v>
      </c>
      <c r="O4932">
        <f>IF(G4932="Not available","",VLOOKUP(F4932,Sheet2!$B$1:$E$19,4,FALSE)+(G4932-1))</f>
        <v>3780059</v>
      </c>
    </row>
    <row r="4933" spans="1:15" s="3" customFormat="1" ht="15" customHeight="1" x14ac:dyDescent="0.25">
      <c r="A4933" s="19" t="s">
        <v>459</v>
      </c>
      <c r="B4933" s="18" t="s">
        <v>13</v>
      </c>
      <c r="C4933" s="5">
        <v>1817</v>
      </c>
      <c r="D4933" s="4" t="s">
        <v>3317</v>
      </c>
      <c r="E4933" s="1" t="s">
        <v>2</v>
      </c>
      <c r="F4933" s="18">
        <v>2173</v>
      </c>
      <c r="G4933" s="18">
        <v>67</v>
      </c>
      <c r="H4933" s="6" t="s">
        <v>2999</v>
      </c>
      <c r="I4933" s="1">
        <v>121</v>
      </c>
      <c r="J4933" s="1">
        <v>264</v>
      </c>
      <c r="K4933" s="1"/>
      <c r="L4933" t="str">
        <f t="shared" si="77"/>
        <v>http://www.badatelna.eu/reprodukce/?fondId=1073&amp;zaznamId=1108959&amp;reproId=3780060</v>
      </c>
      <c r="M4933">
        <f>VLOOKUP(F4933,Sheet2!$B$1:$E$19,2,FALSE)</f>
        <v>1073</v>
      </c>
      <c r="N4933">
        <f>VLOOKUP(F4933,Sheet2!$B$1:$E$19,3,FALSE)</f>
        <v>1108959</v>
      </c>
      <c r="O4933">
        <f>IF(G4933="Not available","",VLOOKUP(F4933,Sheet2!$B$1:$E$19,4,FALSE)+(G4933-1))</f>
        <v>3780060</v>
      </c>
    </row>
    <row r="4934" spans="1:15" s="3" customFormat="1" ht="15" customHeight="1" x14ac:dyDescent="0.25">
      <c r="A4934" s="18" t="s">
        <v>459</v>
      </c>
      <c r="B4934" s="18" t="s">
        <v>593</v>
      </c>
      <c r="C4934" s="5" t="s">
        <v>1678</v>
      </c>
      <c r="D4934" s="1" t="s">
        <v>21</v>
      </c>
      <c r="E4934" s="1" t="s">
        <v>2</v>
      </c>
      <c r="F4934" s="18">
        <v>2165</v>
      </c>
      <c r="G4934" s="18">
        <v>11</v>
      </c>
      <c r="H4934" s="5">
        <v>8</v>
      </c>
      <c r="I4934" s="1">
        <v>97</v>
      </c>
      <c r="J4934" s="4" t="s">
        <v>3271</v>
      </c>
      <c r="K4934" s="1"/>
      <c r="L4934" t="str">
        <f t="shared" si="77"/>
        <v>http://www.badatelna.eu/reprodukce/?fondId=1073&amp;zaznamId=1108952&amp;reproId=3778872</v>
      </c>
      <c r="M4934">
        <f>VLOOKUP(F4934,Sheet2!$B$1:$E$19,2,FALSE)</f>
        <v>1073</v>
      </c>
      <c r="N4934">
        <f>VLOOKUP(F4934,Sheet2!$B$1:$E$19,3,FALSE)</f>
        <v>1108952</v>
      </c>
      <c r="O4934">
        <f>IF(G4934="Not available","",VLOOKUP(F4934,Sheet2!$B$1:$E$19,4,FALSE)+(G4934-1))</f>
        <v>3778872</v>
      </c>
    </row>
    <row r="4935" spans="1:15" s="3" customFormat="1" ht="15" customHeight="1" x14ac:dyDescent="0.25">
      <c r="A4935" s="18" t="s">
        <v>459</v>
      </c>
      <c r="B4935" s="18" t="s">
        <v>491</v>
      </c>
      <c r="C4935" s="5">
        <v>1865</v>
      </c>
      <c r="D4935" s="1"/>
      <c r="E4935" s="1" t="s">
        <v>939</v>
      </c>
      <c r="F4935" s="18">
        <v>999</v>
      </c>
      <c r="G4935" s="18">
        <v>57</v>
      </c>
      <c r="H4935" s="5">
        <v>55</v>
      </c>
      <c r="I4935" s="1">
        <v>79</v>
      </c>
      <c r="J4935" s="1">
        <v>112</v>
      </c>
      <c r="K4935" s="1"/>
      <c r="L4935" t="str">
        <f t="shared" si="77"/>
        <v>http://www.badatelna.eu/reprodukce/?fondId=241&amp;zaznamId=1133739&amp;reproId=3885786</v>
      </c>
      <c r="M4935">
        <f>VLOOKUP(F4935,Sheet2!$B$1:$E$19,2,FALSE)</f>
        <v>241</v>
      </c>
      <c r="N4935">
        <f>VLOOKUP(F4935,Sheet2!$B$1:$E$19,3,FALSE)</f>
        <v>1133739</v>
      </c>
      <c r="O4935">
        <f>IF(G4935="Not available","",VLOOKUP(F4935,Sheet2!$B$1:$E$19,4,FALSE)+(G4935-1))</f>
        <v>3885786</v>
      </c>
    </row>
    <row r="4936" spans="1:15" s="3" customFormat="1" ht="15" customHeight="1" x14ac:dyDescent="0.25">
      <c r="A4936" s="18" t="s">
        <v>459</v>
      </c>
      <c r="B4936" s="18" t="s">
        <v>44</v>
      </c>
      <c r="C4936" s="5">
        <v>1827</v>
      </c>
      <c r="D4936" s="1"/>
      <c r="E4936" s="1" t="s">
        <v>2</v>
      </c>
      <c r="F4936" s="18">
        <v>2173</v>
      </c>
      <c r="G4936" s="18">
        <v>80</v>
      </c>
      <c r="H4936" s="5">
        <v>153</v>
      </c>
      <c r="I4936" s="1">
        <v>121</v>
      </c>
      <c r="J4936" s="1">
        <v>264</v>
      </c>
      <c r="K4936" s="1"/>
      <c r="L4936" t="str">
        <f t="shared" si="77"/>
        <v>http://www.badatelna.eu/reprodukce/?fondId=1073&amp;zaznamId=1108959&amp;reproId=3780073</v>
      </c>
      <c r="M4936">
        <f>VLOOKUP(F4936,Sheet2!$B$1:$E$19,2,FALSE)</f>
        <v>1073</v>
      </c>
      <c r="N4936">
        <f>VLOOKUP(F4936,Sheet2!$B$1:$E$19,3,FALSE)</f>
        <v>1108959</v>
      </c>
      <c r="O4936">
        <f>IF(G4936="Not available","",VLOOKUP(F4936,Sheet2!$B$1:$E$19,4,FALSE)+(G4936-1))</f>
        <v>3780073</v>
      </c>
    </row>
    <row r="4937" spans="1:15" s="3" customFormat="1" ht="15" customHeight="1" x14ac:dyDescent="0.25">
      <c r="A4937" s="18" t="s">
        <v>459</v>
      </c>
      <c r="B4937" s="18" t="s">
        <v>545</v>
      </c>
      <c r="C4937" s="5">
        <v>1859</v>
      </c>
      <c r="D4937" s="1"/>
      <c r="E4937" s="1" t="s">
        <v>939</v>
      </c>
      <c r="F4937" s="18">
        <v>999</v>
      </c>
      <c r="G4937" s="18">
        <v>16</v>
      </c>
      <c r="H4937" s="5">
        <v>14</v>
      </c>
      <c r="I4937" s="1">
        <v>79</v>
      </c>
      <c r="J4937" s="1">
        <v>112</v>
      </c>
      <c r="K4937" s="1"/>
      <c r="L4937" t="str">
        <f t="shared" si="77"/>
        <v>http://www.badatelna.eu/reprodukce/?fondId=241&amp;zaznamId=1133739&amp;reproId=3885745</v>
      </c>
      <c r="M4937">
        <f>VLOOKUP(F4937,Sheet2!$B$1:$E$19,2,FALSE)</f>
        <v>241</v>
      </c>
      <c r="N4937">
        <f>VLOOKUP(F4937,Sheet2!$B$1:$E$19,3,FALSE)</f>
        <v>1133739</v>
      </c>
      <c r="O4937">
        <f>IF(G4937="Not available","",VLOOKUP(F4937,Sheet2!$B$1:$E$19,4,FALSE)+(G4937-1))</f>
        <v>3885745</v>
      </c>
    </row>
    <row r="4938" spans="1:15" s="3" customFormat="1" ht="15" customHeight="1" x14ac:dyDescent="0.25">
      <c r="A4938" s="18" t="s">
        <v>459</v>
      </c>
      <c r="B4938" s="18" t="s">
        <v>545</v>
      </c>
      <c r="C4938" s="5" t="s">
        <v>1702</v>
      </c>
      <c r="D4938" s="1" t="s">
        <v>50</v>
      </c>
      <c r="E4938" s="1" t="s">
        <v>2</v>
      </c>
      <c r="F4938" s="18">
        <v>2165</v>
      </c>
      <c r="G4938" s="18">
        <v>47</v>
      </c>
      <c r="H4938" s="5">
        <v>44</v>
      </c>
      <c r="I4938" s="1">
        <v>97</v>
      </c>
      <c r="J4938" s="4" t="s">
        <v>3271</v>
      </c>
      <c r="K4938" s="1"/>
      <c r="L4938" t="str">
        <f t="shared" si="77"/>
        <v>http://www.badatelna.eu/reprodukce/?fondId=1073&amp;zaznamId=1108952&amp;reproId=3778908</v>
      </c>
      <c r="M4938">
        <f>VLOOKUP(F4938,Sheet2!$B$1:$E$19,2,FALSE)</f>
        <v>1073</v>
      </c>
      <c r="N4938">
        <f>VLOOKUP(F4938,Sheet2!$B$1:$E$19,3,FALSE)</f>
        <v>1108952</v>
      </c>
      <c r="O4938">
        <f>IF(G4938="Not available","",VLOOKUP(F4938,Sheet2!$B$1:$E$19,4,FALSE)+(G4938-1))</f>
        <v>3778908</v>
      </c>
    </row>
    <row r="4939" spans="1:15" s="3" customFormat="1" ht="15" customHeight="1" x14ac:dyDescent="0.25">
      <c r="A4939" s="19" t="s">
        <v>3046</v>
      </c>
      <c r="B4939" s="18" t="s">
        <v>143</v>
      </c>
      <c r="C4939" s="5">
        <v>1810</v>
      </c>
      <c r="D4939" s="4" t="s">
        <v>167</v>
      </c>
      <c r="E4939" s="1" t="s">
        <v>2</v>
      </c>
      <c r="F4939" s="18">
        <v>2173</v>
      </c>
      <c r="G4939" s="18">
        <v>56</v>
      </c>
      <c r="H4939" s="5">
        <v>106</v>
      </c>
      <c r="I4939" s="1">
        <v>120</v>
      </c>
      <c r="J4939" s="1">
        <v>263</v>
      </c>
      <c r="K4939" s="1"/>
      <c r="L4939" t="str">
        <f t="shared" si="77"/>
        <v>http://www.badatelna.eu/reprodukce/?fondId=1073&amp;zaznamId=1108959&amp;reproId=3780049</v>
      </c>
      <c r="M4939">
        <f>VLOOKUP(F4939,Sheet2!$B$1:$E$19,2,FALSE)</f>
        <v>1073</v>
      </c>
      <c r="N4939">
        <f>VLOOKUP(F4939,Sheet2!$B$1:$E$19,3,FALSE)</f>
        <v>1108959</v>
      </c>
      <c r="O4939">
        <f>IF(G4939="Not available","",VLOOKUP(F4939,Sheet2!$B$1:$E$19,4,FALSE)+(G4939-1))</f>
        <v>3780049</v>
      </c>
    </row>
    <row r="4940" spans="1:15" s="3" customFormat="1" ht="15" customHeight="1" x14ac:dyDescent="0.25">
      <c r="A4940" s="19" t="s">
        <v>3063</v>
      </c>
      <c r="B4940" s="18" t="s">
        <v>450</v>
      </c>
      <c r="C4940" s="5">
        <v>1785</v>
      </c>
      <c r="D4940" s="4" t="s">
        <v>3049</v>
      </c>
      <c r="E4940" s="1" t="s">
        <v>2</v>
      </c>
      <c r="F4940" s="18">
        <v>2173</v>
      </c>
      <c r="G4940" s="18">
        <v>11</v>
      </c>
      <c r="H4940" s="5">
        <v>16</v>
      </c>
      <c r="I4940" s="1">
        <v>120</v>
      </c>
      <c r="J4940" s="1">
        <v>263</v>
      </c>
      <c r="K4940" s="1"/>
      <c r="L4940" t="str">
        <f t="shared" si="77"/>
        <v>http://www.badatelna.eu/reprodukce/?fondId=1073&amp;zaznamId=1108959&amp;reproId=3780004</v>
      </c>
      <c r="M4940">
        <f>VLOOKUP(F4940,Sheet2!$B$1:$E$19,2,FALSE)</f>
        <v>1073</v>
      </c>
      <c r="N4940">
        <f>VLOOKUP(F4940,Sheet2!$B$1:$E$19,3,FALSE)</f>
        <v>1108959</v>
      </c>
      <c r="O4940">
        <f>IF(G4940="Not available","",VLOOKUP(F4940,Sheet2!$B$1:$E$19,4,FALSE)+(G4940-1))</f>
        <v>3780004</v>
      </c>
    </row>
    <row r="4941" spans="1:15" s="3" customFormat="1" ht="15" customHeight="1" x14ac:dyDescent="0.25">
      <c r="A4941" s="18" t="s">
        <v>1127</v>
      </c>
      <c r="B4941" s="18" t="s">
        <v>1113</v>
      </c>
      <c r="C4941" s="5" t="s">
        <v>1742</v>
      </c>
      <c r="D4941" s="1" t="s">
        <v>233</v>
      </c>
      <c r="E4941" s="1" t="s">
        <v>2</v>
      </c>
      <c r="F4941" s="18">
        <v>2165</v>
      </c>
      <c r="G4941" s="18">
        <v>169</v>
      </c>
      <c r="H4941" s="5">
        <v>5</v>
      </c>
      <c r="I4941" s="1">
        <v>171</v>
      </c>
      <c r="J4941" s="1">
        <v>149</v>
      </c>
      <c r="K4941" s="1"/>
      <c r="L4941" t="str">
        <f t="shared" si="77"/>
        <v>http://www.badatelna.eu/reprodukce/?fondId=1073&amp;zaznamId=1108952&amp;reproId=3779030</v>
      </c>
      <c r="M4941">
        <f>VLOOKUP(F4941,Sheet2!$B$1:$E$19,2,FALSE)</f>
        <v>1073</v>
      </c>
      <c r="N4941">
        <f>VLOOKUP(F4941,Sheet2!$B$1:$E$19,3,FALSE)</f>
        <v>1108952</v>
      </c>
      <c r="O4941">
        <f>IF(G4941="Not available","",VLOOKUP(F4941,Sheet2!$B$1:$E$19,4,FALSE)+(G4941-1))</f>
        <v>3779030</v>
      </c>
    </row>
    <row r="4942" spans="1:15" s="3" customFormat="1" ht="15" customHeight="1" x14ac:dyDescent="0.25">
      <c r="A4942" s="18" t="s">
        <v>1261</v>
      </c>
      <c r="B4942" s="18" t="s">
        <v>1244</v>
      </c>
      <c r="C4942" s="14" t="s">
        <v>2097</v>
      </c>
      <c r="D4942" s="4" t="s">
        <v>65</v>
      </c>
      <c r="E4942" s="1" t="s">
        <v>2</v>
      </c>
      <c r="F4942" s="18">
        <v>2165</v>
      </c>
      <c r="G4942" s="18">
        <v>292</v>
      </c>
      <c r="H4942" s="5">
        <v>1</v>
      </c>
      <c r="I4942" s="1">
        <v>295</v>
      </c>
      <c r="J4942" s="1">
        <v>268</v>
      </c>
      <c r="K4942" s="1"/>
      <c r="L4942" t="str">
        <f t="shared" si="77"/>
        <v>http://www.badatelna.eu/reprodukce/?fondId=1073&amp;zaznamId=1108952&amp;reproId=3779153</v>
      </c>
      <c r="M4942">
        <f>VLOOKUP(F4942,Sheet2!$B$1:$E$19,2,FALSE)</f>
        <v>1073</v>
      </c>
      <c r="N4942">
        <f>VLOOKUP(F4942,Sheet2!$B$1:$E$19,3,FALSE)</f>
        <v>1108952</v>
      </c>
      <c r="O4942">
        <f>IF(G4942="Not available","",VLOOKUP(F4942,Sheet2!$B$1:$E$19,4,FALSE)+(G4942-1))</f>
        <v>3779153</v>
      </c>
    </row>
    <row r="4943" spans="1:15" s="3" customFormat="1" ht="15" customHeight="1" x14ac:dyDescent="0.25">
      <c r="A4943" s="18" t="s">
        <v>497</v>
      </c>
      <c r="B4943" s="18" t="s">
        <v>507</v>
      </c>
      <c r="C4943" s="5">
        <v>1857</v>
      </c>
      <c r="D4943" s="1" t="s">
        <v>310</v>
      </c>
      <c r="E4943" s="1" t="s">
        <v>2</v>
      </c>
      <c r="F4943" s="18">
        <v>2164</v>
      </c>
      <c r="G4943" s="18">
        <v>116</v>
      </c>
      <c r="H4943" s="5">
        <v>114</v>
      </c>
      <c r="I4943" s="1">
        <v>143</v>
      </c>
      <c r="J4943" s="1">
        <v>246</v>
      </c>
      <c r="K4943" s="1"/>
      <c r="L4943" t="str">
        <f t="shared" si="77"/>
        <v>http://www.badatelna.eu/reprodukce/?fondId=1073&amp;zaznamId=1108951&amp;reproId=3778830</v>
      </c>
      <c r="M4943">
        <f>VLOOKUP(F4943,Sheet2!$B$1:$E$19,2,FALSE)</f>
        <v>1073</v>
      </c>
      <c r="N4943">
        <f>VLOOKUP(F4943,Sheet2!$B$1:$E$19,3,FALSE)</f>
        <v>1108951</v>
      </c>
      <c r="O4943">
        <f>IF(G4943="Not available","",VLOOKUP(F4943,Sheet2!$B$1:$E$19,4,FALSE)+(G4943-1))</f>
        <v>3778830</v>
      </c>
    </row>
    <row r="4944" spans="1:15" s="3" customFormat="1" ht="15" customHeight="1" x14ac:dyDescent="0.25">
      <c r="A4944" s="18" t="s">
        <v>497</v>
      </c>
      <c r="B4944" s="18" t="s">
        <v>1968</v>
      </c>
      <c r="C4944" s="10" t="s">
        <v>1987</v>
      </c>
      <c r="D4944" s="3" t="s">
        <v>2844</v>
      </c>
      <c r="E4944" s="4" t="s">
        <v>2</v>
      </c>
      <c r="F4944" s="18">
        <v>2176</v>
      </c>
      <c r="G4944" s="18" t="s">
        <v>3271</v>
      </c>
      <c r="H4944" s="10" t="s">
        <v>2772</v>
      </c>
      <c r="I4944" s="3">
        <v>50</v>
      </c>
      <c r="J4944" s="3" t="s">
        <v>3271</v>
      </c>
      <c r="K4944" s="1"/>
      <c r="L4944" t="str">
        <f t="shared" si="77"/>
        <v/>
      </c>
      <c r="M4944">
        <f>VLOOKUP(F4944,Sheet2!$B$1:$E$19,2,FALSE)</f>
        <v>1073</v>
      </c>
      <c r="N4944">
        <f>VLOOKUP(F4944,Sheet2!$B$1:$E$19,3,FALSE)</f>
        <v>1108963</v>
      </c>
      <c r="O4944" t="str">
        <f>IF(G4944="Not available","",VLOOKUP(F4944,Sheet2!$B$1:$E$19,4,FALSE)+(G4944-1))</f>
        <v/>
      </c>
    </row>
    <row r="4945" spans="1:15" s="3" customFormat="1" ht="15" customHeight="1" x14ac:dyDescent="0.25">
      <c r="A4945" s="18" t="s">
        <v>497</v>
      </c>
      <c r="B4945" s="18" t="s">
        <v>1126</v>
      </c>
      <c r="C4945" s="10" t="s">
        <v>2025</v>
      </c>
      <c r="D4945" s="3" t="s">
        <v>2845</v>
      </c>
      <c r="E4945" s="4" t="s">
        <v>2</v>
      </c>
      <c r="F4945" s="18">
        <v>2176</v>
      </c>
      <c r="G4945" s="18" t="s">
        <v>3271</v>
      </c>
      <c r="H4945" s="10" t="s">
        <v>2332</v>
      </c>
      <c r="I4945" s="3">
        <v>50</v>
      </c>
      <c r="J4945" s="3" t="s">
        <v>3271</v>
      </c>
      <c r="L4945" t="str">
        <f t="shared" si="77"/>
        <v/>
      </c>
      <c r="M4945">
        <f>VLOOKUP(F4945,Sheet2!$B$1:$E$19,2,FALSE)</f>
        <v>1073</v>
      </c>
      <c r="N4945">
        <f>VLOOKUP(F4945,Sheet2!$B$1:$E$19,3,FALSE)</f>
        <v>1108963</v>
      </c>
      <c r="O4945" t="str">
        <f>IF(G4945="Not available","",VLOOKUP(F4945,Sheet2!$B$1:$E$19,4,FALSE)+(G4945-1))</f>
        <v/>
      </c>
    </row>
    <row r="4946" spans="1:15" s="3" customFormat="1" ht="15" customHeight="1" x14ac:dyDescent="0.25">
      <c r="A4946" s="18" t="s">
        <v>497</v>
      </c>
      <c r="B4946" s="18" t="s">
        <v>992</v>
      </c>
      <c r="C4946" s="10" t="s">
        <v>2015</v>
      </c>
      <c r="D4946" s="3" t="s">
        <v>2845</v>
      </c>
      <c r="E4946" s="4" t="s">
        <v>2</v>
      </c>
      <c r="F4946" s="18">
        <v>2176</v>
      </c>
      <c r="G4946" s="18" t="s">
        <v>3271</v>
      </c>
      <c r="H4946" s="10" t="s">
        <v>2083</v>
      </c>
      <c r="I4946" s="3">
        <v>50</v>
      </c>
      <c r="J4946" s="3" t="s">
        <v>3271</v>
      </c>
      <c r="K4946" s="1"/>
      <c r="L4946" t="str">
        <f t="shared" si="77"/>
        <v/>
      </c>
      <c r="M4946">
        <f>VLOOKUP(F4946,Sheet2!$B$1:$E$19,2,FALSE)</f>
        <v>1073</v>
      </c>
      <c r="N4946">
        <f>VLOOKUP(F4946,Sheet2!$B$1:$E$19,3,FALSE)</f>
        <v>1108963</v>
      </c>
      <c r="O4946" t="str">
        <f>IF(G4946="Not available","",VLOOKUP(F4946,Sheet2!$B$1:$E$19,4,FALSE)+(G4946-1))</f>
        <v/>
      </c>
    </row>
    <row r="4947" spans="1:15" s="3" customFormat="1" ht="15" customHeight="1" x14ac:dyDescent="0.25">
      <c r="A4947" s="18" t="s">
        <v>497</v>
      </c>
      <c r="B4947" s="18" t="s">
        <v>12</v>
      </c>
      <c r="C4947" s="5">
        <v>1851</v>
      </c>
      <c r="D4947" s="1" t="s">
        <v>310</v>
      </c>
      <c r="E4947" s="1" t="s">
        <v>2</v>
      </c>
      <c r="F4947" s="18">
        <v>2164</v>
      </c>
      <c r="G4947" s="18">
        <v>74</v>
      </c>
      <c r="H4947" s="5">
        <v>72</v>
      </c>
      <c r="I4947" s="1">
        <v>143</v>
      </c>
      <c r="J4947" s="1">
        <v>246</v>
      </c>
      <c r="K4947" s="1"/>
      <c r="L4947" t="str">
        <f t="shared" si="77"/>
        <v>http://www.badatelna.eu/reprodukce/?fondId=1073&amp;zaznamId=1108951&amp;reproId=3778788</v>
      </c>
      <c r="M4947">
        <f>VLOOKUP(F4947,Sheet2!$B$1:$E$19,2,FALSE)</f>
        <v>1073</v>
      </c>
      <c r="N4947">
        <f>VLOOKUP(F4947,Sheet2!$B$1:$E$19,3,FALSE)</f>
        <v>1108951</v>
      </c>
      <c r="O4947">
        <f>IF(G4947="Not available","",VLOOKUP(F4947,Sheet2!$B$1:$E$19,4,FALSE)+(G4947-1))</f>
        <v>3778788</v>
      </c>
    </row>
    <row r="4948" spans="1:15" s="3" customFormat="1" ht="15" customHeight="1" x14ac:dyDescent="0.25">
      <c r="A4948" s="18" t="s">
        <v>497</v>
      </c>
      <c r="B4948" s="18" t="s">
        <v>1113</v>
      </c>
      <c r="C4948" s="10" t="s">
        <v>2026</v>
      </c>
      <c r="D4948" s="3" t="s">
        <v>2845</v>
      </c>
      <c r="E4948" s="4" t="s">
        <v>2</v>
      </c>
      <c r="F4948" s="18">
        <v>2176</v>
      </c>
      <c r="G4948" s="18" t="s">
        <v>3271</v>
      </c>
      <c r="H4948" s="10" t="s">
        <v>2047</v>
      </c>
      <c r="I4948" s="3">
        <v>50</v>
      </c>
      <c r="J4948" s="3" t="s">
        <v>3271</v>
      </c>
      <c r="L4948" t="str">
        <f t="shared" si="77"/>
        <v/>
      </c>
      <c r="M4948">
        <f>VLOOKUP(F4948,Sheet2!$B$1:$E$19,2,FALSE)</f>
        <v>1073</v>
      </c>
      <c r="N4948">
        <f>VLOOKUP(F4948,Sheet2!$B$1:$E$19,3,FALSE)</f>
        <v>1108963</v>
      </c>
      <c r="O4948" t="str">
        <f>IF(G4948="Not available","",VLOOKUP(F4948,Sheet2!$B$1:$E$19,4,FALSE)+(G4948-1))</f>
        <v/>
      </c>
    </row>
    <row r="4949" spans="1:15" s="3" customFormat="1" ht="15" customHeight="1" x14ac:dyDescent="0.25">
      <c r="A4949" s="18" t="s">
        <v>2798</v>
      </c>
      <c r="B4949" s="18" t="s">
        <v>1043</v>
      </c>
      <c r="C4949" s="10" t="s">
        <v>2097</v>
      </c>
      <c r="D4949" s="3" t="s">
        <v>2799</v>
      </c>
      <c r="E4949" s="4" t="s">
        <v>2</v>
      </c>
      <c r="F4949" s="18">
        <v>2176</v>
      </c>
      <c r="G4949" s="18" t="s">
        <v>3271</v>
      </c>
      <c r="H4949" s="10" t="s">
        <v>1955</v>
      </c>
      <c r="I4949" s="3">
        <v>51</v>
      </c>
      <c r="J4949" s="3" t="s">
        <v>3271</v>
      </c>
      <c r="L4949" t="str">
        <f t="shared" si="77"/>
        <v/>
      </c>
      <c r="M4949">
        <f>VLOOKUP(F4949,Sheet2!$B$1:$E$19,2,FALSE)</f>
        <v>1073</v>
      </c>
      <c r="N4949">
        <f>VLOOKUP(F4949,Sheet2!$B$1:$E$19,3,FALSE)</f>
        <v>1108963</v>
      </c>
      <c r="O4949" t="str">
        <f>IF(G4949="Not available","",VLOOKUP(F4949,Sheet2!$B$1:$E$19,4,FALSE)+(G4949-1))</f>
        <v/>
      </c>
    </row>
    <row r="4950" spans="1:15" s="3" customFormat="1" ht="15" customHeight="1" x14ac:dyDescent="0.25">
      <c r="A4950" s="18" t="s">
        <v>2798</v>
      </c>
      <c r="B4950" s="18" t="s">
        <v>2007</v>
      </c>
      <c r="C4950" s="10" t="s">
        <v>2106</v>
      </c>
      <c r="D4950" s="3" t="s">
        <v>2157</v>
      </c>
      <c r="E4950" s="4" t="s">
        <v>2</v>
      </c>
      <c r="F4950" s="18">
        <v>2176</v>
      </c>
      <c r="G4950" s="18" t="s">
        <v>3271</v>
      </c>
      <c r="H4950" s="10" t="s">
        <v>1954</v>
      </c>
      <c r="I4950" s="3">
        <v>51</v>
      </c>
      <c r="J4950" s="3" t="s">
        <v>3271</v>
      </c>
      <c r="L4950" t="str">
        <f t="shared" si="77"/>
        <v/>
      </c>
      <c r="M4950">
        <f>VLOOKUP(F4950,Sheet2!$B$1:$E$19,2,FALSE)</f>
        <v>1073</v>
      </c>
      <c r="N4950">
        <f>VLOOKUP(F4950,Sheet2!$B$1:$E$19,3,FALSE)</f>
        <v>1108963</v>
      </c>
      <c r="O4950" t="str">
        <f>IF(G4950="Not available","",VLOOKUP(F4950,Sheet2!$B$1:$E$19,4,FALSE)+(G4950-1))</f>
        <v/>
      </c>
    </row>
    <row r="4951" spans="1:15" s="3" customFormat="1" ht="15" customHeight="1" x14ac:dyDescent="0.25">
      <c r="A4951" s="18" t="s">
        <v>460</v>
      </c>
      <c r="B4951" s="18" t="s">
        <v>477</v>
      </c>
      <c r="C4951" s="5">
        <v>1843</v>
      </c>
      <c r="D4951" s="1" t="s">
        <v>26</v>
      </c>
      <c r="E4951" s="1" t="s">
        <v>2</v>
      </c>
      <c r="F4951" s="18">
        <v>2174</v>
      </c>
      <c r="G4951" s="18">
        <v>139</v>
      </c>
      <c r="H4951" s="6" t="s">
        <v>3206</v>
      </c>
      <c r="I4951" s="1">
        <v>209</v>
      </c>
      <c r="J4951" s="1">
        <v>246</v>
      </c>
      <c r="K4951" s="1"/>
      <c r="L4951" t="str">
        <f t="shared" si="77"/>
        <v>http://www.badatelna.eu/reprodukce/?fondId=1073&amp;zaznamId=1108960&amp;reproId=3780363</v>
      </c>
      <c r="M4951">
        <f>VLOOKUP(F4951,Sheet2!$B$1:$E$19,2,FALSE)</f>
        <v>1073</v>
      </c>
      <c r="N4951">
        <f>VLOOKUP(F4951,Sheet2!$B$1:$E$19,3,FALSE)</f>
        <v>1108960</v>
      </c>
      <c r="O4951">
        <f>IF(G4951="Not available","",VLOOKUP(F4951,Sheet2!$B$1:$E$19,4,FALSE)+(G4951-1))</f>
        <v>3780363</v>
      </c>
    </row>
    <row r="4952" spans="1:15" s="3" customFormat="1" ht="15" customHeight="1" x14ac:dyDescent="0.25">
      <c r="A4952" s="19" t="s">
        <v>460</v>
      </c>
      <c r="B4952" s="19" t="s">
        <v>74</v>
      </c>
      <c r="C4952" s="5">
        <v>1816</v>
      </c>
      <c r="D4952" s="4" t="s">
        <v>12</v>
      </c>
      <c r="E4952" s="1" t="s">
        <v>2</v>
      </c>
      <c r="F4952" s="18">
        <v>2173</v>
      </c>
      <c r="G4952" s="18">
        <v>65</v>
      </c>
      <c r="H4952" s="5">
        <v>125</v>
      </c>
      <c r="I4952" s="1">
        <v>121</v>
      </c>
      <c r="J4952" s="1">
        <v>264</v>
      </c>
      <c r="K4952" s="1"/>
      <c r="L4952" t="str">
        <f t="shared" si="77"/>
        <v>http://www.badatelna.eu/reprodukce/?fondId=1073&amp;zaznamId=1108959&amp;reproId=3780058</v>
      </c>
      <c r="M4952">
        <f>VLOOKUP(F4952,Sheet2!$B$1:$E$19,2,FALSE)</f>
        <v>1073</v>
      </c>
      <c r="N4952">
        <f>VLOOKUP(F4952,Sheet2!$B$1:$E$19,3,FALSE)</f>
        <v>1108959</v>
      </c>
      <c r="O4952">
        <f>IF(G4952="Not available","",VLOOKUP(F4952,Sheet2!$B$1:$E$19,4,FALSE)+(G4952-1))</f>
        <v>3780058</v>
      </c>
    </row>
    <row r="4953" spans="1:15" s="3" customFormat="1" ht="15" customHeight="1" x14ac:dyDescent="0.25">
      <c r="A4953" s="18" t="s">
        <v>460</v>
      </c>
      <c r="B4953" s="18" t="s">
        <v>490</v>
      </c>
      <c r="C4953" s="5">
        <v>1845</v>
      </c>
      <c r="D4953" s="4" t="s">
        <v>3249</v>
      </c>
      <c r="E4953" s="1" t="s">
        <v>2</v>
      </c>
      <c r="F4953" s="18">
        <v>2174</v>
      </c>
      <c r="G4953" s="18">
        <v>163</v>
      </c>
      <c r="H4953" s="14" t="s">
        <v>3250</v>
      </c>
      <c r="I4953" s="1">
        <v>209</v>
      </c>
      <c r="J4953" s="1">
        <v>246</v>
      </c>
      <c r="K4953" s="1"/>
      <c r="L4953" t="str">
        <f t="shared" si="77"/>
        <v>http://www.badatelna.eu/reprodukce/?fondId=1073&amp;zaznamId=1108960&amp;reproId=3780387</v>
      </c>
      <c r="M4953">
        <f>VLOOKUP(F4953,Sheet2!$B$1:$E$19,2,FALSE)</f>
        <v>1073</v>
      </c>
      <c r="N4953">
        <f>VLOOKUP(F4953,Sheet2!$B$1:$E$19,3,FALSE)</f>
        <v>1108960</v>
      </c>
      <c r="O4953">
        <f>IF(G4953="Not available","",VLOOKUP(F4953,Sheet2!$B$1:$E$19,4,FALSE)+(G4953-1))</f>
        <v>3780387</v>
      </c>
    </row>
    <row r="4954" spans="1:15" s="3" customFormat="1" ht="15" customHeight="1" x14ac:dyDescent="0.25">
      <c r="A4954" s="19" t="s">
        <v>460</v>
      </c>
      <c r="B4954" s="18" t="s">
        <v>3056</v>
      </c>
      <c r="C4954" s="5">
        <v>1813</v>
      </c>
      <c r="D4954" s="1"/>
      <c r="E4954" s="1" t="s">
        <v>2</v>
      </c>
      <c r="F4954" s="18">
        <v>2173</v>
      </c>
      <c r="G4954" s="18">
        <v>61</v>
      </c>
      <c r="H4954" s="5">
        <v>116</v>
      </c>
      <c r="I4954" s="1">
        <v>121</v>
      </c>
      <c r="J4954" s="1">
        <v>264</v>
      </c>
      <c r="K4954" s="1"/>
      <c r="L4954" t="str">
        <f t="shared" si="77"/>
        <v>http://www.badatelna.eu/reprodukce/?fondId=1073&amp;zaznamId=1108959&amp;reproId=3780054</v>
      </c>
      <c r="M4954">
        <f>VLOOKUP(F4954,Sheet2!$B$1:$E$19,2,FALSE)</f>
        <v>1073</v>
      </c>
      <c r="N4954">
        <f>VLOOKUP(F4954,Sheet2!$B$1:$E$19,3,FALSE)</f>
        <v>1108959</v>
      </c>
      <c r="O4954">
        <f>IF(G4954="Not available","",VLOOKUP(F4954,Sheet2!$B$1:$E$19,4,FALSE)+(G4954-1))</f>
        <v>3780054</v>
      </c>
    </row>
    <row r="4955" spans="1:15" s="3" customFormat="1" ht="15" customHeight="1" x14ac:dyDescent="0.25">
      <c r="A4955" s="19" t="s">
        <v>460</v>
      </c>
      <c r="B4955" s="19" t="s">
        <v>40</v>
      </c>
      <c r="C4955" s="5">
        <v>1814</v>
      </c>
      <c r="D4955" s="4" t="s">
        <v>12</v>
      </c>
      <c r="E4955" s="1" t="s">
        <v>2</v>
      </c>
      <c r="F4955" s="18">
        <v>2173</v>
      </c>
      <c r="G4955" s="18">
        <v>63</v>
      </c>
      <c r="H4955" s="5">
        <v>120</v>
      </c>
      <c r="I4955" s="1">
        <v>121</v>
      </c>
      <c r="J4955" s="1">
        <v>264</v>
      </c>
      <c r="K4955" s="1"/>
      <c r="L4955" t="str">
        <f t="shared" si="77"/>
        <v>http://www.badatelna.eu/reprodukce/?fondId=1073&amp;zaznamId=1108959&amp;reproId=3780056</v>
      </c>
      <c r="M4955">
        <f>VLOOKUP(F4955,Sheet2!$B$1:$E$19,2,FALSE)</f>
        <v>1073</v>
      </c>
      <c r="N4955">
        <f>VLOOKUP(F4955,Sheet2!$B$1:$E$19,3,FALSE)</f>
        <v>1108959</v>
      </c>
      <c r="O4955">
        <f>IF(G4955="Not available","",VLOOKUP(F4955,Sheet2!$B$1:$E$19,4,FALSE)+(G4955-1))</f>
        <v>3780056</v>
      </c>
    </row>
    <row r="4956" spans="1:15" s="3" customFormat="1" ht="15" customHeight="1" x14ac:dyDescent="0.25">
      <c r="A4956" s="19" t="s">
        <v>460</v>
      </c>
      <c r="B4956" s="18" t="s">
        <v>26</v>
      </c>
      <c r="C4956" s="6" t="s">
        <v>2960</v>
      </c>
      <c r="D4956" s="1"/>
      <c r="E4956" s="1" t="s">
        <v>2</v>
      </c>
      <c r="F4956" s="18">
        <v>2173</v>
      </c>
      <c r="G4956" s="18">
        <v>67</v>
      </c>
      <c r="H4956" s="6" t="s">
        <v>2999</v>
      </c>
      <c r="I4956" s="1">
        <v>121</v>
      </c>
      <c r="J4956" s="1">
        <v>264</v>
      </c>
      <c r="K4956" s="1"/>
      <c r="L4956" t="str">
        <f t="shared" si="77"/>
        <v>http://www.badatelna.eu/reprodukce/?fondId=1073&amp;zaznamId=1108959&amp;reproId=3780060</v>
      </c>
      <c r="M4956">
        <f>VLOOKUP(F4956,Sheet2!$B$1:$E$19,2,FALSE)</f>
        <v>1073</v>
      </c>
      <c r="N4956">
        <f>VLOOKUP(F4956,Sheet2!$B$1:$E$19,3,FALSE)</f>
        <v>1108959</v>
      </c>
      <c r="O4956">
        <f>IF(G4956="Not available","",VLOOKUP(F4956,Sheet2!$B$1:$E$19,4,FALSE)+(G4956-1))</f>
        <v>3780060</v>
      </c>
    </row>
    <row r="4957" spans="1:15" s="3" customFormat="1" ht="15" customHeight="1" x14ac:dyDescent="0.25">
      <c r="A4957" s="18" t="s">
        <v>460</v>
      </c>
      <c r="B4957" s="18" t="s">
        <v>26</v>
      </c>
      <c r="C4957" s="5">
        <v>1856</v>
      </c>
      <c r="D4957" s="1" t="s">
        <v>146</v>
      </c>
      <c r="E4957" s="1" t="s">
        <v>2</v>
      </c>
      <c r="F4957" s="18">
        <v>2164</v>
      </c>
      <c r="G4957" s="18">
        <v>111</v>
      </c>
      <c r="H4957" s="5">
        <v>109</v>
      </c>
      <c r="I4957" s="1">
        <v>143</v>
      </c>
      <c r="J4957" s="1">
        <v>246</v>
      </c>
      <c r="K4957" s="1"/>
      <c r="L4957" t="str">
        <f t="shared" si="77"/>
        <v>http://www.badatelna.eu/reprodukce/?fondId=1073&amp;zaznamId=1108951&amp;reproId=3778825</v>
      </c>
      <c r="M4957">
        <f>VLOOKUP(F4957,Sheet2!$B$1:$E$19,2,FALSE)</f>
        <v>1073</v>
      </c>
      <c r="N4957">
        <f>VLOOKUP(F4957,Sheet2!$B$1:$E$19,3,FALSE)</f>
        <v>1108951</v>
      </c>
      <c r="O4957">
        <f>IF(G4957="Not available","",VLOOKUP(F4957,Sheet2!$B$1:$E$19,4,FALSE)+(G4957-1))</f>
        <v>3778825</v>
      </c>
    </row>
    <row r="4958" spans="1:15" s="3" customFormat="1" ht="15" customHeight="1" x14ac:dyDescent="0.25">
      <c r="A4958" s="18" t="s">
        <v>460</v>
      </c>
      <c r="B4958" s="18" t="s">
        <v>233</v>
      </c>
      <c r="C4958" s="5">
        <v>1858</v>
      </c>
      <c r="D4958" s="1"/>
      <c r="E4958" s="1" t="s">
        <v>939</v>
      </c>
      <c r="F4958" s="18">
        <v>999</v>
      </c>
      <c r="G4958" s="18">
        <v>9</v>
      </c>
      <c r="H4958" s="5">
        <v>7</v>
      </c>
      <c r="I4958" s="1">
        <v>79</v>
      </c>
      <c r="J4958" s="1">
        <v>112</v>
      </c>
      <c r="K4958" s="1"/>
      <c r="L4958" t="str">
        <f t="shared" si="77"/>
        <v>http://www.badatelna.eu/reprodukce/?fondId=241&amp;zaznamId=1133739&amp;reproId=3885738</v>
      </c>
      <c r="M4958">
        <f>VLOOKUP(F4958,Sheet2!$B$1:$E$19,2,FALSE)</f>
        <v>241</v>
      </c>
      <c r="N4958">
        <f>VLOOKUP(F4958,Sheet2!$B$1:$E$19,3,FALSE)</f>
        <v>1133739</v>
      </c>
      <c r="O4958">
        <f>IF(G4958="Not available","",VLOOKUP(F4958,Sheet2!$B$1:$E$19,4,FALSE)+(G4958-1))</f>
        <v>3885738</v>
      </c>
    </row>
    <row r="4959" spans="1:15" s="3" customFormat="1" ht="15" customHeight="1" x14ac:dyDescent="0.25">
      <c r="A4959" s="19" t="s">
        <v>460</v>
      </c>
      <c r="B4959" s="18" t="s">
        <v>310</v>
      </c>
      <c r="C4959" s="5">
        <v>1828</v>
      </c>
      <c r="D4959" s="1"/>
      <c r="E4959" s="1" t="s">
        <v>2</v>
      </c>
      <c r="F4959" s="18">
        <v>2173</v>
      </c>
      <c r="G4959" s="18">
        <v>81</v>
      </c>
      <c r="H4959" s="5">
        <v>154</v>
      </c>
      <c r="I4959" s="1">
        <v>121</v>
      </c>
      <c r="J4959" s="1">
        <v>264</v>
      </c>
      <c r="K4959" s="1"/>
      <c r="L4959" t="str">
        <f t="shared" si="77"/>
        <v>http://www.badatelna.eu/reprodukce/?fondId=1073&amp;zaznamId=1108959&amp;reproId=3780074</v>
      </c>
      <c r="M4959">
        <f>VLOOKUP(F4959,Sheet2!$B$1:$E$19,2,FALSE)</f>
        <v>1073</v>
      </c>
      <c r="N4959">
        <f>VLOOKUP(F4959,Sheet2!$B$1:$E$19,3,FALSE)</f>
        <v>1108959</v>
      </c>
      <c r="O4959">
        <f>IF(G4959="Not available","",VLOOKUP(F4959,Sheet2!$B$1:$E$19,4,FALSE)+(G4959-1))</f>
        <v>3780074</v>
      </c>
    </row>
    <row r="4960" spans="1:15" s="3" customFormat="1" ht="15" customHeight="1" x14ac:dyDescent="0.25">
      <c r="A4960" s="18" t="s">
        <v>460</v>
      </c>
      <c r="B4960" s="18" t="s">
        <v>434</v>
      </c>
      <c r="C4960" s="5">
        <v>1851</v>
      </c>
      <c r="D4960" s="1" t="s">
        <v>495</v>
      </c>
      <c r="E4960" s="1" t="s">
        <v>2</v>
      </c>
      <c r="F4960" s="18">
        <v>2164</v>
      </c>
      <c r="G4960" s="18">
        <v>72</v>
      </c>
      <c r="H4960" s="5">
        <v>70</v>
      </c>
      <c r="I4960" s="1">
        <v>143</v>
      </c>
      <c r="J4960" s="1">
        <v>246</v>
      </c>
      <c r="K4960" s="1"/>
      <c r="L4960" t="str">
        <f t="shared" si="77"/>
        <v>http://www.badatelna.eu/reprodukce/?fondId=1073&amp;zaznamId=1108951&amp;reproId=3778786</v>
      </c>
      <c r="M4960">
        <f>VLOOKUP(F4960,Sheet2!$B$1:$E$19,2,FALSE)</f>
        <v>1073</v>
      </c>
      <c r="N4960">
        <f>VLOOKUP(F4960,Sheet2!$B$1:$E$19,3,FALSE)</f>
        <v>1108951</v>
      </c>
      <c r="O4960">
        <f>IF(G4960="Not available","",VLOOKUP(F4960,Sheet2!$B$1:$E$19,4,FALSE)+(G4960-1))</f>
        <v>3778786</v>
      </c>
    </row>
    <row r="4961" spans="1:15" s="3" customFormat="1" ht="15" customHeight="1" x14ac:dyDescent="0.25">
      <c r="A4961" s="18" t="s">
        <v>460</v>
      </c>
      <c r="B4961" s="18" t="s">
        <v>493</v>
      </c>
      <c r="C4961" s="5">
        <v>1848</v>
      </c>
      <c r="D4961" s="1" t="s">
        <v>495</v>
      </c>
      <c r="E4961" s="1" t="s">
        <v>2</v>
      </c>
      <c r="F4961" s="18">
        <v>2164</v>
      </c>
      <c r="G4961" s="18">
        <v>35</v>
      </c>
      <c r="H4961" s="5">
        <v>33</v>
      </c>
      <c r="I4961" s="1">
        <v>143</v>
      </c>
      <c r="J4961" s="1">
        <v>246</v>
      </c>
      <c r="K4961" s="1"/>
      <c r="L4961" t="str">
        <f t="shared" si="77"/>
        <v>http://www.badatelna.eu/reprodukce/?fondId=1073&amp;zaznamId=1108951&amp;reproId=3778749</v>
      </c>
      <c r="M4961">
        <f>VLOOKUP(F4961,Sheet2!$B$1:$E$19,2,FALSE)</f>
        <v>1073</v>
      </c>
      <c r="N4961">
        <f>VLOOKUP(F4961,Sheet2!$B$1:$E$19,3,FALSE)</f>
        <v>1108951</v>
      </c>
      <c r="O4961">
        <f>IF(G4961="Not available","",VLOOKUP(F4961,Sheet2!$B$1:$E$19,4,FALSE)+(G4961-1))</f>
        <v>3778749</v>
      </c>
    </row>
    <row r="4962" spans="1:15" s="3" customFormat="1" ht="15" customHeight="1" x14ac:dyDescent="0.25">
      <c r="A4962" s="18" t="s">
        <v>460</v>
      </c>
      <c r="B4962" s="18" t="s">
        <v>146</v>
      </c>
      <c r="C4962" s="5">
        <v>1824</v>
      </c>
      <c r="D4962" s="1"/>
      <c r="E4962" s="1" t="s">
        <v>2</v>
      </c>
      <c r="F4962" s="18">
        <v>2173</v>
      </c>
      <c r="G4962" s="18">
        <v>75</v>
      </c>
      <c r="H4962" s="5">
        <v>142</v>
      </c>
      <c r="I4962" s="1">
        <v>121</v>
      </c>
      <c r="J4962" s="1">
        <v>264</v>
      </c>
      <c r="K4962" s="1"/>
      <c r="L4962" t="str">
        <f t="shared" si="77"/>
        <v>http://www.badatelna.eu/reprodukce/?fondId=1073&amp;zaznamId=1108959&amp;reproId=3780068</v>
      </c>
      <c r="M4962">
        <f>VLOOKUP(F4962,Sheet2!$B$1:$E$19,2,FALSE)</f>
        <v>1073</v>
      </c>
      <c r="N4962">
        <f>VLOOKUP(F4962,Sheet2!$B$1:$E$19,3,FALSE)</f>
        <v>1108959</v>
      </c>
      <c r="O4962">
        <f>IF(G4962="Not available","",VLOOKUP(F4962,Sheet2!$B$1:$E$19,4,FALSE)+(G4962-1))</f>
        <v>3780068</v>
      </c>
    </row>
    <row r="4963" spans="1:15" s="3" customFormat="1" ht="15" customHeight="1" x14ac:dyDescent="0.25">
      <c r="A4963" s="18" t="s">
        <v>460</v>
      </c>
      <c r="B4963" s="18" t="s">
        <v>398</v>
      </c>
      <c r="C4963" s="5">
        <v>1846</v>
      </c>
      <c r="D4963" s="1"/>
      <c r="E4963" s="1" t="s">
        <v>2</v>
      </c>
      <c r="F4963" s="18">
        <v>2174</v>
      </c>
      <c r="G4963" s="18">
        <v>173</v>
      </c>
      <c r="H4963" s="6" t="s">
        <v>3237</v>
      </c>
      <c r="I4963" s="1">
        <v>209</v>
      </c>
      <c r="J4963" s="1">
        <v>246</v>
      </c>
      <c r="K4963" s="1"/>
      <c r="L4963" t="str">
        <f t="shared" si="77"/>
        <v>http://www.badatelna.eu/reprodukce/?fondId=1073&amp;zaznamId=1108960&amp;reproId=3780397</v>
      </c>
      <c r="M4963">
        <f>VLOOKUP(F4963,Sheet2!$B$1:$E$19,2,FALSE)</f>
        <v>1073</v>
      </c>
      <c r="N4963">
        <f>VLOOKUP(F4963,Sheet2!$B$1:$E$19,3,FALSE)</f>
        <v>1108960</v>
      </c>
      <c r="O4963">
        <f>IF(G4963="Not available","",VLOOKUP(F4963,Sheet2!$B$1:$E$19,4,FALSE)+(G4963-1))</f>
        <v>3780397</v>
      </c>
    </row>
    <row r="4964" spans="1:15" s="3" customFormat="1" ht="15" customHeight="1" x14ac:dyDescent="0.25">
      <c r="A4964" s="18" t="s">
        <v>460</v>
      </c>
      <c r="B4964" s="18" t="s">
        <v>150</v>
      </c>
      <c r="C4964" s="5">
        <v>1854</v>
      </c>
      <c r="D4964" s="1" t="s">
        <v>146</v>
      </c>
      <c r="E4964" s="1" t="s">
        <v>2</v>
      </c>
      <c r="F4964" s="18">
        <v>2164</v>
      </c>
      <c r="G4964" s="18">
        <v>100</v>
      </c>
      <c r="H4964" s="5">
        <v>98</v>
      </c>
      <c r="I4964" s="1">
        <v>143</v>
      </c>
      <c r="J4964" s="1">
        <v>246</v>
      </c>
      <c r="K4964" s="1"/>
      <c r="L4964" t="str">
        <f t="shared" si="77"/>
        <v>http://www.badatelna.eu/reprodukce/?fondId=1073&amp;zaznamId=1108951&amp;reproId=3778814</v>
      </c>
      <c r="M4964">
        <f>VLOOKUP(F4964,Sheet2!$B$1:$E$19,2,FALSE)</f>
        <v>1073</v>
      </c>
      <c r="N4964">
        <f>VLOOKUP(F4964,Sheet2!$B$1:$E$19,3,FALSE)</f>
        <v>1108951</v>
      </c>
      <c r="O4964">
        <f>IF(G4964="Not available","",VLOOKUP(F4964,Sheet2!$B$1:$E$19,4,FALSE)+(G4964-1))</f>
        <v>3778814</v>
      </c>
    </row>
    <row r="4965" spans="1:15" s="3" customFormat="1" ht="15" customHeight="1" x14ac:dyDescent="0.25">
      <c r="A4965" s="19" t="s">
        <v>460</v>
      </c>
      <c r="B4965" s="18" t="s">
        <v>130</v>
      </c>
      <c r="C4965" s="5">
        <v>1819</v>
      </c>
      <c r="D4965" s="1"/>
      <c r="E4965" s="1" t="s">
        <v>2</v>
      </c>
      <c r="F4965" s="18">
        <v>2173</v>
      </c>
      <c r="G4965" s="18">
        <v>70</v>
      </c>
      <c r="H4965" s="5">
        <v>132</v>
      </c>
      <c r="I4965" s="1">
        <v>121</v>
      </c>
      <c r="J4965" s="1">
        <v>264</v>
      </c>
      <c r="K4965" s="1"/>
      <c r="L4965" t="str">
        <f t="shared" si="77"/>
        <v>http://www.badatelna.eu/reprodukce/?fondId=1073&amp;zaznamId=1108959&amp;reproId=3780063</v>
      </c>
      <c r="M4965">
        <f>VLOOKUP(F4965,Sheet2!$B$1:$E$19,2,FALSE)</f>
        <v>1073</v>
      </c>
      <c r="N4965">
        <f>VLOOKUP(F4965,Sheet2!$B$1:$E$19,3,FALSE)</f>
        <v>1108959</v>
      </c>
      <c r="O4965">
        <f>IF(G4965="Not available","",VLOOKUP(F4965,Sheet2!$B$1:$E$19,4,FALSE)+(G4965-1))</f>
        <v>3780063</v>
      </c>
    </row>
    <row r="4966" spans="1:15" s="3" customFormat="1" ht="15" customHeight="1" x14ac:dyDescent="0.25">
      <c r="A4966" s="18" t="s">
        <v>460</v>
      </c>
      <c r="B4966" s="18" t="s">
        <v>542</v>
      </c>
      <c r="C4966" s="5">
        <v>1860</v>
      </c>
      <c r="D4966" s="1"/>
      <c r="E4966" s="1" t="s">
        <v>939</v>
      </c>
      <c r="F4966" s="18">
        <v>999</v>
      </c>
      <c r="G4966" s="18">
        <v>23</v>
      </c>
      <c r="H4966" s="5">
        <v>21</v>
      </c>
      <c r="I4966" s="1">
        <v>79</v>
      </c>
      <c r="J4966" s="1">
        <v>112</v>
      </c>
      <c r="K4966" s="1"/>
      <c r="L4966" t="str">
        <f t="shared" si="77"/>
        <v>http://www.badatelna.eu/reprodukce/?fondId=241&amp;zaznamId=1133739&amp;reproId=3885752</v>
      </c>
      <c r="M4966">
        <f>VLOOKUP(F4966,Sheet2!$B$1:$E$19,2,FALSE)</f>
        <v>241</v>
      </c>
      <c r="N4966">
        <f>VLOOKUP(F4966,Sheet2!$B$1:$E$19,3,FALSE)</f>
        <v>1133739</v>
      </c>
      <c r="O4966">
        <f>IF(G4966="Not available","",VLOOKUP(F4966,Sheet2!$B$1:$E$19,4,FALSE)+(G4966-1))</f>
        <v>3885752</v>
      </c>
    </row>
    <row r="4967" spans="1:15" s="3" customFormat="1" ht="15" customHeight="1" x14ac:dyDescent="0.25">
      <c r="A4967" s="19" t="s">
        <v>460</v>
      </c>
      <c r="B4967" s="18" t="s">
        <v>76</v>
      </c>
      <c r="C4967" s="5">
        <v>1827</v>
      </c>
      <c r="D4967" s="1"/>
      <c r="E4967" s="1" t="s">
        <v>2</v>
      </c>
      <c r="F4967" s="18">
        <v>2173</v>
      </c>
      <c r="G4967" s="18">
        <v>80</v>
      </c>
      <c r="H4967" s="5">
        <v>152</v>
      </c>
      <c r="I4967" s="1">
        <v>121</v>
      </c>
      <c r="J4967" s="1">
        <v>264</v>
      </c>
      <c r="K4967" s="1"/>
      <c r="L4967" t="str">
        <f t="shared" si="77"/>
        <v>http://www.badatelna.eu/reprodukce/?fondId=1073&amp;zaznamId=1108959&amp;reproId=3780073</v>
      </c>
      <c r="M4967">
        <f>VLOOKUP(F4967,Sheet2!$B$1:$E$19,2,FALSE)</f>
        <v>1073</v>
      </c>
      <c r="N4967">
        <f>VLOOKUP(F4967,Sheet2!$B$1:$E$19,3,FALSE)</f>
        <v>1108959</v>
      </c>
      <c r="O4967">
        <f>IF(G4967="Not available","",VLOOKUP(F4967,Sheet2!$B$1:$E$19,4,FALSE)+(G4967-1))</f>
        <v>3780073</v>
      </c>
    </row>
    <row r="4968" spans="1:15" s="3" customFormat="1" ht="15" customHeight="1" x14ac:dyDescent="0.25">
      <c r="A4968" s="18" t="s">
        <v>2804</v>
      </c>
      <c r="B4968" s="18" t="s">
        <v>2805</v>
      </c>
      <c r="C4968" s="10" t="s">
        <v>2106</v>
      </c>
      <c r="D4968" s="3" t="s">
        <v>2806</v>
      </c>
      <c r="E4968" s="4" t="s">
        <v>2</v>
      </c>
      <c r="F4968" s="18">
        <v>2176</v>
      </c>
      <c r="G4968" s="18" t="s">
        <v>3271</v>
      </c>
      <c r="H4968" s="10" t="s">
        <v>2083</v>
      </c>
      <c r="I4968" s="3">
        <v>51</v>
      </c>
      <c r="J4968" s="3" t="s">
        <v>3271</v>
      </c>
      <c r="L4968" t="str">
        <f t="shared" si="77"/>
        <v/>
      </c>
      <c r="M4968">
        <f>VLOOKUP(F4968,Sheet2!$B$1:$E$19,2,FALSE)</f>
        <v>1073</v>
      </c>
      <c r="N4968">
        <f>VLOOKUP(F4968,Sheet2!$B$1:$E$19,3,FALSE)</f>
        <v>1108963</v>
      </c>
      <c r="O4968" t="str">
        <f>IF(G4968="Not available","",VLOOKUP(F4968,Sheet2!$B$1:$E$19,4,FALSE)+(G4968-1))</f>
        <v/>
      </c>
    </row>
    <row r="4969" spans="1:15" s="3" customFormat="1" ht="15" customHeight="1" x14ac:dyDescent="0.25">
      <c r="A4969" s="18" t="s">
        <v>470</v>
      </c>
      <c r="B4969" s="18" t="s">
        <v>1107</v>
      </c>
      <c r="C4969" s="5" t="s">
        <v>1677</v>
      </c>
      <c r="D4969" s="1" t="s">
        <v>12</v>
      </c>
      <c r="E4969" s="1" t="s">
        <v>2</v>
      </c>
      <c r="F4969" s="18">
        <v>2165</v>
      </c>
      <c r="G4969" s="18">
        <v>8</v>
      </c>
      <c r="H4969" s="5">
        <v>5</v>
      </c>
      <c r="I4969" s="1">
        <v>97</v>
      </c>
      <c r="J4969" s="4" t="s">
        <v>3271</v>
      </c>
      <c r="K4969" s="1"/>
      <c r="L4969" t="str">
        <f t="shared" si="77"/>
        <v>http://www.badatelna.eu/reprodukce/?fondId=1073&amp;zaznamId=1108952&amp;reproId=3778869</v>
      </c>
      <c r="M4969">
        <f>VLOOKUP(F4969,Sheet2!$B$1:$E$19,2,FALSE)</f>
        <v>1073</v>
      </c>
      <c r="N4969">
        <f>VLOOKUP(F4969,Sheet2!$B$1:$E$19,3,FALSE)</f>
        <v>1108952</v>
      </c>
      <c r="O4969">
        <f>IF(G4969="Not available","",VLOOKUP(F4969,Sheet2!$B$1:$E$19,4,FALSE)+(G4969-1))</f>
        <v>3778869</v>
      </c>
    </row>
    <row r="4970" spans="1:15" s="3" customFormat="1" ht="15" customHeight="1" x14ac:dyDescent="0.25">
      <c r="A4970" s="18" t="s">
        <v>470</v>
      </c>
      <c r="B4970" s="18" t="s">
        <v>191</v>
      </c>
      <c r="C4970" s="5">
        <v>1865</v>
      </c>
      <c r="D4970" s="1"/>
      <c r="E4970" s="1" t="s">
        <v>939</v>
      </c>
      <c r="F4970" s="18">
        <v>999</v>
      </c>
      <c r="G4970" s="18">
        <v>55</v>
      </c>
      <c r="H4970" s="5">
        <v>53</v>
      </c>
      <c r="I4970" s="1">
        <v>79</v>
      </c>
      <c r="J4970" s="1">
        <v>112</v>
      </c>
      <c r="K4970" s="1"/>
      <c r="L4970" t="str">
        <f t="shared" si="77"/>
        <v>http://www.badatelna.eu/reprodukce/?fondId=241&amp;zaznamId=1133739&amp;reproId=3885784</v>
      </c>
      <c r="M4970">
        <f>VLOOKUP(F4970,Sheet2!$B$1:$E$19,2,FALSE)</f>
        <v>241</v>
      </c>
      <c r="N4970">
        <f>VLOOKUP(F4970,Sheet2!$B$1:$E$19,3,FALSE)</f>
        <v>1133739</v>
      </c>
      <c r="O4970">
        <f>IF(G4970="Not available","",VLOOKUP(F4970,Sheet2!$B$1:$E$19,4,FALSE)+(G4970-1))</f>
        <v>3885784</v>
      </c>
    </row>
    <row r="4971" spans="1:15" s="3" customFormat="1" ht="15" customHeight="1" x14ac:dyDescent="0.25">
      <c r="A4971" s="18" t="s">
        <v>470</v>
      </c>
      <c r="B4971" s="18" t="s">
        <v>59</v>
      </c>
      <c r="C4971" s="5">
        <v>1835</v>
      </c>
      <c r="D4971" s="1" t="s">
        <v>23</v>
      </c>
      <c r="E4971" s="1" t="s">
        <v>2</v>
      </c>
      <c r="F4971" s="18">
        <v>2174</v>
      </c>
      <c r="G4971" s="18">
        <v>81</v>
      </c>
      <c r="H4971" s="6" t="s">
        <v>3148</v>
      </c>
      <c r="I4971" s="1">
        <v>208</v>
      </c>
      <c r="J4971" s="1">
        <v>245</v>
      </c>
      <c r="K4971" s="1"/>
      <c r="L4971" t="str">
        <f t="shared" si="77"/>
        <v>http://www.badatelna.eu/reprodukce/?fondId=1073&amp;zaznamId=1108960&amp;reproId=3780305</v>
      </c>
      <c r="M4971">
        <f>VLOOKUP(F4971,Sheet2!$B$1:$E$19,2,FALSE)</f>
        <v>1073</v>
      </c>
      <c r="N4971">
        <f>VLOOKUP(F4971,Sheet2!$B$1:$E$19,3,FALSE)</f>
        <v>1108960</v>
      </c>
      <c r="O4971">
        <f>IF(G4971="Not available","",VLOOKUP(F4971,Sheet2!$B$1:$E$19,4,FALSE)+(G4971-1))</f>
        <v>3780305</v>
      </c>
    </row>
    <row r="4972" spans="1:15" s="3" customFormat="1" ht="15" customHeight="1" x14ac:dyDescent="0.25">
      <c r="A4972" s="18" t="s">
        <v>470</v>
      </c>
      <c r="B4972" s="18" t="s">
        <v>129</v>
      </c>
      <c r="C4972" s="5">
        <v>1865</v>
      </c>
      <c r="D4972" s="1"/>
      <c r="E4972" s="1" t="s">
        <v>939</v>
      </c>
      <c r="F4972" s="18">
        <v>999</v>
      </c>
      <c r="G4972" s="18">
        <v>55</v>
      </c>
      <c r="H4972" s="5">
        <v>53</v>
      </c>
      <c r="I4972" s="1">
        <v>79</v>
      </c>
      <c r="J4972" s="1">
        <v>112</v>
      </c>
      <c r="K4972" s="1"/>
      <c r="L4972" t="str">
        <f t="shared" si="77"/>
        <v>http://www.badatelna.eu/reprodukce/?fondId=241&amp;zaznamId=1133739&amp;reproId=3885784</v>
      </c>
      <c r="M4972">
        <f>VLOOKUP(F4972,Sheet2!$B$1:$E$19,2,FALSE)</f>
        <v>241</v>
      </c>
      <c r="N4972">
        <f>VLOOKUP(F4972,Sheet2!$B$1:$E$19,3,FALSE)</f>
        <v>1133739</v>
      </c>
      <c r="O4972">
        <f>IF(G4972="Not available","",VLOOKUP(F4972,Sheet2!$B$1:$E$19,4,FALSE)+(G4972-1))</f>
        <v>3885784</v>
      </c>
    </row>
    <row r="4973" spans="1:15" s="3" customFormat="1" ht="15" customHeight="1" x14ac:dyDescent="0.25">
      <c r="A4973" s="18" t="s">
        <v>470</v>
      </c>
      <c r="B4973" s="18" t="s">
        <v>129</v>
      </c>
      <c r="C4973" s="5" t="s">
        <v>1675</v>
      </c>
      <c r="D4973" s="1" t="s">
        <v>12</v>
      </c>
      <c r="E4973" s="1" t="s">
        <v>2</v>
      </c>
      <c r="F4973" s="18">
        <v>2165</v>
      </c>
      <c r="G4973" s="18">
        <v>8</v>
      </c>
      <c r="H4973" s="5">
        <v>5</v>
      </c>
      <c r="I4973" s="1">
        <v>97</v>
      </c>
      <c r="J4973" s="4" t="s">
        <v>3271</v>
      </c>
      <c r="K4973" s="1"/>
      <c r="L4973" t="str">
        <f t="shared" si="77"/>
        <v>http://www.badatelna.eu/reprodukce/?fondId=1073&amp;zaznamId=1108952&amp;reproId=3778869</v>
      </c>
      <c r="M4973">
        <f>VLOOKUP(F4973,Sheet2!$B$1:$E$19,2,FALSE)</f>
        <v>1073</v>
      </c>
      <c r="N4973">
        <f>VLOOKUP(F4973,Sheet2!$B$1:$E$19,3,FALSE)</f>
        <v>1108952</v>
      </c>
      <c r="O4973">
        <f>IF(G4973="Not available","",VLOOKUP(F4973,Sheet2!$B$1:$E$19,4,FALSE)+(G4973-1))</f>
        <v>3778869</v>
      </c>
    </row>
    <row r="4974" spans="1:15" s="3" customFormat="1" ht="15" customHeight="1" x14ac:dyDescent="0.25">
      <c r="A4974" s="18" t="s">
        <v>470</v>
      </c>
      <c r="B4974" s="18" t="s">
        <v>370</v>
      </c>
      <c r="C4974" s="5" t="s">
        <v>1698</v>
      </c>
      <c r="D4974" s="1" t="s">
        <v>428</v>
      </c>
      <c r="E4974" s="1" t="s">
        <v>2</v>
      </c>
      <c r="F4974" s="18">
        <v>2165</v>
      </c>
      <c r="G4974" s="18">
        <v>43</v>
      </c>
      <c r="H4974" s="5">
        <v>40</v>
      </c>
      <c r="I4974" s="1">
        <v>97</v>
      </c>
      <c r="J4974" s="4" t="s">
        <v>3271</v>
      </c>
      <c r="K4974" s="1"/>
      <c r="L4974" t="str">
        <f t="shared" si="77"/>
        <v>http://www.badatelna.eu/reprodukce/?fondId=1073&amp;zaznamId=1108952&amp;reproId=3778904</v>
      </c>
      <c r="M4974">
        <f>VLOOKUP(F4974,Sheet2!$B$1:$E$19,2,FALSE)</f>
        <v>1073</v>
      </c>
      <c r="N4974">
        <f>VLOOKUP(F4974,Sheet2!$B$1:$E$19,3,FALSE)</f>
        <v>1108952</v>
      </c>
      <c r="O4974">
        <f>IF(G4974="Not available","",VLOOKUP(F4974,Sheet2!$B$1:$E$19,4,FALSE)+(G4974-1))</f>
        <v>3778904</v>
      </c>
    </row>
    <row r="4975" spans="1:15" s="3" customFormat="1" ht="15" customHeight="1" x14ac:dyDescent="0.25">
      <c r="A4975" s="18" t="s">
        <v>470</v>
      </c>
      <c r="B4975" s="18" t="s">
        <v>431</v>
      </c>
      <c r="C4975" s="5">
        <v>1865</v>
      </c>
      <c r="D4975" s="1"/>
      <c r="E4975" s="1" t="s">
        <v>939</v>
      </c>
      <c r="F4975" s="18">
        <v>999</v>
      </c>
      <c r="G4975" s="18">
        <v>55</v>
      </c>
      <c r="H4975" s="5">
        <v>53</v>
      </c>
      <c r="I4975" s="1">
        <v>79</v>
      </c>
      <c r="J4975" s="1">
        <v>112</v>
      </c>
      <c r="K4975" s="1"/>
      <c r="L4975" t="str">
        <f t="shared" si="77"/>
        <v>http://www.badatelna.eu/reprodukce/?fondId=241&amp;zaznamId=1133739&amp;reproId=3885784</v>
      </c>
      <c r="M4975">
        <f>VLOOKUP(F4975,Sheet2!$B$1:$E$19,2,FALSE)</f>
        <v>241</v>
      </c>
      <c r="N4975">
        <f>VLOOKUP(F4975,Sheet2!$B$1:$E$19,3,FALSE)</f>
        <v>1133739</v>
      </c>
      <c r="O4975">
        <f>IF(G4975="Not available","",VLOOKUP(F4975,Sheet2!$B$1:$E$19,4,FALSE)+(G4975-1))</f>
        <v>3885784</v>
      </c>
    </row>
    <row r="4976" spans="1:15" s="3" customFormat="1" ht="15" customHeight="1" x14ac:dyDescent="0.25">
      <c r="A4976" s="18" t="s">
        <v>470</v>
      </c>
      <c r="B4976" s="18" t="s">
        <v>1106</v>
      </c>
      <c r="C4976" s="5" t="s">
        <v>1676</v>
      </c>
      <c r="D4976" s="1" t="s">
        <v>12</v>
      </c>
      <c r="E4976" s="1" t="s">
        <v>2</v>
      </c>
      <c r="F4976" s="18">
        <v>2165</v>
      </c>
      <c r="G4976" s="18">
        <v>8</v>
      </c>
      <c r="H4976" s="5">
        <v>5</v>
      </c>
      <c r="I4976" s="1">
        <v>97</v>
      </c>
      <c r="J4976" s="4" t="s">
        <v>3271</v>
      </c>
      <c r="K4976" s="1"/>
      <c r="L4976" t="str">
        <f t="shared" si="77"/>
        <v>http://www.badatelna.eu/reprodukce/?fondId=1073&amp;zaznamId=1108952&amp;reproId=3778869</v>
      </c>
      <c r="M4976">
        <f>VLOOKUP(F4976,Sheet2!$B$1:$E$19,2,FALSE)</f>
        <v>1073</v>
      </c>
      <c r="N4976">
        <f>VLOOKUP(F4976,Sheet2!$B$1:$E$19,3,FALSE)</f>
        <v>1108952</v>
      </c>
      <c r="O4976">
        <f>IF(G4976="Not available","",VLOOKUP(F4976,Sheet2!$B$1:$E$19,4,FALSE)+(G4976-1))</f>
        <v>3778869</v>
      </c>
    </row>
    <row r="4977" spans="1:15" s="3" customFormat="1" ht="15" customHeight="1" x14ac:dyDescent="0.25">
      <c r="A4977" s="18" t="s">
        <v>470</v>
      </c>
      <c r="B4977" s="18" t="s">
        <v>25</v>
      </c>
      <c r="C4977" s="5" t="s">
        <v>1704</v>
      </c>
      <c r="D4977" s="1" t="s">
        <v>12</v>
      </c>
      <c r="E4977" s="1" t="s">
        <v>2</v>
      </c>
      <c r="F4977" s="18">
        <v>2165</v>
      </c>
      <c r="G4977" s="18">
        <v>55</v>
      </c>
      <c r="H4977" s="5">
        <v>52</v>
      </c>
      <c r="I4977" s="1">
        <v>98</v>
      </c>
      <c r="J4977" s="4" t="s">
        <v>3271</v>
      </c>
      <c r="K4977" s="1"/>
      <c r="L4977" t="str">
        <f t="shared" si="77"/>
        <v>http://www.badatelna.eu/reprodukce/?fondId=1073&amp;zaznamId=1108952&amp;reproId=3778916</v>
      </c>
      <c r="M4977">
        <f>VLOOKUP(F4977,Sheet2!$B$1:$E$19,2,FALSE)</f>
        <v>1073</v>
      </c>
      <c r="N4977">
        <f>VLOOKUP(F4977,Sheet2!$B$1:$E$19,3,FALSE)</f>
        <v>1108952</v>
      </c>
      <c r="O4977">
        <f>IF(G4977="Not available","",VLOOKUP(F4977,Sheet2!$B$1:$E$19,4,FALSE)+(G4977-1))</f>
        <v>3778916</v>
      </c>
    </row>
    <row r="4978" spans="1:15" s="3" customFormat="1" ht="15" customHeight="1" x14ac:dyDescent="0.25">
      <c r="A4978" s="18" t="s">
        <v>470</v>
      </c>
      <c r="B4978" s="18" t="s">
        <v>432</v>
      </c>
      <c r="C4978" s="5" t="s">
        <v>1685</v>
      </c>
      <c r="D4978" s="1" t="s">
        <v>12</v>
      </c>
      <c r="E4978" s="1" t="s">
        <v>2</v>
      </c>
      <c r="F4978" s="18">
        <v>2165</v>
      </c>
      <c r="G4978" s="18">
        <v>20</v>
      </c>
      <c r="H4978" s="5">
        <v>17</v>
      </c>
      <c r="I4978" s="1">
        <v>97</v>
      </c>
      <c r="J4978" s="4" t="s">
        <v>3271</v>
      </c>
      <c r="K4978" s="1"/>
      <c r="L4978" t="str">
        <f t="shared" si="77"/>
        <v>http://www.badatelna.eu/reprodukce/?fondId=1073&amp;zaznamId=1108952&amp;reproId=3778881</v>
      </c>
      <c r="M4978">
        <f>VLOOKUP(F4978,Sheet2!$B$1:$E$19,2,FALSE)</f>
        <v>1073</v>
      </c>
      <c r="N4978">
        <f>VLOOKUP(F4978,Sheet2!$B$1:$E$19,3,FALSE)</f>
        <v>1108952</v>
      </c>
      <c r="O4978">
        <f>IF(G4978="Not available","",VLOOKUP(F4978,Sheet2!$B$1:$E$19,4,FALSE)+(G4978-1))</f>
        <v>3778881</v>
      </c>
    </row>
    <row r="4979" spans="1:15" s="3" customFormat="1" ht="15" customHeight="1" x14ac:dyDescent="0.25">
      <c r="A4979" s="18" t="s">
        <v>470</v>
      </c>
      <c r="B4979" s="18" t="s">
        <v>491</v>
      </c>
      <c r="C4979" s="5" t="s">
        <v>1366</v>
      </c>
      <c r="D4979" s="1" t="s">
        <v>12</v>
      </c>
      <c r="E4979" s="1" t="s">
        <v>2</v>
      </c>
      <c r="F4979" s="18">
        <v>2165</v>
      </c>
      <c r="G4979" s="18">
        <v>28</v>
      </c>
      <c r="H4979" s="5">
        <v>25</v>
      </c>
      <c r="I4979" s="1">
        <v>97</v>
      </c>
      <c r="J4979" s="4" t="s">
        <v>3271</v>
      </c>
      <c r="K4979" s="1"/>
      <c r="L4979" t="str">
        <f t="shared" si="77"/>
        <v>http://www.badatelna.eu/reprodukce/?fondId=1073&amp;zaznamId=1108952&amp;reproId=3778889</v>
      </c>
      <c r="M4979">
        <f>VLOOKUP(F4979,Sheet2!$B$1:$E$19,2,FALSE)</f>
        <v>1073</v>
      </c>
      <c r="N4979">
        <f>VLOOKUP(F4979,Sheet2!$B$1:$E$19,3,FALSE)</f>
        <v>1108952</v>
      </c>
      <c r="O4979">
        <f>IF(G4979="Not available","",VLOOKUP(F4979,Sheet2!$B$1:$E$19,4,FALSE)+(G4979-1))</f>
        <v>3778889</v>
      </c>
    </row>
    <row r="4980" spans="1:15" s="3" customFormat="1" ht="15" customHeight="1" x14ac:dyDescent="0.25">
      <c r="A4980" s="18" t="s">
        <v>473</v>
      </c>
      <c r="B4980" s="18" t="s">
        <v>1977</v>
      </c>
      <c r="C4980" s="10" t="s">
        <v>2100</v>
      </c>
      <c r="D4980" s="3" t="s">
        <v>2796</v>
      </c>
      <c r="E4980" s="4" t="s">
        <v>2</v>
      </c>
      <c r="F4980" s="18">
        <v>2176</v>
      </c>
      <c r="G4980" s="18" t="s">
        <v>3271</v>
      </c>
      <c r="H4980" s="10" t="s">
        <v>2016</v>
      </c>
      <c r="I4980" s="3">
        <v>51</v>
      </c>
      <c r="J4980" s="3" t="s">
        <v>3271</v>
      </c>
      <c r="L4980" t="str">
        <f t="shared" si="77"/>
        <v/>
      </c>
      <c r="M4980">
        <f>VLOOKUP(F4980,Sheet2!$B$1:$E$19,2,FALSE)</f>
        <v>1073</v>
      </c>
      <c r="N4980">
        <f>VLOOKUP(F4980,Sheet2!$B$1:$E$19,3,FALSE)</f>
        <v>1108963</v>
      </c>
      <c r="O4980" t="str">
        <f>IF(G4980="Not available","",VLOOKUP(F4980,Sheet2!$B$1:$E$19,4,FALSE)+(G4980-1))</f>
        <v/>
      </c>
    </row>
    <row r="4981" spans="1:15" s="3" customFormat="1" ht="15" customHeight="1" x14ac:dyDescent="0.25">
      <c r="A4981" s="18" t="s">
        <v>473</v>
      </c>
      <c r="B4981" s="18" t="s">
        <v>1279</v>
      </c>
      <c r="C4981" s="6" t="s">
        <v>2100</v>
      </c>
      <c r="D4981" s="4" t="s">
        <v>985</v>
      </c>
      <c r="E4981" s="1" t="s">
        <v>2</v>
      </c>
      <c r="F4981" s="18">
        <v>2165</v>
      </c>
      <c r="G4981" s="18">
        <v>309</v>
      </c>
      <c r="H4981" s="5">
        <v>2</v>
      </c>
      <c r="I4981" s="1">
        <v>312</v>
      </c>
      <c r="J4981" s="1">
        <v>285</v>
      </c>
      <c r="K4981" s="1"/>
      <c r="L4981" t="str">
        <f t="shared" si="77"/>
        <v>http://www.badatelna.eu/reprodukce/?fondId=1073&amp;zaznamId=1108952&amp;reproId=3779170</v>
      </c>
      <c r="M4981">
        <f>VLOOKUP(F4981,Sheet2!$B$1:$E$19,2,FALSE)</f>
        <v>1073</v>
      </c>
      <c r="N4981">
        <f>VLOOKUP(F4981,Sheet2!$B$1:$E$19,3,FALSE)</f>
        <v>1108952</v>
      </c>
      <c r="O4981">
        <f>IF(G4981="Not available","",VLOOKUP(F4981,Sheet2!$B$1:$E$19,4,FALSE)+(G4981-1))</f>
        <v>3779170</v>
      </c>
    </row>
    <row r="4982" spans="1:15" s="3" customFormat="1" ht="15" customHeight="1" x14ac:dyDescent="0.25">
      <c r="A4982" s="18" t="s">
        <v>473</v>
      </c>
      <c r="B4982" s="19" t="s">
        <v>494</v>
      </c>
      <c r="C4982" s="5">
        <v>1843</v>
      </c>
      <c r="D4982" s="1" t="s">
        <v>483</v>
      </c>
      <c r="E4982" s="1" t="s">
        <v>2</v>
      </c>
      <c r="F4982" s="18">
        <v>2174</v>
      </c>
      <c r="G4982" s="18">
        <v>142</v>
      </c>
      <c r="H4982" s="6" t="s">
        <v>3208</v>
      </c>
      <c r="I4982" s="1">
        <v>209</v>
      </c>
      <c r="J4982" s="1">
        <v>246</v>
      </c>
      <c r="K4982" s="1"/>
      <c r="L4982" t="str">
        <f t="shared" si="77"/>
        <v>http://www.badatelna.eu/reprodukce/?fondId=1073&amp;zaznamId=1108960&amp;reproId=3780366</v>
      </c>
      <c r="M4982">
        <f>VLOOKUP(F4982,Sheet2!$B$1:$E$19,2,FALSE)</f>
        <v>1073</v>
      </c>
      <c r="N4982">
        <f>VLOOKUP(F4982,Sheet2!$B$1:$E$19,3,FALSE)</f>
        <v>1108960</v>
      </c>
      <c r="O4982">
        <f>IF(G4982="Not available","",VLOOKUP(F4982,Sheet2!$B$1:$E$19,4,FALSE)+(G4982-1))</f>
        <v>3780366</v>
      </c>
    </row>
    <row r="4983" spans="1:15" s="3" customFormat="1" ht="15" customHeight="1" x14ac:dyDescent="0.25">
      <c r="A4983" s="18" t="s">
        <v>473</v>
      </c>
      <c r="B4983" s="18" t="s">
        <v>1208</v>
      </c>
      <c r="C4983" s="10" t="s">
        <v>1957</v>
      </c>
      <c r="D4983" s="3" t="s">
        <v>2796</v>
      </c>
      <c r="E4983" s="4" t="s">
        <v>2</v>
      </c>
      <c r="F4983" s="18">
        <v>2176</v>
      </c>
      <c r="G4983" s="18" t="s">
        <v>3271</v>
      </c>
      <c r="H4983" s="10" t="s">
        <v>2080</v>
      </c>
      <c r="I4983" s="3">
        <v>51</v>
      </c>
      <c r="J4983" s="3" t="s">
        <v>3271</v>
      </c>
      <c r="L4983" t="str">
        <f t="shared" si="77"/>
        <v/>
      </c>
      <c r="M4983">
        <f>VLOOKUP(F4983,Sheet2!$B$1:$E$19,2,FALSE)</f>
        <v>1073</v>
      </c>
      <c r="N4983">
        <f>VLOOKUP(F4983,Sheet2!$B$1:$E$19,3,FALSE)</f>
        <v>1108963</v>
      </c>
      <c r="O4983" t="str">
        <f>IF(G4983="Not available","",VLOOKUP(F4983,Sheet2!$B$1:$E$19,4,FALSE)+(G4983-1))</f>
        <v/>
      </c>
    </row>
    <row r="4984" spans="1:15" s="3" customFormat="1" ht="15" customHeight="1" x14ac:dyDescent="0.25">
      <c r="A4984" s="18" t="s">
        <v>473</v>
      </c>
      <c r="B4984" s="18" t="s">
        <v>1208</v>
      </c>
      <c r="C4984" s="5" t="s">
        <v>1922</v>
      </c>
      <c r="D4984" s="1" t="s">
        <v>985</v>
      </c>
      <c r="E4984" s="1" t="s">
        <v>2</v>
      </c>
      <c r="F4984" s="18">
        <v>2165</v>
      </c>
      <c r="G4984" s="18">
        <v>283</v>
      </c>
      <c r="H4984" s="5">
        <v>3</v>
      </c>
      <c r="I4984" s="1">
        <v>285</v>
      </c>
      <c r="J4984" s="1">
        <v>259</v>
      </c>
      <c r="K4984" s="1"/>
      <c r="L4984" t="str">
        <f t="shared" si="77"/>
        <v>http://www.badatelna.eu/reprodukce/?fondId=1073&amp;zaznamId=1108952&amp;reproId=3779144</v>
      </c>
      <c r="M4984">
        <f>VLOOKUP(F4984,Sheet2!$B$1:$E$19,2,FALSE)</f>
        <v>1073</v>
      </c>
      <c r="N4984">
        <f>VLOOKUP(F4984,Sheet2!$B$1:$E$19,3,FALSE)</f>
        <v>1108952</v>
      </c>
      <c r="O4984">
        <f>IF(G4984="Not available","",VLOOKUP(F4984,Sheet2!$B$1:$E$19,4,FALSE)+(G4984-1))</f>
        <v>3779144</v>
      </c>
    </row>
    <row r="4985" spans="1:15" s="3" customFormat="1" ht="15" customHeight="1" x14ac:dyDescent="0.25">
      <c r="A4985" s="18" t="s">
        <v>473</v>
      </c>
      <c r="B4985" s="18" t="s">
        <v>34</v>
      </c>
      <c r="C4985" s="5">
        <v>1845</v>
      </c>
      <c r="D4985" s="1" t="s">
        <v>487</v>
      </c>
      <c r="E4985" s="1" t="s">
        <v>2</v>
      </c>
      <c r="F4985" s="18">
        <v>2174</v>
      </c>
      <c r="G4985" s="18">
        <v>154</v>
      </c>
      <c r="H4985" s="14" t="s">
        <v>3220</v>
      </c>
      <c r="I4985" s="1">
        <v>209</v>
      </c>
      <c r="J4985" s="1">
        <v>246</v>
      </c>
      <c r="K4985" s="1"/>
      <c r="L4985" t="str">
        <f t="shared" si="77"/>
        <v>http://www.badatelna.eu/reprodukce/?fondId=1073&amp;zaznamId=1108960&amp;reproId=3780378</v>
      </c>
      <c r="M4985">
        <f>VLOOKUP(F4985,Sheet2!$B$1:$E$19,2,FALSE)</f>
        <v>1073</v>
      </c>
      <c r="N4985">
        <f>VLOOKUP(F4985,Sheet2!$B$1:$E$19,3,FALSE)</f>
        <v>1108960</v>
      </c>
      <c r="O4985">
        <f>IF(G4985="Not available","",VLOOKUP(F4985,Sheet2!$B$1:$E$19,4,FALSE)+(G4985-1))</f>
        <v>3780378</v>
      </c>
    </row>
    <row r="4986" spans="1:15" s="3" customFormat="1" ht="15" customHeight="1" x14ac:dyDescent="0.25">
      <c r="A4986" s="18" t="s">
        <v>473</v>
      </c>
      <c r="B4986" s="18" t="s">
        <v>49</v>
      </c>
      <c r="C4986" s="5">
        <v>1846</v>
      </c>
      <c r="D4986" s="1" t="s">
        <v>474</v>
      </c>
      <c r="E4986" s="1" t="s">
        <v>2</v>
      </c>
      <c r="F4986" s="18">
        <v>2174</v>
      </c>
      <c r="G4986" s="18">
        <v>170</v>
      </c>
      <c r="H4986" s="6" t="s">
        <v>3235</v>
      </c>
      <c r="I4986" s="1">
        <v>209</v>
      </c>
      <c r="J4986" s="1">
        <v>246</v>
      </c>
      <c r="K4986" s="1"/>
      <c r="L4986" t="str">
        <f t="shared" si="77"/>
        <v>http://www.badatelna.eu/reprodukce/?fondId=1073&amp;zaznamId=1108960&amp;reproId=3780394</v>
      </c>
      <c r="M4986">
        <f>VLOOKUP(F4986,Sheet2!$B$1:$E$19,2,FALSE)</f>
        <v>1073</v>
      </c>
      <c r="N4986">
        <f>VLOOKUP(F4986,Sheet2!$B$1:$E$19,3,FALSE)</f>
        <v>1108960</v>
      </c>
      <c r="O4986">
        <f>IF(G4986="Not available","",VLOOKUP(F4986,Sheet2!$B$1:$E$19,4,FALSE)+(G4986-1))</f>
        <v>3780394</v>
      </c>
    </row>
    <row r="4987" spans="1:15" s="3" customFormat="1" ht="15" customHeight="1" x14ac:dyDescent="0.25">
      <c r="A4987" s="18" t="s">
        <v>473</v>
      </c>
      <c r="B4987" s="19" t="s">
        <v>3120</v>
      </c>
      <c r="C4987" s="5">
        <v>1841</v>
      </c>
      <c r="D4987" s="1" t="s">
        <v>474</v>
      </c>
      <c r="E4987" s="1" t="s">
        <v>2</v>
      </c>
      <c r="F4987" s="18">
        <v>2174</v>
      </c>
      <c r="G4987" s="18">
        <v>117</v>
      </c>
      <c r="H4987" s="6" t="s">
        <v>3185</v>
      </c>
      <c r="I4987" s="1">
        <v>208</v>
      </c>
      <c r="J4987" s="1">
        <v>245</v>
      </c>
      <c r="K4987" s="1"/>
      <c r="L4987" t="str">
        <f t="shared" si="77"/>
        <v>http://www.badatelna.eu/reprodukce/?fondId=1073&amp;zaznamId=1108960&amp;reproId=3780341</v>
      </c>
      <c r="M4987">
        <f>VLOOKUP(F4987,Sheet2!$B$1:$E$19,2,FALSE)</f>
        <v>1073</v>
      </c>
      <c r="N4987">
        <f>VLOOKUP(F4987,Sheet2!$B$1:$E$19,3,FALSE)</f>
        <v>1108960</v>
      </c>
      <c r="O4987">
        <f>IF(G4987="Not available","",VLOOKUP(F4987,Sheet2!$B$1:$E$19,4,FALSE)+(G4987-1))</f>
        <v>3780341</v>
      </c>
    </row>
    <row r="4988" spans="1:15" s="3" customFormat="1" ht="15" customHeight="1" x14ac:dyDescent="0.25">
      <c r="A4988" s="18" t="s">
        <v>473</v>
      </c>
      <c r="B4988" s="18" t="s">
        <v>432</v>
      </c>
      <c r="C4988" s="5">
        <v>1842</v>
      </c>
      <c r="D4988" s="1" t="s">
        <v>474</v>
      </c>
      <c r="E4988" s="1" t="s">
        <v>2</v>
      </c>
      <c r="F4988" s="18">
        <v>2174</v>
      </c>
      <c r="G4988" s="18">
        <v>128</v>
      </c>
      <c r="H4988" s="6" t="s">
        <v>3194</v>
      </c>
      <c r="I4988" s="1">
        <v>208</v>
      </c>
      <c r="J4988" s="1">
        <v>245</v>
      </c>
      <c r="K4988" s="1"/>
      <c r="L4988" t="str">
        <f t="shared" si="77"/>
        <v>http://www.badatelna.eu/reprodukce/?fondId=1073&amp;zaznamId=1108960&amp;reproId=3780352</v>
      </c>
      <c r="M4988">
        <f>VLOOKUP(F4988,Sheet2!$B$1:$E$19,2,FALSE)</f>
        <v>1073</v>
      </c>
      <c r="N4988">
        <f>VLOOKUP(F4988,Sheet2!$B$1:$E$19,3,FALSE)</f>
        <v>1108960</v>
      </c>
      <c r="O4988">
        <f>IF(G4988="Not available","",VLOOKUP(F4988,Sheet2!$B$1:$E$19,4,FALSE)+(G4988-1))</f>
        <v>3780352</v>
      </c>
    </row>
    <row r="4989" spans="1:15" s="3" customFormat="1" ht="15" customHeight="1" x14ac:dyDescent="0.25">
      <c r="A4989" s="18" t="s">
        <v>473</v>
      </c>
      <c r="B4989" s="18" t="s">
        <v>427</v>
      </c>
      <c r="C4989" s="5">
        <v>1840</v>
      </c>
      <c r="D4989" s="1" t="s">
        <v>474</v>
      </c>
      <c r="E4989" s="1" t="s">
        <v>2</v>
      </c>
      <c r="F4989" s="18">
        <v>2174</v>
      </c>
      <c r="G4989" s="18">
        <v>110</v>
      </c>
      <c r="H4989" s="6" t="s">
        <v>3178</v>
      </c>
      <c r="I4989" s="1">
        <v>208</v>
      </c>
      <c r="J4989" s="1">
        <v>245</v>
      </c>
      <c r="K4989" s="1"/>
      <c r="L4989" t="str">
        <f t="shared" si="77"/>
        <v>http://www.badatelna.eu/reprodukce/?fondId=1073&amp;zaznamId=1108960&amp;reproId=3780334</v>
      </c>
      <c r="M4989">
        <f>VLOOKUP(F4989,Sheet2!$B$1:$E$19,2,FALSE)</f>
        <v>1073</v>
      </c>
      <c r="N4989">
        <f>VLOOKUP(F4989,Sheet2!$B$1:$E$19,3,FALSE)</f>
        <v>1108960</v>
      </c>
      <c r="O4989">
        <f>IF(G4989="Not available","",VLOOKUP(F4989,Sheet2!$B$1:$E$19,4,FALSE)+(G4989-1))</f>
        <v>3780334</v>
      </c>
    </row>
    <row r="4990" spans="1:15" s="3" customFormat="1" ht="15" customHeight="1" x14ac:dyDescent="0.25">
      <c r="A4990" s="18" t="s">
        <v>473</v>
      </c>
      <c r="B4990" s="18" t="s">
        <v>491</v>
      </c>
      <c r="C4990" s="5">
        <v>1848</v>
      </c>
      <c r="D4990" s="1" t="s">
        <v>492</v>
      </c>
      <c r="E4990" s="1" t="s">
        <v>2</v>
      </c>
      <c r="F4990" s="18">
        <v>2164</v>
      </c>
      <c r="G4990" s="18">
        <v>22</v>
      </c>
      <c r="H4990" s="5">
        <v>20</v>
      </c>
      <c r="I4990" s="1">
        <v>143</v>
      </c>
      <c r="J4990" s="1">
        <v>246</v>
      </c>
      <c r="K4990" s="1"/>
      <c r="L4990" t="str">
        <f t="shared" si="77"/>
        <v>http://www.badatelna.eu/reprodukce/?fondId=1073&amp;zaznamId=1108951&amp;reproId=3778736</v>
      </c>
      <c r="M4990">
        <f>VLOOKUP(F4990,Sheet2!$B$1:$E$19,2,FALSE)</f>
        <v>1073</v>
      </c>
      <c r="N4990">
        <f>VLOOKUP(F4990,Sheet2!$B$1:$E$19,3,FALSE)</f>
        <v>1108951</v>
      </c>
      <c r="O4990">
        <f>IF(G4990="Not available","",VLOOKUP(F4990,Sheet2!$B$1:$E$19,4,FALSE)+(G4990-1))</f>
        <v>3778736</v>
      </c>
    </row>
    <row r="4991" spans="1:15" s="3" customFormat="1" ht="15" customHeight="1" x14ac:dyDescent="0.25">
      <c r="A4991" s="18" t="s">
        <v>473</v>
      </c>
      <c r="B4991" s="18" t="s">
        <v>44</v>
      </c>
      <c r="C4991" s="5">
        <v>1839</v>
      </c>
      <c r="D4991" s="1" t="s">
        <v>474</v>
      </c>
      <c r="E4991" s="1" t="s">
        <v>2</v>
      </c>
      <c r="F4991" s="18">
        <v>2174</v>
      </c>
      <c r="G4991" s="18">
        <v>103</v>
      </c>
      <c r="H4991" s="6" t="s">
        <v>3172</v>
      </c>
      <c r="I4991" s="1">
        <v>208</v>
      </c>
      <c r="J4991" s="1">
        <v>245</v>
      </c>
      <c r="K4991" s="1"/>
      <c r="L4991" t="str">
        <f t="shared" si="77"/>
        <v>http://www.badatelna.eu/reprodukce/?fondId=1073&amp;zaznamId=1108960&amp;reproId=3780327</v>
      </c>
      <c r="M4991">
        <f>VLOOKUP(F4991,Sheet2!$B$1:$E$19,2,FALSE)</f>
        <v>1073</v>
      </c>
      <c r="N4991">
        <f>VLOOKUP(F4991,Sheet2!$B$1:$E$19,3,FALSE)</f>
        <v>1108960</v>
      </c>
      <c r="O4991">
        <f>IF(G4991="Not available","",VLOOKUP(F4991,Sheet2!$B$1:$E$19,4,FALSE)+(G4991-1))</f>
        <v>3780327</v>
      </c>
    </row>
    <row r="4992" spans="1:15" s="3" customFormat="1" ht="15" customHeight="1" x14ac:dyDescent="0.25">
      <c r="A4992" s="18" t="s">
        <v>502</v>
      </c>
      <c r="B4992" s="18" t="s">
        <v>1968</v>
      </c>
      <c r="C4992" s="10" t="s">
        <v>2087</v>
      </c>
      <c r="D4992" s="3" t="s">
        <v>2792</v>
      </c>
      <c r="E4992" s="4" t="s">
        <v>2</v>
      </c>
      <c r="F4992" s="18">
        <v>2176</v>
      </c>
      <c r="G4992" s="18" t="s">
        <v>3271</v>
      </c>
      <c r="H4992" s="10" t="s">
        <v>1974</v>
      </c>
      <c r="I4992" s="3">
        <v>51</v>
      </c>
      <c r="J4992" s="3" t="s">
        <v>3271</v>
      </c>
      <c r="L4992" t="str">
        <f t="shared" si="77"/>
        <v/>
      </c>
      <c r="M4992">
        <f>VLOOKUP(F4992,Sheet2!$B$1:$E$19,2,FALSE)</f>
        <v>1073</v>
      </c>
      <c r="N4992">
        <f>VLOOKUP(F4992,Sheet2!$B$1:$E$19,3,FALSE)</f>
        <v>1108963</v>
      </c>
      <c r="O4992" t="str">
        <f>IF(G4992="Not available","",VLOOKUP(F4992,Sheet2!$B$1:$E$19,4,FALSE)+(G4992-1))</f>
        <v/>
      </c>
    </row>
    <row r="4993" spans="1:15" s="3" customFormat="1" ht="15" customHeight="1" x14ac:dyDescent="0.25">
      <c r="A4993" s="18" t="s">
        <v>502</v>
      </c>
      <c r="B4993" s="18" t="s">
        <v>985</v>
      </c>
      <c r="C4993" s="5" t="s">
        <v>1833</v>
      </c>
      <c r="D4993" s="1" t="s">
        <v>1206</v>
      </c>
      <c r="E4993" s="1" t="s">
        <v>2</v>
      </c>
      <c r="F4993" s="18">
        <v>2165</v>
      </c>
      <c r="G4993" s="18">
        <v>248</v>
      </c>
      <c r="H4993" s="5">
        <v>2</v>
      </c>
      <c r="I4993" s="1">
        <v>251</v>
      </c>
      <c r="J4993" s="1">
        <v>227</v>
      </c>
      <c r="K4993" s="1"/>
      <c r="L4993" t="str">
        <f t="shared" si="77"/>
        <v>http://www.badatelna.eu/reprodukce/?fondId=1073&amp;zaznamId=1108952&amp;reproId=3779109</v>
      </c>
      <c r="M4993">
        <f>VLOOKUP(F4993,Sheet2!$B$1:$E$19,2,FALSE)</f>
        <v>1073</v>
      </c>
      <c r="N4993">
        <f>VLOOKUP(F4993,Sheet2!$B$1:$E$19,3,FALSE)</f>
        <v>1108952</v>
      </c>
      <c r="O4993">
        <f>IF(G4993="Not available","",VLOOKUP(F4993,Sheet2!$B$1:$E$19,4,FALSE)+(G4993-1))</f>
        <v>3779109</v>
      </c>
    </row>
    <row r="4994" spans="1:15" s="3" customFormat="1" ht="15" customHeight="1" x14ac:dyDescent="0.25">
      <c r="A4994" s="18" t="s">
        <v>502</v>
      </c>
      <c r="B4994" s="18" t="s">
        <v>2154</v>
      </c>
      <c r="C4994" s="10" t="s">
        <v>2081</v>
      </c>
      <c r="D4994" s="3" t="s">
        <v>2790</v>
      </c>
      <c r="E4994" s="4" t="s">
        <v>2</v>
      </c>
      <c r="F4994" s="18">
        <v>2176</v>
      </c>
      <c r="G4994" s="18" t="s">
        <v>3271</v>
      </c>
      <c r="H4994" s="10" t="s">
        <v>2061</v>
      </c>
      <c r="I4994" s="3">
        <v>51</v>
      </c>
      <c r="J4994" s="4" t="s">
        <v>3271</v>
      </c>
      <c r="L4994" t="str">
        <f t="shared" si="77"/>
        <v/>
      </c>
      <c r="M4994">
        <f>VLOOKUP(F4994,Sheet2!$B$1:$E$19,2,FALSE)</f>
        <v>1073</v>
      </c>
      <c r="N4994">
        <f>VLOOKUP(F4994,Sheet2!$B$1:$E$19,3,FALSE)</f>
        <v>1108963</v>
      </c>
      <c r="O4994" t="str">
        <f>IF(G4994="Not available","",VLOOKUP(F4994,Sheet2!$B$1:$E$19,4,FALSE)+(G4994-1))</f>
        <v/>
      </c>
    </row>
    <row r="4995" spans="1:15" s="3" customFormat="1" ht="15" customHeight="1" x14ac:dyDescent="0.25">
      <c r="A4995" s="18" t="s">
        <v>502</v>
      </c>
      <c r="B4995" s="18" t="s">
        <v>1005</v>
      </c>
      <c r="C4995" s="5" t="s">
        <v>1765</v>
      </c>
      <c r="D4995" s="1" t="s">
        <v>1206</v>
      </c>
      <c r="E4995" s="1" t="s">
        <v>2</v>
      </c>
      <c r="F4995" s="18">
        <v>2165</v>
      </c>
      <c r="G4995" s="18">
        <v>228</v>
      </c>
      <c r="H4995" s="5">
        <v>1</v>
      </c>
      <c r="I4995" s="1">
        <v>232</v>
      </c>
      <c r="J4995" s="1">
        <v>208</v>
      </c>
      <c r="K4995" s="1"/>
      <c r="L4995" t="str">
        <f t="shared" ref="L4995:L5058" si="78">IF(G4995="Not available","","http://www.badatelna.eu/reprodukce/?fondId="&amp;M4995&amp;"&amp;zaznamId="&amp;N4995&amp;"&amp;reproId="&amp;O4995)</f>
        <v>http://www.badatelna.eu/reprodukce/?fondId=1073&amp;zaznamId=1108952&amp;reproId=3779089</v>
      </c>
      <c r="M4995">
        <f>VLOOKUP(F4995,Sheet2!$B$1:$E$19,2,FALSE)</f>
        <v>1073</v>
      </c>
      <c r="N4995">
        <f>VLOOKUP(F4995,Sheet2!$B$1:$E$19,3,FALSE)</f>
        <v>1108952</v>
      </c>
      <c r="O4995">
        <f>IF(G4995="Not available","",VLOOKUP(F4995,Sheet2!$B$1:$E$19,4,FALSE)+(G4995-1))</f>
        <v>3779089</v>
      </c>
    </row>
    <row r="4996" spans="1:15" s="3" customFormat="1" ht="15" customHeight="1" x14ac:dyDescent="0.25">
      <c r="A4996" s="19" t="s">
        <v>502</v>
      </c>
      <c r="B4996" s="18" t="s">
        <v>496</v>
      </c>
      <c r="C4996" s="5">
        <v>1850</v>
      </c>
      <c r="D4996" s="1" t="s">
        <v>44</v>
      </c>
      <c r="E4996" s="1" t="s">
        <v>2</v>
      </c>
      <c r="F4996" s="18">
        <v>2164</v>
      </c>
      <c r="G4996" s="18">
        <v>70</v>
      </c>
      <c r="H4996" s="5">
        <v>68</v>
      </c>
      <c r="I4996" s="1">
        <v>143</v>
      </c>
      <c r="J4996" s="1">
        <v>246</v>
      </c>
      <c r="K4996" s="1"/>
      <c r="L4996" t="str">
        <f t="shared" si="78"/>
        <v>http://www.badatelna.eu/reprodukce/?fondId=1073&amp;zaznamId=1108951&amp;reproId=3778784</v>
      </c>
      <c r="M4996">
        <f>VLOOKUP(F4996,Sheet2!$B$1:$E$19,2,FALSE)</f>
        <v>1073</v>
      </c>
      <c r="N4996">
        <f>VLOOKUP(F4996,Sheet2!$B$1:$E$19,3,FALSE)</f>
        <v>1108951</v>
      </c>
      <c r="O4996">
        <f>IF(G4996="Not available","",VLOOKUP(F4996,Sheet2!$B$1:$E$19,4,FALSE)+(G4996-1))</f>
        <v>3778784</v>
      </c>
    </row>
    <row r="4997" spans="1:15" s="3" customFormat="1" ht="15" customHeight="1" x14ac:dyDescent="0.25">
      <c r="A4997" s="18" t="s">
        <v>502</v>
      </c>
      <c r="B4997" s="18" t="s">
        <v>1051</v>
      </c>
      <c r="C4997" s="5" t="s">
        <v>1882</v>
      </c>
      <c r="D4997" s="1" t="s">
        <v>96</v>
      </c>
      <c r="E4997" s="1" t="s">
        <v>2</v>
      </c>
      <c r="F4997" s="18">
        <v>2165</v>
      </c>
      <c r="G4997" s="18">
        <v>255</v>
      </c>
      <c r="H4997" s="5">
        <v>2</v>
      </c>
      <c r="I4997" s="1">
        <v>266</v>
      </c>
      <c r="J4997" s="1">
        <v>240</v>
      </c>
      <c r="K4997" s="1"/>
      <c r="L4997" t="str">
        <f t="shared" si="78"/>
        <v>http://www.badatelna.eu/reprodukce/?fondId=1073&amp;zaznamId=1108952&amp;reproId=3779116</v>
      </c>
      <c r="M4997">
        <f>VLOOKUP(F4997,Sheet2!$B$1:$E$19,2,FALSE)</f>
        <v>1073</v>
      </c>
      <c r="N4997">
        <f>VLOOKUP(F4997,Sheet2!$B$1:$E$19,3,FALSE)</f>
        <v>1108952</v>
      </c>
      <c r="O4997">
        <f>IF(G4997="Not available","",VLOOKUP(F4997,Sheet2!$B$1:$E$19,4,FALSE)+(G4997-1))</f>
        <v>3779116</v>
      </c>
    </row>
    <row r="4998" spans="1:15" s="3" customFormat="1" ht="15" customHeight="1" x14ac:dyDescent="0.25">
      <c r="A4998" s="18" t="s">
        <v>502</v>
      </c>
      <c r="B4998" s="18" t="s">
        <v>436</v>
      </c>
      <c r="C4998" s="5">
        <v>1854</v>
      </c>
      <c r="D4998" s="1" t="s">
        <v>44</v>
      </c>
      <c r="E4998" s="1" t="s">
        <v>2</v>
      </c>
      <c r="F4998" s="18">
        <v>2164</v>
      </c>
      <c r="G4998" s="18">
        <v>98</v>
      </c>
      <c r="H4998" s="5">
        <v>96</v>
      </c>
      <c r="I4998" s="1">
        <v>143</v>
      </c>
      <c r="J4998" s="1">
        <v>246</v>
      </c>
      <c r="K4998" s="1"/>
      <c r="L4998" t="str">
        <f t="shared" si="78"/>
        <v>http://www.badatelna.eu/reprodukce/?fondId=1073&amp;zaznamId=1108951&amp;reproId=3778812</v>
      </c>
      <c r="M4998">
        <f>VLOOKUP(F4998,Sheet2!$B$1:$E$19,2,FALSE)</f>
        <v>1073</v>
      </c>
      <c r="N4998">
        <f>VLOOKUP(F4998,Sheet2!$B$1:$E$19,3,FALSE)</f>
        <v>1108951</v>
      </c>
      <c r="O4998">
        <f>IF(G4998="Not available","",VLOOKUP(F4998,Sheet2!$B$1:$E$19,4,FALSE)+(G4998-1))</f>
        <v>3778812</v>
      </c>
    </row>
    <row r="4999" spans="1:15" s="3" customFormat="1" ht="15" customHeight="1" x14ac:dyDescent="0.25">
      <c r="A4999" s="18" t="s">
        <v>502</v>
      </c>
      <c r="B4999" s="18" t="s">
        <v>1102</v>
      </c>
      <c r="C4999" s="10" t="s">
        <v>2244</v>
      </c>
      <c r="D4999" s="3" t="s">
        <v>2792</v>
      </c>
      <c r="E4999" s="4" t="s">
        <v>2</v>
      </c>
      <c r="F4999" s="18">
        <v>2176</v>
      </c>
      <c r="G4999" s="18" t="s">
        <v>3271</v>
      </c>
      <c r="H4999" s="10" t="s">
        <v>2086</v>
      </c>
      <c r="I4999" s="3">
        <v>51</v>
      </c>
      <c r="J4999" s="4" t="s">
        <v>3271</v>
      </c>
      <c r="L4999" t="str">
        <f t="shared" si="78"/>
        <v/>
      </c>
      <c r="M4999">
        <f>VLOOKUP(F4999,Sheet2!$B$1:$E$19,2,FALSE)</f>
        <v>1073</v>
      </c>
      <c r="N4999">
        <f>VLOOKUP(F4999,Sheet2!$B$1:$E$19,3,FALSE)</f>
        <v>1108963</v>
      </c>
      <c r="O4999" t="str">
        <f>IF(G4999="Not available","",VLOOKUP(F4999,Sheet2!$B$1:$E$19,4,FALSE)+(G4999-1))</f>
        <v/>
      </c>
    </row>
    <row r="5000" spans="1:15" s="3" customFormat="1" ht="15" customHeight="1" x14ac:dyDescent="0.25">
      <c r="A5000" s="18" t="s">
        <v>502</v>
      </c>
      <c r="B5000" s="18" t="s">
        <v>1102</v>
      </c>
      <c r="C5000" s="14" t="s">
        <v>2244</v>
      </c>
      <c r="D5000" s="4" t="s">
        <v>96</v>
      </c>
      <c r="E5000" s="1" t="s">
        <v>2</v>
      </c>
      <c r="F5000" s="18">
        <v>2165</v>
      </c>
      <c r="G5000" s="18">
        <v>299</v>
      </c>
      <c r="H5000" s="5">
        <v>3</v>
      </c>
      <c r="I5000" s="1">
        <v>301</v>
      </c>
      <c r="J5000" s="1">
        <v>274</v>
      </c>
      <c r="K5000" s="1"/>
      <c r="L5000" t="str">
        <f t="shared" si="78"/>
        <v>http://www.badatelna.eu/reprodukce/?fondId=1073&amp;zaznamId=1108952&amp;reproId=3779160</v>
      </c>
      <c r="M5000">
        <f>VLOOKUP(F5000,Sheet2!$B$1:$E$19,2,FALSE)</f>
        <v>1073</v>
      </c>
      <c r="N5000">
        <f>VLOOKUP(F5000,Sheet2!$B$1:$E$19,3,FALSE)</f>
        <v>1108952</v>
      </c>
      <c r="O5000">
        <f>IF(G5000="Not available","",VLOOKUP(F5000,Sheet2!$B$1:$E$19,4,FALSE)+(G5000-1))</f>
        <v>3779160</v>
      </c>
    </row>
    <row r="5001" spans="1:15" s="3" customFormat="1" ht="15" customHeight="1" x14ac:dyDescent="0.25">
      <c r="A5001" s="18" t="s">
        <v>502</v>
      </c>
      <c r="B5001" s="18" t="s">
        <v>2793</v>
      </c>
      <c r="C5001" s="10" t="s">
        <v>2087</v>
      </c>
      <c r="D5001" s="3" t="s">
        <v>2790</v>
      </c>
      <c r="E5001" s="4" t="s">
        <v>2</v>
      </c>
      <c r="F5001" s="18">
        <v>2176</v>
      </c>
      <c r="G5001" s="18" t="s">
        <v>3271</v>
      </c>
      <c r="H5001" s="10" t="s">
        <v>2061</v>
      </c>
      <c r="I5001" s="3">
        <v>51</v>
      </c>
      <c r="J5001" s="4" t="s">
        <v>3271</v>
      </c>
      <c r="L5001" t="str">
        <f t="shared" si="78"/>
        <v/>
      </c>
      <c r="M5001">
        <f>VLOOKUP(F5001,Sheet2!$B$1:$E$19,2,FALSE)</f>
        <v>1073</v>
      </c>
      <c r="N5001">
        <f>VLOOKUP(F5001,Sheet2!$B$1:$E$19,3,FALSE)</f>
        <v>1108963</v>
      </c>
      <c r="O5001" t="str">
        <f>IF(G5001="Not available","",VLOOKUP(F5001,Sheet2!$B$1:$E$19,4,FALSE)+(G5001-1))</f>
        <v/>
      </c>
    </row>
    <row r="5002" spans="1:15" s="3" customFormat="1" ht="15" customHeight="1" x14ac:dyDescent="0.25">
      <c r="A5002" s="18" t="s">
        <v>502</v>
      </c>
      <c r="B5002" s="18" t="s">
        <v>1158</v>
      </c>
      <c r="C5002" s="5" t="s">
        <v>1884</v>
      </c>
      <c r="D5002" s="1" t="s">
        <v>71</v>
      </c>
      <c r="E5002" s="1" t="s">
        <v>2</v>
      </c>
      <c r="F5002" s="18">
        <v>2165</v>
      </c>
      <c r="G5002" s="18">
        <v>261</v>
      </c>
      <c r="H5002" s="5">
        <v>2</v>
      </c>
      <c r="I5002" s="1">
        <v>266</v>
      </c>
      <c r="J5002" s="1">
        <v>240</v>
      </c>
      <c r="K5002" s="1"/>
      <c r="L5002" t="str">
        <f t="shared" si="78"/>
        <v>http://www.badatelna.eu/reprodukce/?fondId=1073&amp;zaznamId=1108952&amp;reproId=3779122</v>
      </c>
      <c r="M5002">
        <f>VLOOKUP(F5002,Sheet2!$B$1:$E$19,2,FALSE)</f>
        <v>1073</v>
      </c>
      <c r="N5002">
        <f>VLOOKUP(F5002,Sheet2!$B$1:$E$19,3,FALSE)</f>
        <v>1108952</v>
      </c>
      <c r="O5002">
        <f>IF(G5002="Not available","",VLOOKUP(F5002,Sheet2!$B$1:$E$19,4,FALSE)+(G5002-1))</f>
        <v>3779122</v>
      </c>
    </row>
    <row r="5003" spans="1:15" s="3" customFormat="1" ht="15" customHeight="1" x14ac:dyDescent="0.25">
      <c r="A5003" s="18" t="s">
        <v>502</v>
      </c>
      <c r="B5003" s="18" t="s">
        <v>1152</v>
      </c>
      <c r="C5003" s="5" t="s">
        <v>1920</v>
      </c>
      <c r="D5003" s="1" t="s">
        <v>96</v>
      </c>
      <c r="E5003" s="1" t="s">
        <v>2</v>
      </c>
      <c r="F5003" s="18">
        <v>2165</v>
      </c>
      <c r="G5003" s="18">
        <v>276</v>
      </c>
      <c r="H5003" s="5">
        <v>2</v>
      </c>
      <c r="I5003" s="1">
        <v>279</v>
      </c>
      <c r="J5003" s="1">
        <v>253</v>
      </c>
      <c r="K5003" s="1"/>
      <c r="L5003" t="str">
        <f t="shared" si="78"/>
        <v>http://www.badatelna.eu/reprodukce/?fondId=1073&amp;zaznamId=1108952&amp;reproId=3779137</v>
      </c>
      <c r="M5003">
        <f>VLOOKUP(F5003,Sheet2!$B$1:$E$19,2,FALSE)</f>
        <v>1073</v>
      </c>
      <c r="N5003">
        <f>VLOOKUP(F5003,Sheet2!$B$1:$E$19,3,FALSE)</f>
        <v>1108952</v>
      </c>
      <c r="O5003">
        <f>IF(G5003="Not available","",VLOOKUP(F5003,Sheet2!$B$1:$E$19,4,FALSE)+(G5003-1))</f>
        <v>3779137</v>
      </c>
    </row>
    <row r="5004" spans="1:15" s="3" customFormat="1" ht="15" customHeight="1" x14ac:dyDescent="0.25">
      <c r="A5004" s="18" t="s">
        <v>502</v>
      </c>
      <c r="B5004" s="18" t="s">
        <v>2745</v>
      </c>
      <c r="C5004" s="10" t="s">
        <v>2072</v>
      </c>
      <c r="D5004" s="3" t="s">
        <v>2790</v>
      </c>
      <c r="E5004" s="4" t="s">
        <v>2</v>
      </c>
      <c r="F5004" s="18">
        <v>2176</v>
      </c>
      <c r="G5004" s="18" t="s">
        <v>3271</v>
      </c>
      <c r="H5004" s="10" t="s">
        <v>1955</v>
      </c>
      <c r="I5004" s="3">
        <v>51</v>
      </c>
      <c r="J5004" s="4" t="s">
        <v>3271</v>
      </c>
      <c r="L5004" t="str">
        <f t="shared" si="78"/>
        <v/>
      </c>
      <c r="M5004">
        <f>VLOOKUP(F5004,Sheet2!$B$1:$E$19,2,FALSE)</f>
        <v>1073</v>
      </c>
      <c r="N5004">
        <f>VLOOKUP(F5004,Sheet2!$B$1:$E$19,3,FALSE)</f>
        <v>1108963</v>
      </c>
      <c r="O5004" t="str">
        <f>IF(G5004="Not available","",VLOOKUP(F5004,Sheet2!$B$1:$E$19,4,FALSE)+(G5004-1))</f>
        <v/>
      </c>
    </row>
    <row r="5005" spans="1:15" s="3" customFormat="1" ht="15" customHeight="1" x14ac:dyDescent="0.25">
      <c r="A5005" s="18" t="s">
        <v>502</v>
      </c>
      <c r="B5005" s="18" t="s">
        <v>172</v>
      </c>
      <c r="C5005" s="5">
        <v>1860</v>
      </c>
      <c r="D5005" s="1"/>
      <c r="E5005" s="1" t="s">
        <v>939</v>
      </c>
      <c r="F5005" s="18">
        <v>999</v>
      </c>
      <c r="G5005" s="18">
        <v>20</v>
      </c>
      <c r="H5005" s="5">
        <v>18</v>
      </c>
      <c r="I5005" s="1">
        <v>79</v>
      </c>
      <c r="J5005" s="1">
        <v>112</v>
      </c>
      <c r="K5005" s="1"/>
      <c r="L5005" t="str">
        <f t="shared" si="78"/>
        <v>http://www.badatelna.eu/reprodukce/?fondId=241&amp;zaznamId=1133739&amp;reproId=3885749</v>
      </c>
      <c r="M5005">
        <f>VLOOKUP(F5005,Sheet2!$B$1:$E$19,2,FALSE)</f>
        <v>241</v>
      </c>
      <c r="N5005">
        <f>VLOOKUP(F5005,Sheet2!$B$1:$E$19,3,FALSE)</f>
        <v>1133739</v>
      </c>
      <c r="O5005">
        <f>IF(G5005="Not available","",VLOOKUP(F5005,Sheet2!$B$1:$E$19,4,FALSE)+(G5005-1))</f>
        <v>3885749</v>
      </c>
    </row>
    <row r="5006" spans="1:15" s="3" customFormat="1" ht="15" customHeight="1" x14ac:dyDescent="0.25">
      <c r="A5006" s="18" t="s">
        <v>502</v>
      </c>
      <c r="B5006" s="18" t="s">
        <v>310</v>
      </c>
      <c r="C5006" s="5">
        <v>1863</v>
      </c>
      <c r="D5006" s="1"/>
      <c r="E5006" s="1" t="s">
        <v>939</v>
      </c>
      <c r="F5006" s="18">
        <v>999</v>
      </c>
      <c r="G5006" s="18">
        <v>39</v>
      </c>
      <c r="H5006" s="5">
        <v>37</v>
      </c>
      <c r="I5006" s="1">
        <v>79</v>
      </c>
      <c r="J5006" s="1">
        <v>112</v>
      </c>
      <c r="K5006" s="1"/>
      <c r="L5006" t="str">
        <f t="shared" si="78"/>
        <v>http://www.badatelna.eu/reprodukce/?fondId=241&amp;zaznamId=1133739&amp;reproId=3885768</v>
      </c>
      <c r="M5006">
        <f>VLOOKUP(F5006,Sheet2!$B$1:$E$19,2,FALSE)</f>
        <v>241</v>
      </c>
      <c r="N5006">
        <f>VLOOKUP(F5006,Sheet2!$B$1:$E$19,3,FALSE)</f>
        <v>1133739</v>
      </c>
      <c r="O5006">
        <f>IF(G5006="Not available","",VLOOKUP(F5006,Sheet2!$B$1:$E$19,4,FALSE)+(G5006-1))</f>
        <v>3885768</v>
      </c>
    </row>
    <row r="5007" spans="1:15" s="3" customFormat="1" ht="15" customHeight="1" x14ac:dyDescent="0.25">
      <c r="A5007" s="18" t="s">
        <v>502</v>
      </c>
      <c r="B5007" s="18" t="s">
        <v>1962</v>
      </c>
      <c r="C5007" s="10" t="s">
        <v>2074</v>
      </c>
      <c r="D5007" s="3" t="s">
        <v>2790</v>
      </c>
      <c r="E5007" s="4" t="s">
        <v>2</v>
      </c>
      <c r="F5007" s="18">
        <v>2176</v>
      </c>
      <c r="G5007" s="18" t="s">
        <v>3271</v>
      </c>
      <c r="H5007" s="10" t="s">
        <v>1981</v>
      </c>
      <c r="I5007" s="3">
        <v>51</v>
      </c>
      <c r="J5007" s="4" t="s">
        <v>3271</v>
      </c>
      <c r="L5007" t="str">
        <f t="shared" si="78"/>
        <v/>
      </c>
      <c r="M5007">
        <f>VLOOKUP(F5007,Sheet2!$B$1:$E$19,2,FALSE)</f>
        <v>1073</v>
      </c>
      <c r="N5007">
        <f>VLOOKUP(F5007,Sheet2!$B$1:$E$19,3,FALSE)</f>
        <v>1108963</v>
      </c>
      <c r="O5007" t="str">
        <f>IF(G5007="Not available","",VLOOKUP(F5007,Sheet2!$B$1:$E$19,4,FALSE)+(G5007-1))</f>
        <v/>
      </c>
    </row>
    <row r="5008" spans="1:15" s="3" customFormat="1" ht="15" customHeight="1" x14ac:dyDescent="0.25">
      <c r="A5008" s="18" t="s">
        <v>502</v>
      </c>
      <c r="B5008" s="18" t="s">
        <v>1962</v>
      </c>
      <c r="C5008" s="10" t="s">
        <v>2095</v>
      </c>
      <c r="D5008" s="3" t="s">
        <v>2792</v>
      </c>
      <c r="E5008" s="4" t="s">
        <v>2</v>
      </c>
      <c r="F5008" s="18">
        <v>2176</v>
      </c>
      <c r="G5008" s="18" t="s">
        <v>3271</v>
      </c>
      <c r="H5008" s="10" t="s">
        <v>2083</v>
      </c>
      <c r="I5008" s="3">
        <v>51</v>
      </c>
      <c r="J5008" s="4" t="s">
        <v>3271</v>
      </c>
      <c r="L5008" t="str">
        <f t="shared" si="78"/>
        <v/>
      </c>
      <c r="M5008">
        <f>VLOOKUP(F5008,Sheet2!$B$1:$E$19,2,FALSE)</f>
        <v>1073</v>
      </c>
      <c r="N5008">
        <f>VLOOKUP(F5008,Sheet2!$B$1:$E$19,3,FALSE)</f>
        <v>1108963</v>
      </c>
      <c r="O5008" t="str">
        <f>IF(G5008="Not available","",VLOOKUP(F5008,Sheet2!$B$1:$E$19,4,FALSE)+(G5008-1))</f>
        <v/>
      </c>
    </row>
    <row r="5009" spans="1:15" s="3" customFormat="1" ht="15" customHeight="1" x14ac:dyDescent="0.25">
      <c r="A5009" s="18" t="s">
        <v>502</v>
      </c>
      <c r="B5009" s="18" t="s">
        <v>115</v>
      </c>
      <c r="C5009" s="14" t="s">
        <v>2095</v>
      </c>
      <c r="D5009" s="1" t="s">
        <v>96</v>
      </c>
      <c r="E5009" s="1" t="s">
        <v>2</v>
      </c>
      <c r="F5009" s="18">
        <v>2165</v>
      </c>
      <c r="G5009" s="18">
        <v>288</v>
      </c>
      <c r="H5009" s="5">
        <v>1</v>
      </c>
      <c r="I5009" s="1">
        <v>287</v>
      </c>
      <c r="J5009" s="1">
        <v>261</v>
      </c>
      <c r="K5009" s="1"/>
      <c r="L5009" t="str">
        <f t="shared" si="78"/>
        <v>http://www.badatelna.eu/reprodukce/?fondId=1073&amp;zaznamId=1108952&amp;reproId=3779149</v>
      </c>
      <c r="M5009">
        <f>VLOOKUP(F5009,Sheet2!$B$1:$E$19,2,FALSE)</f>
        <v>1073</v>
      </c>
      <c r="N5009">
        <f>VLOOKUP(F5009,Sheet2!$B$1:$E$19,3,FALSE)</f>
        <v>1108952</v>
      </c>
      <c r="O5009">
        <f>IF(G5009="Not available","",VLOOKUP(F5009,Sheet2!$B$1:$E$19,4,FALSE)+(G5009-1))</f>
        <v>3779149</v>
      </c>
    </row>
    <row r="5010" spans="1:15" s="3" customFormat="1" ht="15" customHeight="1" x14ac:dyDescent="0.25">
      <c r="A5010" s="18" t="s">
        <v>502</v>
      </c>
      <c r="B5010" s="18" t="s">
        <v>115</v>
      </c>
      <c r="C5010" s="5" t="s">
        <v>1791</v>
      </c>
      <c r="D5010" s="1" t="s">
        <v>1206</v>
      </c>
      <c r="E5010" s="1" t="s">
        <v>2</v>
      </c>
      <c r="F5010" s="18">
        <v>2165</v>
      </c>
      <c r="G5010" s="18">
        <v>236</v>
      </c>
      <c r="H5010" s="5">
        <v>3</v>
      </c>
      <c r="I5010" s="1">
        <v>238</v>
      </c>
      <c r="J5010" s="1">
        <v>214</v>
      </c>
      <c r="K5010" s="1"/>
      <c r="L5010" t="str">
        <f t="shared" si="78"/>
        <v>http://www.badatelna.eu/reprodukce/?fondId=1073&amp;zaznamId=1108952&amp;reproId=3779097</v>
      </c>
      <c r="M5010">
        <f>VLOOKUP(F5010,Sheet2!$B$1:$E$19,2,FALSE)</f>
        <v>1073</v>
      </c>
      <c r="N5010">
        <f>VLOOKUP(F5010,Sheet2!$B$1:$E$19,3,FALSE)</f>
        <v>1108952</v>
      </c>
      <c r="O5010">
        <f>IF(G5010="Not available","",VLOOKUP(F5010,Sheet2!$B$1:$E$19,4,FALSE)+(G5010-1))</f>
        <v>3779097</v>
      </c>
    </row>
    <row r="5011" spans="1:15" s="3" customFormat="1" ht="15" customHeight="1" x14ac:dyDescent="0.25">
      <c r="A5011" s="18" t="s">
        <v>502</v>
      </c>
      <c r="B5011" s="18" t="s">
        <v>96</v>
      </c>
      <c r="C5011" s="5">
        <v>1858</v>
      </c>
      <c r="D5011" s="1"/>
      <c r="E5011" s="1" t="s">
        <v>939</v>
      </c>
      <c r="F5011" s="18">
        <v>999</v>
      </c>
      <c r="G5011" s="18">
        <v>6</v>
      </c>
      <c r="H5011" s="5">
        <v>4</v>
      </c>
      <c r="I5011" s="1">
        <v>79</v>
      </c>
      <c r="J5011" s="1">
        <v>112</v>
      </c>
      <c r="K5011" s="1"/>
      <c r="L5011" t="str">
        <f t="shared" si="78"/>
        <v>http://www.badatelna.eu/reprodukce/?fondId=241&amp;zaznamId=1133739&amp;reproId=3885735</v>
      </c>
      <c r="M5011">
        <f>VLOOKUP(F5011,Sheet2!$B$1:$E$19,2,FALSE)</f>
        <v>241</v>
      </c>
      <c r="N5011">
        <f>VLOOKUP(F5011,Sheet2!$B$1:$E$19,3,FALSE)</f>
        <v>1133739</v>
      </c>
      <c r="O5011">
        <f>IF(G5011="Not available","",VLOOKUP(F5011,Sheet2!$B$1:$E$19,4,FALSE)+(G5011-1))</f>
        <v>3885735</v>
      </c>
    </row>
    <row r="5012" spans="1:15" s="3" customFormat="1" ht="15" customHeight="1" x14ac:dyDescent="0.25">
      <c r="A5012" s="18" t="s">
        <v>502</v>
      </c>
      <c r="B5012" s="18" t="s">
        <v>145</v>
      </c>
      <c r="C5012" s="5">
        <v>1861</v>
      </c>
      <c r="D5012" s="1"/>
      <c r="E5012" s="1" t="s">
        <v>939</v>
      </c>
      <c r="F5012" s="18">
        <v>999</v>
      </c>
      <c r="G5012" s="18">
        <v>32</v>
      </c>
      <c r="H5012" s="5">
        <v>30</v>
      </c>
      <c r="I5012" s="1">
        <v>79</v>
      </c>
      <c r="J5012" s="1">
        <v>112</v>
      </c>
      <c r="K5012" s="1"/>
      <c r="L5012" t="str">
        <f t="shared" si="78"/>
        <v>http://www.badatelna.eu/reprodukce/?fondId=241&amp;zaznamId=1133739&amp;reproId=3885761</v>
      </c>
      <c r="M5012">
        <f>VLOOKUP(F5012,Sheet2!$B$1:$E$19,2,FALSE)</f>
        <v>241</v>
      </c>
      <c r="N5012">
        <f>VLOOKUP(F5012,Sheet2!$B$1:$E$19,3,FALSE)</f>
        <v>1133739</v>
      </c>
      <c r="O5012">
        <f>IF(G5012="Not available","",VLOOKUP(F5012,Sheet2!$B$1:$E$19,4,FALSE)+(G5012-1))</f>
        <v>3885761</v>
      </c>
    </row>
    <row r="5013" spans="1:15" s="3" customFormat="1" ht="15" customHeight="1" x14ac:dyDescent="0.25">
      <c r="A5013" s="18" t="s">
        <v>502</v>
      </c>
      <c r="B5013" s="18" t="s">
        <v>71</v>
      </c>
      <c r="C5013" s="5">
        <v>1854</v>
      </c>
      <c r="D5013" s="1" t="s">
        <v>44</v>
      </c>
      <c r="E5013" s="1" t="s">
        <v>2</v>
      </c>
      <c r="F5013" s="18">
        <v>2164</v>
      </c>
      <c r="G5013" s="18">
        <v>110</v>
      </c>
      <c r="H5013" s="5">
        <v>108</v>
      </c>
      <c r="I5013" s="1">
        <v>143</v>
      </c>
      <c r="J5013" s="1">
        <v>246</v>
      </c>
      <c r="K5013" s="1"/>
      <c r="L5013" t="str">
        <f t="shared" si="78"/>
        <v>http://www.badatelna.eu/reprodukce/?fondId=1073&amp;zaznamId=1108951&amp;reproId=3778824</v>
      </c>
      <c r="M5013">
        <f>VLOOKUP(F5013,Sheet2!$B$1:$E$19,2,FALSE)</f>
        <v>1073</v>
      </c>
      <c r="N5013">
        <f>VLOOKUP(F5013,Sheet2!$B$1:$E$19,3,FALSE)</f>
        <v>1108951</v>
      </c>
      <c r="O5013">
        <f>IF(G5013="Not available","",VLOOKUP(F5013,Sheet2!$B$1:$E$19,4,FALSE)+(G5013-1))</f>
        <v>3778824</v>
      </c>
    </row>
    <row r="5014" spans="1:15" s="3" customFormat="1" ht="15" customHeight="1" x14ac:dyDescent="0.25">
      <c r="A5014" s="18" t="s">
        <v>502</v>
      </c>
      <c r="B5014" s="18" t="s">
        <v>1099</v>
      </c>
      <c r="C5014" s="5" t="s">
        <v>1687</v>
      </c>
      <c r="D5014" s="1" t="s">
        <v>44</v>
      </c>
      <c r="E5014" s="1" t="s">
        <v>2</v>
      </c>
      <c r="F5014" s="18">
        <v>2165</v>
      </c>
      <c r="G5014" s="18">
        <v>26</v>
      </c>
      <c r="H5014" s="5">
        <v>23</v>
      </c>
      <c r="I5014" s="1">
        <v>97</v>
      </c>
      <c r="J5014" s="4" t="s">
        <v>3271</v>
      </c>
      <c r="K5014" s="1"/>
      <c r="L5014" t="str">
        <f t="shared" si="78"/>
        <v>http://www.badatelna.eu/reprodukce/?fondId=1073&amp;zaznamId=1108952&amp;reproId=3778887</v>
      </c>
      <c r="M5014">
        <f>VLOOKUP(F5014,Sheet2!$B$1:$E$19,2,FALSE)</f>
        <v>1073</v>
      </c>
      <c r="N5014">
        <f>VLOOKUP(F5014,Sheet2!$B$1:$E$19,3,FALSE)</f>
        <v>1108952</v>
      </c>
      <c r="O5014">
        <f>IF(G5014="Not available","",VLOOKUP(F5014,Sheet2!$B$1:$E$19,4,FALSE)+(G5014-1))</f>
        <v>3778887</v>
      </c>
    </row>
    <row r="5015" spans="1:15" s="3" customFormat="1" ht="15" customHeight="1" x14ac:dyDescent="0.25">
      <c r="A5015" s="18" t="s">
        <v>978</v>
      </c>
      <c r="B5015" s="19" t="s">
        <v>51</v>
      </c>
      <c r="C5015" s="5">
        <v>1859</v>
      </c>
      <c r="D5015" s="1"/>
      <c r="E5015" s="1" t="s">
        <v>939</v>
      </c>
      <c r="F5015" s="18">
        <v>999</v>
      </c>
      <c r="G5015" s="18">
        <v>16</v>
      </c>
      <c r="H5015" s="5">
        <v>14</v>
      </c>
      <c r="I5015" s="1">
        <v>79</v>
      </c>
      <c r="J5015" s="1">
        <v>112</v>
      </c>
      <c r="K5015" s="1"/>
      <c r="L5015" t="str">
        <f t="shared" si="78"/>
        <v>http://www.badatelna.eu/reprodukce/?fondId=241&amp;zaznamId=1133739&amp;reproId=3885745</v>
      </c>
      <c r="M5015">
        <f>VLOOKUP(F5015,Sheet2!$B$1:$E$19,2,FALSE)</f>
        <v>241</v>
      </c>
      <c r="N5015">
        <f>VLOOKUP(F5015,Sheet2!$B$1:$E$19,3,FALSE)</f>
        <v>1133739</v>
      </c>
      <c r="O5015">
        <f>IF(G5015="Not available","",VLOOKUP(F5015,Sheet2!$B$1:$E$19,4,FALSE)+(G5015-1))</f>
        <v>3885745</v>
      </c>
    </row>
    <row r="5016" spans="1:15" s="3" customFormat="1" ht="15" customHeight="1" x14ac:dyDescent="0.25">
      <c r="A5016" s="19" t="s">
        <v>978</v>
      </c>
      <c r="B5016" s="18" t="s">
        <v>55</v>
      </c>
      <c r="C5016" s="5">
        <v>1827</v>
      </c>
      <c r="D5016" s="1"/>
      <c r="E5016" s="1" t="s">
        <v>2</v>
      </c>
      <c r="F5016" s="18">
        <v>2173</v>
      </c>
      <c r="G5016" s="18">
        <v>79</v>
      </c>
      <c r="H5016" s="5">
        <v>151</v>
      </c>
      <c r="I5016" s="1">
        <v>121</v>
      </c>
      <c r="J5016" s="1">
        <v>264</v>
      </c>
      <c r="K5016" s="1"/>
      <c r="L5016" t="str">
        <f t="shared" si="78"/>
        <v>http://www.badatelna.eu/reprodukce/?fondId=1073&amp;zaznamId=1108959&amp;reproId=3780072</v>
      </c>
      <c r="M5016">
        <f>VLOOKUP(F5016,Sheet2!$B$1:$E$19,2,FALSE)</f>
        <v>1073</v>
      </c>
      <c r="N5016">
        <f>VLOOKUP(F5016,Sheet2!$B$1:$E$19,3,FALSE)</f>
        <v>1108959</v>
      </c>
      <c r="O5016">
        <f>IF(G5016="Not available","",VLOOKUP(F5016,Sheet2!$B$1:$E$19,4,FALSE)+(G5016-1))</f>
        <v>3780072</v>
      </c>
    </row>
    <row r="5017" spans="1:15" s="3" customFormat="1" ht="15" customHeight="1" x14ac:dyDescent="0.25">
      <c r="A5017" s="18" t="s">
        <v>978</v>
      </c>
      <c r="B5017" s="18" t="s">
        <v>545</v>
      </c>
      <c r="C5017" s="5">
        <v>1882</v>
      </c>
      <c r="D5017" s="1" t="s">
        <v>100</v>
      </c>
      <c r="E5017" s="1" t="s">
        <v>2</v>
      </c>
      <c r="F5017" s="18">
        <v>2165</v>
      </c>
      <c r="G5017" s="18">
        <v>181</v>
      </c>
      <c r="H5017" s="5">
        <v>5</v>
      </c>
      <c r="I5017" s="1">
        <v>183</v>
      </c>
      <c r="J5017" s="1">
        <v>160</v>
      </c>
      <c r="K5017" s="1"/>
      <c r="L5017" t="str">
        <f t="shared" si="78"/>
        <v>http://www.badatelna.eu/reprodukce/?fondId=1073&amp;zaznamId=1108952&amp;reproId=3779042</v>
      </c>
      <c r="M5017">
        <f>VLOOKUP(F5017,Sheet2!$B$1:$E$19,2,FALSE)</f>
        <v>1073</v>
      </c>
      <c r="N5017">
        <f>VLOOKUP(F5017,Sheet2!$B$1:$E$19,3,FALSE)</f>
        <v>1108952</v>
      </c>
      <c r="O5017">
        <f>IF(G5017="Not available","",VLOOKUP(F5017,Sheet2!$B$1:$E$19,4,FALSE)+(G5017-1))</f>
        <v>3779042</v>
      </c>
    </row>
    <row r="5018" spans="1:15" s="3" customFormat="1" ht="15" customHeight="1" x14ac:dyDescent="0.25">
      <c r="A5018" s="18" t="s">
        <v>485</v>
      </c>
      <c r="B5018" s="18" t="s">
        <v>50</v>
      </c>
      <c r="C5018" s="5">
        <v>1845</v>
      </c>
      <c r="D5018" s="1" t="s">
        <v>12</v>
      </c>
      <c r="E5018" s="1" t="s">
        <v>2</v>
      </c>
      <c r="F5018" s="18">
        <v>2174</v>
      </c>
      <c r="G5018" s="18">
        <v>154</v>
      </c>
      <c r="H5018" s="14" t="s">
        <v>3220</v>
      </c>
      <c r="I5018" s="1">
        <v>209</v>
      </c>
      <c r="J5018" s="1">
        <v>246</v>
      </c>
      <c r="K5018" s="1"/>
      <c r="L5018" t="str">
        <f t="shared" si="78"/>
        <v>http://www.badatelna.eu/reprodukce/?fondId=1073&amp;zaznamId=1108960&amp;reproId=3780378</v>
      </c>
      <c r="M5018">
        <f>VLOOKUP(F5018,Sheet2!$B$1:$E$19,2,FALSE)</f>
        <v>1073</v>
      </c>
      <c r="N5018">
        <f>VLOOKUP(F5018,Sheet2!$B$1:$E$19,3,FALSE)</f>
        <v>1108960</v>
      </c>
      <c r="O5018">
        <f>IF(G5018="Not available","",VLOOKUP(F5018,Sheet2!$B$1:$E$19,4,FALSE)+(G5018-1))</f>
        <v>3780378</v>
      </c>
    </row>
    <row r="5019" spans="1:15" s="3" customFormat="1" ht="15" customHeight="1" x14ac:dyDescent="0.25">
      <c r="A5019" s="18" t="s">
        <v>485</v>
      </c>
      <c r="B5019" s="18" t="s">
        <v>992</v>
      </c>
      <c r="C5019" s="10" t="s">
        <v>1957</v>
      </c>
      <c r="D5019" s="3" t="s">
        <v>2797</v>
      </c>
      <c r="E5019" s="4" t="s">
        <v>2</v>
      </c>
      <c r="F5019" s="18">
        <v>2176</v>
      </c>
      <c r="G5019" s="18" t="s">
        <v>3271</v>
      </c>
      <c r="H5019" s="10" t="s">
        <v>1981</v>
      </c>
      <c r="I5019" s="3">
        <v>51</v>
      </c>
      <c r="J5019" s="4" t="s">
        <v>3271</v>
      </c>
      <c r="L5019" t="str">
        <f t="shared" si="78"/>
        <v/>
      </c>
      <c r="M5019">
        <f>VLOOKUP(F5019,Sheet2!$B$1:$E$19,2,FALSE)</f>
        <v>1073</v>
      </c>
      <c r="N5019">
        <f>VLOOKUP(F5019,Sheet2!$B$1:$E$19,3,FALSE)</f>
        <v>1108963</v>
      </c>
      <c r="O5019" t="str">
        <f>IF(G5019="Not available","",VLOOKUP(F5019,Sheet2!$B$1:$E$19,4,FALSE)+(G5019-1))</f>
        <v/>
      </c>
    </row>
    <row r="5020" spans="1:15" s="3" customFormat="1" ht="15" customHeight="1" x14ac:dyDescent="0.25">
      <c r="A5020" s="18" t="s">
        <v>485</v>
      </c>
      <c r="B5020" s="18" t="s">
        <v>992</v>
      </c>
      <c r="C5020" s="5" t="s">
        <v>1940</v>
      </c>
      <c r="D5020" s="1" t="s">
        <v>1115</v>
      </c>
      <c r="E5020" s="1" t="s">
        <v>2</v>
      </c>
      <c r="F5020" s="18">
        <v>2165</v>
      </c>
      <c r="G5020" s="18">
        <v>283</v>
      </c>
      <c r="H5020" s="5">
        <v>3</v>
      </c>
      <c r="I5020" s="1">
        <v>285</v>
      </c>
      <c r="J5020" s="1">
        <v>259</v>
      </c>
      <c r="K5020" s="1"/>
      <c r="L5020" t="str">
        <f t="shared" si="78"/>
        <v>http://www.badatelna.eu/reprodukce/?fondId=1073&amp;zaznamId=1108952&amp;reproId=3779144</v>
      </c>
      <c r="M5020">
        <f>VLOOKUP(F5020,Sheet2!$B$1:$E$19,2,FALSE)</f>
        <v>1073</v>
      </c>
      <c r="N5020">
        <f>VLOOKUP(F5020,Sheet2!$B$1:$E$19,3,FALSE)</f>
        <v>1108952</v>
      </c>
      <c r="O5020">
        <f>IF(G5020="Not available","",VLOOKUP(F5020,Sheet2!$B$1:$E$19,4,FALSE)+(G5020-1))</f>
        <v>3779144</v>
      </c>
    </row>
    <row r="5021" spans="1:15" s="3" customFormat="1" ht="15" customHeight="1" x14ac:dyDescent="0.25">
      <c r="A5021" s="18" t="s">
        <v>485</v>
      </c>
      <c r="B5021" s="18" t="s">
        <v>2112</v>
      </c>
      <c r="C5021" s="10" t="s">
        <v>2259</v>
      </c>
      <c r="D5021" s="3" t="s">
        <v>2807</v>
      </c>
      <c r="E5021" s="4" t="s">
        <v>2</v>
      </c>
      <c r="F5021" s="18">
        <v>2176</v>
      </c>
      <c r="G5021" s="18" t="s">
        <v>3271</v>
      </c>
      <c r="H5021" s="10" t="s">
        <v>2088</v>
      </c>
      <c r="I5021" s="3">
        <v>51</v>
      </c>
      <c r="J5021" s="4" t="s">
        <v>3271</v>
      </c>
      <c r="L5021" t="str">
        <f t="shared" si="78"/>
        <v/>
      </c>
      <c r="M5021">
        <f>VLOOKUP(F5021,Sheet2!$B$1:$E$19,2,FALSE)</f>
        <v>1073</v>
      </c>
      <c r="N5021">
        <f>VLOOKUP(F5021,Sheet2!$B$1:$E$19,3,FALSE)</f>
        <v>1108963</v>
      </c>
      <c r="O5021" t="str">
        <f>IF(G5021="Not available","",VLOOKUP(F5021,Sheet2!$B$1:$E$19,4,FALSE)+(G5021-1))</f>
        <v/>
      </c>
    </row>
    <row r="5022" spans="1:15" s="3" customFormat="1" ht="15" customHeight="1" x14ac:dyDescent="0.25">
      <c r="A5022" s="18" t="s">
        <v>485</v>
      </c>
      <c r="B5022" s="18" t="s">
        <v>2089</v>
      </c>
      <c r="C5022" s="10" t="s">
        <v>2244</v>
      </c>
      <c r="D5022" s="3" t="s">
        <v>2800</v>
      </c>
      <c r="E5022" s="4" t="s">
        <v>2</v>
      </c>
      <c r="F5022" s="18">
        <v>2176</v>
      </c>
      <c r="G5022" s="18" t="s">
        <v>3271</v>
      </c>
      <c r="H5022" s="10" t="s">
        <v>2094</v>
      </c>
      <c r="I5022" s="3">
        <v>51</v>
      </c>
      <c r="J5022" s="4" t="s">
        <v>3271</v>
      </c>
      <c r="L5022" t="str">
        <f t="shared" si="78"/>
        <v/>
      </c>
      <c r="M5022">
        <f>VLOOKUP(F5022,Sheet2!$B$1:$E$19,2,FALSE)</f>
        <v>1073</v>
      </c>
      <c r="N5022">
        <f>VLOOKUP(F5022,Sheet2!$B$1:$E$19,3,FALSE)</f>
        <v>1108963</v>
      </c>
      <c r="O5022" t="str">
        <f>IF(G5022="Not available","",VLOOKUP(F5022,Sheet2!$B$1:$E$19,4,FALSE)+(G5022-1))</f>
        <v/>
      </c>
    </row>
    <row r="5023" spans="1:15" s="3" customFormat="1" ht="15" customHeight="1" x14ac:dyDescent="0.25">
      <c r="A5023" s="23" t="s">
        <v>485</v>
      </c>
      <c r="B5023" s="18" t="s">
        <v>51</v>
      </c>
      <c r="C5023" s="14" t="s">
        <v>2244</v>
      </c>
      <c r="D5023" s="4" t="s">
        <v>1115</v>
      </c>
      <c r="E5023" s="1" t="s">
        <v>2</v>
      </c>
      <c r="F5023" s="18">
        <v>2165</v>
      </c>
      <c r="G5023" s="18">
        <v>298</v>
      </c>
      <c r="H5023" s="5">
        <v>2</v>
      </c>
      <c r="I5023" s="1">
        <v>301</v>
      </c>
      <c r="J5023" s="1">
        <v>274</v>
      </c>
      <c r="K5023" s="1"/>
      <c r="L5023" t="str">
        <f t="shared" si="78"/>
        <v>http://www.badatelna.eu/reprodukce/?fondId=1073&amp;zaznamId=1108952&amp;reproId=3779159</v>
      </c>
      <c r="M5023">
        <f>VLOOKUP(F5023,Sheet2!$B$1:$E$19,2,FALSE)</f>
        <v>1073</v>
      </c>
      <c r="N5023">
        <f>VLOOKUP(F5023,Sheet2!$B$1:$E$19,3,FALSE)</f>
        <v>1108952</v>
      </c>
      <c r="O5023">
        <f>IF(G5023="Not available","",VLOOKUP(F5023,Sheet2!$B$1:$E$19,4,FALSE)+(G5023-1))</f>
        <v>3779159</v>
      </c>
    </row>
    <row r="5024" spans="1:15" s="3" customFormat="1" ht="15" customHeight="1" x14ac:dyDescent="0.25">
      <c r="A5024" s="18" t="s">
        <v>485</v>
      </c>
      <c r="B5024" s="18" t="s">
        <v>2107</v>
      </c>
      <c r="C5024" s="10" t="s">
        <v>2257</v>
      </c>
      <c r="D5024" s="3" t="s">
        <v>2807</v>
      </c>
      <c r="E5024" s="4" t="s">
        <v>2</v>
      </c>
      <c r="F5024" s="18">
        <v>2176</v>
      </c>
      <c r="G5024" s="18" t="s">
        <v>3271</v>
      </c>
      <c r="H5024" s="10" t="s">
        <v>2142</v>
      </c>
      <c r="I5024" s="3">
        <v>51</v>
      </c>
      <c r="J5024" s="4" t="s">
        <v>3271</v>
      </c>
      <c r="L5024" t="str">
        <f t="shared" si="78"/>
        <v/>
      </c>
      <c r="M5024">
        <f>VLOOKUP(F5024,Sheet2!$B$1:$E$19,2,FALSE)</f>
        <v>1073</v>
      </c>
      <c r="N5024">
        <f>VLOOKUP(F5024,Sheet2!$B$1:$E$19,3,FALSE)</f>
        <v>1108963</v>
      </c>
      <c r="O5024" t="str">
        <f>IF(G5024="Not available","",VLOOKUP(F5024,Sheet2!$B$1:$E$19,4,FALSE)+(G5024-1))</f>
        <v/>
      </c>
    </row>
    <row r="5025" spans="1:15" s="3" customFormat="1" ht="15" customHeight="1" x14ac:dyDescent="0.25">
      <c r="A5025" s="18" t="s">
        <v>485</v>
      </c>
      <c r="B5025" s="18" t="s">
        <v>1962</v>
      </c>
      <c r="C5025" s="10" t="s">
        <v>2074</v>
      </c>
      <c r="D5025" s="3" t="s">
        <v>2524</v>
      </c>
      <c r="E5025" s="4" t="s">
        <v>2</v>
      </c>
      <c r="F5025" s="18">
        <v>2176</v>
      </c>
      <c r="G5025" s="18" t="s">
        <v>3271</v>
      </c>
      <c r="H5025" s="10" t="s">
        <v>2031</v>
      </c>
      <c r="I5025" s="3">
        <v>51</v>
      </c>
      <c r="J5025" s="4" t="s">
        <v>3271</v>
      </c>
      <c r="L5025" t="str">
        <f t="shared" si="78"/>
        <v/>
      </c>
      <c r="M5025">
        <f>VLOOKUP(F5025,Sheet2!$B$1:$E$19,2,FALSE)</f>
        <v>1073</v>
      </c>
      <c r="N5025">
        <f>VLOOKUP(F5025,Sheet2!$B$1:$E$19,3,FALSE)</f>
        <v>1108963</v>
      </c>
      <c r="O5025" t="str">
        <f>IF(G5025="Not available","",VLOOKUP(F5025,Sheet2!$B$1:$E$19,4,FALSE)+(G5025-1))</f>
        <v/>
      </c>
    </row>
    <row r="5026" spans="1:15" s="3" customFormat="1" ht="15" customHeight="1" x14ac:dyDescent="0.25">
      <c r="A5026" s="18" t="s">
        <v>485</v>
      </c>
      <c r="B5026" s="18" t="s">
        <v>2126</v>
      </c>
      <c r="C5026" s="10" t="s">
        <v>2814</v>
      </c>
      <c r="D5026" s="3" t="s">
        <v>2815</v>
      </c>
      <c r="E5026" s="4" t="s">
        <v>2</v>
      </c>
      <c r="F5026" s="18">
        <v>2176</v>
      </c>
      <c r="G5026" s="18" t="s">
        <v>3271</v>
      </c>
      <c r="H5026" s="10" t="s">
        <v>2088</v>
      </c>
      <c r="I5026" s="3">
        <v>52</v>
      </c>
      <c r="J5026" s="4" t="s">
        <v>3271</v>
      </c>
      <c r="L5026" t="str">
        <f t="shared" si="78"/>
        <v/>
      </c>
      <c r="M5026">
        <f>VLOOKUP(F5026,Sheet2!$B$1:$E$19,2,FALSE)</f>
        <v>1073</v>
      </c>
      <c r="N5026">
        <f>VLOOKUP(F5026,Sheet2!$B$1:$E$19,3,FALSE)</f>
        <v>1108963</v>
      </c>
      <c r="O5026" t="str">
        <f>IF(G5026="Not available","",VLOOKUP(F5026,Sheet2!$B$1:$E$19,4,FALSE)+(G5026-1))</f>
        <v/>
      </c>
    </row>
    <row r="5027" spans="1:15" s="3" customFormat="1" ht="15" customHeight="1" x14ac:dyDescent="0.25">
      <c r="A5027" s="18" t="s">
        <v>499</v>
      </c>
      <c r="B5027" s="18" t="s">
        <v>477</v>
      </c>
      <c r="C5027" s="5">
        <v>1854</v>
      </c>
      <c r="D5027" s="1" t="s">
        <v>55</v>
      </c>
      <c r="E5027" s="1" t="s">
        <v>2</v>
      </c>
      <c r="F5027" s="18">
        <v>2164</v>
      </c>
      <c r="G5027" s="18">
        <v>109</v>
      </c>
      <c r="H5027" s="5">
        <v>107</v>
      </c>
      <c r="I5027" s="1">
        <v>143</v>
      </c>
      <c r="J5027" s="1">
        <v>246</v>
      </c>
      <c r="K5027" s="1"/>
      <c r="L5027" t="str">
        <f t="shared" si="78"/>
        <v>http://www.badatelna.eu/reprodukce/?fondId=1073&amp;zaznamId=1108951&amp;reproId=3778823</v>
      </c>
      <c r="M5027">
        <f>VLOOKUP(F5027,Sheet2!$B$1:$E$19,2,FALSE)</f>
        <v>1073</v>
      </c>
      <c r="N5027">
        <f>VLOOKUP(F5027,Sheet2!$B$1:$E$19,3,FALSE)</f>
        <v>1108951</v>
      </c>
      <c r="O5027">
        <f>IF(G5027="Not available","",VLOOKUP(F5027,Sheet2!$B$1:$E$19,4,FALSE)+(G5027-1))</f>
        <v>3778823</v>
      </c>
    </row>
    <row r="5028" spans="1:15" s="3" customFormat="1" ht="15" customHeight="1" x14ac:dyDescent="0.25">
      <c r="A5028" s="18" t="s">
        <v>499</v>
      </c>
      <c r="B5028" s="18" t="s">
        <v>196</v>
      </c>
      <c r="C5028" s="10" t="s">
        <v>1987</v>
      </c>
      <c r="D5028" s="3" t="s">
        <v>2771</v>
      </c>
      <c r="E5028" s="4" t="s">
        <v>2</v>
      </c>
      <c r="F5028" s="18">
        <v>2176</v>
      </c>
      <c r="G5028" s="18" t="s">
        <v>3271</v>
      </c>
      <c r="H5028" s="10" t="s">
        <v>2210</v>
      </c>
      <c r="I5028" s="3">
        <v>50</v>
      </c>
      <c r="J5028" s="4" t="s">
        <v>3271</v>
      </c>
      <c r="K5028" s="1"/>
      <c r="L5028" t="str">
        <f t="shared" si="78"/>
        <v/>
      </c>
      <c r="M5028">
        <f>VLOOKUP(F5028,Sheet2!$B$1:$E$19,2,FALSE)</f>
        <v>1073</v>
      </c>
      <c r="N5028">
        <f>VLOOKUP(F5028,Sheet2!$B$1:$E$19,3,FALSE)</f>
        <v>1108963</v>
      </c>
      <c r="O5028" t="str">
        <f>IF(G5028="Not available","",VLOOKUP(F5028,Sheet2!$B$1:$E$19,4,FALSE)+(G5028-1))</f>
        <v/>
      </c>
    </row>
    <row r="5029" spans="1:15" s="3" customFormat="1" ht="15" customHeight="1" x14ac:dyDescent="0.25">
      <c r="A5029" s="18" t="s">
        <v>499</v>
      </c>
      <c r="B5029" s="18" t="s">
        <v>1968</v>
      </c>
      <c r="C5029" s="10" t="s">
        <v>2068</v>
      </c>
      <c r="D5029" s="3" t="s">
        <v>2788</v>
      </c>
      <c r="E5029" s="4" t="s">
        <v>2</v>
      </c>
      <c r="F5029" s="18">
        <v>2176</v>
      </c>
      <c r="G5029" s="18" t="s">
        <v>3271</v>
      </c>
      <c r="H5029" s="10" t="s">
        <v>2053</v>
      </c>
      <c r="I5029" s="3">
        <v>51</v>
      </c>
      <c r="J5029" s="4" t="s">
        <v>3271</v>
      </c>
      <c r="L5029" t="str">
        <f t="shared" si="78"/>
        <v/>
      </c>
      <c r="M5029">
        <f>VLOOKUP(F5029,Sheet2!$B$1:$E$19,2,FALSE)</f>
        <v>1073</v>
      </c>
      <c r="N5029">
        <f>VLOOKUP(F5029,Sheet2!$B$1:$E$19,3,FALSE)</f>
        <v>1108963</v>
      </c>
      <c r="O5029" t="str">
        <f>IF(G5029="Not available","",VLOOKUP(F5029,Sheet2!$B$1:$E$19,4,FALSE)+(G5029-1))</f>
        <v/>
      </c>
    </row>
    <row r="5030" spans="1:15" s="3" customFormat="1" ht="15" customHeight="1" x14ac:dyDescent="0.25">
      <c r="A5030" s="18" t="s">
        <v>499</v>
      </c>
      <c r="B5030" s="19" t="s">
        <v>997</v>
      </c>
      <c r="C5030" s="5">
        <v>1857</v>
      </c>
      <c r="D5030" s="1" t="s">
        <v>55</v>
      </c>
      <c r="E5030" s="1" t="s">
        <v>2</v>
      </c>
      <c r="F5030" s="18">
        <v>2164</v>
      </c>
      <c r="G5030" s="18">
        <v>120</v>
      </c>
      <c r="H5030" s="5">
        <v>118</v>
      </c>
      <c r="I5030" s="1">
        <v>143</v>
      </c>
      <c r="J5030" s="1">
        <v>246</v>
      </c>
      <c r="K5030" s="1"/>
      <c r="L5030" t="str">
        <f t="shared" si="78"/>
        <v>http://www.badatelna.eu/reprodukce/?fondId=1073&amp;zaznamId=1108951&amp;reproId=3778834</v>
      </c>
      <c r="M5030">
        <f>VLOOKUP(F5030,Sheet2!$B$1:$E$19,2,FALSE)</f>
        <v>1073</v>
      </c>
      <c r="N5030">
        <f>VLOOKUP(F5030,Sheet2!$B$1:$E$19,3,FALSE)</f>
        <v>1108951</v>
      </c>
      <c r="O5030">
        <f>IF(G5030="Not available","",VLOOKUP(F5030,Sheet2!$B$1:$E$19,4,FALSE)+(G5030-1))</f>
        <v>3778834</v>
      </c>
    </row>
    <row r="5031" spans="1:15" s="3" customFormat="1" ht="15" customHeight="1" x14ac:dyDescent="0.25">
      <c r="A5031" s="18" t="s">
        <v>499</v>
      </c>
      <c r="B5031" s="18" t="s">
        <v>2096</v>
      </c>
      <c r="C5031" s="10" t="s">
        <v>1957</v>
      </c>
      <c r="D5031" s="3" t="s">
        <v>2795</v>
      </c>
      <c r="E5031" s="4" t="s">
        <v>2</v>
      </c>
      <c r="F5031" s="18">
        <v>2176</v>
      </c>
      <c r="G5031" s="18" t="s">
        <v>3271</v>
      </c>
      <c r="H5031" s="10" t="s">
        <v>1976</v>
      </c>
      <c r="I5031" s="3">
        <v>51</v>
      </c>
      <c r="J5031" s="4" t="s">
        <v>3271</v>
      </c>
      <c r="L5031" t="str">
        <f t="shared" si="78"/>
        <v/>
      </c>
      <c r="M5031">
        <f>VLOOKUP(F5031,Sheet2!$B$1:$E$19,2,FALSE)</f>
        <v>1073</v>
      </c>
      <c r="N5031">
        <f>VLOOKUP(F5031,Sheet2!$B$1:$E$19,3,FALSE)</f>
        <v>1108963</v>
      </c>
      <c r="O5031" t="str">
        <f>IF(G5031="Not available","",VLOOKUP(F5031,Sheet2!$B$1:$E$19,4,FALSE)+(G5031-1))</f>
        <v/>
      </c>
    </row>
    <row r="5032" spans="1:15" s="3" customFormat="1" ht="15" customHeight="1" x14ac:dyDescent="0.25">
      <c r="A5032" s="18" t="s">
        <v>499</v>
      </c>
      <c r="B5032" s="18" t="s">
        <v>849</v>
      </c>
      <c r="C5032" s="5">
        <v>1866</v>
      </c>
      <c r="D5032" s="1"/>
      <c r="E5032" s="1" t="s">
        <v>939</v>
      </c>
      <c r="F5032" s="18">
        <v>999</v>
      </c>
      <c r="G5032" s="18">
        <v>60</v>
      </c>
      <c r="H5032" s="5">
        <v>58</v>
      </c>
      <c r="I5032" s="1">
        <v>79</v>
      </c>
      <c r="J5032" s="1">
        <v>112</v>
      </c>
      <c r="K5032" s="1"/>
      <c r="L5032" t="str">
        <f t="shared" si="78"/>
        <v>http://www.badatelna.eu/reprodukce/?fondId=241&amp;zaznamId=1133739&amp;reproId=3885789</v>
      </c>
      <c r="M5032">
        <f>VLOOKUP(F5032,Sheet2!$B$1:$E$19,2,FALSE)</f>
        <v>241</v>
      </c>
      <c r="N5032">
        <f>VLOOKUP(F5032,Sheet2!$B$1:$E$19,3,FALSE)</f>
        <v>1133739</v>
      </c>
      <c r="O5032">
        <f>IF(G5032="Not available","",VLOOKUP(F5032,Sheet2!$B$1:$E$19,4,FALSE)+(G5032-1))</f>
        <v>3885789</v>
      </c>
    </row>
    <row r="5033" spans="1:15" s="3" customFormat="1" ht="15" customHeight="1" x14ac:dyDescent="0.25">
      <c r="A5033" s="18" t="s">
        <v>499</v>
      </c>
      <c r="B5033" s="18" t="s">
        <v>849</v>
      </c>
      <c r="C5033" s="5" t="s">
        <v>1682</v>
      </c>
      <c r="D5033" s="1" t="s">
        <v>100</v>
      </c>
      <c r="E5033" s="1" t="s">
        <v>2</v>
      </c>
      <c r="F5033" s="18">
        <v>2165</v>
      </c>
      <c r="G5033" s="18">
        <v>15</v>
      </c>
      <c r="H5033" s="5">
        <v>12</v>
      </c>
      <c r="I5033" s="1">
        <v>97</v>
      </c>
      <c r="J5033" s="4" t="s">
        <v>3271</v>
      </c>
      <c r="K5033" s="1"/>
      <c r="L5033" t="str">
        <f t="shared" si="78"/>
        <v>http://www.badatelna.eu/reprodukce/?fondId=1073&amp;zaznamId=1108952&amp;reproId=3778876</v>
      </c>
      <c r="M5033">
        <f>VLOOKUP(F5033,Sheet2!$B$1:$E$19,2,FALSE)</f>
        <v>1073</v>
      </c>
      <c r="N5033">
        <f>VLOOKUP(F5033,Sheet2!$B$1:$E$19,3,FALSE)</f>
        <v>1108952</v>
      </c>
      <c r="O5033">
        <f>IF(G5033="Not available","",VLOOKUP(F5033,Sheet2!$B$1:$E$19,4,FALSE)+(G5033-1))</f>
        <v>3778876</v>
      </c>
    </row>
    <row r="5034" spans="1:15" s="3" customFormat="1" ht="15" customHeight="1" x14ac:dyDescent="0.25">
      <c r="A5034" s="18" t="s">
        <v>499</v>
      </c>
      <c r="B5034" s="18" t="s">
        <v>482</v>
      </c>
      <c r="C5034" s="5" t="s">
        <v>1705</v>
      </c>
      <c r="D5034" s="1" t="s">
        <v>100</v>
      </c>
      <c r="E5034" s="1" t="s">
        <v>2</v>
      </c>
      <c r="F5034" s="18">
        <v>2165</v>
      </c>
      <c r="G5034" s="18">
        <v>59</v>
      </c>
      <c r="H5034" s="5">
        <v>56</v>
      </c>
      <c r="I5034" s="1">
        <v>98</v>
      </c>
      <c r="J5034" s="4" t="s">
        <v>3271</v>
      </c>
      <c r="K5034" s="1"/>
      <c r="L5034" t="str">
        <f t="shared" si="78"/>
        <v>http://www.badatelna.eu/reprodukce/?fondId=1073&amp;zaznamId=1108952&amp;reproId=3778920</v>
      </c>
      <c r="M5034">
        <f>VLOOKUP(F5034,Sheet2!$B$1:$E$19,2,FALSE)</f>
        <v>1073</v>
      </c>
      <c r="N5034">
        <f>VLOOKUP(F5034,Sheet2!$B$1:$E$19,3,FALSE)</f>
        <v>1108952</v>
      </c>
      <c r="O5034">
        <f>IF(G5034="Not available","",VLOOKUP(F5034,Sheet2!$B$1:$E$19,4,FALSE)+(G5034-1))</f>
        <v>3778920</v>
      </c>
    </row>
    <row r="5035" spans="1:15" s="3" customFormat="1" ht="15" customHeight="1" x14ac:dyDescent="0.25">
      <c r="A5035" s="18" t="s">
        <v>499</v>
      </c>
      <c r="B5035" s="18" t="s">
        <v>1051</v>
      </c>
      <c r="C5035" s="5">
        <v>1889</v>
      </c>
      <c r="D5035" s="1" t="s">
        <v>242</v>
      </c>
      <c r="E5035" s="1" t="s">
        <v>2</v>
      </c>
      <c r="F5035" s="18">
        <v>2165</v>
      </c>
      <c r="G5035" s="18">
        <v>222</v>
      </c>
      <c r="H5035" s="5">
        <v>2</v>
      </c>
      <c r="I5035" s="1">
        <v>225</v>
      </c>
      <c r="J5035" s="1">
        <v>201</v>
      </c>
      <c r="K5035" s="1"/>
      <c r="L5035" t="str">
        <f t="shared" si="78"/>
        <v>http://www.badatelna.eu/reprodukce/?fondId=1073&amp;zaznamId=1108952&amp;reproId=3779083</v>
      </c>
      <c r="M5035">
        <f>VLOOKUP(F5035,Sheet2!$B$1:$E$19,2,FALSE)</f>
        <v>1073</v>
      </c>
      <c r="N5035">
        <f>VLOOKUP(F5035,Sheet2!$B$1:$E$19,3,FALSE)</f>
        <v>1108952</v>
      </c>
      <c r="O5035">
        <f>IF(G5035="Not available","",VLOOKUP(F5035,Sheet2!$B$1:$E$19,4,FALSE)+(G5035-1))</f>
        <v>3779083</v>
      </c>
    </row>
    <row r="5036" spans="1:15" s="3" customFormat="1" ht="15" customHeight="1" x14ac:dyDescent="0.25">
      <c r="A5036" s="18" t="s">
        <v>499</v>
      </c>
      <c r="B5036" s="18" t="s">
        <v>1209</v>
      </c>
      <c r="C5036" s="5" t="s">
        <v>1939</v>
      </c>
      <c r="D5036" s="1" t="s">
        <v>1115</v>
      </c>
      <c r="E5036" s="1" t="s">
        <v>2</v>
      </c>
      <c r="F5036" s="18">
        <v>2165</v>
      </c>
      <c r="G5036" s="18">
        <v>282</v>
      </c>
      <c r="H5036" s="5">
        <v>2</v>
      </c>
      <c r="I5036" s="1">
        <v>285</v>
      </c>
      <c r="J5036" s="1">
        <v>259</v>
      </c>
      <c r="K5036" s="1"/>
      <c r="L5036" t="str">
        <f t="shared" si="78"/>
        <v>http://www.badatelna.eu/reprodukce/?fondId=1073&amp;zaznamId=1108952&amp;reproId=3779143</v>
      </c>
      <c r="M5036">
        <f>VLOOKUP(F5036,Sheet2!$B$1:$E$19,2,FALSE)</f>
        <v>1073</v>
      </c>
      <c r="N5036">
        <f>VLOOKUP(F5036,Sheet2!$B$1:$E$19,3,FALSE)</f>
        <v>1108952</v>
      </c>
      <c r="O5036">
        <f>IF(G5036="Not available","",VLOOKUP(F5036,Sheet2!$B$1:$E$19,4,FALSE)+(G5036-1))</f>
        <v>3779143</v>
      </c>
    </row>
    <row r="5037" spans="1:15" s="3" customFormat="1" ht="15" customHeight="1" x14ac:dyDescent="0.25">
      <c r="A5037" s="18" t="s">
        <v>499</v>
      </c>
      <c r="B5037" s="18" t="s">
        <v>2027</v>
      </c>
      <c r="C5037" s="10" t="s">
        <v>2024</v>
      </c>
      <c r="D5037" s="3" t="s">
        <v>2771</v>
      </c>
      <c r="E5037" s="4" t="s">
        <v>2</v>
      </c>
      <c r="F5037" s="18">
        <v>2176</v>
      </c>
      <c r="G5037" s="18" t="s">
        <v>3271</v>
      </c>
      <c r="H5037" s="10" t="s">
        <v>2780</v>
      </c>
      <c r="I5037" s="3">
        <v>50</v>
      </c>
      <c r="J5037" s="4" t="s">
        <v>3271</v>
      </c>
      <c r="L5037" t="str">
        <f t="shared" si="78"/>
        <v/>
      </c>
      <c r="M5037">
        <f>VLOOKUP(F5037,Sheet2!$B$1:$E$19,2,FALSE)</f>
        <v>1073</v>
      </c>
      <c r="N5037">
        <f>VLOOKUP(F5037,Sheet2!$B$1:$E$19,3,FALSE)</f>
        <v>1108963</v>
      </c>
      <c r="O5037" t="str">
        <f>IF(G5037="Not available","",VLOOKUP(F5037,Sheet2!$B$1:$E$19,4,FALSE)+(G5037-1))</f>
        <v/>
      </c>
    </row>
    <row r="5038" spans="1:15" s="3" customFormat="1" ht="15" customHeight="1" x14ac:dyDescent="0.25">
      <c r="A5038" s="18" t="s">
        <v>499</v>
      </c>
      <c r="B5038" s="18" t="s">
        <v>2811</v>
      </c>
      <c r="C5038" s="10" t="s">
        <v>2810</v>
      </c>
      <c r="D5038" s="3" t="s">
        <v>2812</v>
      </c>
      <c r="E5038" s="4" t="s">
        <v>2</v>
      </c>
      <c r="F5038" s="18">
        <v>2176</v>
      </c>
      <c r="G5038" s="18" t="s">
        <v>3271</v>
      </c>
      <c r="H5038" s="10" t="s">
        <v>1954</v>
      </c>
      <c r="I5038" s="3">
        <v>52</v>
      </c>
      <c r="J5038" s="4" t="s">
        <v>3271</v>
      </c>
      <c r="L5038" t="str">
        <f t="shared" si="78"/>
        <v/>
      </c>
      <c r="M5038">
        <f>VLOOKUP(F5038,Sheet2!$B$1:$E$19,2,FALSE)</f>
        <v>1073</v>
      </c>
      <c r="N5038">
        <f>VLOOKUP(F5038,Sheet2!$B$1:$E$19,3,FALSE)</f>
        <v>1108963</v>
      </c>
      <c r="O5038" t="str">
        <f>IF(G5038="Not available","",VLOOKUP(F5038,Sheet2!$B$1:$E$19,4,FALSE)+(G5038-1))</f>
        <v/>
      </c>
    </row>
    <row r="5039" spans="1:15" s="3" customFormat="1" ht="15" customHeight="1" x14ac:dyDescent="0.25">
      <c r="A5039" s="18" t="s">
        <v>499</v>
      </c>
      <c r="B5039" s="18" t="s">
        <v>172</v>
      </c>
      <c r="C5039" s="5">
        <v>1854</v>
      </c>
      <c r="D5039" s="1" t="s">
        <v>55</v>
      </c>
      <c r="E5039" s="1" t="s">
        <v>2</v>
      </c>
      <c r="F5039" s="18">
        <v>2164</v>
      </c>
      <c r="G5039" s="18">
        <v>99</v>
      </c>
      <c r="H5039" s="5">
        <v>97</v>
      </c>
      <c r="I5039" s="1">
        <v>143</v>
      </c>
      <c r="J5039" s="1">
        <v>246</v>
      </c>
      <c r="K5039" s="1"/>
      <c r="L5039" t="str">
        <f t="shared" si="78"/>
        <v>http://www.badatelna.eu/reprodukce/?fondId=1073&amp;zaznamId=1108951&amp;reproId=3778813</v>
      </c>
      <c r="M5039">
        <f>VLOOKUP(F5039,Sheet2!$B$1:$E$19,2,FALSE)</f>
        <v>1073</v>
      </c>
      <c r="N5039">
        <f>VLOOKUP(F5039,Sheet2!$B$1:$E$19,3,FALSE)</f>
        <v>1108951</v>
      </c>
      <c r="O5039">
        <f>IF(G5039="Not available","",VLOOKUP(F5039,Sheet2!$B$1:$E$19,4,FALSE)+(G5039-1))</f>
        <v>3778813</v>
      </c>
    </row>
    <row r="5040" spans="1:15" s="3" customFormat="1" ht="15" customHeight="1" x14ac:dyDescent="0.25">
      <c r="A5040" s="18" t="s">
        <v>499</v>
      </c>
      <c r="B5040" s="18" t="s">
        <v>115</v>
      </c>
      <c r="C5040" s="5" t="s">
        <v>1792</v>
      </c>
      <c r="D5040" s="1" t="s">
        <v>900</v>
      </c>
      <c r="E5040" s="1" t="s">
        <v>2</v>
      </c>
      <c r="F5040" s="18">
        <v>2165</v>
      </c>
      <c r="G5040" s="18">
        <v>236</v>
      </c>
      <c r="H5040" s="5">
        <v>3</v>
      </c>
      <c r="I5040" s="1">
        <v>238</v>
      </c>
      <c r="J5040" s="1">
        <v>214</v>
      </c>
      <c r="K5040" s="1"/>
      <c r="L5040" t="str">
        <f t="shared" si="78"/>
        <v>http://www.badatelna.eu/reprodukce/?fondId=1073&amp;zaznamId=1108952&amp;reproId=3779097</v>
      </c>
      <c r="M5040">
        <f>VLOOKUP(F5040,Sheet2!$B$1:$E$19,2,FALSE)</f>
        <v>1073</v>
      </c>
      <c r="N5040">
        <f>VLOOKUP(F5040,Sheet2!$B$1:$E$19,3,FALSE)</f>
        <v>1108952</v>
      </c>
      <c r="O5040">
        <f>IF(G5040="Not available","",VLOOKUP(F5040,Sheet2!$B$1:$E$19,4,FALSE)+(G5040-1))</f>
        <v>3779097</v>
      </c>
    </row>
    <row r="5041" spans="1:15" s="3" customFormat="1" ht="15" customHeight="1" x14ac:dyDescent="0.25">
      <c r="A5041" s="18" t="s">
        <v>499</v>
      </c>
      <c r="B5041" s="18" t="s">
        <v>432</v>
      </c>
      <c r="C5041" s="5">
        <v>1853</v>
      </c>
      <c r="D5041" s="1" t="s">
        <v>55</v>
      </c>
      <c r="E5041" s="1" t="s">
        <v>2</v>
      </c>
      <c r="F5041" s="18">
        <v>2164</v>
      </c>
      <c r="G5041" s="18">
        <v>90</v>
      </c>
      <c r="H5041" s="5">
        <v>88</v>
      </c>
      <c r="I5041" s="1">
        <v>143</v>
      </c>
      <c r="J5041" s="1">
        <v>246</v>
      </c>
      <c r="K5041" s="1"/>
      <c r="L5041" t="str">
        <f t="shared" si="78"/>
        <v>http://www.badatelna.eu/reprodukce/?fondId=1073&amp;zaznamId=1108951&amp;reproId=3778804</v>
      </c>
      <c r="M5041">
        <f>VLOOKUP(F5041,Sheet2!$B$1:$E$19,2,FALSE)</f>
        <v>1073</v>
      </c>
      <c r="N5041">
        <f>VLOOKUP(F5041,Sheet2!$B$1:$E$19,3,FALSE)</f>
        <v>1108951</v>
      </c>
      <c r="O5041">
        <f>IF(G5041="Not available","",VLOOKUP(F5041,Sheet2!$B$1:$E$19,4,FALSE)+(G5041-1))</f>
        <v>3778804</v>
      </c>
    </row>
    <row r="5042" spans="1:15" s="3" customFormat="1" ht="15" customHeight="1" x14ac:dyDescent="0.25">
      <c r="A5042" s="18" t="s">
        <v>499</v>
      </c>
      <c r="B5042" s="18" t="s">
        <v>432</v>
      </c>
      <c r="C5042" s="10" t="s">
        <v>2015</v>
      </c>
      <c r="D5042" s="3" t="s">
        <v>2771</v>
      </c>
      <c r="E5042" s="4" t="s">
        <v>2</v>
      </c>
      <c r="F5042" s="18">
        <v>2176</v>
      </c>
      <c r="G5042" s="18" t="s">
        <v>3271</v>
      </c>
      <c r="H5042" s="10" t="s">
        <v>1979</v>
      </c>
      <c r="I5042" s="3">
        <v>50</v>
      </c>
      <c r="J5042" s="4" t="s">
        <v>3271</v>
      </c>
      <c r="L5042" t="str">
        <f t="shared" si="78"/>
        <v/>
      </c>
      <c r="M5042">
        <f>VLOOKUP(F5042,Sheet2!$B$1:$E$19,2,FALSE)</f>
        <v>1073</v>
      </c>
      <c r="N5042">
        <f>VLOOKUP(F5042,Sheet2!$B$1:$E$19,3,FALSE)</f>
        <v>1108963</v>
      </c>
      <c r="O5042" t="str">
        <f>IF(G5042="Not available","",VLOOKUP(F5042,Sheet2!$B$1:$E$19,4,FALSE)+(G5042-1))</f>
        <v/>
      </c>
    </row>
    <row r="5043" spans="1:15" s="3" customFormat="1" ht="15" customHeight="1" x14ac:dyDescent="0.25">
      <c r="A5043" s="18" t="s">
        <v>499</v>
      </c>
      <c r="B5043" s="18" t="s">
        <v>432</v>
      </c>
      <c r="C5043" s="5" t="s">
        <v>1690</v>
      </c>
      <c r="D5043" s="1" t="s">
        <v>100</v>
      </c>
      <c r="E5043" s="1" t="s">
        <v>2</v>
      </c>
      <c r="F5043" s="18">
        <v>2165</v>
      </c>
      <c r="G5043" s="18">
        <v>30</v>
      </c>
      <c r="H5043" s="5">
        <v>27</v>
      </c>
      <c r="I5043" s="1">
        <v>97</v>
      </c>
      <c r="J5043" s="4" t="s">
        <v>3271</v>
      </c>
      <c r="K5043" s="1"/>
      <c r="L5043" t="str">
        <f t="shared" si="78"/>
        <v>http://www.badatelna.eu/reprodukce/?fondId=1073&amp;zaznamId=1108952&amp;reproId=3778891</v>
      </c>
      <c r="M5043">
        <f>VLOOKUP(F5043,Sheet2!$B$1:$E$19,2,FALSE)</f>
        <v>1073</v>
      </c>
      <c r="N5043">
        <f>VLOOKUP(F5043,Sheet2!$B$1:$E$19,3,FALSE)</f>
        <v>1108952</v>
      </c>
      <c r="O5043">
        <f>IF(G5043="Not available","",VLOOKUP(F5043,Sheet2!$B$1:$E$19,4,FALSE)+(G5043-1))</f>
        <v>3778891</v>
      </c>
    </row>
    <row r="5044" spans="1:15" s="3" customFormat="1" ht="15" customHeight="1" x14ac:dyDescent="0.25">
      <c r="A5044" s="18" t="s">
        <v>499</v>
      </c>
      <c r="B5044" s="18" t="s">
        <v>434</v>
      </c>
      <c r="C5044" s="5">
        <v>1863</v>
      </c>
      <c r="D5044" s="1"/>
      <c r="E5044" s="1" t="s">
        <v>939</v>
      </c>
      <c r="F5044" s="18">
        <v>999</v>
      </c>
      <c r="G5044" s="18">
        <v>46</v>
      </c>
      <c r="H5044" s="5">
        <v>44</v>
      </c>
      <c r="I5044" s="1">
        <v>79</v>
      </c>
      <c r="J5044" s="1">
        <v>112</v>
      </c>
      <c r="K5044" s="1"/>
      <c r="L5044" t="str">
        <f t="shared" si="78"/>
        <v>http://www.badatelna.eu/reprodukce/?fondId=241&amp;zaznamId=1133739&amp;reproId=3885775</v>
      </c>
      <c r="M5044">
        <f>VLOOKUP(F5044,Sheet2!$B$1:$E$19,2,FALSE)</f>
        <v>241</v>
      </c>
      <c r="N5044">
        <f>VLOOKUP(F5044,Sheet2!$B$1:$E$19,3,FALSE)</f>
        <v>1133739</v>
      </c>
      <c r="O5044">
        <f>IF(G5044="Not available","",VLOOKUP(F5044,Sheet2!$B$1:$E$19,4,FALSE)+(G5044-1))</f>
        <v>3885775</v>
      </c>
    </row>
    <row r="5045" spans="1:15" s="3" customFormat="1" ht="15" customHeight="1" x14ac:dyDescent="0.25">
      <c r="A5045" s="18" t="s">
        <v>499</v>
      </c>
      <c r="B5045" s="18" t="s">
        <v>434</v>
      </c>
      <c r="C5045" s="5" t="s">
        <v>1700</v>
      </c>
      <c r="D5045" s="1" t="s">
        <v>100</v>
      </c>
      <c r="E5045" s="1" t="s">
        <v>2</v>
      </c>
      <c r="F5045" s="18">
        <v>2165</v>
      </c>
      <c r="G5045" s="18">
        <v>44</v>
      </c>
      <c r="H5045" s="5">
        <v>41</v>
      </c>
      <c r="I5045" s="1">
        <v>97</v>
      </c>
      <c r="J5045" s="4" t="s">
        <v>3271</v>
      </c>
      <c r="K5045" s="1"/>
      <c r="L5045" t="str">
        <f t="shared" si="78"/>
        <v>http://www.badatelna.eu/reprodukce/?fondId=1073&amp;zaznamId=1108952&amp;reproId=3778905</v>
      </c>
      <c r="M5045">
        <f>VLOOKUP(F5045,Sheet2!$B$1:$E$19,2,FALSE)</f>
        <v>1073</v>
      </c>
      <c r="N5045">
        <f>VLOOKUP(F5045,Sheet2!$B$1:$E$19,3,FALSE)</f>
        <v>1108952</v>
      </c>
      <c r="O5045">
        <f>IF(G5045="Not available","",VLOOKUP(F5045,Sheet2!$B$1:$E$19,4,FALSE)+(G5045-1))</f>
        <v>3778905</v>
      </c>
    </row>
    <row r="5046" spans="1:15" s="3" customFormat="1" ht="15" customHeight="1" x14ac:dyDescent="0.25">
      <c r="A5046" s="18" t="s">
        <v>499</v>
      </c>
      <c r="B5046" s="18" t="s">
        <v>44</v>
      </c>
      <c r="C5046" s="5">
        <v>1862</v>
      </c>
      <c r="D5046" s="1"/>
      <c r="E5046" s="1" t="s">
        <v>939</v>
      </c>
      <c r="F5046" s="18">
        <v>999</v>
      </c>
      <c r="G5046" s="18">
        <v>38</v>
      </c>
      <c r="H5046" s="5">
        <v>35</v>
      </c>
      <c r="I5046" s="1">
        <v>79</v>
      </c>
      <c r="J5046" s="1">
        <v>112</v>
      </c>
      <c r="K5046" s="1"/>
      <c r="L5046" t="str">
        <f t="shared" si="78"/>
        <v>http://www.badatelna.eu/reprodukce/?fondId=241&amp;zaznamId=1133739&amp;reproId=3885767</v>
      </c>
      <c r="M5046">
        <f>VLOOKUP(F5046,Sheet2!$B$1:$E$19,2,FALSE)</f>
        <v>241</v>
      </c>
      <c r="N5046">
        <f>VLOOKUP(F5046,Sheet2!$B$1:$E$19,3,FALSE)</f>
        <v>1133739</v>
      </c>
      <c r="O5046">
        <f>IF(G5046="Not available","",VLOOKUP(F5046,Sheet2!$B$1:$E$19,4,FALSE)+(G5046-1))</f>
        <v>3885767</v>
      </c>
    </row>
    <row r="5047" spans="1:15" s="3" customFormat="1" ht="15" customHeight="1" x14ac:dyDescent="0.25">
      <c r="A5047" s="18" t="s">
        <v>499</v>
      </c>
      <c r="B5047" s="18" t="s">
        <v>44</v>
      </c>
      <c r="C5047" s="5" t="s">
        <v>1494</v>
      </c>
      <c r="D5047" s="1" t="s">
        <v>100</v>
      </c>
      <c r="E5047" s="1" t="s">
        <v>2</v>
      </c>
      <c r="F5047" s="18">
        <v>2165</v>
      </c>
      <c r="G5047" s="18">
        <v>68</v>
      </c>
      <c r="H5047" s="5">
        <v>65</v>
      </c>
      <c r="I5047" s="1">
        <v>98</v>
      </c>
      <c r="J5047" s="4" t="s">
        <v>3271</v>
      </c>
      <c r="K5047" s="1"/>
      <c r="L5047" t="str">
        <f t="shared" si="78"/>
        <v>http://www.badatelna.eu/reprodukce/?fondId=1073&amp;zaznamId=1108952&amp;reproId=3778929</v>
      </c>
      <c r="M5047">
        <f>VLOOKUP(F5047,Sheet2!$B$1:$E$19,2,FALSE)</f>
        <v>1073</v>
      </c>
      <c r="N5047">
        <f>VLOOKUP(F5047,Sheet2!$B$1:$E$19,3,FALSE)</f>
        <v>1108952</v>
      </c>
      <c r="O5047">
        <f>IF(G5047="Not available","",VLOOKUP(F5047,Sheet2!$B$1:$E$19,4,FALSE)+(G5047-1))</f>
        <v>3778929</v>
      </c>
    </row>
    <row r="5048" spans="1:15" s="3" customFormat="1" ht="15" customHeight="1" x14ac:dyDescent="0.25">
      <c r="A5048" s="18" t="s">
        <v>499</v>
      </c>
      <c r="B5048" s="18" t="s">
        <v>2165</v>
      </c>
      <c r="C5048" s="10" t="s">
        <v>1285</v>
      </c>
      <c r="D5048" s="3" t="s">
        <v>2781</v>
      </c>
      <c r="E5048" s="4" t="s">
        <v>2</v>
      </c>
      <c r="F5048" s="18">
        <v>2176</v>
      </c>
      <c r="G5048" s="18" t="s">
        <v>3271</v>
      </c>
      <c r="H5048" s="10" t="s">
        <v>2033</v>
      </c>
      <c r="I5048" s="3">
        <v>50</v>
      </c>
      <c r="J5048" s="4" t="s">
        <v>3271</v>
      </c>
      <c r="L5048" t="str">
        <f t="shared" si="78"/>
        <v/>
      </c>
      <c r="M5048">
        <f>VLOOKUP(F5048,Sheet2!$B$1:$E$19,2,FALSE)</f>
        <v>1073</v>
      </c>
      <c r="N5048">
        <f>VLOOKUP(F5048,Sheet2!$B$1:$E$19,3,FALSE)</f>
        <v>1108963</v>
      </c>
      <c r="O5048" t="str">
        <f>IF(G5048="Not available","",VLOOKUP(F5048,Sheet2!$B$1:$E$19,4,FALSE)+(G5048-1))</f>
        <v/>
      </c>
    </row>
    <row r="5049" spans="1:15" s="3" customFormat="1" ht="15" customHeight="1" x14ac:dyDescent="0.25">
      <c r="A5049" s="18" t="s">
        <v>461</v>
      </c>
      <c r="B5049" s="18" t="s">
        <v>34</v>
      </c>
      <c r="C5049" s="5">
        <v>1823</v>
      </c>
      <c r="D5049" s="1"/>
      <c r="E5049" s="1" t="s">
        <v>2</v>
      </c>
      <c r="F5049" s="18">
        <v>2173</v>
      </c>
      <c r="G5049" s="18">
        <v>74</v>
      </c>
      <c r="H5049" s="5">
        <v>140</v>
      </c>
      <c r="I5049" s="1">
        <v>121</v>
      </c>
      <c r="J5049" s="1">
        <v>264</v>
      </c>
      <c r="K5049" s="1"/>
      <c r="L5049" t="str">
        <f t="shared" si="78"/>
        <v>http://www.badatelna.eu/reprodukce/?fondId=1073&amp;zaznamId=1108959&amp;reproId=3780067</v>
      </c>
      <c r="M5049">
        <f>VLOOKUP(F5049,Sheet2!$B$1:$E$19,2,FALSE)</f>
        <v>1073</v>
      </c>
      <c r="N5049">
        <f>VLOOKUP(F5049,Sheet2!$B$1:$E$19,3,FALSE)</f>
        <v>1108959</v>
      </c>
      <c r="O5049">
        <f>IF(G5049="Not available","",VLOOKUP(F5049,Sheet2!$B$1:$E$19,4,FALSE)+(G5049-1))</f>
        <v>3780067</v>
      </c>
    </row>
    <row r="5050" spans="1:15" s="3" customFormat="1" ht="15" customHeight="1" x14ac:dyDescent="0.25">
      <c r="A5050" s="18" t="s">
        <v>419</v>
      </c>
      <c r="B5050" s="18" t="s">
        <v>477</v>
      </c>
      <c r="C5050" s="5">
        <v>1861</v>
      </c>
      <c r="D5050" s="4" t="s">
        <v>3268</v>
      </c>
      <c r="E5050" s="1" t="s">
        <v>939</v>
      </c>
      <c r="F5050" s="18">
        <v>999</v>
      </c>
      <c r="G5050" s="18">
        <v>30</v>
      </c>
      <c r="H5050" s="5">
        <v>28</v>
      </c>
      <c r="I5050" s="1">
        <v>79</v>
      </c>
      <c r="J5050" s="1">
        <v>112</v>
      </c>
      <c r="K5050" s="1"/>
      <c r="L5050" t="str">
        <f t="shared" si="78"/>
        <v>http://www.badatelna.eu/reprodukce/?fondId=241&amp;zaznamId=1133739&amp;reproId=3885759</v>
      </c>
      <c r="M5050">
        <f>VLOOKUP(F5050,Sheet2!$B$1:$E$19,2,FALSE)</f>
        <v>241</v>
      </c>
      <c r="N5050">
        <f>VLOOKUP(F5050,Sheet2!$B$1:$E$19,3,FALSE)</f>
        <v>1133739</v>
      </c>
      <c r="O5050">
        <f>IF(G5050="Not available","",VLOOKUP(F5050,Sheet2!$B$1:$E$19,4,FALSE)+(G5050-1))</f>
        <v>3885759</v>
      </c>
    </row>
    <row r="5051" spans="1:15" s="3" customFormat="1" ht="15" customHeight="1" x14ac:dyDescent="0.25">
      <c r="A5051" s="18" t="s">
        <v>419</v>
      </c>
      <c r="B5051" s="18" t="s">
        <v>674</v>
      </c>
      <c r="C5051" s="10" t="s">
        <v>2660</v>
      </c>
      <c r="D5051" s="3" t="s">
        <v>2768</v>
      </c>
      <c r="E5051" s="4" t="s">
        <v>2</v>
      </c>
      <c r="F5051" s="18">
        <v>2176</v>
      </c>
      <c r="G5051" s="18" t="s">
        <v>3271</v>
      </c>
      <c r="H5051" s="10" t="s">
        <v>2769</v>
      </c>
      <c r="I5051" s="3">
        <v>50</v>
      </c>
      <c r="J5051" s="4" t="s">
        <v>3271</v>
      </c>
      <c r="K5051" s="1"/>
      <c r="L5051" t="str">
        <f t="shared" si="78"/>
        <v/>
      </c>
      <c r="M5051">
        <f>VLOOKUP(F5051,Sheet2!$B$1:$E$19,2,FALSE)</f>
        <v>1073</v>
      </c>
      <c r="N5051">
        <f>VLOOKUP(F5051,Sheet2!$B$1:$E$19,3,FALSE)</f>
        <v>1108963</v>
      </c>
      <c r="O5051" t="str">
        <f>IF(G5051="Not available","",VLOOKUP(F5051,Sheet2!$B$1:$E$19,4,FALSE)+(G5051-1))</f>
        <v/>
      </c>
    </row>
    <row r="5052" spans="1:15" s="3" customFormat="1" ht="15" customHeight="1" x14ac:dyDescent="0.25">
      <c r="A5052" s="18" t="s">
        <v>419</v>
      </c>
      <c r="B5052" s="18" t="s">
        <v>2494</v>
      </c>
      <c r="C5052" s="10" t="s">
        <v>2015</v>
      </c>
      <c r="D5052" s="3" t="s">
        <v>2776</v>
      </c>
      <c r="E5052" s="4" t="s">
        <v>2</v>
      </c>
      <c r="F5052" s="18">
        <v>2176</v>
      </c>
      <c r="G5052" s="18" t="s">
        <v>3271</v>
      </c>
      <c r="H5052" s="10" t="s">
        <v>2091</v>
      </c>
      <c r="I5052" s="3">
        <v>50</v>
      </c>
      <c r="J5052" s="4" t="s">
        <v>3271</v>
      </c>
      <c r="L5052" t="str">
        <f t="shared" si="78"/>
        <v/>
      </c>
      <c r="M5052">
        <f>VLOOKUP(F5052,Sheet2!$B$1:$E$19,2,FALSE)</f>
        <v>1073</v>
      </c>
      <c r="N5052">
        <f>VLOOKUP(F5052,Sheet2!$B$1:$E$19,3,FALSE)</f>
        <v>1108963</v>
      </c>
      <c r="O5052" t="str">
        <f>IF(G5052="Not available","",VLOOKUP(F5052,Sheet2!$B$1:$E$19,4,FALSE)+(G5052-1))</f>
        <v/>
      </c>
    </row>
    <row r="5053" spans="1:15" s="3" customFormat="1" ht="15" customHeight="1" x14ac:dyDescent="0.25">
      <c r="A5053" s="18" t="s">
        <v>419</v>
      </c>
      <c r="B5053" s="19" t="s">
        <v>2881</v>
      </c>
      <c r="C5053" s="5">
        <v>1859</v>
      </c>
      <c r="D5053" s="4" t="s">
        <v>420</v>
      </c>
      <c r="E5053" s="1" t="s">
        <v>939</v>
      </c>
      <c r="F5053" s="18">
        <v>999</v>
      </c>
      <c r="G5053" s="18">
        <v>17</v>
      </c>
      <c r="H5053" s="5">
        <v>15</v>
      </c>
      <c r="I5053" s="1">
        <v>79</v>
      </c>
      <c r="J5053" s="1">
        <v>112</v>
      </c>
      <c r="K5053" s="1"/>
      <c r="L5053" t="str">
        <f t="shared" si="78"/>
        <v>http://www.badatelna.eu/reprodukce/?fondId=241&amp;zaznamId=1133739&amp;reproId=3885746</v>
      </c>
      <c r="M5053">
        <f>VLOOKUP(F5053,Sheet2!$B$1:$E$19,2,FALSE)</f>
        <v>241</v>
      </c>
      <c r="N5053">
        <f>VLOOKUP(F5053,Sheet2!$B$1:$E$19,3,FALSE)</f>
        <v>1133739</v>
      </c>
      <c r="O5053">
        <f>IF(G5053="Not available","",VLOOKUP(F5053,Sheet2!$B$1:$E$19,4,FALSE)+(G5053-1))</f>
        <v>3885746</v>
      </c>
    </row>
    <row r="5054" spans="1:15" s="3" customFormat="1" ht="15" customHeight="1" x14ac:dyDescent="0.25">
      <c r="A5054" s="18" t="s">
        <v>419</v>
      </c>
      <c r="B5054" s="18" t="s">
        <v>439</v>
      </c>
      <c r="C5054" s="5">
        <v>1857</v>
      </c>
      <c r="D5054" s="1" t="s">
        <v>71</v>
      </c>
      <c r="E5054" s="1" t="s">
        <v>2</v>
      </c>
      <c r="F5054" s="18">
        <v>2164</v>
      </c>
      <c r="G5054" s="18">
        <v>118</v>
      </c>
      <c r="H5054" s="5">
        <v>116</v>
      </c>
      <c r="I5054" s="1">
        <v>143</v>
      </c>
      <c r="J5054" s="1">
        <v>264</v>
      </c>
      <c r="K5054" s="1"/>
      <c r="L5054" t="str">
        <f t="shared" si="78"/>
        <v>http://www.badatelna.eu/reprodukce/?fondId=1073&amp;zaznamId=1108951&amp;reproId=3778832</v>
      </c>
      <c r="M5054">
        <f>VLOOKUP(F5054,Sheet2!$B$1:$E$19,2,FALSE)</f>
        <v>1073</v>
      </c>
      <c r="N5054">
        <f>VLOOKUP(F5054,Sheet2!$B$1:$E$19,3,FALSE)</f>
        <v>1108951</v>
      </c>
      <c r="O5054">
        <f>IF(G5054="Not available","",VLOOKUP(F5054,Sheet2!$B$1:$E$19,4,FALSE)+(G5054-1))</f>
        <v>3778832</v>
      </c>
    </row>
    <row r="5055" spans="1:15" s="3" customFormat="1" ht="15" customHeight="1" x14ac:dyDescent="0.25">
      <c r="A5055" s="18" t="s">
        <v>419</v>
      </c>
      <c r="B5055" s="18" t="s">
        <v>1009</v>
      </c>
      <c r="C5055" s="10" t="s">
        <v>1963</v>
      </c>
      <c r="D5055" s="3" t="s">
        <v>2809</v>
      </c>
      <c r="E5055" s="4" t="s">
        <v>2</v>
      </c>
      <c r="F5055" s="18">
        <v>2176</v>
      </c>
      <c r="G5055" s="18" t="s">
        <v>3271</v>
      </c>
      <c r="H5055" s="10" t="s">
        <v>2142</v>
      </c>
      <c r="I5055" s="3">
        <v>52</v>
      </c>
      <c r="J5055" s="4" t="s">
        <v>3271</v>
      </c>
      <c r="L5055" t="str">
        <f t="shared" si="78"/>
        <v/>
      </c>
      <c r="M5055">
        <f>VLOOKUP(F5055,Sheet2!$B$1:$E$19,2,FALSE)</f>
        <v>1073</v>
      </c>
      <c r="N5055">
        <f>VLOOKUP(F5055,Sheet2!$B$1:$E$19,3,FALSE)</f>
        <v>1108963</v>
      </c>
      <c r="O5055" t="str">
        <f>IF(G5055="Not available","",VLOOKUP(F5055,Sheet2!$B$1:$E$19,4,FALSE)+(G5055-1))</f>
        <v/>
      </c>
    </row>
    <row r="5056" spans="1:15" s="3" customFormat="1" ht="15" customHeight="1" x14ac:dyDescent="0.25">
      <c r="A5056" s="18" t="s">
        <v>419</v>
      </c>
      <c r="B5056" s="18" t="s">
        <v>1126</v>
      </c>
      <c r="C5056" s="10" t="s">
        <v>2026</v>
      </c>
      <c r="D5056" s="3" t="s">
        <v>2778</v>
      </c>
      <c r="E5056" s="4" t="s">
        <v>2</v>
      </c>
      <c r="F5056" s="18">
        <v>2176</v>
      </c>
      <c r="G5056" s="18" t="s">
        <v>3271</v>
      </c>
      <c r="H5056" s="10" t="s">
        <v>2061</v>
      </c>
      <c r="I5056" s="3">
        <v>50</v>
      </c>
      <c r="J5056" s="4" t="s">
        <v>3271</v>
      </c>
      <c r="L5056" t="str">
        <f t="shared" si="78"/>
        <v/>
      </c>
      <c r="M5056">
        <f>VLOOKUP(F5056,Sheet2!$B$1:$E$19,2,FALSE)</f>
        <v>1073</v>
      </c>
      <c r="N5056">
        <f>VLOOKUP(F5056,Sheet2!$B$1:$E$19,3,FALSE)</f>
        <v>1108963</v>
      </c>
      <c r="O5056" t="str">
        <f>IF(G5056="Not available","",VLOOKUP(F5056,Sheet2!$B$1:$E$19,4,FALSE)+(G5056-1))</f>
        <v/>
      </c>
    </row>
    <row r="5057" spans="1:15" s="3" customFormat="1" ht="15" customHeight="1" x14ac:dyDescent="0.25">
      <c r="A5057" s="18" t="s">
        <v>419</v>
      </c>
      <c r="B5057" s="18" t="s">
        <v>1126</v>
      </c>
      <c r="C5057" s="5" t="s">
        <v>1741</v>
      </c>
      <c r="D5057" s="1" t="s">
        <v>44</v>
      </c>
      <c r="E5057" s="1" t="s">
        <v>2</v>
      </c>
      <c r="F5057" s="18">
        <v>2165</v>
      </c>
      <c r="G5057" s="18">
        <v>166</v>
      </c>
      <c r="H5057" s="5">
        <v>2</v>
      </c>
      <c r="I5057" s="1">
        <v>171</v>
      </c>
      <c r="J5057" s="1">
        <v>149</v>
      </c>
      <c r="K5057" s="1"/>
      <c r="L5057" t="str">
        <f t="shared" si="78"/>
        <v>http://www.badatelna.eu/reprodukce/?fondId=1073&amp;zaznamId=1108952&amp;reproId=3779027</v>
      </c>
      <c r="M5057">
        <f>VLOOKUP(F5057,Sheet2!$B$1:$E$19,2,FALSE)</f>
        <v>1073</v>
      </c>
      <c r="N5057">
        <f>VLOOKUP(F5057,Sheet2!$B$1:$E$19,3,FALSE)</f>
        <v>1108952</v>
      </c>
      <c r="O5057">
        <f>IF(G5057="Not available","",VLOOKUP(F5057,Sheet2!$B$1:$E$19,4,FALSE)+(G5057-1))</f>
        <v>3779027</v>
      </c>
    </row>
    <row r="5058" spans="1:15" s="3" customFormat="1" ht="15" customHeight="1" x14ac:dyDescent="0.25">
      <c r="A5058" s="18" t="s">
        <v>419</v>
      </c>
      <c r="B5058" s="18" t="s">
        <v>426</v>
      </c>
      <c r="C5058" s="5">
        <v>1845</v>
      </c>
      <c r="D5058" s="1" t="s">
        <v>12</v>
      </c>
      <c r="E5058" s="1" t="s">
        <v>2</v>
      </c>
      <c r="F5058" s="18">
        <v>2174</v>
      </c>
      <c r="G5058" s="18">
        <v>161</v>
      </c>
      <c r="H5058" s="16" t="s">
        <v>3226</v>
      </c>
      <c r="I5058" s="1">
        <v>208</v>
      </c>
      <c r="J5058" s="1">
        <v>264</v>
      </c>
      <c r="K5058" s="1"/>
      <c r="L5058" t="str">
        <f t="shared" si="78"/>
        <v>http://www.badatelna.eu/reprodukce/?fondId=1073&amp;zaznamId=1108960&amp;reproId=3780385</v>
      </c>
      <c r="M5058">
        <f>VLOOKUP(F5058,Sheet2!$B$1:$E$19,2,FALSE)</f>
        <v>1073</v>
      </c>
      <c r="N5058">
        <f>VLOOKUP(F5058,Sheet2!$B$1:$E$19,3,FALSE)</f>
        <v>1108960</v>
      </c>
      <c r="O5058">
        <f>IF(G5058="Not available","",VLOOKUP(F5058,Sheet2!$B$1:$E$19,4,FALSE)+(G5058-1))</f>
        <v>3780385</v>
      </c>
    </row>
    <row r="5059" spans="1:15" s="3" customFormat="1" ht="15" customHeight="1" x14ac:dyDescent="0.25">
      <c r="A5059" s="18" t="s">
        <v>419</v>
      </c>
      <c r="B5059" s="18" t="s">
        <v>1027</v>
      </c>
      <c r="C5059" s="5">
        <v>1882</v>
      </c>
      <c r="D5059" s="1" t="s">
        <v>44</v>
      </c>
      <c r="E5059" s="1" t="s">
        <v>2</v>
      </c>
      <c r="F5059" s="18">
        <v>2165</v>
      </c>
      <c r="G5059" s="18">
        <v>179</v>
      </c>
      <c r="H5059" s="5">
        <v>3</v>
      </c>
      <c r="I5059" s="1">
        <v>183</v>
      </c>
      <c r="J5059" s="1">
        <v>160</v>
      </c>
      <c r="K5059" s="1"/>
      <c r="L5059" t="str">
        <f t="shared" ref="L5059:L5122" si="79">IF(G5059="Not available","","http://www.badatelna.eu/reprodukce/?fondId="&amp;M5059&amp;"&amp;zaznamId="&amp;N5059&amp;"&amp;reproId="&amp;O5059)</f>
        <v>http://www.badatelna.eu/reprodukce/?fondId=1073&amp;zaznamId=1108952&amp;reproId=3779040</v>
      </c>
      <c r="M5059">
        <f>VLOOKUP(F5059,Sheet2!$B$1:$E$19,2,FALSE)</f>
        <v>1073</v>
      </c>
      <c r="N5059">
        <f>VLOOKUP(F5059,Sheet2!$B$1:$E$19,3,FALSE)</f>
        <v>1108952</v>
      </c>
      <c r="O5059">
        <f>IF(G5059="Not available","",VLOOKUP(F5059,Sheet2!$B$1:$E$19,4,FALSE)+(G5059-1))</f>
        <v>3779040</v>
      </c>
    </row>
    <row r="5060" spans="1:15" s="3" customFormat="1" ht="15" customHeight="1" x14ac:dyDescent="0.25">
      <c r="A5060" s="18" t="s">
        <v>419</v>
      </c>
      <c r="B5060" s="18" t="s">
        <v>1027</v>
      </c>
      <c r="C5060" s="10" t="s">
        <v>1285</v>
      </c>
      <c r="D5060" s="3" t="s">
        <v>2778</v>
      </c>
      <c r="E5060" s="4" t="s">
        <v>2</v>
      </c>
      <c r="F5060" s="18">
        <v>2176</v>
      </c>
      <c r="G5060" s="18" t="s">
        <v>3271</v>
      </c>
      <c r="H5060" s="10" t="s">
        <v>1959</v>
      </c>
      <c r="I5060" s="3">
        <v>50</v>
      </c>
      <c r="J5060" s="4" t="s">
        <v>3271</v>
      </c>
      <c r="L5060" t="str">
        <f t="shared" si="79"/>
        <v/>
      </c>
      <c r="M5060">
        <f>VLOOKUP(F5060,Sheet2!$B$1:$E$19,2,FALSE)</f>
        <v>1073</v>
      </c>
      <c r="N5060">
        <f>VLOOKUP(F5060,Sheet2!$B$1:$E$19,3,FALSE)</f>
        <v>1108963</v>
      </c>
      <c r="O5060" t="str">
        <f>IF(G5060="Not available","",VLOOKUP(F5060,Sheet2!$B$1:$E$19,4,FALSE)+(G5060-1))</f>
        <v/>
      </c>
    </row>
    <row r="5061" spans="1:15" s="3" customFormat="1" ht="15" customHeight="1" x14ac:dyDescent="0.25">
      <c r="A5061" s="18" t="s">
        <v>419</v>
      </c>
      <c r="B5061" s="18" t="s">
        <v>2137</v>
      </c>
      <c r="C5061" s="10" t="s">
        <v>2081</v>
      </c>
      <c r="D5061" s="3" t="s">
        <v>2791</v>
      </c>
      <c r="E5061" s="4" t="s">
        <v>2</v>
      </c>
      <c r="F5061" s="18">
        <v>2176</v>
      </c>
      <c r="G5061" s="18" t="s">
        <v>3271</v>
      </c>
      <c r="H5061" s="10" t="s">
        <v>2073</v>
      </c>
      <c r="I5061" s="3">
        <v>51</v>
      </c>
      <c r="J5061" s="4" t="s">
        <v>3271</v>
      </c>
      <c r="L5061" t="str">
        <f t="shared" si="79"/>
        <v/>
      </c>
      <c r="M5061">
        <f>VLOOKUP(F5061,Sheet2!$B$1:$E$19,2,FALSE)</f>
        <v>1073</v>
      </c>
      <c r="N5061">
        <f>VLOOKUP(F5061,Sheet2!$B$1:$E$19,3,FALSE)</f>
        <v>1108963</v>
      </c>
      <c r="O5061" t="str">
        <f>IF(G5061="Not available","",VLOOKUP(F5061,Sheet2!$B$1:$E$19,4,FALSE)+(G5061-1))</f>
        <v/>
      </c>
    </row>
    <row r="5062" spans="1:15" s="3" customFormat="1" ht="15" customHeight="1" x14ac:dyDescent="0.25">
      <c r="A5062" s="18" t="s">
        <v>419</v>
      </c>
      <c r="B5062" s="18" t="s">
        <v>1049</v>
      </c>
      <c r="C5062" s="5" t="s">
        <v>1834</v>
      </c>
      <c r="D5062" s="1" t="s">
        <v>1205</v>
      </c>
      <c r="E5062" s="1" t="s">
        <v>2</v>
      </c>
      <c r="F5062" s="18">
        <v>2165</v>
      </c>
      <c r="G5062" s="18">
        <v>249</v>
      </c>
      <c r="H5062" s="5">
        <v>3</v>
      </c>
      <c r="I5062" s="1">
        <v>251</v>
      </c>
      <c r="J5062" s="1">
        <v>227</v>
      </c>
      <c r="K5062" s="1"/>
      <c r="L5062" t="str">
        <f t="shared" si="79"/>
        <v>http://www.badatelna.eu/reprodukce/?fondId=1073&amp;zaznamId=1108952&amp;reproId=3779110</v>
      </c>
      <c r="M5062">
        <f>VLOOKUP(F5062,Sheet2!$B$1:$E$19,2,FALSE)</f>
        <v>1073</v>
      </c>
      <c r="N5062">
        <f>VLOOKUP(F5062,Sheet2!$B$1:$E$19,3,FALSE)</f>
        <v>1108952</v>
      </c>
      <c r="O5062">
        <f>IF(G5062="Not available","",VLOOKUP(F5062,Sheet2!$B$1:$E$19,4,FALSE)+(G5062-1))</f>
        <v>3779110</v>
      </c>
    </row>
    <row r="5063" spans="1:15" s="3" customFormat="1" ht="15" customHeight="1" x14ac:dyDescent="0.25">
      <c r="A5063" s="18" t="s">
        <v>419</v>
      </c>
      <c r="B5063" s="18" t="s">
        <v>436</v>
      </c>
      <c r="C5063" s="5">
        <v>1854</v>
      </c>
      <c r="D5063" s="1" t="s">
        <v>420</v>
      </c>
      <c r="E5063" s="1" t="s">
        <v>2</v>
      </c>
      <c r="F5063" s="18">
        <v>2164</v>
      </c>
      <c r="G5063" s="18">
        <v>94</v>
      </c>
      <c r="H5063" s="5">
        <v>92</v>
      </c>
      <c r="I5063" s="1">
        <v>143</v>
      </c>
      <c r="J5063" s="1">
        <v>264</v>
      </c>
      <c r="K5063" s="1"/>
      <c r="L5063" t="str">
        <f t="shared" si="79"/>
        <v>http://www.badatelna.eu/reprodukce/?fondId=1073&amp;zaznamId=1108951&amp;reproId=3778808</v>
      </c>
      <c r="M5063">
        <f>VLOOKUP(F5063,Sheet2!$B$1:$E$19,2,FALSE)</f>
        <v>1073</v>
      </c>
      <c r="N5063">
        <f>VLOOKUP(F5063,Sheet2!$B$1:$E$19,3,FALSE)</f>
        <v>1108951</v>
      </c>
      <c r="O5063">
        <f>IF(G5063="Not available","",VLOOKUP(F5063,Sheet2!$B$1:$E$19,4,FALSE)+(G5063-1))</f>
        <v>3778808</v>
      </c>
    </row>
    <row r="5064" spans="1:15" s="3" customFormat="1" ht="15" customHeight="1" x14ac:dyDescent="0.25">
      <c r="A5064" s="18" t="s">
        <v>419</v>
      </c>
      <c r="B5064" s="18" t="s">
        <v>219</v>
      </c>
      <c r="C5064" s="5">
        <v>1857</v>
      </c>
      <c r="D5064" s="1" t="s">
        <v>12</v>
      </c>
      <c r="E5064" s="1" t="s">
        <v>2</v>
      </c>
      <c r="F5064" s="18">
        <v>2164</v>
      </c>
      <c r="G5064" s="18">
        <v>119</v>
      </c>
      <c r="H5064" s="5">
        <v>117</v>
      </c>
      <c r="I5064" s="1">
        <v>143</v>
      </c>
      <c r="J5064" s="1">
        <v>264</v>
      </c>
      <c r="K5064" s="1"/>
      <c r="L5064" t="str">
        <f t="shared" si="79"/>
        <v>http://www.badatelna.eu/reprodukce/?fondId=1073&amp;zaznamId=1108951&amp;reproId=3778833</v>
      </c>
      <c r="M5064">
        <f>VLOOKUP(F5064,Sheet2!$B$1:$E$19,2,FALSE)</f>
        <v>1073</v>
      </c>
      <c r="N5064">
        <f>VLOOKUP(F5064,Sheet2!$B$1:$E$19,3,FALSE)</f>
        <v>1108951</v>
      </c>
      <c r="O5064">
        <f>IF(G5064="Not available","",VLOOKUP(F5064,Sheet2!$B$1:$E$19,4,FALSE)+(G5064-1))</f>
        <v>3778833</v>
      </c>
    </row>
    <row r="5065" spans="1:15" s="3" customFormat="1" ht="15" customHeight="1" x14ac:dyDescent="0.25">
      <c r="A5065" s="18" t="s">
        <v>419</v>
      </c>
      <c r="B5065" s="18" t="s">
        <v>1052</v>
      </c>
      <c r="C5065" s="10" t="s">
        <v>2072</v>
      </c>
      <c r="D5065" s="3" t="s">
        <v>2789</v>
      </c>
      <c r="E5065" s="4" t="s">
        <v>2</v>
      </c>
      <c r="F5065" s="18">
        <v>2176</v>
      </c>
      <c r="G5065" s="18" t="s">
        <v>3271</v>
      </c>
      <c r="H5065" s="10" t="s">
        <v>2088</v>
      </c>
      <c r="I5065" s="3">
        <v>51</v>
      </c>
      <c r="J5065" s="4" t="s">
        <v>3271</v>
      </c>
      <c r="L5065" t="str">
        <f t="shared" si="79"/>
        <v/>
      </c>
      <c r="M5065">
        <f>VLOOKUP(F5065,Sheet2!$B$1:$E$19,2,FALSE)</f>
        <v>1073</v>
      </c>
      <c r="N5065">
        <f>VLOOKUP(F5065,Sheet2!$B$1:$E$19,3,FALSE)</f>
        <v>1108963</v>
      </c>
      <c r="O5065" t="str">
        <f>IF(G5065="Not available","",VLOOKUP(F5065,Sheet2!$B$1:$E$19,4,FALSE)+(G5065-1))</f>
        <v/>
      </c>
    </row>
    <row r="5066" spans="1:15" s="3" customFormat="1" ht="15" customHeight="1" x14ac:dyDescent="0.25">
      <c r="A5066" s="18" t="s">
        <v>419</v>
      </c>
      <c r="B5066" s="18" t="s">
        <v>1052</v>
      </c>
      <c r="C5066" s="5" t="s">
        <v>1764</v>
      </c>
      <c r="D5066" s="1" t="s">
        <v>1205</v>
      </c>
      <c r="E5066" s="1" t="s">
        <v>2</v>
      </c>
      <c r="F5066" s="18">
        <v>2165</v>
      </c>
      <c r="G5066" s="18">
        <v>228</v>
      </c>
      <c r="H5066" s="5">
        <v>1</v>
      </c>
      <c r="I5066" s="1">
        <v>232</v>
      </c>
      <c r="J5066" s="1">
        <v>208</v>
      </c>
      <c r="K5066" s="1"/>
      <c r="L5066" t="str">
        <f t="shared" si="79"/>
        <v>http://www.badatelna.eu/reprodukce/?fondId=1073&amp;zaznamId=1108952&amp;reproId=3779089</v>
      </c>
      <c r="M5066">
        <f>VLOOKUP(F5066,Sheet2!$B$1:$E$19,2,FALSE)</f>
        <v>1073</v>
      </c>
      <c r="N5066">
        <f>VLOOKUP(F5066,Sheet2!$B$1:$E$19,3,FALSE)</f>
        <v>1108952</v>
      </c>
      <c r="O5066">
        <f>IF(G5066="Not available","",VLOOKUP(F5066,Sheet2!$B$1:$E$19,4,FALSE)+(G5066-1))</f>
        <v>3779089</v>
      </c>
    </row>
    <row r="5067" spans="1:15" s="3" customFormat="1" ht="15" customHeight="1" x14ac:dyDescent="0.25">
      <c r="A5067" s="18" t="s">
        <v>419</v>
      </c>
      <c r="B5067" s="18" t="s">
        <v>1102</v>
      </c>
      <c r="C5067" s="10" t="s">
        <v>2043</v>
      </c>
      <c r="D5067" s="3" t="s">
        <v>2778</v>
      </c>
      <c r="E5067" s="4" t="s">
        <v>2</v>
      </c>
      <c r="F5067" s="18">
        <v>2176</v>
      </c>
      <c r="G5067" s="18" t="s">
        <v>3271</v>
      </c>
      <c r="H5067" s="10" t="s">
        <v>2782</v>
      </c>
      <c r="I5067" s="3">
        <v>51</v>
      </c>
      <c r="J5067" s="4" t="s">
        <v>3271</v>
      </c>
      <c r="L5067" t="str">
        <f t="shared" si="79"/>
        <v/>
      </c>
      <c r="M5067">
        <f>VLOOKUP(F5067,Sheet2!$B$1:$E$19,2,FALSE)</f>
        <v>1073</v>
      </c>
      <c r="N5067">
        <f>VLOOKUP(F5067,Sheet2!$B$1:$E$19,3,FALSE)</f>
        <v>1108963</v>
      </c>
      <c r="O5067" t="str">
        <f>IF(G5067="Not available","",VLOOKUP(F5067,Sheet2!$B$1:$E$19,4,FALSE)+(G5067-1))</f>
        <v/>
      </c>
    </row>
    <row r="5068" spans="1:15" s="3" customFormat="1" ht="15" customHeight="1" x14ac:dyDescent="0.25">
      <c r="A5068" s="18" t="s">
        <v>419</v>
      </c>
      <c r="B5068" s="18" t="s">
        <v>1152</v>
      </c>
      <c r="C5068" s="5">
        <v>1885</v>
      </c>
      <c r="D5068" s="1" t="s">
        <v>44</v>
      </c>
      <c r="E5068" s="1" t="s">
        <v>2</v>
      </c>
      <c r="F5068" s="18">
        <v>2165</v>
      </c>
      <c r="G5068" s="18">
        <v>202</v>
      </c>
      <c r="H5068" s="5">
        <v>4</v>
      </c>
      <c r="I5068" s="1">
        <v>204</v>
      </c>
      <c r="J5068" s="1">
        <v>187</v>
      </c>
      <c r="K5068" s="1"/>
      <c r="L5068" t="str">
        <f t="shared" si="79"/>
        <v>http://www.badatelna.eu/reprodukce/?fondId=1073&amp;zaznamId=1108952&amp;reproId=3779063</v>
      </c>
      <c r="M5068">
        <f>VLOOKUP(F5068,Sheet2!$B$1:$E$19,2,FALSE)</f>
        <v>1073</v>
      </c>
      <c r="N5068">
        <f>VLOOKUP(F5068,Sheet2!$B$1:$E$19,3,FALSE)</f>
        <v>1108952</v>
      </c>
      <c r="O5068">
        <f>IF(G5068="Not available","",VLOOKUP(F5068,Sheet2!$B$1:$E$19,4,FALSE)+(G5068-1))</f>
        <v>3779063</v>
      </c>
    </row>
    <row r="5069" spans="1:15" s="3" customFormat="1" ht="15" customHeight="1" x14ac:dyDescent="0.25">
      <c r="A5069" s="18" t="s">
        <v>419</v>
      </c>
      <c r="B5069" s="18" t="s">
        <v>34</v>
      </c>
      <c r="C5069" s="5">
        <v>1841</v>
      </c>
      <c r="D5069" s="1" t="s">
        <v>425</v>
      </c>
      <c r="E5069" s="1" t="s">
        <v>2</v>
      </c>
      <c r="F5069" s="18">
        <v>2174</v>
      </c>
      <c r="G5069" s="18">
        <v>119</v>
      </c>
      <c r="H5069" s="6" t="s">
        <v>3188</v>
      </c>
      <c r="I5069" s="1">
        <v>208</v>
      </c>
      <c r="J5069" s="1">
        <v>264</v>
      </c>
      <c r="K5069" s="1"/>
      <c r="L5069" t="str">
        <f t="shared" si="79"/>
        <v>http://www.badatelna.eu/reprodukce/?fondId=1073&amp;zaznamId=1108960&amp;reproId=3780343</v>
      </c>
      <c r="M5069">
        <f>VLOOKUP(F5069,Sheet2!$B$1:$E$19,2,FALSE)</f>
        <v>1073</v>
      </c>
      <c r="N5069">
        <f>VLOOKUP(F5069,Sheet2!$B$1:$E$19,3,FALSE)</f>
        <v>1108960</v>
      </c>
      <c r="O5069">
        <f>IF(G5069="Not available","",VLOOKUP(F5069,Sheet2!$B$1:$E$19,4,FALSE)+(G5069-1))</f>
        <v>3780343</v>
      </c>
    </row>
    <row r="5070" spans="1:15" s="3" customFormat="1" ht="15" customHeight="1" x14ac:dyDescent="0.25">
      <c r="A5070" s="18" t="s">
        <v>419</v>
      </c>
      <c r="B5070" s="18" t="s">
        <v>809</v>
      </c>
      <c r="C5070" s="5">
        <v>1862</v>
      </c>
      <c r="D5070" s="4" t="s">
        <v>3269</v>
      </c>
      <c r="E5070" s="1" t="s">
        <v>939</v>
      </c>
      <c r="F5070" s="18">
        <v>999</v>
      </c>
      <c r="G5070" s="18">
        <v>35</v>
      </c>
      <c r="H5070" s="5">
        <v>33</v>
      </c>
      <c r="I5070" s="1">
        <v>79</v>
      </c>
      <c r="J5070" s="1">
        <v>112</v>
      </c>
      <c r="K5070" s="1"/>
      <c r="L5070" t="str">
        <f t="shared" si="79"/>
        <v>http://www.badatelna.eu/reprodukce/?fondId=241&amp;zaznamId=1133739&amp;reproId=3885764</v>
      </c>
      <c r="M5070">
        <f>VLOOKUP(F5070,Sheet2!$B$1:$E$19,2,FALSE)</f>
        <v>241</v>
      </c>
      <c r="N5070">
        <f>VLOOKUP(F5070,Sheet2!$B$1:$E$19,3,FALSE)</f>
        <v>1133739</v>
      </c>
      <c r="O5070">
        <f>IF(G5070="Not available","",VLOOKUP(F5070,Sheet2!$B$1:$E$19,4,FALSE)+(G5070-1))</f>
        <v>3885764</v>
      </c>
    </row>
    <row r="5071" spans="1:15" s="3" customFormat="1" ht="15" customHeight="1" x14ac:dyDescent="0.25">
      <c r="A5071" s="18" t="s">
        <v>419</v>
      </c>
      <c r="B5071" s="18" t="s">
        <v>431</v>
      </c>
      <c r="C5071" s="5">
        <v>1850</v>
      </c>
      <c r="D5071" s="1" t="s">
        <v>24</v>
      </c>
      <c r="E5071" s="1" t="s">
        <v>2</v>
      </c>
      <c r="F5071" s="18">
        <v>2164</v>
      </c>
      <c r="G5071" s="18">
        <v>69</v>
      </c>
      <c r="H5071" s="5">
        <v>67</v>
      </c>
      <c r="I5071" s="1">
        <v>143</v>
      </c>
      <c r="J5071" s="1">
        <v>264</v>
      </c>
      <c r="K5071" s="1"/>
      <c r="L5071" t="str">
        <f t="shared" si="79"/>
        <v>http://www.badatelna.eu/reprodukce/?fondId=1073&amp;zaznamId=1108951&amp;reproId=3778783</v>
      </c>
      <c r="M5071">
        <f>VLOOKUP(F5071,Sheet2!$B$1:$E$19,2,FALSE)</f>
        <v>1073</v>
      </c>
      <c r="N5071">
        <f>VLOOKUP(F5071,Sheet2!$B$1:$E$19,3,FALSE)</f>
        <v>1108951</v>
      </c>
      <c r="O5071">
        <f>IF(G5071="Not available","",VLOOKUP(F5071,Sheet2!$B$1:$E$19,4,FALSE)+(G5071-1))</f>
        <v>3778783</v>
      </c>
    </row>
    <row r="5072" spans="1:15" s="3" customFormat="1" ht="15" customHeight="1" x14ac:dyDescent="0.25">
      <c r="A5072" s="18" t="s">
        <v>419</v>
      </c>
      <c r="B5072" s="18" t="s">
        <v>431</v>
      </c>
      <c r="C5072" s="5">
        <v>1854</v>
      </c>
      <c r="D5072" s="1" t="s">
        <v>24</v>
      </c>
      <c r="E5072" s="1" t="s">
        <v>2</v>
      </c>
      <c r="F5072" s="18">
        <v>2164</v>
      </c>
      <c r="G5072" s="18">
        <v>108</v>
      </c>
      <c r="H5072" s="5">
        <v>106</v>
      </c>
      <c r="I5072" s="1">
        <v>143</v>
      </c>
      <c r="J5072" s="1">
        <v>264</v>
      </c>
      <c r="K5072" s="1"/>
      <c r="L5072" t="str">
        <f t="shared" si="79"/>
        <v>http://www.badatelna.eu/reprodukce/?fondId=1073&amp;zaznamId=1108951&amp;reproId=3778822</v>
      </c>
      <c r="M5072">
        <f>VLOOKUP(F5072,Sheet2!$B$1:$E$19,2,FALSE)</f>
        <v>1073</v>
      </c>
      <c r="N5072">
        <f>VLOOKUP(F5072,Sheet2!$B$1:$E$19,3,FALSE)</f>
        <v>1108951</v>
      </c>
      <c r="O5072">
        <f>IF(G5072="Not available","",VLOOKUP(F5072,Sheet2!$B$1:$E$19,4,FALSE)+(G5072-1))</f>
        <v>3778822</v>
      </c>
    </row>
    <row r="5073" spans="1:15" s="3" customFormat="1" ht="15" customHeight="1" x14ac:dyDescent="0.25">
      <c r="A5073" s="18" t="s">
        <v>419</v>
      </c>
      <c r="B5073" s="18" t="s">
        <v>138</v>
      </c>
      <c r="C5073" s="5">
        <v>1854</v>
      </c>
      <c r="D5073" s="1" t="s">
        <v>12</v>
      </c>
      <c r="E5073" s="1" t="s">
        <v>2</v>
      </c>
      <c r="F5073" s="18">
        <v>2164</v>
      </c>
      <c r="G5073" s="18">
        <v>104</v>
      </c>
      <c r="H5073" s="5">
        <v>102</v>
      </c>
      <c r="I5073" s="1">
        <v>143</v>
      </c>
      <c r="J5073" s="1">
        <v>264</v>
      </c>
      <c r="K5073" s="1"/>
      <c r="L5073" t="str">
        <f t="shared" si="79"/>
        <v>http://www.badatelna.eu/reprodukce/?fondId=1073&amp;zaznamId=1108951&amp;reproId=3778818</v>
      </c>
      <c r="M5073">
        <f>VLOOKUP(F5073,Sheet2!$B$1:$E$19,2,FALSE)</f>
        <v>1073</v>
      </c>
      <c r="N5073">
        <f>VLOOKUP(F5073,Sheet2!$B$1:$E$19,3,FALSE)</f>
        <v>1108951</v>
      </c>
      <c r="O5073">
        <f>IF(G5073="Not available","",VLOOKUP(F5073,Sheet2!$B$1:$E$19,4,FALSE)+(G5073-1))</f>
        <v>3778818</v>
      </c>
    </row>
    <row r="5074" spans="1:15" s="3" customFormat="1" ht="15" customHeight="1" x14ac:dyDescent="0.25">
      <c r="A5074" s="18" t="s">
        <v>419</v>
      </c>
      <c r="B5074" s="18" t="s">
        <v>1011</v>
      </c>
      <c r="C5074" s="10" t="s">
        <v>2024</v>
      </c>
      <c r="D5074" s="3" t="s">
        <v>2778</v>
      </c>
      <c r="E5074" s="4" t="s">
        <v>2</v>
      </c>
      <c r="F5074" s="18">
        <v>2176</v>
      </c>
      <c r="G5074" s="18" t="s">
        <v>3271</v>
      </c>
      <c r="H5074" s="10" t="s">
        <v>2779</v>
      </c>
      <c r="I5074" s="3">
        <v>50</v>
      </c>
      <c r="J5074" s="4" t="s">
        <v>3271</v>
      </c>
      <c r="L5074" t="str">
        <f t="shared" si="79"/>
        <v/>
      </c>
      <c r="M5074">
        <f>VLOOKUP(F5074,Sheet2!$B$1:$E$19,2,FALSE)</f>
        <v>1073</v>
      </c>
      <c r="N5074">
        <f>VLOOKUP(F5074,Sheet2!$B$1:$E$19,3,FALSE)</f>
        <v>1108963</v>
      </c>
      <c r="O5074" t="str">
        <f>IF(G5074="Not available","",VLOOKUP(F5074,Sheet2!$B$1:$E$19,4,FALSE)+(G5074-1))</f>
        <v/>
      </c>
    </row>
    <row r="5075" spans="1:15" s="3" customFormat="1" ht="15" customHeight="1" x14ac:dyDescent="0.25">
      <c r="A5075" s="18" t="s">
        <v>419</v>
      </c>
      <c r="B5075" s="18" t="s">
        <v>26</v>
      </c>
      <c r="C5075" s="5">
        <v>1844</v>
      </c>
      <c r="D5075" s="1" t="s">
        <v>420</v>
      </c>
      <c r="E5075" s="1" t="s">
        <v>2</v>
      </c>
      <c r="F5075" s="18">
        <v>2174</v>
      </c>
      <c r="G5075" s="18">
        <v>148</v>
      </c>
      <c r="H5075" s="6" t="s">
        <v>3214</v>
      </c>
      <c r="I5075" s="1">
        <v>208</v>
      </c>
      <c r="J5075" s="1">
        <v>264</v>
      </c>
      <c r="K5075" s="1"/>
      <c r="L5075" t="str">
        <f t="shared" si="79"/>
        <v>http://www.badatelna.eu/reprodukce/?fondId=1073&amp;zaznamId=1108960&amp;reproId=3780372</v>
      </c>
      <c r="M5075">
        <f>VLOOKUP(F5075,Sheet2!$B$1:$E$19,2,FALSE)</f>
        <v>1073</v>
      </c>
      <c r="N5075">
        <f>VLOOKUP(F5075,Sheet2!$B$1:$E$19,3,FALSE)</f>
        <v>1108960</v>
      </c>
      <c r="O5075">
        <f>IF(G5075="Not available","",VLOOKUP(F5075,Sheet2!$B$1:$E$19,4,FALSE)+(G5075-1))</f>
        <v>3780372</v>
      </c>
    </row>
    <row r="5076" spans="1:15" s="3" customFormat="1" ht="15" customHeight="1" x14ac:dyDescent="0.25">
      <c r="A5076" s="18" t="s">
        <v>419</v>
      </c>
      <c r="B5076" s="18" t="s">
        <v>26</v>
      </c>
      <c r="C5076" s="5">
        <v>1845</v>
      </c>
      <c r="D5076" s="1" t="s">
        <v>420</v>
      </c>
      <c r="E5076" s="1" t="s">
        <v>2</v>
      </c>
      <c r="F5076" s="18">
        <v>2174</v>
      </c>
      <c r="G5076" s="18">
        <v>160</v>
      </c>
      <c r="H5076" s="6" t="s">
        <v>3223</v>
      </c>
      <c r="I5076" s="1">
        <v>208</v>
      </c>
      <c r="J5076" s="1">
        <v>264</v>
      </c>
      <c r="K5076" s="1"/>
      <c r="L5076" t="str">
        <f t="shared" si="79"/>
        <v>http://www.badatelna.eu/reprodukce/?fondId=1073&amp;zaznamId=1108960&amp;reproId=3780384</v>
      </c>
      <c r="M5076">
        <f>VLOOKUP(F5076,Sheet2!$B$1:$E$19,2,FALSE)</f>
        <v>1073</v>
      </c>
      <c r="N5076">
        <f>VLOOKUP(F5076,Sheet2!$B$1:$E$19,3,FALSE)</f>
        <v>1108960</v>
      </c>
      <c r="O5076">
        <f>IF(G5076="Not available","",VLOOKUP(F5076,Sheet2!$B$1:$E$19,4,FALSE)+(G5076-1))</f>
        <v>3780384</v>
      </c>
    </row>
    <row r="5077" spans="1:15" s="3" customFormat="1" ht="15" customHeight="1" x14ac:dyDescent="0.25">
      <c r="A5077" s="18" t="s">
        <v>419</v>
      </c>
      <c r="B5077" s="18" t="s">
        <v>26</v>
      </c>
      <c r="C5077" s="5">
        <v>1852</v>
      </c>
      <c r="D5077" s="1" t="s">
        <v>433</v>
      </c>
      <c r="E5077" s="1" t="s">
        <v>2</v>
      </c>
      <c r="F5077" s="18">
        <v>2164</v>
      </c>
      <c r="G5077" s="18">
        <v>81</v>
      </c>
      <c r="H5077" s="5">
        <v>79</v>
      </c>
      <c r="I5077" s="1">
        <v>143</v>
      </c>
      <c r="J5077" s="1">
        <v>264</v>
      </c>
      <c r="K5077" s="1"/>
      <c r="L5077" t="str">
        <f t="shared" si="79"/>
        <v>http://www.badatelna.eu/reprodukce/?fondId=1073&amp;zaznamId=1108951&amp;reproId=3778795</v>
      </c>
      <c r="M5077">
        <f>VLOOKUP(F5077,Sheet2!$B$1:$E$19,2,FALSE)</f>
        <v>1073</v>
      </c>
      <c r="N5077">
        <f>VLOOKUP(F5077,Sheet2!$B$1:$E$19,3,FALSE)</f>
        <v>1108951</v>
      </c>
      <c r="O5077">
        <f>IF(G5077="Not available","",VLOOKUP(F5077,Sheet2!$B$1:$E$19,4,FALSE)+(G5077-1))</f>
        <v>3778795</v>
      </c>
    </row>
    <row r="5078" spans="1:15" s="3" customFormat="1" ht="15" customHeight="1" x14ac:dyDescent="0.25">
      <c r="A5078" s="18" t="s">
        <v>419</v>
      </c>
      <c r="B5078" s="18" t="s">
        <v>429</v>
      </c>
      <c r="C5078" s="5">
        <v>1850</v>
      </c>
      <c r="D5078" s="1" t="s">
        <v>420</v>
      </c>
      <c r="E5078" s="1" t="s">
        <v>2</v>
      </c>
      <c r="F5078" s="18">
        <v>2164</v>
      </c>
      <c r="G5078" s="18">
        <v>67</v>
      </c>
      <c r="H5078" s="5">
        <v>65</v>
      </c>
      <c r="I5078" s="1">
        <v>143</v>
      </c>
      <c r="J5078" s="1">
        <v>264</v>
      </c>
      <c r="K5078" s="1"/>
      <c r="L5078" t="str">
        <f t="shared" si="79"/>
        <v>http://www.badatelna.eu/reprodukce/?fondId=1073&amp;zaznamId=1108951&amp;reproId=3778781</v>
      </c>
      <c r="M5078">
        <f>VLOOKUP(F5078,Sheet2!$B$1:$E$19,2,FALSE)</f>
        <v>1073</v>
      </c>
      <c r="N5078">
        <f>VLOOKUP(F5078,Sheet2!$B$1:$E$19,3,FALSE)</f>
        <v>1108951</v>
      </c>
      <c r="O5078">
        <f>IF(G5078="Not available","",VLOOKUP(F5078,Sheet2!$B$1:$E$19,4,FALSE)+(G5078-1))</f>
        <v>3778781</v>
      </c>
    </row>
    <row r="5079" spans="1:15" s="3" customFormat="1" ht="15" customHeight="1" x14ac:dyDescent="0.25">
      <c r="A5079" s="18" t="s">
        <v>419</v>
      </c>
      <c r="B5079" s="18" t="s">
        <v>437</v>
      </c>
      <c r="C5079" s="5">
        <v>1854</v>
      </c>
      <c r="D5079" s="1" t="s">
        <v>24</v>
      </c>
      <c r="E5079" s="1" t="s">
        <v>2</v>
      </c>
      <c r="F5079" s="18">
        <v>2164</v>
      </c>
      <c r="G5079" s="18">
        <v>97</v>
      </c>
      <c r="H5079" s="5">
        <v>95</v>
      </c>
      <c r="I5079" s="1">
        <v>143</v>
      </c>
      <c r="J5079" s="1">
        <v>264</v>
      </c>
      <c r="K5079" s="1"/>
      <c r="L5079" t="str">
        <f t="shared" si="79"/>
        <v>http://www.badatelna.eu/reprodukce/?fondId=1073&amp;zaznamId=1108951&amp;reproId=3778811</v>
      </c>
      <c r="M5079">
        <f>VLOOKUP(F5079,Sheet2!$B$1:$E$19,2,FALSE)</f>
        <v>1073</v>
      </c>
      <c r="N5079">
        <f>VLOOKUP(F5079,Sheet2!$B$1:$E$19,3,FALSE)</f>
        <v>1108951</v>
      </c>
      <c r="O5079">
        <f>IF(G5079="Not available","",VLOOKUP(F5079,Sheet2!$B$1:$E$19,4,FALSE)+(G5079-1))</f>
        <v>3778811</v>
      </c>
    </row>
    <row r="5080" spans="1:15" s="3" customFormat="1" ht="15" customHeight="1" x14ac:dyDescent="0.25">
      <c r="A5080" s="18" t="s">
        <v>419</v>
      </c>
      <c r="B5080" s="18" t="s">
        <v>437</v>
      </c>
      <c r="C5080" s="5">
        <v>1854</v>
      </c>
      <c r="D5080" s="1" t="s">
        <v>71</v>
      </c>
      <c r="E5080" s="1" t="s">
        <v>2</v>
      </c>
      <c r="F5080" s="18">
        <v>2164</v>
      </c>
      <c r="G5080" s="18">
        <v>99</v>
      </c>
      <c r="H5080" s="5">
        <v>97</v>
      </c>
      <c r="I5080" s="1">
        <v>143</v>
      </c>
      <c r="J5080" s="1">
        <v>264</v>
      </c>
      <c r="K5080" s="1"/>
      <c r="L5080" t="str">
        <f t="shared" si="79"/>
        <v>http://www.badatelna.eu/reprodukce/?fondId=1073&amp;zaznamId=1108951&amp;reproId=3778813</v>
      </c>
      <c r="M5080">
        <f>VLOOKUP(F5080,Sheet2!$B$1:$E$19,2,FALSE)</f>
        <v>1073</v>
      </c>
      <c r="N5080">
        <f>VLOOKUP(F5080,Sheet2!$B$1:$E$19,3,FALSE)</f>
        <v>1108951</v>
      </c>
      <c r="O5080">
        <f>IF(G5080="Not available","",VLOOKUP(F5080,Sheet2!$B$1:$E$19,4,FALSE)+(G5080-1))</f>
        <v>3778813</v>
      </c>
    </row>
    <row r="5081" spans="1:15" s="3" customFormat="1" ht="15" customHeight="1" x14ac:dyDescent="0.25">
      <c r="A5081" s="18" t="s">
        <v>419</v>
      </c>
      <c r="B5081" s="18" t="s">
        <v>863</v>
      </c>
      <c r="C5081" s="5" t="s">
        <v>1467</v>
      </c>
      <c r="D5081" s="1" t="s">
        <v>1012</v>
      </c>
      <c r="E5081" s="1" t="s">
        <v>2</v>
      </c>
      <c r="F5081" s="18">
        <v>2165</v>
      </c>
      <c r="G5081" s="18">
        <v>56</v>
      </c>
      <c r="H5081" s="5">
        <v>53</v>
      </c>
      <c r="I5081" s="1">
        <v>98</v>
      </c>
      <c r="J5081" s="4" t="s">
        <v>3271</v>
      </c>
      <c r="K5081" s="1"/>
      <c r="L5081" t="str">
        <f t="shared" si="79"/>
        <v>http://www.badatelna.eu/reprodukce/?fondId=1073&amp;zaznamId=1108952&amp;reproId=3778917</v>
      </c>
      <c r="M5081">
        <f>VLOOKUP(F5081,Sheet2!$B$1:$E$19,2,FALSE)</f>
        <v>1073</v>
      </c>
      <c r="N5081">
        <f>VLOOKUP(F5081,Sheet2!$B$1:$E$19,3,FALSE)</f>
        <v>1108952</v>
      </c>
      <c r="O5081">
        <f>IF(G5081="Not available","",VLOOKUP(F5081,Sheet2!$B$1:$E$19,4,FALSE)+(G5081-1))</f>
        <v>3778917</v>
      </c>
    </row>
    <row r="5082" spans="1:15" s="3" customFormat="1" ht="15" customHeight="1" x14ac:dyDescent="0.25">
      <c r="A5082" s="18" t="s">
        <v>419</v>
      </c>
      <c r="B5082" s="18" t="s">
        <v>890</v>
      </c>
      <c r="C5082" s="10" t="s">
        <v>1969</v>
      </c>
      <c r="D5082" s="3" t="s">
        <v>2768</v>
      </c>
      <c r="E5082" s="4" t="s">
        <v>2</v>
      </c>
      <c r="F5082" s="18">
        <v>2176</v>
      </c>
      <c r="G5082" s="18" t="s">
        <v>3271</v>
      </c>
      <c r="H5082" s="10" t="s">
        <v>2770</v>
      </c>
      <c r="I5082" s="3">
        <v>50</v>
      </c>
      <c r="J5082" s="4" t="s">
        <v>3271</v>
      </c>
      <c r="K5082" s="1"/>
      <c r="L5082" t="str">
        <f t="shared" si="79"/>
        <v/>
      </c>
      <c r="M5082">
        <f>VLOOKUP(F5082,Sheet2!$B$1:$E$19,2,FALSE)</f>
        <v>1073</v>
      </c>
      <c r="N5082">
        <f>VLOOKUP(F5082,Sheet2!$B$1:$E$19,3,FALSE)</f>
        <v>1108963</v>
      </c>
      <c r="O5082" t="str">
        <f>IF(G5082="Not available","",VLOOKUP(F5082,Sheet2!$B$1:$E$19,4,FALSE)+(G5082-1))</f>
        <v/>
      </c>
    </row>
    <row r="5083" spans="1:15" s="3" customFormat="1" ht="15" customHeight="1" x14ac:dyDescent="0.25">
      <c r="A5083" s="18" t="s">
        <v>419</v>
      </c>
      <c r="B5083" s="18" t="s">
        <v>423</v>
      </c>
      <c r="C5083" s="5">
        <v>1839</v>
      </c>
      <c r="D5083" s="1" t="s">
        <v>425</v>
      </c>
      <c r="E5083" s="1" t="s">
        <v>2</v>
      </c>
      <c r="F5083" s="18">
        <v>2174</v>
      </c>
      <c r="G5083" s="18">
        <v>108</v>
      </c>
      <c r="H5083" s="6" t="s">
        <v>3175</v>
      </c>
      <c r="I5083" s="1">
        <v>208</v>
      </c>
      <c r="J5083" s="1">
        <v>264</v>
      </c>
      <c r="K5083" s="1"/>
      <c r="L5083" t="str">
        <f t="shared" si="79"/>
        <v>http://www.badatelna.eu/reprodukce/?fondId=1073&amp;zaznamId=1108960&amp;reproId=3780332</v>
      </c>
      <c r="M5083">
        <f>VLOOKUP(F5083,Sheet2!$B$1:$E$19,2,FALSE)</f>
        <v>1073</v>
      </c>
      <c r="N5083">
        <f>VLOOKUP(F5083,Sheet2!$B$1:$E$19,3,FALSE)</f>
        <v>1108960</v>
      </c>
      <c r="O5083">
        <f>IF(G5083="Not available","",VLOOKUP(F5083,Sheet2!$B$1:$E$19,4,FALSE)+(G5083-1))</f>
        <v>3780332</v>
      </c>
    </row>
    <row r="5084" spans="1:15" s="3" customFormat="1" ht="15" customHeight="1" x14ac:dyDescent="0.25">
      <c r="A5084" s="18" t="s">
        <v>419</v>
      </c>
      <c r="B5084" s="18" t="s">
        <v>2525</v>
      </c>
      <c r="C5084" s="10" t="s">
        <v>2648</v>
      </c>
      <c r="D5084" s="3" t="s">
        <v>2809</v>
      </c>
      <c r="E5084" s="4" t="s">
        <v>2</v>
      </c>
      <c r="F5084" s="18">
        <v>2176</v>
      </c>
      <c r="G5084" s="18" t="s">
        <v>3271</v>
      </c>
      <c r="H5084" s="10" t="s">
        <v>2088</v>
      </c>
      <c r="I5084" s="3">
        <v>52</v>
      </c>
      <c r="J5084" s="4" t="s">
        <v>3271</v>
      </c>
      <c r="L5084" t="str">
        <f t="shared" si="79"/>
        <v/>
      </c>
      <c r="M5084">
        <f>VLOOKUP(F5084,Sheet2!$B$1:$E$19,2,FALSE)</f>
        <v>1073</v>
      </c>
      <c r="N5084">
        <f>VLOOKUP(F5084,Sheet2!$B$1:$E$19,3,FALSE)</f>
        <v>1108963</v>
      </c>
      <c r="O5084" t="str">
        <f>IF(G5084="Not available","",VLOOKUP(F5084,Sheet2!$B$1:$E$19,4,FALSE)+(G5084-1))</f>
        <v/>
      </c>
    </row>
    <row r="5085" spans="1:15" s="3" customFormat="1" ht="15" customHeight="1" x14ac:dyDescent="0.25">
      <c r="A5085" s="18" t="s">
        <v>419</v>
      </c>
      <c r="B5085" s="18" t="s">
        <v>438</v>
      </c>
      <c r="C5085" s="5">
        <v>1857</v>
      </c>
      <c r="D5085" s="1" t="s">
        <v>420</v>
      </c>
      <c r="E5085" s="1" t="s">
        <v>2</v>
      </c>
      <c r="F5085" s="18">
        <v>2164</v>
      </c>
      <c r="G5085" s="18">
        <v>118</v>
      </c>
      <c r="H5085" s="5">
        <v>116</v>
      </c>
      <c r="I5085" s="1">
        <v>143</v>
      </c>
      <c r="J5085" s="1">
        <v>264</v>
      </c>
      <c r="K5085" s="1"/>
      <c r="L5085" t="str">
        <f t="shared" si="79"/>
        <v>http://www.badatelna.eu/reprodukce/?fondId=1073&amp;zaznamId=1108951&amp;reproId=3778832</v>
      </c>
      <c r="M5085">
        <f>VLOOKUP(F5085,Sheet2!$B$1:$E$19,2,FALSE)</f>
        <v>1073</v>
      </c>
      <c r="N5085">
        <f>VLOOKUP(F5085,Sheet2!$B$1:$E$19,3,FALSE)</f>
        <v>1108951</v>
      </c>
      <c r="O5085">
        <f>IF(G5085="Not available","",VLOOKUP(F5085,Sheet2!$B$1:$E$19,4,FALSE)+(G5085-1))</f>
        <v>3778832</v>
      </c>
    </row>
    <row r="5086" spans="1:15" s="3" customFormat="1" ht="15" customHeight="1" x14ac:dyDescent="0.25">
      <c r="A5086" s="18" t="s">
        <v>419</v>
      </c>
      <c r="B5086" s="18" t="s">
        <v>432</v>
      </c>
      <c r="C5086" s="5">
        <v>1851</v>
      </c>
      <c r="D5086" s="1" t="s">
        <v>12</v>
      </c>
      <c r="E5086" s="1" t="s">
        <v>2</v>
      </c>
      <c r="F5086" s="18">
        <v>2164</v>
      </c>
      <c r="G5086" s="18">
        <v>71</v>
      </c>
      <c r="H5086" s="5">
        <v>69</v>
      </c>
      <c r="I5086" s="1">
        <v>143</v>
      </c>
      <c r="J5086" s="1">
        <v>264</v>
      </c>
      <c r="K5086" s="1"/>
      <c r="L5086" t="str">
        <f t="shared" si="79"/>
        <v>http://www.badatelna.eu/reprodukce/?fondId=1073&amp;zaznamId=1108951&amp;reproId=3778785</v>
      </c>
      <c r="M5086">
        <f>VLOOKUP(F5086,Sheet2!$B$1:$E$19,2,FALSE)</f>
        <v>1073</v>
      </c>
      <c r="N5086">
        <f>VLOOKUP(F5086,Sheet2!$B$1:$E$19,3,FALSE)</f>
        <v>1108951</v>
      </c>
      <c r="O5086">
        <f>IF(G5086="Not available","",VLOOKUP(F5086,Sheet2!$B$1:$E$19,4,FALSE)+(G5086-1))</f>
        <v>3778785</v>
      </c>
    </row>
    <row r="5087" spans="1:15" s="3" customFormat="1" ht="15" customHeight="1" x14ac:dyDescent="0.25">
      <c r="A5087" s="18" t="s">
        <v>419</v>
      </c>
      <c r="B5087" s="18" t="s">
        <v>434</v>
      </c>
      <c r="C5087" s="5">
        <v>1852</v>
      </c>
      <c r="D5087" s="1" t="s">
        <v>71</v>
      </c>
      <c r="E5087" s="1" t="s">
        <v>2</v>
      </c>
      <c r="F5087" s="18">
        <v>2164</v>
      </c>
      <c r="G5087" s="18">
        <v>82</v>
      </c>
      <c r="H5087" s="5">
        <v>80</v>
      </c>
      <c r="I5087" s="1">
        <v>143</v>
      </c>
      <c r="J5087" s="1">
        <v>264</v>
      </c>
      <c r="K5087" s="1"/>
      <c r="L5087" t="str">
        <f t="shared" si="79"/>
        <v>http://www.badatelna.eu/reprodukce/?fondId=1073&amp;zaznamId=1108951&amp;reproId=3778796</v>
      </c>
      <c r="M5087">
        <f>VLOOKUP(F5087,Sheet2!$B$1:$E$19,2,FALSE)</f>
        <v>1073</v>
      </c>
      <c r="N5087">
        <f>VLOOKUP(F5087,Sheet2!$B$1:$E$19,3,FALSE)</f>
        <v>1108951</v>
      </c>
      <c r="O5087">
        <f>IF(G5087="Not available","",VLOOKUP(F5087,Sheet2!$B$1:$E$19,4,FALSE)+(G5087-1))</f>
        <v>3778796</v>
      </c>
    </row>
    <row r="5088" spans="1:15" s="3" customFormat="1" ht="15" customHeight="1" x14ac:dyDescent="0.25">
      <c r="A5088" s="18" t="s">
        <v>419</v>
      </c>
      <c r="B5088" s="18" t="s">
        <v>422</v>
      </c>
      <c r="C5088" s="5">
        <v>1833</v>
      </c>
      <c r="D5088" s="1" t="s">
        <v>21</v>
      </c>
      <c r="E5088" s="1" t="s">
        <v>2</v>
      </c>
      <c r="F5088" s="18">
        <v>2174</v>
      </c>
      <c r="G5088" s="18">
        <v>74</v>
      </c>
      <c r="H5088" s="6" t="s">
        <v>3136</v>
      </c>
      <c r="I5088" s="1">
        <v>208</v>
      </c>
      <c r="J5088" s="1">
        <v>264</v>
      </c>
      <c r="K5088" s="1"/>
      <c r="L5088" t="str">
        <f t="shared" si="79"/>
        <v>http://www.badatelna.eu/reprodukce/?fondId=1073&amp;zaznamId=1108960&amp;reproId=3780298</v>
      </c>
      <c r="M5088">
        <f>VLOOKUP(F5088,Sheet2!$B$1:$E$19,2,FALSE)</f>
        <v>1073</v>
      </c>
      <c r="N5088">
        <f>VLOOKUP(F5088,Sheet2!$B$1:$E$19,3,FALSE)</f>
        <v>1108960</v>
      </c>
      <c r="O5088">
        <f>IF(G5088="Not available","",VLOOKUP(F5088,Sheet2!$B$1:$E$19,4,FALSE)+(G5088-1))</f>
        <v>3780298</v>
      </c>
    </row>
    <row r="5089" spans="1:15" s="3" customFormat="1" ht="15" customHeight="1" x14ac:dyDescent="0.25">
      <c r="A5089" s="18" t="s">
        <v>419</v>
      </c>
      <c r="B5089" s="18" t="s">
        <v>422</v>
      </c>
      <c r="C5089" s="5">
        <v>1854</v>
      </c>
      <c r="D5089" s="1" t="s">
        <v>420</v>
      </c>
      <c r="E5089" s="1" t="s">
        <v>2</v>
      </c>
      <c r="F5089" s="18">
        <v>2164</v>
      </c>
      <c r="G5089" s="18">
        <v>106</v>
      </c>
      <c r="H5089" s="5">
        <v>104</v>
      </c>
      <c r="I5089" s="1">
        <v>143</v>
      </c>
      <c r="J5089" s="1">
        <v>264</v>
      </c>
      <c r="K5089" s="1"/>
      <c r="L5089" t="str">
        <f t="shared" si="79"/>
        <v>http://www.badatelna.eu/reprodukce/?fondId=1073&amp;zaznamId=1108951&amp;reproId=3778820</v>
      </c>
      <c r="M5089">
        <f>VLOOKUP(F5089,Sheet2!$B$1:$E$19,2,FALSE)</f>
        <v>1073</v>
      </c>
      <c r="N5089">
        <f>VLOOKUP(F5089,Sheet2!$B$1:$E$19,3,FALSE)</f>
        <v>1108951</v>
      </c>
      <c r="O5089">
        <f>IF(G5089="Not available","",VLOOKUP(F5089,Sheet2!$B$1:$E$19,4,FALSE)+(G5089-1))</f>
        <v>3778820</v>
      </c>
    </row>
    <row r="5090" spans="1:15" s="3" customFormat="1" ht="15" customHeight="1" x14ac:dyDescent="0.25">
      <c r="A5090" s="18" t="s">
        <v>419</v>
      </c>
      <c r="B5090" s="18" t="s">
        <v>13</v>
      </c>
      <c r="C5090" s="5">
        <v>1823</v>
      </c>
      <c r="D5090" s="1" t="s">
        <v>166</v>
      </c>
      <c r="E5090" s="1" t="s">
        <v>2</v>
      </c>
      <c r="F5090" s="18">
        <v>2173</v>
      </c>
      <c r="G5090" s="18">
        <v>74</v>
      </c>
      <c r="H5090" s="5">
        <v>140</v>
      </c>
      <c r="I5090" s="1">
        <v>121</v>
      </c>
      <c r="J5090" s="1">
        <v>264</v>
      </c>
      <c r="K5090" s="1"/>
      <c r="L5090" t="str">
        <f t="shared" si="79"/>
        <v>http://www.badatelna.eu/reprodukce/?fondId=1073&amp;zaznamId=1108959&amp;reproId=3780067</v>
      </c>
      <c r="M5090">
        <f>VLOOKUP(F5090,Sheet2!$B$1:$E$19,2,FALSE)</f>
        <v>1073</v>
      </c>
      <c r="N5090">
        <f>VLOOKUP(F5090,Sheet2!$B$1:$E$19,3,FALSE)</f>
        <v>1108959</v>
      </c>
      <c r="O5090">
        <f>IF(G5090="Not available","",VLOOKUP(F5090,Sheet2!$B$1:$E$19,4,FALSE)+(G5090-1))</f>
        <v>3780067</v>
      </c>
    </row>
    <row r="5091" spans="1:15" s="3" customFormat="1" ht="15" customHeight="1" x14ac:dyDescent="0.25">
      <c r="A5091" s="18" t="s">
        <v>419</v>
      </c>
      <c r="B5091" s="18" t="s">
        <v>143</v>
      </c>
      <c r="C5091" s="5" t="s">
        <v>1707</v>
      </c>
      <c r="D5091" s="1" t="s">
        <v>233</v>
      </c>
      <c r="E5091" s="1" t="s">
        <v>2</v>
      </c>
      <c r="F5091" s="18">
        <v>2165</v>
      </c>
      <c r="G5091" s="18">
        <v>68</v>
      </c>
      <c r="H5091" s="5">
        <v>65</v>
      </c>
      <c r="I5091" s="1">
        <v>98</v>
      </c>
      <c r="J5091" s="4" t="s">
        <v>3271</v>
      </c>
      <c r="K5091" s="1"/>
      <c r="L5091" t="str">
        <f t="shared" si="79"/>
        <v>http://www.badatelna.eu/reprodukce/?fondId=1073&amp;zaznamId=1108952&amp;reproId=3778929</v>
      </c>
      <c r="M5091">
        <f>VLOOKUP(F5091,Sheet2!$B$1:$E$19,2,FALSE)</f>
        <v>1073</v>
      </c>
      <c r="N5091">
        <f>VLOOKUP(F5091,Sheet2!$B$1:$E$19,3,FALSE)</f>
        <v>1108952</v>
      </c>
      <c r="O5091">
        <f>IF(G5091="Not available","",VLOOKUP(F5091,Sheet2!$B$1:$E$19,4,FALSE)+(G5091-1))</f>
        <v>3778929</v>
      </c>
    </row>
    <row r="5092" spans="1:15" s="3" customFormat="1" ht="15" customHeight="1" x14ac:dyDescent="0.25">
      <c r="A5092" s="18" t="s">
        <v>419</v>
      </c>
      <c r="B5092" s="18" t="s">
        <v>427</v>
      </c>
      <c r="C5092" s="5">
        <v>1848</v>
      </c>
      <c r="D5092" s="1" t="s">
        <v>428</v>
      </c>
      <c r="E5092" s="1" t="s">
        <v>2</v>
      </c>
      <c r="F5092" s="18">
        <v>2164</v>
      </c>
      <c r="G5092" s="18">
        <v>25</v>
      </c>
      <c r="H5092" s="5">
        <v>23</v>
      </c>
      <c r="I5092" s="1">
        <v>143</v>
      </c>
      <c r="J5092" s="1">
        <v>264</v>
      </c>
      <c r="K5092" s="1"/>
      <c r="L5092" t="str">
        <f t="shared" si="79"/>
        <v>http://www.badatelna.eu/reprodukce/?fondId=1073&amp;zaznamId=1108951&amp;reproId=3778739</v>
      </c>
      <c r="M5092">
        <f>VLOOKUP(F5092,Sheet2!$B$1:$E$19,2,FALSE)</f>
        <v>1073</v>
      </c>
      <c r="N5092">
        <f>VLOOKUP(F5092,Sheet2!$B$1:$E$19,3,FALSE)</f>
        <v>1108951</v>
      </c>
      <c r="O5092">
        <f>IF(G5092="Not available","",VLOOKUP(F5092,Sheet2!$B$1:$E$19,4,FALSE)+(G5092-1))</f>
        <v>3778739</v>
      </c>
    </row>
    <row r="5093" spans="1:15" s="3" customFormat="1" ht="15" customHeight="1" x14ac:dyDescent="0.25">
      <c r="A5093" s="18" t="s">
        <v>419</v>
      </c>
      <c r="B5093" s="18" t="s">
        <v>398</v>
      </c>
      <c r="C5093" s="5">
        <v>1858</v>
      </c>
      <c r="D5093" s="4" t="s">
        <v>3270</v>
      </c>
      <c r="E5093" s="1" t="s">
        <v>939</v>
      </c>
      <c r="F5093" s="18">
        <v>999</v>
      </c>
      <c r="G5093" s="18">
        <v>7</v>
      </c>
      <c r="H5093" s="5">
        <v>5</v>
      </c>
      <c r="I5093" s="1">
        <v>79</v>
      </c>
      <c r="J5093" s="1">
        <v>112</v>
      </c>
      <c r="K5093" s="1"/>
      <c r="L5093" t="str">
        <f t="shared" si="79"/>
        <v>http://www.badatelna.eu/reprodukce/?fondId=241&amp;zaznamId=1133739&amp;reproId=3885736</v>
      </c>
      <c r="M5093">
        <f>VLOOKUP(F5093,Sheet2!$B$1:$E$19,2,FALSE)</f>
        <v>241</v>
      </c>
      <c r="N5093">
        <f>VLOOKUP(F5093,Sheet2!$B$1:$E$19,3,FALSE)</f>
        <v>1133739</v>
      </c>
      <c r="O5093">
        <f>IF(G5093="Not available","",VLOOKUP(F5093,Sheet2!$B$1:$E$19,4,FALSE)+(G5093-1))</f>
        <v>3885736</v>
      </c>
    </row>
    <row r="5094" spans="1:15" s="3" customFormat="1" ht="15" customHeight="1" x14ac:dyDescent="0.25">
      <c r="A5094" s="18" t="s">
        <v>419</v>
      </c>
      <c r="B5094" s="18" t="s">
        <v>900</v>
      </c>
      <c r="C5094" s="5">
        <v>1886</v>
      </c>
      <c r="D5094" s="1" t="s">
        <v>44</v>
      </c>
      <c r="E5094" s="1" t="s">
        <v>2</v>
      </c>
      <c r="F5094" s="18">
        <v>2165</v>
      </c>
      <c r="G5094" s="18">
        <v>209</v>
      </c>
      <c r="H5094" s="5">
        <v>3</v>
      </c>
      <c r="I5094" s="1">
        <v>211</v>
      </c>
      <c r="J5094" s="1">
        <v>187</v>
      </c>
      <c r="K5094" s="1"/>
      <c r="L5094" t="str">
        <f t="shared" si="79"/>
        <v>http://www.badatelna.eu/reprodukce/?fondId=1073&amp;zaznamId=1108952&amp;reproId=3779070</v>
      </c>
      <c r="M5094">
        <f>VLOOKUP(F5094,Sheet2!$B$1:$E$19,2,FALSE)</f>
        <v>1073</v>
      </c>
      <c r="N5094">
        <f>VLOOKUP(F5094,Sheet2!$B$1:$E$19,3,FALSE)</f>
        <v>1108952</v>
      </c>
      <c r="O5094">
        <f>IF(G5094="Not available","",VLOOKUP(F5094,Sheet2!$B$1:$E$19,4,FALSE)+(G5094-1))</f>
        <v>3779070</v>
      </c>
    </row>
    <row r="5095" spans="1:15" s="3" customFormat="1" ht="15" customHeight="1" x14ac:dyDescent="0.25">
      <c r="A5095" s="18" t="s">
        <v>419</v>
      </c>
      <c r="B5095" s="18" t="s">
        <v>900</v>
      </c>
      <c r="C5095" s="10" t="s">
        <v>2052</v>
      </c>
      <c r="D5095" s="3" t="s">
        <v>2778</v>
      </c>
      <c r="E5095" s="4" t="s">
        <v>2</v>
      </c>
      <c r="F5095" s="18">
        <v>2176</v>
      </c>
      <c r="G5095" s="18" t="s">
        <v>3271</v>
      </c>
      <c r="H5095" s="10" t="s">
        <v>2063</v>
      </c>
      <c r="I5095" s="3">
        <v>51</v>
      </c>
      <c r="J5095" s="4" t="s">
        <v>3271</v>
      </c>
      <c r="L5095" t="str">
        <f t="shared" si="79"/>
        <v/>
      </c>
      <c r="M5095">
        <f>VLOOKUP(F5095,Sheet2!$B$1:$E$19,2,FALSE)</f>
        <v>1073</v>
      </c>
      <c r="N5095">
        <f>VLOOKUP(F5095,Sheet2!$B$1:$E$19,3,FALSE)</f>
        <v>1108963</v>
      </c>
      <c r="O5095" t="str">
        <f>IF(G5095="Not available","",VLOOKUP(F5095,Sheet2!$B$1:$E$19,4,FALSE)+(G5095-1))</f>
        <v/>
      </c>
    </row>
    <row r="5096" spans="1:15" s="3" customFormat="1" ht="15" customHeight="1" x14ac:dyDescent="0.25">
      <c r="A5096" s="18" t="s">
        <v>419</v>
      </c>
      <c r="B5096" s="18" t="s">
        <v>1188</v>
      </c>
      <c r="C5096" s="5">
        <v>1887</v>
      </c>
      <c r="D5096" s="1" t="s">
        <v>44</v>
      </c>
      <c r="E5096" s="1" t="s">
        <v>2</v>
      </c>
      <c r="F5096" s="18">
        <v>2165</v>
      </c>
      <c r="G5096" s="18">
        <v>214</v>
      </c>
      <c r="H5096" s="5">
        <v>3</v>
      </c>
      <c r="I5096" s="1">
        <v>216</v>
      </c>
      <c r="J5096" s="1">
        <v>192</v>
      </c>
      <c r="K5096" s="1"/>
      <c r="L5096" t="str">
        <f t="shared" si="79"/>
        <v>http://www.badatelna.eu/reprodukce/?fondId=1073&amp;zaznamId=1108952&amp;reproId=3779075</v>
      </c>
      <c r="M5096">
        <f>VLOOKUP(F5096,Sheet2!$B$1:$E$19,2,FALSE)</f>
        <v>1073</v>
      </c>
      <c r="N5096">
        <f>VLOOKUP(F5096,Sheet2!$B$1:$E$19,3,FALSE)</f>
        <v>1108952</v>
      </c>
      <c r="O5096">
        <f>IF(G5096="Not available","",VLOOKUP(F5096,Sheet2!$B$1:$E$19,4,FALSE)+(G5096-1))</f>
        <v>3779075</v>
      </c>
    </row>
    <row r="5097" spans="1:15" s="3" customFormat="1" ht="15" customHeight="1" x14ac:dyDescent="0.25">
      <c r="A5097" s="18" t="s">
        <v>419</v>
      </c>
      <c r="B5097" s="18" t="s">
        <v>44</v>
      </c>
      <c r="C5097" s="5">
        <v>1850</v>
      </c>
      <c r="D5097" s="1" t="s">
        <v>430</v>
      </c>
      <c r="E5097" s="1" t="s">
        <v>2</v>
      </c>
      <c r="F5097" s="18">
        <v>2164</v>
      </c>
      <c r="G5097" s="18">
        <v>69</v>
      </c>
      <c r="H5097" s="5">
        <v>67</v>
      </c>
      <c r="I5097" s="1">
        <v>143</v>
      </c>
      <c r="J5097" s="1">
        <v>264</v>
      </c>
      <c r="K5097" s="1"/>
      <c r="L5097" t="str">
        <f t="shared" si="79"/>
        <v>http://www.badatelna.eu/reprodukce/?fondId=1073&amp;zaznamId=1108951&amp;reproId=3778783</v>
      </c>
      <c r="M5097">
        <f>VLOOKUP(F5097,Sheet2!$B$1:$E$19,2,FALSE)</f>
        <v>1073</v>
      </c>
      <c r="N5097">
        <f>VLOOKUP(F5097,Sheet2!$B$1:$E$19,3,FALSE)</f>
        <v>1108951</v>
      </c>
      <c r="O5097">
        <f>IF(G5097="Not available","",VLOOKUP(F5097,Sheet2!$B$1:$E$19,4,FALSE)+(G5097-1))</f>
        <v>3778783</v>
      </c>
    </row>
    <row r="5098" spans="1:15" s="3" customFormat="1" ht="15" customHeight="1" x14ac:dyDescent="0.25">
      <c r="A5098" s="18" t="s">
        <v>419</v>
      </c>
      <c r="B5098" s="18" t="s">
        <v>1155</v>
      </c>
      <c r="C5098" s="5">
        <v>1883</v>
      </c>
      <c r="D5098" s="1" t="s">
        <v>44</v>
      </c>
      <c r="E5098" s="1" t="s">
        <v>2</v>
      </c>
      <c r="F5098" s="18">
        <v>2165</v>
      </c>
      <c r="G5098" s="18">
        <v>189</v>
      </c>
      <c r="H5098" s="5">
        <v>5</v>
      </c>
      <c r="I5098" s="1">
        <v>191</v>
      </c>
      <c r="J5098" s="1">
        <v>168</v>
      </c>
      <c r="K5098" s="1"/>
      <c r="L5098" t="str">
        <f t="shared" si="79"/>
        <v>http://www.badatelna.eu/reprodukce/?fondId=1073&amp;zaznamId=1108952&amp;reproId=3779050</v>
      </c>
      <c r="M5098">
        <f>VLOOKUP(F5098,Sheet2!$B$1:$E$19,2,FALSE)</f>
        <v>1073</v>
      </c>
      <c r="N5098">
        <f>VLOOKUP(F5098,Sheet2!$B$1:$E$19,3,FALSE)</f>
        <v>1108952</v>
      </c>
      <c r="O5098">
        <f>IF(G5098="Not available","",VLOOKUP(F5098,Sheet2!$B$1:$E$19,4,FALSE)+(G5098-1))</f>
        <v>3779050</v>
      </c>
    </row>
    <row r="5099" spans="1:15" s="3" customFormat="1" ht="15" customHeight="1" x14ac:dyDescent="0.25">
      <c r="A5099" s="18" t="s">
        <v>419</v>
      </c>
      <c r="B5099" s="18" t="s">
        <v>1155</v>
      </c>
      <c r="C5099" s="10" t="s">
        <v>2036</v>
      </c>
      <c r="D5099" s="3" t="s">
        <v>2778</v>
      </c>
      <c r="E5099" s="4" t="s">
        <v>2</v>
      </c>
      <c r="F5099" s="18">
        <v>2176</v>
      </c>
      <c r="G5099" s="18" t="s">
        <v>3271</v>
      </c>
      <c r="H5099" s="10" t="s">
        <v>2211</v>
      </c>
      <c r="I5099" s="3">
        <v>50</v>
      </c>
      <c r="J5099" s="4" t="s">
        <v>3271</v>
      </c>
      <c r="L5099" t="str">
        <f t="shared" si="79"/>
        <v/>
      </c>
      <c r="M5099">
        <f>VLOOKUP(F5099,Sheet2!$B$1:$E$19,2,FALSE)</f>
        <v>1073</v>
      </c>
      <c r="N5099">
        <f>VLOOKUP(F5099,Sheet2!$B$1:$E$19,3,FALSE)</f>
        <v>1108963</v>
      </c>
      <c r="O5099" t="str">
        <f>IF(G5099="Not available","",VLOOKUP(F5099,Sheet2!$B$1:$E$19,4,FALSE)+(G5099-1))</f>
        <v/>
      </c>
    </row>
    <row r="5100" spans="1:15" s="3" customFormat="1" ht="15" customHeight="1" x14ac:dyDescent="0.25">
      <c r="A5100" s="18" t="s">
        <v>419</v>
      </c>
      <c r="B5100" s="18" t="s">
        <v>924</v>
      </c>
      <c r="C5100" s="5">
        <v>1886</v>
      </c>
      <c r="D5100" s="1" t="s">
        <v>422</v>
      </c>
      <c r="E5100" s="1" t="s">
        <v>2</v>
      </c>
      <c r="F5100" s="18">
        <v>2165</v>
      </c>
      <c r="G5100" s="18">
        <v>207</v>
      </c>
      <c r="H5100" s="5">
        <v>1</v>
      </c>
      <c r="I5100" s="1">
        <v>211</v>
      </c>
      <c r="J5100" s="1">
        <v>187</v>
      </c>
      <c r="K5100" s="1"/>
      <c r="L5100" t="str">
        <f t="shared" si="79"/>
        <v>http://www.badatelna.eu/reprodukce/?fondId=1073&amp;zaznamId=1108952&amp;reproId=3779068</v>
      </c>
      <c r="M5100">
        <f>VLOOKUP(F5100,Sheet2!$B$1:$E$19,2,FALSE)</f>
        <v>1073</v>
      </c>
      <c r="N5100">
        <f>VLOOKUP(F5100,Sheet2!$B$1:$E$19,3,FALSE)</f>
        <v>1108952</v>
      </c>
      <c r="O5100">
        <f>IF(G5100="Not available","",VLOOKUP(F5100,Sheet2!$B$1:$E$19,4,FALSE)+(G5100-1))</f>
        <v>3779068</v>
      </c>
    </row>
    <row r="5101" spans="1:15" s="3" customFormat="1" ht="15" customHeight="1" x14ac:dyDescent="0.25">
      <c r="A5101" s="18" t="s">
        <v>419</v>
      </c>
      <c r="B5101" s="18" t="s">
        <v>435</v>
      </c>
      <c r="C5101" s="5">
        <v>1852</v>
      </c>
      <c r="D5101" s="1" t="s">
        <v>12</v>
      </c>
      <c r="E5101" s="1" t="s">
        <v>2</v>
      </c>
      <c r="F5101" s="18">
        <v>2164</v>
      </c>
      <c r="G5101" s="18">
        <v>90</v>
      </c>
      <c r="H5101" s="5">
        <v>88</v>
      </c>
      <c r="I5101" s="1">
        <v>143</v>
      </c>
      <c r="J5101" s="1">
        <v>264</v>
      </c>
      <c r="K5101" s="1"/>
      <c r="L5101" t="str">
        <f t="shared" si="79"/>
        <v>http://www.badatelna.eu/reprodukce/?fondId=1073&amp;zaznamId=1108951&amp;reproId=3778804</v>
      </c>
      <c r="M5101">
        <f>VLOOKUP(F5101,Sheet2!$B$1:$E$19,2,FALSE)</f>
        <v>1073</v>
      </c>
      <c r="N5101">
        <f>VLOOKUP(F5101,Sheet2!$B$1:$E$19,3,FALSE)</f>
        <v>1108951</v>
      </c>
      <c r="O5101">
        <f>IF(G5101="Not available","",VLOOKUP(F5101,Sheet2!$B$1:$E$19,4,FALSE)+(G5101-1))</f>
        <v>3778804</v>
      </c>
    </row>
    <row r="5102" spans="1:15" s="3" customFormat="1" ht="15" customHeight="1" x14ac:dyDescent="0.25">
      <c r="A5102" s="18" t="s">
        <v>419</v>
      </c>
      <c r="B5102" s="18" t="s">
        <v>304</v>
      </c>
      <c r="C5102" s="5">
        <v>1844</v>
      </c>
      <c r="D5102" s="1" t="s">
        <v>12</v>
      </c>
      <c r="E5102" s="1" t="s">
        <v>2</v>
      </c>
      <c r="F5102" s="18">
        <v>2174</v>
      </c>
      <c r="G5102" s="18">
        <v>150</v>
      </c>
      <c r="H5102" s="6" t="s">
        <v>3217</v>
      </c>
      <c r="I5102" s="1">
        <v>208</v>
      </c>
      <c r="J5102" s="1">
        <v>264</v>
      </c>
      <c r="K5102" s="1"/>
      <c r="L5102" t="str">
        <f t="shared" si="79"/>
        <v>http://www.badatelna.eu/reprodukce/?fondId=1073&amp;zaznamId=1108960&amp;reproId=3780374</v>
      </c>
      <c r="M5102">
        <f>VLOOKUP(F5102,Sheet2!$B$1:$E$19,2,FALSE)</f>
        <v>1073</v>
      </c>
      <c r="N5102">
        <f>VLOOKUP(F5102,Sheet2!$B$1:$E$19,3,FALSE)</f>
        <v>1108960</v>
      </c>
      <c r="O5102">
        <f>IF(G5102="Not available","",VLOOKUP(F5102,Sheet2!$B$1:$E$19,4,FALSE)+(G5102-1))</f>
        <v>3780374</v>
      </c>
    </row>
    <row r="5103" spans="1:15" s="3" customFormat="1" ht="15" customHeight="1" x14ac:dyDescent="0.25">
      <c r="A5103" s="18" t="s">
        <v>419</v>
      </c>
      <c r="B5103" s="18" t="s">
        <v>58</v>
      </c>
      <c r="C5103" s="5">
        <v>1848</v>
      </c>
      <c r="D5103" s="1" t="s">
        <v>420</v>
      </c>
      <c r="E5103" s="1" t="s">
        <v>2</v>
      </c>
      <c r="F5103" s="18">
        <v>2164</v>
      </c>
      <c r="G5103" s="18">
        <v>36</v>
      </c>
      <c r="H5103" s="5">
        <v>34</v>
      </c>
      <c r="I5103" s="1">
        <v>143</v>
      </c>
      <c r="J5103" s="1">
        <v>264</v>
      </c>
      <c r="K5103" s="1"/>
      <c r="L5103" t="str">
        <f t="shared" si="79"/>
        <v>http://www.badatelna.eu/reprodukce/?fondId=1073&amp;zaznamId=1108951&amp;reproId=3778750</v>
      </c>
      <c r="M5103">
        <f>VLOOKUP(F5103,Sheet2!$B$1:$E$19,2,FALSE)</f>
        <v>1073</v>
      </c>
      <c r="N5103">
        <f>VLOOKUP(F5103,Sheet2!$B$1:$E$19,3,FALSE)</f>
        <v>1108951</v>
      </c>
      <c r="O5103">
        <f>IF(G5103="Not available","",VLOOKUP(F5103,Sheet2!$B$1:$E$19,4,FALSE)+(G5103-1))</f>
        <v>3778750</v>
      </c>
    </row>
    <row r="5104" spans="1:15" s="3" customFormat="1" ht="15" customHeight="1" x14ac:dyDescent="0.25">
      <c r="A5104" s="18" t="s">
        <v>419</v>
      </c>
      <c r="B5104" s="18" t="s">
        <v>58</v>
      </c>
      <c r="C5104" s="5">
        <v>1849</v>
      </c>
      <c r="D5104" s="1" t="s">
        <v>398</v>
      </c>
      <c r="E5104" s="1" t="s">
        <v>2</v>
      </c>
      <c r="F5104" s="18">
        <v>2164</v>
      </c>
      <c r="G5104" s="18">
        <v>48</v>
      </c>
      <c r="H5104" s="5">
        <v>46</v>
      </c>
      <c r="I5104" s="1">
        <v>143</v>
      </c>
      <c r="J5104" s="1">
        <v>264</v>
      </c>
      <c r="K5104" s="1"/>
      <c r="L5104" t="str">
        <f t="shared" si="79"/>
        <v>http://www.badatelna.eu/reprodukce/?fondId=1073&amp;zaznamId=1108951&amp;reproId=3778762</v>
      </c>
      <c r="M5104">
        <f>VLOOKUP(F5104,Sheet2!$B$1:$E$19,2,FALSE)</f>
        <v>1073</v>
      </c>
      <c r="N5104">
        <f>VLOOKUP(F5104,Sheet2!$B$1:$E$19,3,FALSE)</f>
        <v>1108951</v>
      </c>
      <c r="O5104">
        <f>IF(G5104="Not available","",VLOOKUP(F5104,Sheet2!$B$1:$E$19,4,FALSE)+(G5104-1))</f>
        <v>3778762</v>
      </c>
    </row>
    <row r="5105" spans="1:15" s="3" customFormat="1" ht="15" customHeight="1" x14ac:dyDescent="0.25">
      <c r="A5105" s="18" t="s">
        <v>419</v>
      </c>
      <c r="B5105" s="18" t="s">
        <v>2196</v>
      </c>
      <c r="C5105" s="10" t="s">
        <v>2052</v>
      </c>
      <c r="D5105" s="3" t="s">
        <v>2783</v>
      </c>
      <c r="E5105" s="4" t="s">
        <v>2</v>
      </c>
      <c r="F5105" s="18">
        <v>2176</v>
      </c>
      <c r="G5105" s="18" t="s">
        <v>3271</v>
      </c>
      <c r="H5105" s="10" t="s">
        <v>2088</v>
      </c>
      <c r="I5105" s="3">
        <v>51</v>
      </c>
      <c r="J5105" s="4" t="s">
        <v>3271</v>
      </c>
      <c r="L5105" t="str">
        <f t="shared" si="79"/>
        <v/>
      </c>
      <c r="M5105">
        <f>VLOOKUP(F5105,Sheet2!$B$1:$E$19,2,FALSE)</f>
        <v>1073</v>
      </c>
      <c r="N5105">
        <f>VLOOKUP(F5105,Sheet2!$B$1:$E$19,3,FALSE)</f>
        <v>1108963</v>
      </c>
      <c r="O5105" t="str">
        <f>IF(G5105="Not available","",VLOOKUP(F5105,Sheet2!$B$1:$E$19,4,FALSE)+(G5105-1))</f>
        <v/>
      </c>
    </row>
    <row r="5106" spans="1:15" s="3" customFormat="1" ht="15" customHeight="1" x14ac:dyDescent="0.25">
      <c r="A5106" s="18" t="s">
        <v>419</v>
      </c>
      <c r="B5106" s="18" t="s">
        <v>1171</v>
      </c>
      <c r="C5106" s="10" t="s">
        <v>1949</v>
      </c>
      <c r="D5106" s="3" t="s">
        <v>2786</v>
      </c>
      <c r="E5106" s="4" t="s">
        <v>2</v>
      </c>
      <c r="F5106" s="18">
        <v>2176</v>
      </c>
      <c r="G5106" s="18" t="s">
        <v>3271</v>
      </c>
      <c r="H5106" s="10" t="s">
        <v>2787</v>
      </c>
      <c r="I5106" s="3">
        <v>51</v>
      </c>
      <c r="J5106" s="4" t="s">
        <v>3271</v>
      </c>
      <c r="L5106" t="str">
        <f t="shared" si="79"/>
        <v/>
      </c>
      <c r="M5106">
        <f>VLOOKUP(F5106,Sheet2!$B$1:$E$19,2,FALSE)</f>
        <v>1073</v>
      </c>
      <c r="N5106">
        <f>VLOOKUP(F5106,Sheet2!$B$1:$E$19,3,FALSE)</f>
        <v>1108963</v>
      </c>
      <c r="O5106" t="str">
        <f>IF(G5106="Not available","",VLOOKUP(F5106,Sheet2!$B$1:$E$19,4,FALSE)+(G5106-1))</f>
        <v/>
      </c>
    </row>
    <row r="5107" spans="1:15" s="3" customFormat="1" ht="15" customHeight="1" x14ac:dyDescent="0.25">
      <c r="A5107" s="18" t="s">
        <v>419</v>
      </c>
      <c r="B5107" s="18" t="s">
        <v>3254</v>
      </c>
      <c r="C5107" s="5">
        <v>1817</v>
      </c>
      <c r="D5107" s="1" t="s">
        <v>442</v>
      </c>
      <c r="E5107" s="1" t="s">
        <v>2</v>
      </c>
      <c r="F5107" s="18">
        <v>2173</v>
      </c>
      <c r="G5107" s="18">
        <v>67</v>
      </c>
      <c r="H5107" s="6" t="s">
        <v>338</v>
      </c>
      <c r="I5107" s="1">
        <v>121</v>
      </c>
      <c r="J5107" s="1">
        <v>264</v>
      </c>
      <c r="K5107" s="1"/>
      <c r="L5107" t="str">
        <f t="shared" si="79"/>
        <v>http://www.badatelna.eu/reprodukce/?fondId=1073&amp;zaznamId=1108959&amp;reproId=3780060</v>
      </c>
      <c r="M5107">
        <f>VLOOKUP(F5107,Sheet2!$B$1:$E$19,2,FALSE)</f>
        <v>1073</v>
      </c>
      <c r="N5107">
        <f>VLOOKUP(F5107,Sheet2!$B$1:$E$19,3,FALSE)</f>
        <v>1108959</v>
      </c>
      <c r="O5107">
        <f>IF(G5107="Not available","",VLOOKUP(F5107,Sheet2!$B$1:$E$19,4,FALSE)+(G5107-1))</f>
        <v>3780060</v>
      </c>
    </row>
    <row r="5108" spans="1:15" s="3" customFormat="1" ht="15" customHeight="1" x14ac:dyDescent="0.25">
      <c r="A5108" s="18" t="s">
        <v>419</v>
      </c>
      <c r="B5108" s="18" t="s">
        <v>424</v>
      </c>
      <c r="C5108" s="5">
        <v>1839</v>
      </c>
      <c r="D5108" s="1" t="s">
        <v>425</v>
      </c>
      <c r="E5108" s="1" t="s">
        <v>2</v>
      </c>
      <c r="F5108" s="18">
        <v>2174</v>
      </c>
      <c r="G5108" s="18">
        <v>108</v>
      </c>
      <c r="H5108" s="6" t="s">
        <v>3175</v>
      </c>
      <c r="I5108" s="1">
        <v>208</v>
      </c>
      <c r="J5108" s="1">
        <v>264</v>
      </c>
      <c r="K5108" s="1"/>
      <c r="L5108" t="str">
        <f t="shared" si="79"/>
        <v>http://www.badatelna.eu/reprodukce/?fondId=1073&amp;zaznamId=1108960&amp;reproId=3780332</v>
      </c>
      <c r="M5108">
        <f>VLOOKUP(F5108,Sheet2!$B$1:$E$19,2,FALSE)</f>
        <v>1073</v>
      </c>
      <c r="N5108">
        <f>VLOOKUP(F5108,Sheet2!$B$1:$E$19,3,FALSE)</f>
        <v>1108960</v>
      </c>
      <c r="O5108">
        <f>IF(G5108="Not available","",VLOOKUP(F5108,Sheet2!$B$1:$E$19,4,FALSE)+(G5108-1))</f>
        <v>3780332</v>
      </c>
    </row>
    <row r="5109" spans="1:15" s="3" customFormat="1" ht="15" customHeight="1" x14ac:dyDescent="0.25">
      <c r="A5109" s="18" t="s">
        <v>417</v>
      </c>
      <c r="B5109" s="18" t="s">
        <v>144</v>
      </c>
      <c r="C5109" s="5">
        <v>1827</v>
      </c>
      <c r="D5109" s="1" t="s">
        <v>442</v>
      </c>
      <c r="E5109" s="1" t="s">
        <v>2</v>
      </c>
      <c r="F5109" s="18">
        <v>2173</v>
      </c>
      <c r="G5109" s="18">
        <v>80</v>
      </c>
      <c r="H5109" s="5">
        <v>153</v>
      </c>
      <c r="I5109" s="1">
        <v>121</v>
      </c>
      <c r="J5109" s="1">
        <v>264</v>
      </c>
      <c r="K5109" s="1"/>
      <c r="L5109" t="str">
        <f t="shared" si="79"/>
        <v>http://www.badatelna.eu/reprodukce/?fondId=1073&amp;zaznamId=1108959&amp;reproId=3780073</v>
      </c>
      <c r="M5109">
        <f>VLOOKUP(F5109,Sheet2!$B$1:$E$19,2,FALSE)</f>
        <v>1073</v>
      </c>
      <c r="N5109">
        <f>VLOOKUP(F5109,Sheet2!$B$1:$E$19,3,FALSE)</f>
        <v>1108959</v>
      </c>
      <c r="O5109">
        <f>IF(G5109="Not available","",VLOOKUP(F5109,Sheet2!$B$1:$E$19,4,FALSE)+(G5109-1))</f>
        <v>3780073</v>
      </c>
    </row>
    <row r="5110" spans="1:15" s="3" customFormat="1" ht="15" customHeight="1" x14ac:dyDescent="0.25">
      <c r="A5110" s="18" t="s">
        <v>417</v>
      </c>
      <c r="B5110" s="18" t="s">
        <v>87</v>
      </c>
      <c r="C5110" s="5">
        <v>1791</v>
      </c>
      <c r="D5110" s="1" t="s">
        <v>445</v>
      </c>
      <c r="E5110" s="1" t="s">
        <v>2</v>
      </c>
      <c r="F5110" s="18">
        <v>2173</v>
      </c>
      <c r="G5110" s="18">
        <v>25</v>
      </c>
      <c r="H5110" s="5">
        <v>45</v>
      </c>
      <c r="I5110" s="1">
        <v>120</v>
      </c>
      <c r="J5110" s="1">
        <v>263</v>
      </c>
      <c r="K5110" s="1"/>
      <c r="L5110" t="str">
        <f t="shared" si="79"/>
        <v>http://www.badatelna.eu/reprodukce/?fondId=1073&amp;zaznamId=1108959&amp;reproId=3780018</v>
      </c>
      <c r="M5110">
        <f>VLOOKUP(F5110,Sheet2!$B$1:$E$19,2,FALSE)</f>
        <v>1073</v>
      </c>
      <c r="N5110">
        <f>VLOOKUP(F5110,Sheet2!$B$1:$E$19,3,FALSE)</f>
        <v>1108959</v>
      </c>
      <c r="O5110">
        <f>IF(G5110="Not available","",VLOOKUP(F5110,Sheet2!$B$1:$E$19,4,FALSE)+(G5110-1))</f>
        <v>3780018</v>
      </c>
    </row>
    <row r="5111" spans="1:15" s="3" customFormat="1" ht="15" customHeight="1" x14ac:dyDescent="0.25">
      <c r="A5111" s="18" t="s">
        <v>417</v>
      </c>
      <c r="B5111" s="18" t="s">
        <v>418</v>
      </c>
      <c r="C5111" s="5">
        <v>1813</v>
      </c>
      <c r="D5111" s="1" t="s">
        <v>166</v>
      </c>
      <c r="E5111" s="1" t="s">
        <v>2</v>
      </c>
      <c r="F5111" s="18">
        <v>2173</v>
      </c>
      <c r="G5111" s="18">
        <v>61</v>
      </c>
      <c r="H5111" s="5">
        <v>117</v>
      </c>
      <c r="I5111" s="1">
        <v>121</v>
      </c>
      <c r="J5111" s="1">
        <v>264</v>
      </c>
      <c r="K5111" s="1"/>
      <c r="L5111" t="str">
        <f t="shared" si="79"/>
        <v>http://www.badatelna.eu/reprodukce/?fondId=1073&amp;zaznamId=1108959&amp;reproId=3780054</v>
      </c>
      <c r="M5111">
        <f>VLOOKUP(F5111,Sheet2!$B$1:$E$19,2,FALSE)</f>
        <v>1073</v>
      </c>
      <c r="N5111">
        <f>VLOOKUP(F5111,Sheet2!$B$1:$E$19,3,FALSE)</f>
        <v>1108959</v>
      </c>
      <c r="O5111">
        <f>IF(G5111="Not available","",VLOOKUP(F5111,Sheet2!$B$1:$E$19,4,FALSE)+(G5111-1))</f>
        <v>3780054</v>
      </c>
    </row>
    <row r="5112" spans="1:15" s="3" customFormat="1" ht="15" customHeight="1" x14ac:dyDescent="0.25">
      <c r="A5112" s="18" t="s">
        <v>417</v>
      </c>
      <c r="B5112" s="18" t="s">
        <v>12</v>
      </c>
      <c r="C5112" s="5">
        <v>1812</v>
      </c>
      <c r="D5112" s="1" t="s">
        <v>443</v>
      </c>
      <c r="E5112" s="1" t="s">
        <v>2</v>
      </c>
      <c r="F5112" s="18">
        <v>2173</v>
      </c>
      <c r="G5112" s="18">
        <v>59</v>
      </c>
      <c r="H5112" s="5">
        <v>113</v>
      </c>
      <c r="I5112" s="1">
        <v>121</v>
      </c>
      <c r="J5112" s="1">
        <v>264</v>
      </c>
      <c r="K5112" s="1"/>
      <c r="L5112" t="str">
        <f t="shared" si="79"/>
        <v>http://www.badatelna.eu/reprodukce/?fondId=1073&amp;zaznamId=1108959&amp;reproId=3780052</v>
      </c>
      <c r="M5112">
        <f>VLOOKUP(F5112,Sheet2!$B$1:$E$19,2,FALSE)</f>
        <v>1073</v>
      </c>
      <c r="N5112">
        <f>VLOOKUP(F5112,Sheet2!$B$1:$E$19,3,FALSE)</f>
        <v>1108959</v>
      </c>
      <c r="O5112">
        <f>IF(G5112="Not available","",VLOOKUP(F5112,Sheet2!$B$1:$E$19,4,FALSE)+(G5112-1))</f>
        <v>3780052</v>
      </c>
    </row>
    <row r="5113" spans="1:15" s="3" customFormat="1" ht="15" customHeight="1" x14ac:dyDescent="0.25">
      <c r="A5113" s="18" t="s">
        <v>417</v>
      </c>
      <c r="B5113" s="18" t="s">
        <v>12</v>
      </c>
      <c r="C5113" s="5">
        <v>1821</v>
      </c>
      <c r="D5113" s="1" t="s">
        <v>441</v>
      </c>
      <c r="E5113" s="1" t="s">
        <v>2</v>
      </c>
      <c r="F5113" s="18">
        <v>2173</v>
      </c>
      <c r="G5113" s="18">
        <v>72</v>
      </c>
      <c r="H5113" s="5">
        <v>136</v>
      </c>
      <c r="I5113" s="1">
        <v>121</v>
      </c>
      <c r="J5113" s="1">
        <v>264</v>
      </c>
      <c r="K5113" s="1"/>
      <c r="L5113" t="str">
        <f t="shared" si="79"/>
        <v>http://www.badatelna.eu/reprodukce/?fondId=1073&amp;zaznamId=1108959&amp;reproId=3780065</v>
      </c>
      <c r="M5113">
        <f>VLOOKUP(F5113,Sheet2!$B$1:$E$19,2,FALSE)</f>
        <v>1073</v>
      </c>
      <c r="N5113">
        <f>VLOOKUP(F5113,Sheet2!$B$1:$E$19,3,FALSE)</f>
        <v>1108959</v>
      </c>
      <c r="O5113">
        <f>IF(G5113="Not available","",VLOOKUP(F5113,Sheet2!$B$1:$E$19,4,FALSE)+(G5113-1))</f>
        <v>3780065</v>
      </c>
    </row>
    <row r="5114" spans="1:15" s="3" customFormat="1" ht="15" customHeight="1" x14ac:dyDescent="0.25">
      <c r="A5114" s="18" t="s">
        <v>417</v>
      </c>
      <c r="B5114" s="18" t="s">
        <v>40</v>
      </c>
      <c r="C5114" s="5">
        <v>1826</v>
      </c>
      <c r="D5114" s="1" t="s">
        <v>440</v>
      </c>
      <c r="E5114" s="1" t="s">
        <v>2</v>
      </c>
      <c r="F5114" s="18">
        <v>2173</v>
      </c>
      <c r="G5114" s="18">
        <v>78</v>
      </c>
      <c r="H5114" s="5">
        <v>149</v>
      </c>
      <c r="I5114" s="1">
        <v>121</v>
      </c>
      <c r="J5114" s="1">
        <v>264</v>
      </c>
      <c r="K5114" s="4" t="s">
        <v>363</v>
      </c>
      <c r="L5114" t="str">
        <f t="shared" si="79"/>
        <v>http://www.badatelna.eu/reprodukce/?fondId=1073&amp;zaznamId=1108959&amp;reproId=3780071</v>
      </c>
      <c r="M5114">
        <f>VLOOKUP(F5114,Sheet2!$B$1:$E$19,2,FALSE)</f>
        <v>1073</v>
      </c>
      <c r="N5114">
        <f>VLOOKUP(F5114,Sheet2!$B$1:$E$19,3,FALSE)</f>
        <v>1108959</v>
      </c>
      <c r="O5114">
        <f>IF(G5114="Not available","",VLOOKUP(F5114,Sheet2!$B$1:$E$19,4,FALSE)+(G5114-1))</f>
        <v>3780071</v>
      </c>
    </row>
    <row r="5115" spans="1:15" s="3" customFormat="1" ht="15" customHeight="1" x14ac:dyDescent="0.25">
      <c r="A5115" s="18" t="s">
        <v>417</v>
      </c>
      <c r="B5115" s="18" t="s">
        <v>109</v>
      </c>
      <c r="C5115" s="5">
        <v>1826</v>
      </c>
      <c r="D5115" s="1" t="s">
        <v>440</v>
      </c>
      <c r="E5115" s="1" t="s">
        <v>2</v>
      </c>
      <c r="F5115" s="18">
        <v>2173</v>
      </c>
      <c r="G5115" s="18">
        <v>78</v>
      </c>
      <c r="H5115" s="5">
        <v>149</v>
      </c>
      <c r="I5115" s="1">
        <v>121</v>
      </c>
      <c r="J5115" s="1">
        <v>264</v>
      </c>
      <c r="K5115" s="4" t="s">
        <v>363</v>
      </c>
      <c r="L5115" t="str">
        <f t="shared" si="79"/>
        <v>http://www.badatelna.eu/reprodukce/?fondId=1073&amp;zaznamId=1108959&amp;reproId=3780071</v>
      </c>
      <c r="M5115">
        <f>VLOOKUP(F5115,Sheet2!$B$1:$E$19,2,FALSE)</f>
        <v>1073</v>
      </c>
      <c r="N5115">
        <f>VLOOKUP(F5115,Sheet2!$B$1:$E$19,3,FALSE)</f>
        <v>1108959</v>
      </c>
      <c r="O5115">
        <f>IF(G5115="Not available","",VLOOKUP(F5115,Sheet2!$B$1:$E$19,4,FALSE)+(G5115-1))</f>
        <v>3780071</v>
      </c>
    </row>
    <row r="5116" spans="1:15" s="3" customFormat="1" ht="15" customHeight="1" x14ac:dyDescent="0.25">
      <c r="A5116" s="18" t="s">
        <v>417</v>
      </c>
      <c r="B5116" s="18" t="s">
        <v>51</v>
      </c>
      <c r="C5116" s="5">
        <v>1830</v>
      </c>
      <c r="D5116" s="1" t="s">
        <v>441</v>
      </c>
      <c r="E5116" s="1" t="s">
        <v>2</v>
      </c>
      <c r="F5116" s="18">
        <v>2173</v>
      </c>
      <c r="G5116" s="18">
        <v>87</v>
      </c>
      <c r="H5116" s="5">
        <v>161</v>
      </c>
      <c r="I5116" s="1">
        <v>121</v>
      </c>
      <c r="J5116" s="1">
        <v>264</v>
      </c>
      <c r="K5116" s="1"/>
      <c r="L5116" t="str">
        <f t="shared" si="79"/>
        <v>http://www.badatelna.eu/reprodukce/?fondId=1073&amp;zaznamId=1108959&amp;reproId=3780080</v>
      </c>
      <c r="M5116">
        <f>VLOOKUP(F5116,Sheet2!$B$1:$E$19,2,FALSE)</f>
        <v>1073</v>
      </c>
      <c r="N5116">
        <f>VLOOKUP(F5116,Sheet2!$B$1:$E$19,3,FALSE)</f>
        <v>1108959</v>
      </c>
      <c r="O5116">
        <f>IF(G5116="Not available","",VLOOKUP(F5116,Sheet2!$B$1:$E$19,4,FALSE)+(G5116-1))</f>
        <v>3780080</v>
      </c>
    </row>
    <row r="5117" spans="1:15" s="3" customFormat="1" ht="15" customHeight="1" x14ac:dyDescent="0.25">
      <c r="A5117" s="18" t="s">
        <v>417</v>
      </c>
      <c r="B5117" s="18" t="s">
        <v>172</v>
      </c>
      <c r="C5117" s="5">
        <v>1826</v>
      </c>
      <c r="D5117" s="1" t="s">
        <v>441</v>
      </c>
      <c r="E5117" s="1" t="s">
        <v>2</v>
      </c>
      <c r="F5117" s="18">
        <v>2173</v>
      </c>
      <c r="G5117" s="18">
        <v>78</v>
      </c>
      <c r="H5117" s="5">
        <v>148</v>
      </c>
      <c r="I5117" s="1">
        <v>121</v>
      </c>
      <c r="J5117" s="1">
        <v>264</v>
      </c>
      <c r="K5117" s="1"/>
      <c r="L5117" t="str">
        <f t="shared" si="79"/>
        <v>http://www.badatelna.eu/reprodukce/?fondId=1073&amp;zaznamId=1108959&amp;reproId=3780071</v>
      </c>
      <c r="M5117">
        <f>VLOOKUP(F5117,Sheet2!$B$1:$E$19,2,FALSE)</f>
        <v>1073</v>
      </c>
      <c r="N5117">
        <f>VLOOKUP(F5117,Sheet2!$B$1:$E$19,3,FALSE)</f>
        <v>1108959</v>
      </c>
      <c r="O5117">
        <f>IF(G5117="Not available","",VLOOKUP(F5117,Sheet2!$B$1:$E$19,4,FALSE)+(G5117-1))</f>
        <v>3780071</v>
      </c>
    </row>
    <row r="5118" spans="1:15" s="3" customFormat="1" ht="15" customHeight="1" x14ac:dyDescent="0.25">
      <c r="A5118" s="18" t="s">
        <v>417</v>
      </c>
      <c r="B5118" s="18" t="s">
        <v>19</v>
      </c>
      <c r="C5118" s="5">
        <v>1818</v>
      </c>
      <c r="D5118" s="1" t="s">
        <v>166</v>
      </c>
      <c r="E5118" s="1" t="s">
        <v>2</v>
      </c>
      <c r="F5118" s="18">
        <v>2173</v>
      </c>
      <c r="G5118" s="18">
        <v>68</v>
      </c>
      <c r="H5118" s="5">
        <v>128</v>
      </c>
      <c r="I5118" s="1">
        <v>121</v>
      </c>
      <c r="J5118" s="1">
        <v>264</v>
      </c>
      <c r="K5118" s="1"/>
      <c r="L5118" t="str">
        <f t="shared" si="79"/>
        <v>http://www.badatelna.eu/reprodukce/?fondId=1073&amp;zaznamId=1108959&amp;reproId=3780061</v>
      </c>
      <c r="M5118">
        <f>VLOOKUP(F5118,Sheet2!$B$1:$E$19,2,FALSE)</f>
        <v>1073</v>
      </c>
      <c r="N5118">
        <f>VLOOKUP(F5118,Sheet2!$B$1:$E$19,3,FALSE)</f>
        <v>1108959</v>
      </c>
      <c r="O5118">
        <f>IF(G5118="Not available","",VLOOKUP(F5118,Sheet2!$B$1:$E$19,4,FALSE)+(G5118-1))</f>
        <v>3780061</v>
      </c>
    </row>
    <row r="5119" spans="1:15" s="3" customFormat="1" ht="15" customHeight="1" x14ac:dyDescent="0.25">
      <c r="A5119" s="19" t="s">
        <v>417</v>
      </c>
      <c r="B5119" s="18" t="s">
        <v>19</v>
      </c>
      <c r="C5119" s="5">
        <v>1821</v>
      </c>
      <c r="D5119" s="1"/>
      <c r="E5119" s="1" t="s">
        <v>2</v>
      </c>
      <c r="F5119" s="18">
        <v>2173</v>
      </c>
      <c r="G5119" s="18">
        <v>71</v>
      </c>
      <c r="H5119" s="5">
        <v>135</v>
      </c>
      <c r="I5119" s="1">
        <v>121</v>
      </c>
      <c r="J5119" s="1">
        <v>264</v>
      </c>
      <c r="K5119" s="1"/>
      <c r="L5119" t="str">
        <f t="shared" si="79"/>
        <v>http://www.badatelna.eu/reprodukce/?fondId=1073&amp;zaznamId=1108959&amp;reproId=3780064</v>
      </c>
      <c r="M5119">
        <f>VLOOKUP(F5119,Sheet2!$B$1:$E$19,2,FALSE)</f>
        <v>1073</v>
      </c>
      <c r="N5119">
        <f>VLOOKUP(F5119,Sheet2!$B$1:$E$19,3,FALSE)</f>
        <v>1108959</v>
      </c>
      <c r="O5119">
        <f>IF(G5119="Not available","",VLOOKUP(F5119,Sheet2!$B$1:$E$19,4,FALSE)+(G5119-1))</f>
        <v>3780064</v>
      </c>
    </row>
    <row r="5120" spans="1:15" s="3" customFormat="1" ht="15" customHeight="1" x14ac:dyDescent="0.25">
      <c r="A5120" s="18" t="s">
        <v>417</v>
      </c>
      <c r="B5120" s="18" t="s">
        <v>18</v>
      </c>
      <c r="C5120" s="5">
        <v>1817</v>
      </c>
      <c r="D5120" s="1" t="s">
        <v>443</v>
      </c>
      <c r="E5120" s="1" t="s">
        <v>2</v>
      </c>
      <c r="F5120" s="18">
        <v>2173</v>
      </c>
      <c r="G5120" s="18">
        <v>67</v>
      </c>
      <c r="H5120" s="5" t="s">
        <v>338</v>
      </c>
      <c r="I5120" s="1">
        <v>121</v>
      </c>
      <c r="J5120" s="1">
        <v>264</v>
      </c>
      <c r="K5120" s="1"/>
      <c r="L5120" t="str">
        <f t="shared" si="79"/>
        <v>http://www.badatelna.eu/reprodukce/?fondId=1073&amp;zaznamId=1108959&amp;reproId=3780060</v>
      </c>
      <c r="M5120">
        <f>VLOOKUP(F5120,Sheet2!$B$1:$E$19,2,FALSE)</f>
        <v>1073</v>
      </c>
      <c r="N5120">
        <f>VLOOKUP(F5120,Sheet2!$B$1:$E$19,3,FALSE)</f>
        <v>1108959</v>
      </c>
      <c r="O5120">
        <f>IF(G5120="Not available","",VLOOKUP(F5120,Sheet2!$B$1:$E$19,4,FALSE)+(G5120-1))</f>
        <v>3780060</v>
      </c>
    </row>
    <row r="5121" spans="1:15" s="3" customFormat="1" ht="15" customHeight="1" x14ac:dyDescent="0.25">
      <c r="A5121" s="18" t="s">
        <v>417</v>
      </c>
      <c r="B5121" s="18" t="s">
        <v>11</v>
      </c>
      <c r="C5121" s="5">
        <v>1800</v>
      </c>
      <c r="D5121" s="1" t="s">
        <v>444</v>
      </c>
      <c r="E5121" s="1" t="s">
        <v>2</v>
      </c>
      <c r="F5121" s="18">
        <v>2173</v>
      </c>
      <c r="G5121" s="18">
        <v>41</v>
      </c>
      <c r="H5121" s="5">
        <v>78</v>
      </c>
      <c r="I5121" s="1">
        <v>120</v>
      </c>
      <c r="J5121" s="1">
        <v>263</v>
      </c>
      <c r="K5121" s="1"/>
      <c r="L5121" t="str">
        <f t="shared" si="79"/>
        <v>http://www.badatelna.eu/reprodukce/?fondId=1073&amp;zaznamId=1108959&amp;reproId=3780034</v>
      </c>
      <c r="M5121">
        <f>VLOOKUP(F5121,Sheet2!$B$1:$E$19,2,FALSE)</f>
        <v>1073</v>
      </c>
      <c r="N5121">
        <f>VLOOKUP(F5121,Sheet2!$B$1:$E$19,3,FALSE)</f>
        <v>1108959</v>
      </c>
      <c r="O5121">
        <f>IF(G5121="Not available","",VLOOKUP(F5121,Sheet2!$B$1:$E$19,4,FALSE)+(G5121-1))</f>
        <v>3780034</v>
      </c>
    </row>
    <row r="5122" spans="1:15" s="3" customFormat="1" ht="15" customHeight="1" x14ac:dyDescent="0.25">
      <c r="A5122" s="18" t="s">
        <v>417</v>
      </c>
      <c r="B5122" s="18" t="s">
        <v>17</v>
      </c>
      <c r="C5122" s="5">
        <v>1814</v>
      </c>
      <c r="D5122" s="1" t="s">
        <v>443</v>
      </c>
      <c r="E5122" s="1" t="s">
        <v>2</v>
      </c>
      <c r="F5122" s="18">
        <v>2173</v>
      </c>
      <c r="G5122" s="18">
        <v>63</v>
      </c>
      <c r="H5122" s="5">
        <v>120</v>
      </c>
      <c r="I5122" s="1">
        <v>121</v>
      </c>
      <c r="J5122" s="1">
        <v>264</v>
      </c>
      <c r="K5122" s="1"/>
      <c r="L5122" t="str">
        <f t="shared" si="79"/>
        <v>http://www.badatelna.eu/reprodukce/?fondId=1073&amp;zaznamId=1108959&amp;reproId=3780056</v>
      </c>
      <c r="M5122">
        <f>VLOOKUP(F5122,Sheet2!$B$1:$E$19,2,FALSE)</f>
        <v>1073</v>
      </c>
      <c r="N5122">
        <f>VLOOKUP(F5122,Sheet2!$B$1:$E$19,3,FALSE)</f>
        <v>1108959</v>
      </c>
      <c r="O5122">
        <f>IF(G5122="Not available","",VLOOKUP(F5122,Sheet2!$B$1:$E$19,4,FALSE)+(G5122-1))</f>
        <v>3780056</v>
      </c>
    </row>
    <row r="5123" spans="1:15" s="3" customFormat="1" ht="15" customHeight="1" x14ac:dyDescent="0.25">
      <c r="A5123" s="18" t="s">
        <v>417</v>
      </c>
      <c r="B5123" s="18" t="s">
        <v>71</v>
      </c>
      <c r="C5123" s="5">
        <v>1819</v>
      </c>
      <c r="D5123" s="1" t="s">
        <v>442</v>
      </c>
      <c r="E5123" s="1" t="s">
        <v>2</v>
      </c>
      <c r="F5123" s="18">
        <v>2173</v>
      </c>
      <c r="G5123" s="18">
        <v>69</v>
      </c>
      <c r="H5123" s="5">
        <v>130</v>
      </c>
      <c r="I5123" s="1">
        <v>121</v>
      </c>
      <c r="J5123" s="1">
        <v>264</v>
      </c>
      <c r="K5123" s="1"/>
      <c r="L5123" t="str">
        <f t="shared" ref="L5123:L5186" si="80">IF(G5123="Not available","","http://www.badatelna.eu/reprodukce/?fondId="&amp;M5123&amp;"&amp;zaznamId="&amp;N5123&amp;"&amp;reproId="&amp;O5123)</f>
        <v>http://www.badatelna.eu/reprodukce/?fondId=1073&amp;zaznamId=1108959&amp;reproId=3780062</v>
      </c>
      <c r="M5123">
        <f>VLOOKUP(F5123,Sheet2!$B$1:$E$19,2,FALSE)</f>
        <v>1073</v>
      </c>
      <c r="N5123">
        <f>VLOOKUP(F5123,Sheet2!$B$1:$E$19,3,FALSE)</f>
        <v>1108959</v>
      </c>
      <c r="O5123">
        <f>IF(G5123="Not available","",VLOOKUP(F5123,Sheet2!$B$1:$E$19,4,FALSE)+(G5123-1))</f>
        <v>3780062</v>
      </c>
    </row>
    <row r="5124" spans="1:15" s="3" customFormat="1" ht="15" customHeight="1" x14ac:dyDescent="0.25">
      <c r="A5124" s="18" t="s">
        <v>416</v>
      </c>
      <c r="B5124" s="18" t="s">
        <v>92</v>
      </c>
      <c r="C5124" s="5">
        <v>1795</v>
      </c>
      <c r="D5124" s="1" t="s">
        <v>444</v>
      </c>
      <c r="E5124" s="1" t="s">
        <v>2</v>
      </c>
      <c r="F5124" s="18">
        <v>2173</v>
      </c>
      <c r="G5124" s="18">
        <v>33</v>
      </c>
      <c r="H5124" s="5">
        <v>60</v>
      </c>
      <c r="I5124" s="1">
        <v>120</v>
      </c>
      <c r="J5124" s="1">
        <v>263</v>
      </c>
      <c r="K5124" s="1"/>
      <c r="L5124" t="str">
        <f t="shared" si="80"/>
        <v>http://www.badatelna.eu/reprodukce/?fondId=1073&amp;zaznamId=1108959&amp;reproId=3780026</v>
      </c>
      <c r="M5124">
        <f>VLOOKUP(F5124,Sheet2!$B$1:$E$19,2,FALSE)</f>
        <v>1073</v>
      </c>
      <c r="N5124">
        <f>VLOOKUP(F5124,Sheet2!$B$1:$E$19,3,FALSE)</f>
        <v>1108959</v>
      </c>
      <c r="O5124">
        <f>IF(G5124="Not available","",VLOOKUP(F5124,Sheet2!$B$1:$E$19,4,FALSE)+(G5124-1))</f>
        <v>3780026</v>
      </c>
    </row>
    <row r="5125" spans="1:15" s="3" customFormat="1" ht="15" customHeight="1" x14ac:dyDescent="0.25">
      <c r="A5125" s="18" t="s">
        <v>416</v>
      </c>
      <c r="B5125" s="18" t="s">
        <v>105</v>
      </c>
      <c r="C5125" s="5">
        <v>1810</v>
      </c>
      <c r="D5125" s="1" t="s">
        <v>443</v>
      </c>
      <c r="E5125" s="1" t="s">
        <v>2</v>
      </c>
      <c r="F5125" s="18">
        <v>2173</v>
      </c>
      <c r="G5125" s="18">
        <v>56</v>
      </c>
      <c r="H5125" s="5">
        <v>107</v>
      </c>
      <c r="I5125" s="1">
        <v>120</v>
      </c>
      <c r="J5125" s="1">
        <v>263</v>
      </c>
      <c r="K5125" s="1"/>
      <c r="L5125" t="str">
        <f t="shared" si="80"/>
        <v>http://www.badatelna.eu/reprodukce/?fondId=1073&amp;zaznamId=1108959&amp;reproId=3780049</v>
      </c>
      <c r="M5125">
        <f>VLOOKUP(F5125,Sheet2!$B$1:$E$19,2,FALSE)</f>
        <v>1073</v>
      </c>
      <c r="N5125">
        <f>VLOOKUP(F5125,Sheet2!$B$1:$E$19,3,FALSE)</f>
        <v>1108959</v>
      </c>
      <c r="O5125">
        <f>IF(G5125="Not available","",VLOOKUP(F5125,Sheet2!$B$1:$E$19,4,FALSE)+(G5125-1))</f>
        <v>3780049</v>
      </c>
    </row>
    <row r="5126" spans="1:15" s="3" customFormat="1" ht="15" customHeight="1" x14ac:dyDescent="0.25">
      <c r="A5126" s="18" t="s">
        <v>416</v>
      </c>
      <c r="B5126" s="18" t="s">
        <v>310</v>
      </c>
      <c r="C5126" s="5">
        <v>1821</v>
      </c>
      <c r="D5126" s="1" t="s">
        <v>166</v>
      </c>
      <c r="E5126" s="1" t="s">
        <v>2</v>
      </c>
      <c r="F5126" s="18">
        <v>2173</v>
      </c>
      <c r="G5126" s="18">
        <v>71</v>
      </c>
      <c r="H5126" s="5">
        <v>135</v>
      </c>
      <c r="I5126" s="1">
        <v>121</v>
      </c>
      <c r="J5126" s="1">
        <v>264</v>
      </c>
      <c r="K5126" s="1"/>
      <c r="L5126" t="str">
        <f t="shared" si="80"/>
        <v>http://www.badatelna.eu/reprodukce/?fondId=1073&amp;zaznamId=1108959&amp;reproId=3780064</v>
      </c>
      <c r="M5126">
        <f>VLOOKUP(F5126,Sheet2!$B$1:$E$19,2,FALSE)</f>
        <v>1073</v>
      </c>
      <c r="N5126">
        <f>VLOOKUP(F5126,Sheet2!$B$1:$E$19,3,FALSE)</f>
        <v>1108959</v>
      </c>
      <c r="O5126">
        <f>IF(G5126="Not available","",VLOOKUP(F5126,Sheet2!$B$1:$E$19,4,FALSE)+(G5126-1))</f>
        <v>3780064</v>
      </c>
    </row>
    <row r="5127" spans="1:15" s="3" customFormat="1" ht="15" customHeight="1" x14ac:dyDescent="0.25">
      <c r="A5127" s="18" t="s">
        <v>416</v>
      </c>
      <c r="B5127" s="18" t="s">
        <v>19</v>
      </c>
      <c r="C5127" s="5">
        <v>1805</v>
      </c>
      <c r="D5127" s="1" t="s">
        <v>444</v>
      </c>
      <c r="E5127" s="1" t="s">
        <v>2</v>
      </c>
      <c r="F5127" s="18">
        <v>2173</v>
      </c>
      <c r="G5127" s="18">
        <v>49</v>
      </c>
      <c r="H5127" s="5">
        <v>92</v>
      </c>
      <c r="I5127" s="1">
        <v>120</v>
      </c>
      <c r="J5127" s="1">
        <v>263</v>
      </c>
      <c r="K5127" s="1"/>
      <c r="L5127" t="str">
        <f t="shared" si="80"/>
        <v>http://www.badatelna.eu/reprodukce/?fondId=1073&amp;zaznamId=1108959&amp;reproId=3780042</v>
      </c>
      <c r="M5127">
        <f>VLOOKUP(F5127,Sheet2!$B$1:$E$19,2,FALSE)</f>
        <v>1073</v>
      </c>
      <c r="N5127">
        <f>VLOOKUP(F5127,Sheet2!$B$1:$E$19,3,FALSE)</f>
        <v>1108959</v>
      </c>
      <c r="O5127">
        <f>IF(G5127="Not available","",VLOOKUP(F5127,Sheet2!$B$1:$E$19,4,FALSE)+(G5127-1))</f>
        <v>3780042</v>
      </c>
    </row>
    <row r="5128" spans="1:15" s="3" customFormat="1" ht="15" customHeight="1" x14ac:dyDescent="0.25">
      <c r="A5128" s="18" t="s">
        <v>416</v>
      </c>
      <c r="B5128" s="18" t="s">
        <v>21</v>
      </c>
      <c r="C5128" s="5">
        <v>1789</v>
      </c>
      <c r="D5128" s="1" t="s">
        <v>444</v>
      </c>
      <c r="E5128" s="1" t="s">
        <v>2</v>
      </c>
      <c r="F5128" s="18">
        <v>2173</v>
      </c>
      <c r="G5128" s="18">
        <v>41</v>
      </c>
      <c r="H5128" s="5">
        <v>37</v>
      </c>
      <c r="I5128" s="1">
        <v>120</v>
      </c>
      <c r="J5128" s="1">
        <v>263</v>
      </c>
      <c r="K5128" s="1"/>
      <c r="L5128" t="str">
        <f t="shared" si="80"/>
        <v>http://www.badatelna.eu/reprodukce/?fondId=1073&amp;zaznamId=1108959&amp;reproId=3780034</v>
      </c>
      <c r="M5128">
        <f>VLOOKUP(F5128,Sheet2!$B$1:$E$19,2,FALSE)</f>
        <v>1073</v>
      </c>
      <c r="N5128">
        <f>VLOOKUP(F5128,Sheet2!$B$1:$E$19,3,FALSE)</f>
        <v>1108959</v>
      </c>
      <c r="O5128">
        <f>IF(G5128="Not available","",VLOOKUP(F5128,Sheet2!$B$1:$E$19,4,FALSE)+(G5128-1))</f>
        <v>3780034</v>
      </c>
    </row>
    <row r="5129" spans="1:15" s="3" customFormat="1" ht="15" customHeight="1" x14ac:dyDescent="0.25">
      <c r="A5129" s="18" t="s">
        <v>416</v>
      </c>
      <c r="B5129" s="18" t="s">
        <v>13</v>
      </c>
      <c r="C5129" s="5">
        <v>1792</v>
      </c>
      <c r="D5129" s="1" t="s">
        <v>444</v>
      </c>
      <c r="E5129" s="1" t="s">
        <v>2</v>
      </c>
      <c r="F5129" s="18">
        <v>2173</v>
      </c>
      <c r="G5129" s="18">
        <v>26</v>
      </c>
      <c r="H5129" s="5">
        <v>47</v>
      </c>
      <c r="I5129" s="1">
        <v>120</v>
      </c>
      <c r="J5129" s="1">
        <v>263</v>
      </c>
      <c r="K5129" s="1"/>
      <c r="L5129" t="str">
        <f t="shared" si="80"/>
        <v>http://www.badatelna.eu/reprodukce/?fondId=1073&amp;zaznamId=1108959&amp;reproId=3780019</v>
      </c>
      <c r="M5129">
        <f>VLOOKUP(F5129,Sheet2!$B$1:$E$19,2,FALSE)</f>
        <v>1073</v>
      </c>
      <c r="N5129">
        <f>VLOOKUP(F5129,Sheet2!$B$1:$E$19,3,FALSE)</f>
        <v>1108959</v>
      </c>
      <c r="O5129">
        <f>IF(G5129="Not available","",VLOOKUP(F5129,Sheet2!$B$1:$E$19,4,FALSE)+(G5129-1))</f>
        <v>3780019</v>
      </c>
    </row>
    <row r="5130" spans="1:15" s="3" customFormat="1" ht="15" customHeight="1" x14ac:dyDescent="0.25">
      <c r="A5130" s="18" t="s">
        <v>416</v>
      </c>
      <c r="B5130" s="18" t="s">
        <v>18</v>
      </c>
      <c r="C5130" s="5">
        <v>1797</v>
      </c>
      <c r="D5130" s="1" t="s">
        <v>444</v>
      </c>
      <c r="E5130" s="1" t="s">
        <v>2</v>
      </c>
      <c r="F5130" s="18">
        <v>2173</v>
      </c>
      <c r="G5130" s="18">
        <v>36</v>
      </c>
      <c r="H5130" s="5">
        <v>67</v>
      </c>
      <c r="I5130" s="1">
        <v>120</v>
      </c>
      <c r="J5130" s="1">
        <v>263</v>
      </c>
      <c r="K5130" s="1"/>
      <c r="L5130" t="str">
        <f t="shared" si="80"/>
        <v>http://www.badatelna.eu/reprodukce/?fondId=1073&amp;zaznamId=1108959&amp;reproId=3780029</v>
      </c>
      <c r="M5130">
        <f>VLOOKUP(F5130,Sheet2!$B$1:$E$19,2,FALSE)</f>
        <v>1073</v>
      </c>
      <c r="N5130">
        <f>VLOOKUP(F5130,Sheet2!$B$1:$E$19,3,FALSE)</f>
        <v>1108959</v>
      </c>
      <c r="O5130">
        <f>IF(G5130="Not available","",VLOOKUP(F5130,Sheet2!$B$1:$E$19,4,FALSE)+(G5130-1))</f>
        <v>3780029</v>
      </c>
    </row>
    <row r="5131" spans="1:15" s="3" customFormat="1" ht="15" customHeight="1" x14ac:dyDescent="0.25">
      <c r="A5131" s="18" t="s">
        <v>416</v>
      </c>
      <c r="B5131" s="18" t="s">
        <v>18</v>
      </c>
      <c r="C5131" s="5">
        <v>1816</v>
      </c>
      <c r="D5131" s="1" t="s">
        <v>443</v>
      </c>
      <c r="E5131" s="1" t="s">
        <v>2</v>
      </c>
      <c r="F5131" s="18">
        <v>2173</v>
      </c>
      <c r="G5131" s="18">
        <v>65</v>
      </c>
      <c r="H5131" s="5">
        <v>125</v>
      </c>
      <c r="I5131" s="1">
        <v>121</v>
      </c>
      <c r="J5131" s="1">
        <v>264</v>
      </c>
      <c r="K5131" s="1"/>
      <c r="L5131" t="str">
        <f t="shared" si="80"/>
        <v>http://www.badatelna.eu/reprodukce/?fondId=1073&amp;zaznamId=1108959&amp;reproId=3780058</v>
      </c>
      <c r="M5131">
        <f>VLOOKUP(F5131,Sheet2!$B$1:$E$19,2,FALSE)</f>
        <v>1073</v>
      </c>
      <c r="N5131">
        <f>VLOOKUP(F5131,Sheet2!$B$1:$E$19,3,FALSE)</f>
        <v>1108959</v>
      </c>
      <c r="O5131">
        <f>IF(G5131="Not available","",VLOOKUP(F5131,Sheet2!$B$1:$E$19,4,FALSE)+(G5131-1))</f>
        <v>3780058</v>
      </c>
    </row>
    <row r="5132" spans="1:15" s="3" customFormat="1" ht="15" customHeight="1" x14ac:dyDescent="0.25">
      <c r="A5132" s="18" t="s">
        <v>421</v>
      </c>
      <c r="B5132" s="18" t="s">
        <v>50</v>
      </c>
      <c r="C5132" s="5">
        <v>1817</v>
      </c>
      <c r="D5132" s="1" t="s">
        <v>211</v>
      </c>
      <c r="E5132" s="1" t="s">
        <v>2</v>
      </c>
      <c r="F5132" s="18">
        <v>2173</v>
      </c>
      <c r="G5132" s="18">
        <v>66</v>
      </c>
      <c r="H5132" s="5">
        <v>127</v>
      </c>
      <c r="I5132" s="1">
        <v>121</v>
      </c>
      <c r="J5132" s="1">
        <v>264</v>
      </c>
      <c r="K5132" s="1"/>
      <c r="L5132" t="str">
        <f t="shared" si="80"/>
        <v>http://www.badatelna.eu/reprodukce/?fondId=1073&amp;zaznamId=1108959&amp;reproId=3780059</v>
      </c>
      <c r="M5132">
        <f>VLOOKUP(F5132,Sheet2!$B$1:$E$19,2,FALSE)</f>
        <v>1073</v>
      </c>
      <c r="N5132">
        <f>VLOOKUP(F5132,Sheet2!$B$1:$E$19,3,FALSE)</f>
        <v>1108959</v>
      </c>
      <c r="O5132">
        <f>IF(G5132="Not available","",VLOOKUP(F5132,Sheet2!$B$1:$E$19,4,FALSE)+(G5132-1))</f>
        <v>3780059</v>
      </c>
    </row>
    <row r="5133" spans="1:15" s="3" customFormat="1" ht="15" customHeight="1" x14ac:dyDescent="0.25">
      <c r="A5133" s="18" t="s">
        <v>982</v>
      </c>
      <c r="B5133" s="18" t="s">
        <v>92</v>
      </c>
      <c r="C5133" s="5">
        <v>1866</v>
      </c>
      <c r="D5133" s="1"/>
      <c r="E5133" s="1" t="s">
        <v>939</v>
      </c>
      <c r="F5133" s="18">
        <v>999</v>
      </c>
      <c r="G5133" s="18">
        <v>58</v>
      </c>
      <c r="H5133" s="5">
        <v>56</v>
      </c>
      <c r="I5133" s="1">
        <v>79</v>
      </c>
      <c r="J5133" s="1">
        <v>112</v>
      </c>
      <c r="K5133" s="1"/>
      <c r="L5133" t="str">
        <f t="shared" si="80"/>
        <v>http://www.badatelna.eu/reprodukce/?fondId=241&amp;zaznamId=1133739&amp;reproId=3885787</v>
      </c>
      <c r="M5133">
        <f>VLOOKUP(F5133,Sheet2!$B$1:$E$19,2,FALSE)</f>
        <v>241</v>
      </c>
      <c r="N5133">
        <f>VLOOKUP(F5133,Sheet2!$B$1:$E$19,3,FALSE)</f>
        <v>1133739</v>
      </c>
      <c r="O5133">
        <f>IF(G5133="Not available","",VLOOKUP(F5133,Sheet2!$B$1:$E$19,4,FALSE)+(G5133-1))</f>
        <v>3885787</v>
      </c>
    </row>
    <row r="5134" spans="1:15" s="3" customFormat="1" ht="15" customHeight="1" x14ac:dyDescent="0.25">
      <c r="A5134" s="18" t="s">
        <v>982</v>
      </c>
      <c r="B5134" s="19" t="s">
        <v>138</v>
      </c>
      <c r="C5134" s="5">
        <v>1865</v>
      </c>
      <c r="D5134" s="4" t="s">
        <v>233</v>
      </c>
      <c r="E5134" s="1" t="s">
        <v>939</v>
      </c>
      <c r="F5134" s="18">
        <v>999</v>
      </c>
      <c r="G5134" s="18">
        <v>53</v>
      </c>
      <c r="H5134" s="5">
        <v>51</v>
      </c>
      <c r="I5134" s="1">
        <v>79</v>
      </c>
      <c r="J5134" s="1">
        <v>112</v>
      </c>
      <c r="K5134" s="1"/>
      <c r="L5134" t="str">
        <f t="shared" si="80"/>
        <v>http://www.badatelna.eu/reprodukce/?fondId=241&amp;zaznamId=1133739&amp;reproId=3885782</v>
      </c>
      <c r="M5134">
        <f>VLOOKUP(F5134,Sheet2!$B$1:$E$19,2,FALSE)</f>
        <v>241</v>
      </c>
      <c r="N5134">
        <f>VLOOKUP(F5134,Sheet2!$B$1:$E$19,3,FALSE)</f>
        <v>1133739</v>
      </c>
      <c r="O5134">
        <f>IF(G5134="Not available","",VLOOKUP(F5134,Sheet2!$B$1:$E$19,4,FALSE)+(G5134-1))</f>
        <v>3885782</v>
      </c>
    </row>
    <row r="5135" spans="1:15" s="3" customFormat="1" ht="15" customHeight="1" x14ac:dyDescent="0.25">
      <c r="A5135" s="19" t="s">
        <v>3048</v>
      </c>
      <c r="B5135" s="18" t="s">
        <v>11</v>
      </c>
      <c r="C5135" s="5">
        <v>1799</v>
      </c>
      <c r="D5135" s="4" t="s">
        <v>3047</v>
      </c>
      <c r="E5135" s="1" t="s">
        <v>2</v>
      </c>
      <c r="F5135" s="18">
        <v>2173</v>
      </c>
      <c r="G5135" s="18">
        <v>41</v>
      </c>
      <c r="H5135" s="5">
        <v>76</v>
      </c>
      <c r="I5135" s="1">
        <v>120</v>
      </c>
      <c r="J5135" s="1">
        <v>263</v>
      </c>
      <c r="K5135" s="1"/>
      <c r="L5135" t="str">
        <f t="shared" si="80"/>
        <v>http://www.badatelna.eu/reprodukce/?fondId=1073&amp;zaznamId=1108959&amp;reproId=3780034</v>
      </c>
      <c r="M5135">
        <f>VLOOKUP(F5135,Sheet2!$B$1:$E$19,2,FALSE)</f>
        <v>1073</v>
      </c>
      <c r="N5135">
        <f>VLOOKUP(F5135,Sheet2!$B$1:$E$19,3,FALSE)</f>
        <v>1108959</v>
      </c>
      <c r="O5135">
        <f>IF(G5135="Not available","",VLOOKUP(F5135,Sheet2!$B$1:$E$19,4,FALSE)+(G5135-1))</f>
        <v>3780034</v>
      </c>
    </row>
    <row r="5136" spans="1:15" s="3" customFormat="1" ht="15" customHeight="1" x14ac:dyDescent="0.25">
      <c r="A5136" s="18" t="s">
        <v>471</v>
      </c>
      <c r="B5136" s="18" t="s">
        <v>22</v>
      </c>
      <c r="C5136" s="5">
        <v>1835</v>
      </c>
      <c r="D5136" s="1" t="s">
        <v>16</v>
      </c>
      <c r="E5136" s="1" t="s">
        <v>2</v>
      </c>
      <c r="F5136" s="18">
        <v>2174</v>
      </c>
      <c r="G5136" s="18">
        <v>88</v>
      </c>
      <c r="H5136" s="6" t="s">
        <v>3155</v>
      </c>
      <c r="I5136" s="1">
        <v>208</v>
      </c>
      <c r="J5136" s="1">
        <v>245</v>
      </c>
      <c r="K5136" s="1"/>
      <c r="L5136" t="str">
        <f t="shared" si="80"/>
        <v>http://www.badatelna.eu/reprodukce/?fondId=1073&amp;zaznamId=1108960&amp;reproId=3780312</v>
      </c>
      <c r="M5136">
        <f>VLOOKUP(F5136,Sheet2!$B$1:$E$19,2,FALSE)</f>
        <v>1073</v>
      </c>
      <c r="N5136">
        <f>VLOOKUP(F5136,Sheet2!$B$1:$E$19,3,FALSE)</f>
        <v>1108960</v>
      </c>
      <c r="O5136">
        <f>IF(G5136="Not available","",VLOOKUP(F5136,Sheet2!$B$1:$E$19,4,FALSE)+(G5136-1))</f>
        <v>3780312</v>
      </c>
    </row>
    <row r="5137" spans="1:15" s="3" customFormat="1" ht="15" customHeight="1" x14ac:dyDescent="0.25">
      <c r="A5137" s="18" t="s">
        <v>471</v>
      </c>
      <c r="B5137" s="18" t="s">
        <v>508</v>
      </c>
      <c r="C5137" s="5">
        <v>1857</v>
      </c>
      <c r="D5137" s="1" t="s">
        <v>44</v>
      </c>
      <c r="E5137" s="1" t="s">
        <v>2</v>
      </c>
      <c r="F5137" s="18">
        <v>2164</v>
      </c>
      <c r="G5137" s="18">
        <v>122</v>
      </c>
      <c r="H5137" s="14" t="s">
        <v>3324</v>
      </c>
      <c r="I5137" s="1">
        <v>143</v>
      </c>
      <c r="J5137" s="1">
        <v>246</v>
      </c>
      <c r="K5137" s="1"/>
      <c r="L5137" t="str">
        <f t="shared" si="80"/>
        <v>http://www.badatelna.eu/reprodukce/?fondId=1073&amp;zaznamId=1108951&amp;reproId=3778836</v>
      </c>
      <c r="M5137">
        <f>VLOOKUP(F5137,Sheet2!$B$1:$E$19,2,FALSE)</f>
        <v>1073</v>
      </c>
      <c r="N5137">
        <f>VLOOKUP(F5137,Sheet2!$B$1:$E$19,3,FALSE)</f>
        <v>1108951</v>
      </c>
      <c r="O5137">
        <f>IF(G5137="Not available","",VLOOKUP(F5137,Sheet2!$B$1:$E$19,4,FALSE)+(G5137-1))</f>
        <v>3778836</v>
      </c>
    </row>
    <row r="5138" spans="1:15" s="3" customFormat="1" ht="15" customHeight="1" x14ac:dyDescent="0.25">
      <c r="A5138" s="19" t="s">
        <v>457</v>
      </c>
      <c r="B5138" s="18" t="s">
        <v>50</v>
      </c>
      <c r="C5138" s="5">
        <v>1791</v>
      </c>
      <c r="D5138" s="1" t="s">
        <v>15</v>
      </c>
      <c r="E5138" s="1" t="s">
        <v>2</v>
      </c>
      <c r="F5138" s="18">
        <v>2173</v>
      </c>
      <c r="G5138" s="18">
        <v>25</v>
      </c>
      <c r="H5138" s="5">
        <v>45</v>
      </c>
      <c r="I5138" s="1">
        <v>120</v>
      </c>
      <c r="J5138" s="1">
        <v>263</v>
      </c>
      <c r="K5138" s="1"/>
      <c r="L5138" t="str">
        <f t="shared" si="80"/>
        <v>http://www.badatelna.eu/reprodukce/?fondId=1073&amp;zaznamId=1108959&amp;reproId=3780018</v>
      </c>
      <c r="M5138">
        <f>VLOOKUP(F5138,Sheet2!$B$1:$E$19,2,FALSE)</f>
        <v>1073</v>
      </c>
      <c r="N5138">
        <f>VLOOKUP(F5138,Sheet2!$B$1:$E$19,3,FALSE)</f>
        <v>1108959</v>
      </c>
      <c r="O5138">
        <f>IF(G5138="Not available","",VLOOKUP(F5138,Sheet2!$B$1:$E$19,4,FALSE)+(G5138-1))</f>
        <v>3780018</v>
      </c>
    </row>
    <row r="5139" spans="1:15" s="3" customFormat="1" ht="15" customHeight="1" x14ac:dyDescent="0.25">
      <c r="A5139" s="18" t="s">
        <v>457</v>
      </c>
      <c r="B5139" s="18" t="s">
        <v>50</v>
      </c>
      <c r="C5139" s="5">
        <v>1806</v>
      </c>
      <c r="D5139" s="1"/>
      <c r="E5139" s="1" t="s">
        <v>2</v>
      </c>
      <c r="F5139" s="18">
        <v>2173</v>
      </c>
      <c r="G5139" s="18">
        <v>51</v>
      </c>
      <c r="H5139" s="5">
        <v>96</v>
      </c>
      <c r="I5139" s="1">
        <v>120</v>
      </c>
      <c r="J5139" s="1">
        <v>263</v>
      </c>
      <c r="K5139" s="1"/>
      <c r="L5139" t="str">
        <f t="shared" si="80"/>
        <v>http://www.badatelna.eu/reprodukce/?fondId=1073&amp;zaznamId=1108959&amp;reproId=3780044</v>
      </c>
      <c r="M5139">
        <f>VLOOKUP(F5139,Sheet2!$B$1:$E$19,2,FALSE)</f>
        <v>1073</v>
      </c>
      <c r="N5139">
        <f>VLOOKUP(F5139,Sheet2!$B$1:$E$19,3,FALSE)</f>
        <v>1108959</v>
      </c>
      <c r="O5139">
        <f>IF(G5139="Not available","",VLOOKUP(F5139,Sheet2!$B$1:$E$19,4,FALSE)+(G5139-1))</f>
        <v>3780044</v>
      </c>
    </row>
    <row r="5140" spans="1:15" s="3" customFormat="1" ht="15" customHeight="1" x14ac:dyDescent="0.25">
      <c r="A5140" s="19" t="s">
        <v>457</v>
      </c>
      <c r="B5140" s="19" t="s">
        <v>196</v>
      </c>
      <c r="C5140" s="14" t="s">
        <v>3113</v>
      </c>
      <c r="D5140" s="12" t="s">
        <v>50</v>
      </c>
      <c r="E5140" s="12" t="s">
        <v>2</v>
      </c>
      <c r="F5140" s="19">
        <v>2174</v>
      </c>
      <c r="G5140" s="19">
        <v>153</v>
      </c>
      <c r="H5140" s="14" t="s">
        <v>3117</v>
      </c>
      <c r="I5140" s="12">
        <v>209</v>
      </c>
      <c r="J5140" s="12">
        <v>246</v>
      </c>
      <c r="K5140" s="12"/>
      <c r="L5140" t="str">
        <f t="shared" si="80"/>
        <v>http://www.badatelna.eu/reprodukce/?fondId=1073&amp;zaznamId=1108960&amp;reproId=3780377</v>
      </c>
      <c r="M5140">
        <f>VLOOKUP(F5140,Sheet2!$B$1:$E$19,2,FALSE)</f>
        <v>1073</v>
      </c>
      <c r="N5140">
        <f>VLOOKUP(F5140,Sheet2!$B$1:$E$19,3,FALSE)</f>
        <v>1108960</v>
      </c>
      <c r="O5140">
        <f>IF(G5140="Not available","",VLOOKUP(F5140,Sheet2!$B$1:$E$19,4,FALSE)+(G5140-1))</f>
        <v>3780377</v>
      </c>
    </row>
    <row r="5141" spans="1:15" s="3" customFormat="1" ht="15" customHeight="1" x14ac:dyDescent="0.25">
      <c r="A5141" s="18" t="s">
        <v>457</v>
      </c>
      <c r="B5141" s="18" t="s">
        <v>654</v>
      </c>
      <c r="C5141" s="5" t="s">
        <v>1691</v>
      </c>
      <c r="D5141" s="1" t="s">
        <v>1108</v>
      </c>
      <c r="E5141" s="1" t="s">
        <v>2</v>
      </c>
      <c r="F5141" s="18">
        <v>2165</v>
      </c>
      <c r="G5141" s="18">
        <v>32</v>
      </c>
      <c r="H5141" s="5">
        <v>29</v>
      </c>
      <c r="I5141" s="1">
        <v>97</v>
      </c>
      <c r="J5141" s="4" t="s">
        <v>3271</v>
      </c>
      <c r="K5141" s="1"/>
      <c r="L5141" t="str">
        <f t="shared" si="80"/>
        <v>http://www.badatelna.eu/reprodukce/?fondId=1073&amp;zaznamId=1108952&amp;reproId=3778893</v>
      </c>
      <c r="M5141">
        <f>VLOOKUP(F5141,Sheet2!$B$1:$E$19,2,FALSE)</f>
        <v>1073</v>
      </c>
      <c r="N5141">
        <f>VLOOKUP(F5141,Sheet2!$B$1:$E$19,3,FALSE)</f>
        <v>1108952</v>
      </c>
      <c r="O5141">
        <f>IF(G5141="Not available","",VLOOKUP(F5141,Sheet2!$B$1:$E$19,4,FALSE)+(G5141-1))</f>
        <v>3778893</v>
      </c>
    </row>
    <row r="5142" spans="1:15" s="3" customFormat="1" ht="15" customHeight="1" x14ac:dyDescent="0.25">
      <c r="A5142" s="18" t="s">
        <v>457</v>
      </c>
      <c r="B5142" s="18" t="s">
        <v>92</v>
      </c>
      <c r="C5142" s="5" t="s">
        <v>1680</v>
      </c>
      <c r="D5142" s="1" t="s">
        <v>484</v>
      </c>
      <c r="E5142" s="1" t="s">
        <v>2</v>
      </c>
      <c r="F5142" s="18">
        <v>2165</v>
      </c>
      <c r="G5142" s="18">
        <v>13</v>
      </c>
      <c r="H5142" s="5">
        <v>10</v>
      </c>
      <c r="I5142" s="1">
        <v>97</v>
      </c>
      <c r="J5142" s="4" t="s">
        <v>3271</v>
      </c>
      <c r="K5142" s="1"/>
      <c r="L5142" t="str">
        <f t="shared" si="80"/>
        <v>http://www.badatelna.eu/reprodukce/?fondId=1073&amp;zaznamId=1108952&amp;reproId=3778874</v>
      </c>
      <c r="M5142">
        <f>VLOOKUP(F5142,Sheet2!$B$1:$E$19,2,FALSE)</f>
        <v>1073</v>
      </c>
      <c r="N5142">
        <f>VLOOKUP(F5142,Sheet2!$B$1:$E$19,3,FALSE)</f>
        <v>1108952</v>
      </c>
      <c r="O5142">
        <f>IF(G5142="Not available","",VLOOKUP(F5142,Sheet2!$B$1:$E$19,4,FALSE)+(G5142-1))</f>
        <v>3778874</v>
      </c>
    </row>
    <row r="5143" spans="1:15" s="3" customFormat="1" ht="15" customHeight="1" x14ac:dyDescent="0.25">
      <c r="A5143" s="18" t="s">
        <v>457</v>
      </c>
      <c r="B5143" s="18" t="s">
        <v>3251</v>
      </c>
      <c r="C5143" s="6" t="s">
        <v>3105</v>
      </c>
      <c r="D5143" s="4" t="s">
        <v>74</v>
      </c>
      <c r="E5143" s="4" t="s">
        <v>2</v>
      </c>
      <c r="F5143" s="18">
        <v>2174</v>
      </c>
      <c r="G5143" s="18">
        <v>177</v>
      </c>
      <c r="H5143" s="6" t="s">
        <v>3242</v>
      </c>
      <c r="I5143" s="1">
        <v>209</v>
      </c>
      <c r="J5143" s="1">
        <v>245</v>
      </c>
      <c r="K5143" s="1"/>
      <c r="L5143" t="str">
        <f t="shared" si="80"/>
        <v>http://www.badatelna.eu/reprodukce/?fondId=1073&amp;zaznamId=1108960&amp;reproId=3780401</v>
      </c>
      <c r="M5143">
        <f>VLOOKUP(F5143,Sheet2!$B$1:$E$19,2,FALSE)</f>
        <v>1073</v>
      </c>
      <c r="N5143">
        <f>VLOOKUP(F5143,Sheet2!$B$1:$E$19,3,FALSE)</f>
        <v>1108960</v>
      </c>
      <c r="O5143">
        <f>IF(G5143="Not available","",VLOOKUP(F5143,Sheet2!$B$1:$E$19,4,FALSE)+(G5143-1))</f>
        <v>3780401</v>
      </c>
    </row>
    <row r="5144" spans="1:15" s="3" customFormat="1" ht="15" customHeight="1" x14ac:dyDescent="0.25">
      <c r="A5144" s="18" t="s">
        <v>457</v>
      </c>
      <c r="B5144" s="18" t="s">
        <v>14</v>
      </c>
      <c r="C5144" s="5">
        <v>1827</v>
      </c>
      <c r="D5144" s="1"/>
      <c r="E5144" s="1" t="s">
        <v>2</v>
      </c>
      <c r="F5144" s="18">
        <v>2173</v>
      </c>
      <c r="G5144" s="18">
        <v>83</v>
      </c>
      <c r="H5144" s="5">
        <v>158</v>
      </c>
      <c r="I5144" s="1">
        <v>121</v>
      </c>
      <c r="J5144" s="1">
        <v>264</v>
      </c>
      <c r="K5144" s="1"/>
      <c r="L5144" t="str">
        <f t="shared" si="80"/>
        <v>http://www.badatelna.eu/reprodukce/?fondId=1073&amp;zaznamId=1108959&amp;reproId=3780076</v>
      </c>
      <c r="M5144">
        <f>VLOOKUP(F5144,Sheet2!$B$1:$E$19,2,FALSE)</f>
        <v>1073</v>
      </c>
      <c r="N5144">
        <f>VLOOKUP(F5144,Sheet2!$B$1:$E$19,3,FALSE)</f>
        <v>1108959</v>
      </c>
      <c r="O5144">
        <f>IF(G5144="Not available","",VLOOKUP(F5144,Sheet2!$B$1:$E$19,4,FALSE)+(G5144-1))</f>
        <v>3780076</v>
      </c>
    </row>
    <row r="5145" spans="1:15" s="3" customFormat="1" ht="15" customHeight="1" x14ac:dyDescent="0.25">
      <c r="A5145" s="19" t="s">
        <v>457</v>
      </c>
      <c r="B5145" s="19" t="s">
        <v>478</v>
      </c>
      <c r="C5145" s="14" t="s">
        <v>2998</v>
      </c>
      <c r="D5145" s="12" t="s">
        <v>50</v>
      </c>
      <c r="E5145" s="12" t="s">
        <v>2</v>
      </c>
      <c r="F5145" s="19">
        <v>2174</v>
      </c>
      <c r="G5145" s="19">
        <v>153</v>
      </c>
      <c r="H5145" s="14" t="s">
        <v>3117</v>
      </c>
      <c r="I5145" s="12">
        <v>209</v>
      </c>
      <c r="J5145" s="12">
        <v>246</v>
      </c>
      <c r="K5145" s="12"/>
      <c r="L5145" t="str">
        <f t="shared" si="80"/>
        <v>http://www.badatelna.eu/reprodukce/?fondId=1073&amp;zaznamId=1108960&amp;reproId=3780377</v>
      </c>
      <c r="M5145">
        <f>VLOOKUP(F5145,Sheet2!$B$1:$E$19,2,FALSE)</f>
        <v>1073</v>
      </c>
      <c r="N5145">
        <f>VLOOKUP(F5145,Sheet2!$B$1:$E$19,3,FALSE)</f>
        <v>1108960</v>
      </c>
      <c r="O5145">
        <f>IF(G5145="Not available","",VLOOKUP(F5145,Sheet2!$B$1:$E$19,4,FALSE)+(G5145-1))</f>
        <v>3780377</v>
      </c>
    </row>
    <row r="5146" spans="1:15" s="3" customFormat="1" ht="15" customHeight="1" x14ac:dyDescent="0.25">
      <c r="A5146" s="18" t="s">
        <v>457</v>
      </c>
      <c r="B5146" s="18" t="s">
        <v>816</v>
      </c>
      <c r="C5146" s="5" t="s">
        <v>1681</v>
      </c>
      <c r="D5146" s="1" t="s">
        <v>1108</v>
      </c>
      <c r="E5146" s="1" t="s">
        <v>2</v>
      </c>
      <c r="F5146" s="18">
        <v>2165</v>
      </c>
      <c r="G5146" s="18">
        <v>17</v>
      </c>
      <c r="H5146" s="5">
        <v>14</v>
      </c>
      <c r="I5146" s="1">
        <v>97</v>
      </c>
      <c r="J5146" s="4" t="s">
        <v>3271</v>
      </c>
      <c r="K5146" s="1"/>
      <c r="L5146" t="str">
        <f t="shared" si="80"/>
        <v>http://www.badatelna.eu/reprodukce/?fondId=1073&amp;zaznamId=1108952&amp;reproId=3778878</v>
      </c>
      <c r="M5146">
        <f>VLOOKUP(F5146,Sheet2!$B$1:$E$19,2,FALSE)</f>
        <v>1073</v>
      </c>
      <c r="N5146">
        <f>VLOOKUP(F5146,Sheet2!$B$1:$E$19,3,FALSE)</f>
        <v>1108952</v>
      </c>
      <c r="O5146">
        <f>IF(G5146="Not available","",VLOOKUP(F5146,Sheet2!$B$1:$E$19,4,FALSE)+(G5146-1))</f>
        <v>3778878</v>
      </c>
    </row>
    <row r="5147" spans="1:15" s="3" customFormat="1" ht="15" customHeight="1" x14ac:dyDescent="0.25">
      <c r="A5147" s="18" t="s">
        <v>457</v>
      </c>
      <c r="B5147" s="18" t="s">
        <v>501</v>
      </c>
      <c r="C5147" s="5">
        <v>1854</v>
      </c>
      <c r="D5147" s="11"/>
      <c r="E5147" s="1" t="s">
        <v>2</v>
      </c>
      <c r="F5147" s="18">
        <v>2164</v>
      </c>
      <c r="G5147" s="18">
        <v>96</v>
      </c>
      <c r="H5147" s="5">
        <v>94</v>
      </c>
      <c r="I5147" s="1">
        <v>143</v>
      </c>
      <c r="J5147" s="1">
        <v>246</v>
      </c>
      <c r="K5147" s="1"/>
      <c r="L5147" t="str">
        <f t="shared" si="80"/>
        <v>http://www.badatelna.eu/reprodukce/?fondId=1073&amp;zaznamId=1108951&amp;reproId=3778810</v>
      </c>
      <c r="M5147">
        <f>VLOOKUP(F5147,Sheet2!$B$1:$E$19,2,FALSE)</f>
        <v>1073</v>
      </c>
      <c r="N5147">
        <f>VLOOKUP(F5147,Sheet2!$B$1:$E$19,3,FALSE)</f>
        <v>1108951</v>
      </c>
      <c r="O5147">
        <f>IF(G5147="Not available","",VLOOKUP(F5147,Sheet2!$B$1:$E$19,4,FALSE)+(G5147-1))</f>
        <v>3778810</v>
      </c>
    </row>
    <row r="5148" spans="1:15" s="3" customFormat="1" ht="15" customHeight="1" x14ac:dyDescent="0.25">
      <c r="A5148" s="18" t="s">
        <v>457</v>
      </c>
      <c r="B5148" s="18" t="s">
        <v>1017</v>
      </c>
      <c r="C5148" s="5" t="s">
        <v>1689</v>
      </c>
      <c r="D5148" s="1" t="s">
        <v>545</v>
      </c>
      <c r="E5148" s="1" t="s">
        <v>2</v>
      </c>
      <c r="F5148" s="18">
        <v>2165</v>
      </c>
      <c r="G5148" s="18">
        <v>29</v>
      </c>
      <c r="H5148" s="5">
        <v>26</v>
      </c>
      <c r="I5148" s="1">
        <v>97</v>
      </c>
      <c r="J5148" s="4" t="s">
        <v>3271</v>
      </c>
      <c r="K5148" s="1"/>
      <c r="L5148" t="str">
        <f t="shared" si="80"/>
        <v>http://www.badatelna.eu/reprodukce/?fondId=1073&amp;zaznamId=1108952&amp;reproId=3778890</v>
      </c>
      <c r="M5148">
        <f>VLOOKUP(F5148,Sheet2!$B$1:$E$19,2,FALSE)</f>
        <v>1073</v>
      </c>
      <c r="N5148">
        <f>VLOOKUP(F5148,Sheet2!$B$1:$E$19,3,FALSE)</f>
        <v>1108952</v>
      </c>
      <c r="O5148">
        <f>IF(G5148="Not available","",VLOOKUP(F5148,Sheet2!$B$1:$E$19,4,FALSE)+(G5148-1))</f>
        <v>3778890</v>
      </c>
    </row>
    <row r="5149" spans="1:15" s="3" customFormat="1" ht="15" customHeight="1" x14ac:dyDescent="0.25">
      <c r="A5149" s="18" t="s">
        <v>457</v>
      </c>
      <c r="B5149" s="18" t="s">
        <v>249</v>
      </c>
      <c r="C5149" s="5">
        <v>1798</v>
      </c>
      <c r="D5149" s="1" t="s">
        <v>15</v>
      </c>
      <c r="E5149" s="1" t="s">
        <v>2</v>
      </c>
      <c r="F5149" s="18">
        <v>2173</v>
      </c>
      <c r="G5149" s="18">
        <v>38</v>
      </c>
      <c r="H5149" s="5">
        <v>70</v>
      </c>
      <c r="I5149" s="1">
        <v>120</v>
      </c>
      <c r="J5149" s="1">
        <v>263</v>
      </c>
      <c r="K5149" s="1"/>
      <c r="L5149" t="str">
        <f t="shared" si="80"/>
        <v>http://www.badatelna.eu/reprodukce/?fondId=1073&amp;zaznamId=1108959&amp;reproId=3780031</v>
      </c>
      <c r="M5149">
        <f>VLOOKUP(F5149,Sheet2!$B$1:$E$19,2,FALSE)</f>
        <v>1073</v>
      </c>
      <c r="N5149">
        <f>VLOOKUP(F5149,Sheet2!$B$1:$E$19,3,FALSE)</f>
        <v>1108959</v>
      </c>
      <c r="O5149">
        <f>IF(G5149="Not available","",VLOOKUP(F5149,Sheet2!$B$1:$E$19,4,FALSE)+(G5149-1))</f>
        <v>3780031</v>
      </c>
    </row>
    <row r="5150" spans="1:15" s="3" customFormat="1" ht="15" customHeight="1" x14ac:dyDescent="0.25">
      <c r="A5150" s="18" t="s">
        <v>457</v>
      </c>
      <c r="B5150" s="18" t="s">
        <v>15</v>
      </c>
      <c r="C5150" s="5">
        <v>1835</v>
      </c>
      <c r="D5150" s="1" t="s">
        <v>22</v>
      </c>
      <c r="E5150" s="1" t="s">
        <v>2</v>
      </c>
      <c r="F5150" s="18">
        <v>2174</v>
      </c>
      <c r="G5150" s="18">
        <v>86</v>
      </c>
      <c r="H5150" s="6" t="s">
        <v>3153</v>
      </c>
      <c r="I5150" s="1">
        <v>208</v>
      </c>
      <c r="J5150" s="1">
        <v>245</v>
      </c>
      <c r="K5150" s="1"/>
      <c r="L5150" t="str">
        <f t="shared" si="80"/>
        <v>http://www.badatelna.eu/reprodukce/?fondId=1073&amp;zaznamId=1108960&amp;reproId=3780310</v>
      </c>
      <c r="M5150">
        <f>VLOOKUP(F5150,Sheet2!$B$1:$E$19,2,FALSE)</f>
        <v>1073</v>
      </c>
      <c r="N5150">
        <f>VLOOKUP(F5150,Sheet2!$B$1:$E$19,3,FALSE)</f>
        <v>1108960</v>
      </c>
      <c r="O5150">
        <f>IF(G5150="Not available","",VLOOKUP(F5150,Sheet2!$B$1:$E$19,4,FALSE)+(G5150-1))</f>
        <v>3780310</v>
      </c>
    </row>
    <row r="5151" spans="1:15" s="3" customFormat="1" ht="15" customHeight="1" x14ac:dyDescent="0.25">
      <c r="A5151" s="18" t="s">
        <v>457</v>
      </c>
      <c r="B5151" s="18" t="s">
        <v>87</v>
      </c>
      <c r="C5151" s="5">
        <v>1797</v>
      </c>
      <c r="D5151" s="1" t="s">
        <v>58</v>
      </c>
      <c r="E5151" s="1" t="s">
        <v>2</v>
      </c>
      <c r="F5151" s="18">
        <v>2173</v>
      </c>
      <c r="G5151" s="18">
        <v>36</v>
      </c>
      <c r="H5151" s="5">
        <v>66</v>
      </c>
      <c r="I5151" s="1">
        <v>120</v>
      </c>
      <c r="J5151" s="1">
        <v>263</v>
      </c>
      <c r="K5151" s="1"/>
      <c r="L5151" t="str">
        <f t="shared" si="80"/>
        <v>http://www.badatelna.eu/reprodukce/?fondId=1073&amp;zaznamId=1108959&amp;reproId=3780029</v>
      </c>
      <c r="M5151">
        <f>VLOOKUP(F5151,Sheet2!$B$1:$E$19,2,FALSE)</f>
        <v>1073</v>
      </c>
      <c r="N5151">
        <f>VLOOKUP(F5151,Sheet2!$B$1:$E$19,3,FALSE)</f>
        <v>1108959</v>
      </c>
      <c r="O5151">
        <f>IF(G5151="Not available","",VLOOKUP(F5151,Sheet2!$B$1:$E$19,4,FALSE)+(G5151-1))</f>
        <v>3780029</v>
      </c>
    </row>
    <row r="5152" spans="1:15" s="3" customFormat="1" ht="15" customHeight="1" x14ac:dyDescent="0.25">
      <c r="A5152" s="18" t="s">
        <v>457</v>
      </c>
      <c r="B5152" s="18" t="s">
        <v>213</v>
      </c>
      <c r="C5152" s="5">
        <v>1808</v>
      </c>
      <c r="D5152" s="1"/>
      <c r="E5152" s="1" t="s">
        <v>2</v>
      </c>
      <c r="F5152" s="18">
        <v>2173</v>
      </c>
      <c r="G5152" s="18">
        <v>53</v>
      </c>
      <c r="H5152" s="5">
        <v>101</v>
      </c>
      <c r="I5152" s="1">
        <v>120</v>
      </c>
      <c r="J5152" s="1">
        <v>263</v>
      </c>
      <c r="K5152" s="1"/>
      <c r="L5152" t="str">
        <f t="shared" si="80"/>
        <v>http://www.badatelna.eu/reprodukce/?fondId=1073&amp;zaznamId=1108959&amp;reproId=3780046</v>
      </c>
      <c r="M5152">
        <f>VLOOKUP(F5152,Sheet2!$B$1:$E$19,2,FALSE)</f>
        <v>1073</v>
      </c>
      <c r="N5152">
        <f>VLOOKUP(F5152,Sheet2!$B$1:$E$19,3,FALSE)</f>
        <v>1108959</v>
      </c>
      <c r="O5152">
        <f>IF(G5152="Not available","",VLOOKUP(F5152,Sheet2!$B$1:$E$19,4,FALSE)+(G5152-1))</f>
        <v>3780046</v>
      </c>
    </row>
    <row r="5153" spans="1:15" s="3" customFormat="1" ht="15" customHeight="1" x14ac:dyDescent="0.25">
      <c r="A5153" s="18" t="s">
        <v>457</v>
      </c>
      <c r="B5153" s="18" t="s">
        <v>469</v>
      </c>
      <c r="C5153" s="5">
        <v>1833</v>
      </c>
      <c r="D5153" s="1" t="s">
        <v>22</v>
      </c>
      <c r="E5153" s="1" t="s">
        <v>2</v>
      </c>
      <c r="F5153" s="18">
        <v>2174</v>
      </c>
      <c r="G5153" s="18">
        <v>72</v>
      </c>
      <c r="H5153" s="6" t="s">
        <v>3137</v>
      </c>
      <c r="I5153" s="1">
        <v>208</v>
      </c>
      <c r="J5153" s="1">
        <v>245</v>
      </c>
      <c r="K5153" s="1"/>
      <c r="L5153" t="str">
        <f t="shared" si="80"/>
        <v>http://www.badatelna.eu/reprodukce/?fondId=1073&amp;zaznamId=1108960&amp;reproId=3780296</v>
      </c>
      <c r="M5153">
        <f>VLOOKUP(F5153,Sheet2!$B$1:$E$19,2,FALSE)</f>
        <v>1073</v>
      </c>
      <c r="N5153">
        <f>VLOOKUP(F5153,Sheet2!$B$1:$E$19,3,FALSE)</f>
        <v>1108960</v>
      </c>
      <c r="O5153">
        <f>IF(G5153="Not available","",VLOOKUP(F5153,Sheet2!$B$1:$E$19,4,FALSE)+(G5153-1))</f>
        <v>3780296</v>
      </c>
    </row>
    <row r="5154" spans="1:15" s="3" customFormat="1" ht="15" customHeight="1" x14ac:dyDescent="0.25">
      <c r="A5154" s="19" t="s">
        <v>457</v>
      </c>
      <c r="B5154" s="19" t="s">
        <v>484</v>
      </c>
      <c r="C5154" s="14" t="s">
        <v>3115</v>
      </c>
      <c r="D5154" s="12" t="s">
        <v>50</v>
      </c>
      <c r="E5154" s="12" t="s">
        <v>2</v>
      </c>
      <c r="F5154" s="19">
        <v>2174</v>
      </c>
      <c r="G5154" s="19">
        <v>153</v>
      </c>
      <c r="H5154" s="14" t="s">
        <v>3117</v>
      </c>
      <c r="I5154" s="12">
        <v>209</v>
      </c>
      <c r="J5154" s="12">
        <v>246</v>
      </c>
      <c r="K5154" s="12"/>
      <c r="L5154" t="str">
        <f t="shared" si="80"/>
        <v>http://www.badatelna.eu/reprodukce/?fondId=1073&amp;zaznamId=1108960&amp;reproId=3780377</v>
      </c>
      <c r="M5154">
        <f>VLOOKUP(F5154,Sheet2!$B$1:$E$19,2,FALSE)</f>
        <v>1073</v>
      </c>
      <c r="N5154">
        <f>VLOOKUP(F5154,Sheet2!$B$1:$E$19,3,FALSE)</f>
        <v>1108960</v>
      </c>
      <c r="O5154">
        <f>IF(G5154="Not available","",VLOOKUP(F5154,Sheet2!$B$1:$E$19,4,FALSE)+(G5154-1))</f>
        <v>3780377</v>
      </c>
    </row>
    <row r="5155" spans="1:15" s="3" customFormat="1" ht="15" customHeight="1" x14ac:dyDescent="0.25">
      <c r="A5155" s="18" t="s">
        <v>457</v>
      </c>
      <c r="B5155" s="18" t="s">
        <v>484</v>
      </c>
      <c r="C5155" s="5">
        <v>1845</v>
      </c>
      <c r="D5155" s="1" t="s">
        <v>22</v>
      </c>
      <c r="E5155" s="1" t="s">
        <v>2</v>
      </c>
      <c r="F5155" s="18">
        <v>2174</v>
      </c>
      <c r="G5155" s="18">
        <v>161</v>
      </c>
      <c r="H5155" s="14" t="s">
        <v>3226</v>
      </c>
      <c r="I5155" s="1">
        <v>209</v>
      </c>
      <c r="J5155" s="1">
        <v>246</v>
      </c>
      <c r="K5155" s="1"/>
      <c r="L5155" t="str">
        <f t="shared" si="80"/>
        <v>http://www.badatelna.eu/reprodukce/?fondId=1073&amp;zaznamId=1108960&amp;reproId=3780385</v>
      </c>
      <c r="M5155">
        <f>VLOOKUP(F5155,Sheet2!$B$1:$E$19,2,FALSE)</f>
        <v>1073</v>
      </c>
      <c r="N5155">
        <f>VLOOKUP(F5155,Sheet2!$B$1:$E$19,3,FALSE)</f>
        <v>1108960</v>
      </c>
      <c r="O5155">
        <f>IF(G5155="Not available","",VLOOKUP(F5155,Sheet2!$B$1:$E$19,4,FALSE)+(G5155-1))</f>
        <v>3780385</v>
      </c>
    </row>
    <row r="5156" spans="1:15" s="3" customFormat="1" ht="15" customHeight="1" x14ac:dyDescent="0.25">
      <c r="A5156" s="18" t="s">
        <v>457</v>
      </c>
      <c r="B5156" s="18" t="s">
        <v>481</v>
      </c>
      <c r="C5156" s="5">
        <v>1843</v>
      </c>
      <c r="D5156" s="1" t="s">
        <v>22</v>
      </c>
      <c r="E5156" s="1" t="s">
        <v>2</v>
      </c>
      <c r="F5156" s="18">
        <v>2174</v>
      </c>
      <c r="G5156" s="18">
        <v>133</v>
      </c>
      <c r="H5156" s="6" t="s">
        <v>3203</v>
      </c>
      <c r="I5156" s="1">
        <v>208</v>
      </c>
      <c r="J5156" s="1">
        <v>245</v>
      </c>
      <c r="K5156" s="1"/>
      <c r="L5156" t="str">
        <f t="shared" si="80"/>
        <v>http://www.badatelna.eu/reprodukce/?fondId=1073&amp;zaznamId=1108960&amp;reproId=3780357</v>
      </c>
      <c r="M5156">
        <f>VLOOKUP(F5156,Sheet2!$B$1:$E$19,2,FALSE)</f>
        <v>1073</v>
      </c>
      <c r="N5156">
        <f>VLOOKUP(F5156,Sheet2!$B$1:$E$19,3,FALSE)</f>
        <v>1108960</v>
      </c>
      <c r="O5156">
        <f>IF(G5156="Not available","",VLOOKUP(F5156,Sheet2!$B$1:$E$19,4,FALSE)+(G5156-1))</f>
        <v>3780357</v>
      </c>
    </row>
    <row r="5157" spans="1:15" s="3" customFormat="1" ht="15" customHeight="1" x14ac:dyDescent="0.25">
      <c r="A5157" s="18" t="s">
        <v>457</v>
      </c>
      <c r="B5157" s="18" t="s">
        <v>138</v>
      </c>
      <c r="C5157" s="5" t="s">
        <v>1674</v>
      </c>
      <c r="D5157" s="1" t="s">
        <v>233</v>
      </c>
      <c r="E5157" s="1" t="s">
        <v>2</v>
      </c>
      <c r="F5157" s="18">
        <v>2165</v>
      </c>
      <c r="G5157" s="18">
        <v>5</v>
      </c>
      <c r="H5157" s="5">
        <v>2</v>
      </c>
      <c r="I5157" s="1">
        <v>97</v>
      </c>
      <c r="J5157" s="4" t="s">
        <v>3271</v>
      </c>
      <c r="K5157" s="1"/>
      <c r="L5157" t="str">
        <f t="shared" si="80"/>
        <v>http://www.badatelna.eu/reprodukce/?fondId=1073&amp;zaznamId=1108952&amp;reproId=3778866</v>
      </c>
      <c r="M5157">
        <f>VLOOKUP(F5157,Sheet2!$B$1:$E$19,2,FALSE)</f>
        <v>1073</v>
      </c>
      <c r="N5157">
        <f>VLOOKUP(F5157,Sheet2!$B$1:$E$19,3,FALSE)</f>
        <v>1108952</v>
      </c>
      <c r="O5157">
        <f>IF(G5157="Not available","",VLOOKUP(F5157,Sheet2!$B$1:$E$19,4,FALSE)+(G5157-1))</f>
        <v>3778866</v>
      </c>
    </row>
    <row r="5158" spans="1:15" s="3" customFormat="1" ht="15" customHeight="1" x14ac:dyDescent="0.25">
      <c r="A5158" s="18" t="s">
        <v>457</v>
      </c>
      <c r="B5158" s="18" t="s">
        <v>26</v>
      </c>
      <c r="C5158" s="5">
        <v>1813</v>
      </c>
      <c r="D5158" s="1"/>
      <c r="E5158" s="1" t="s">
        <v>2</v>
      </c>
      <c r="F5158" s="18">
        <v>2173</v>
      </c>
      <c r="G5158" s="18">
        <v>60</v>
      </c>
      <c r="H5158" s="5">
        <v>115</v>
      </c>
      <c r="I5158" s="1">
        <v>121</v>
      </c>
      <c r="J5158" s="1">
        <v>264</v>
      </c>
      <c r="K5158" s="1"/>
      <c r="L5158" t="str">
        <f t="shared" si="80"/>
        <v>http://www.badatelna.eu/reprodukce/?fondId=1073&amp;zaznamId=1108959&amp;reproId=3780053</v>
      </c>
      <c r="M5158">
        <f>VLOOKUP(F5158,Sheet2!$B$1:$E$19,2,FALSE)</f>
        <v>1073</v>
      </c>
      <c r="N5158">
        <f>VLOOKUP(F5158,Sheet2!$B$1:$E$19,3,FALSE)</f>
        <v>1108959</v>
      </c>
      <c r="O5158">
        <f>IF(G5158="Not available","",VLOOKUP(F5158,Sheet2!$B$1:$E$19,4,FALSE)+(G5158-1))</f>
        <v>3780053</v>
      </c>
    </row>
    <row r="5159" spans="1:15" s="3" customFormat="1" ht="15" customHeight="1" x14ac:dyDescent="0.25">
      <c r="A5159" s="18" t="s">
        <v>457</v>
      </c>
      <c r="B5159" s="18" t="s">
        <v>463</v>
      </c>
      <c r="C5159" s="5">
        <v>1825</v>
      </c>
      <c r="D5159" s="1"/>
      <c r="E5159" s="1" t="s">
        <v>2</v>
      </c>
      <c r="F5159" s="18">
        <v>2173</v>
      </c>
      <c r="G5159" s="18">
        <v>83</v>
      </c>
      <c r="H5159" s="5">
        <v>158</v>
      </c>
      <c r="I5159" s="1">
        <v>121</v>
      </c>
      <c r="J5159" s="1">
        <v>264</v>
      </c>
      <c r="K5159" s="1"/>
      <c r="L5159" t="str">
        <f t="shared" si="80"/>
        <v>http://www.badatelna.eu/reprodukce/?fondId=1073&amp;zaznamId=1108959&amp;reproId=3780076</v>
      </c>
      <c r="M5159">
        <f>VLOOKUP(F5159,Sheet2!$B$1:$E$19,2,FALSE)</f>
        <v>1073</v>
      </c>
      <c r="N5159">
        <f>VLOOKUP(F5159,Sheet2!$B$1:$E$19,3,FALSE)</f>
        <v>1108959</v>
      </c>
      <c r="O5159">
        <f>IF(G5159="Not available","",VLOOKUP(F5159,Sheet2!$B$1:$E$19,4,FALSE)+(G5159-1))</f>
        <v>3780076</v>
      </c>
    </row>
    <row r="5160" spans="1:15" s="3" customFormat="1" ht="15" customHeight="1" x14ac:dyDescent="0.25">
      <c r="A5160" s="18" t="s">
        <v>457</v>
      </c>
      <c r="B5160" s="18" t="s">
        <v>22</v>
      </c>
      <c r="C5160" s="5">
        <v>1805</v>
      </c>
      <c r="D5160" s="1"/>
      <c r="E5160" s="1" t="s">
        <v>2</v>
      </c>
      <c r="F5160" s="18">
        <v>2173</v>
      </c>
      <c r="G5160" s="18">
        <v>50</v>
      </c>
      <c r="H5160" s="5">
        <v>95</v>
      </c>
      <c r="I5160" s="1">
        <v>120</v>
      </c>
      <c r="J5160" s="1">
        <v>263</v>
      </c>
      <c r="K5160" s="1"/>
      <c r="L5160" t="str">
        <f t="shared" si="80"/>
        <v>http://www.badatelna.eu/reprodukce/?fondId=1073&amp;zaznamId=1108959&amp;reproId=3780043</v>
      </c>
      <c r="M5160">
        <f>VLOOKUP(F5160,Sheet2!$B$1:$E$19,2,FALSE)</f>
        <v>1073</v>
      </c>
      <c r="N5160">
        <f>VLOOKUP(F5160,Sheet2!$B$1:$E$19,3,FALSE)</f>
        <v>1108959</v>
      </c>
      <c r="O5160">
        <f>IF(G5160="Not available","",VLOOKUP(F5160,Sheet2!$B$1:$E$19,4,FALSE)+(G5160-1))</f>
        <v>3780043</v>
      </c>
    </row>
    <row r="5161" spans="1:15" s="3" customFormat="1" ht="15" customHeight="1" x14ac:dyDescent="0.25">
      <c r="A5161" s="19" t="s">
        <v>457</v>
      </c>
      <c r="B5161" s="19" t="s">
        <v>233</v>
      </c>
      <c r="C5161" s="14" t="s">
        <v>3114</v>
      </c>
      <c r="D5161" s="12" t="s">
        <v>50</v>
      </c>
      <c r="E5161" s="12" t="s">
        <v>2</v>
      </c>
      <c r="F5161" s="19">
        <v>2174</v>
      </c>
      <c r="G5161" s="19">
        <v>153</v>
      </c>
      <c r="H5161" s="14" t="s">
        <v>3117</v>
      </c>
      <c r="I5161" s="12">
        <v>209</v>
      </c>
      <c r="J5161" s="12">
        <v>246</v>
      </c>
      <c r="K5161" s="12"/>
      <c r="L5161" t="str">
        <f t="shared" si="80"/>
        <v>http://www.badatelna.eu/reprodukce/?fondId=1073&amp;zaznamId=1108960&amp;reproId=3780377</v>
      </c>
      <c r="M5161">
        <f>VLOOKUP(F5161,Sheet2!$B$1:$E$19,2,FALSE)</f>
        <v>1073</v>
      </c>
      <c r="N5161">
        <f>VLOOKUP(F5161,Sheet2!$B$1:$E$19,3,FALSE)</f>
        <v>1108960</v>
      </c>
      <c r="O5161">
        <f>IF(G5161="Not available","",VLOOKUP(F5161,Sheet2!$B$1:$E$19,4,FALSE)+(G5161-1))</f>
        <v>3780377</v>
      </c>
    </row>
    <row r="5162" spans="1:15" s="3" customFormat="1" ht="15" customHeight="1" x14ac:dyDescent="0.25">
      <c r="A5162" s="18" t="s">
        <v>457</v>
      </c>
      <c r="B5162" s="18" t="s">
        <v>303</v>
      </c>
      <c r="C5162" s="5">
        <v>1840</v>
      </c>
      <c r="D5162" s="1" t="s">
        <v>22</v>
      </c>
      <c r="E5162" s="1" t="s">
        <v>2</v>
      </c>
      <c r="F5162" s="18">
        <v>2174</v>
      </c>
      <c r="G5162" s="18">
        <v>114</v>
      </c>
      <c r="H5162" s="6" t="s">
        <v>3180</v>
      </c>
      <c r="I5162" s="1">
        <v>208</v>
      </c>
      <c r="J5162" s="1">
        <v>245</v>
      </c>
      <c r="K5162" s="1"/>
      <c r="L5162" t="str">
        <f t="shared" si="80"/>
        <v>http://www.badatelna.eu/reprodukce/?fondId=1073&amp;zaznamId=1108960&amp;reproId=3780338</v>
      </c>
      <c r="M5162">
        <f>VLOOKUP(F5162,Sheet2!$B$1:$E$19,2,FALSE)</f>
        <v>1073</v>
      </c>
      <c r="N5162">
        <f>VLOOKUP(F5162,Sheet2!$B$1:$E$19,3,FALSE)</f>
        <v>1108960</v>
      </c>
      <c r="O5162">
        <f>IF(G5162="Not available","",VLOOKUP(F5162,Sheet2!$B$1:$E$19,4,FALSE)+(G5162-1))</f>
        <v>3780338</v>
      </c>
    </row>
    <row r="5163" spans="1:15" s="3" customFormat="1" ht="15" customHeight="1" x14ac:dyDescent="0.25">
      <c r="A5163" s="18" t="s">
        <v>457</v>
      </c>
      <c r="B5163" s="18" t="s">
        <v>115</v>
      </c>
      <c r="C5163" s="5">
        <v>1804</v>
      </c>
      <c r="D5163" s="1"/>
      <c r="E5163" s="1" t="s">
        <v>2</v>
      </c>
      <c r="F5163" s="18">
        <v>2173</v>
      </c>
      <c r="G5163" s="18">
        <v>48</v>
      </c>
      <c r="H5163" s="5">
        <v>90</v>
      </c>
      <c r="I5163" s="1">
        <v>120</v>
      </c>
      <c r="J5163" s="1">
        <v>263</v>
      </c>
      <c r="K5163" s="1"/>
      <c r="L5163" t="str">
        <f t="shared" si="80"/>
        <v>http://www.badatelna.eu/reprodukce/?fondId=1073&amp;zaznamId=1108959&amp;reproId=3780041</v>
      </c>
      <c r="M5163">
        <f>VLOOKUP(F5163,Sheet2!$B$1:$E$19,2,FALSE)</f>
        <v>1073</v>
      </c>
      <c r="N5163">
        <f>VLOOKUP(F5163,Sheet2!$B$1:$E$19,3,FALSE)</f>
        <v>1108959</v>
      </c>
      <c r="O5163">
        <f>IF(G5163="Not available","",VLOOKUP(F5163,Sheet2!$B$1:$E$19,4,FALSE)+(G5163-1))</f>
        <v>3780041</v>
      </c>
    </row>
    <row r="5164" spans="1:15" s="3" customFormat="1" ht="15" customHeight="1" x14ac:dyDescent="0.25">
      <c r="A5164" s="18" t="s">
        <v>457</v>
      </c>
      <c r="B5164" s="18" t="s">
        <v>544</v>
      </c>
      <c r="C5164" s="5">
        <v>1862</v>
      </c>
      <c r="D5164" s="1"/>
      <c r="E5164" s="1" t="s">
        <v>939</v>
      </c>
      <c r="F5164" s="18">
        <v>999</v>
      </c>
      <c r="G5164" s="18">
        <v>33</v>
      </c>
      <c r="H5164" s="5">
        <v>31</v>
      </c>
      <c r="I5164" s="1">
        <v>79</v>
      </c>
      <c r="J5164" s="1">
        <v>112</v>
      </c>
      <c r="K5164" s="1"/>
      <c r="L5164" t="str">
        <f t="shared" si="80"/>
        <v>http://www.badatelna.eu/reprodukce/?fondId=241&amp;zaznamId=1133739&amp;reproId=3885762</v>
      </c>
      <c r="M5164">
        <f>VLOOKUP(F5164,Sheet2!$B$1:$E$19,2,FALSE)</f>
        <v>241</v>
      </c>
      <c r="N5164">
        <f>VLOOKUP(F5164,Sheet2!$B$1:$E$19,3,FALSE)</f>
        <v>1133739</v>
      </c>
      <c r="O5164">
        <f>IF(G5164="Not available","",VLOOKUP(F5164,Sheet2!$B$1:$E$19,4,FALSE)+(G5164-1))</f>
        <v>3885762</v>
      </c>
    </row>
    <row r="5165" spans="1:15" s="3" customFormat="1" ht="15" customHeight="1" x14ac:dyDescent="0.25">
      <c r="A5165" s="18" t="s">
        <v>457</v>
      </c>
      <c r="B5165" s="18" t="s">
        <v>11</v>
      </c>
      <c r="C5165" s="5">
        <v>1801</v>
      </c>
      <c r="D5165" s="1"/>
      <c r="E5165" s="1" t="s">
        <v>2</v>
      </c>
      <c r="F5165" s="18">
        <v>2173</v>
      </c>
      <c r="G5165" s="18">
        <v>44</v>
      </c>
      <c r="H5165" s="5">
        <v>82</v>
      </c>
      <c r="I5165" s="1">
        <v>120</v>
      </c>
      <c r="J5165" s="1">
        <v>263</v>
      </c>
      <c r="K5165" s="1"/>
      <c r="L5165" t="str">
        <f t="shared" si="80"/>
        <v>http://www.badatelna.eu/reprodukce/?fondId=1073&amp;zaznamId=1108959&amp;reproId=3780037</v>
      </c>
      <c r="M5165">
        <f>VLOOKUP(F5165,Sheet2!$B$1:$E$19,2,FALSE)</f>
        <v>1073</v>
      </c>
      <c r="N5165">
        <f>VLOOKUP(F5165,Sheet2!$B$1:$E$19,3,FALSE)</f>
        <v>1108959</v>
      </c>
      <c r="O5165">
        <f>IF(G5165="Not available","",VLOOKUP(F5165,Sheet2!$B$1:$E$19,4,FALSE)+(G5165-1))</f>
        <v>3780037</v>
      </c>
    </row>
    <row r="5166" spans="1:15" s="3" customFormat="1" ht="15" customHeight="1" x14ac:dyDescent="0.25">
      <c r="A5166" s="18" t="s">
        <v>457</v>
      </c>
      <c r="B5166" s="18" t="s">
        <v>11</v>
      </c>
      <c r="C5166" s="5">
        <v>1831</v>
      </c>
      <c r="D5166" s="1" t="s">
        <v>486</v>
      </c>
      <c r="E5166" s="1" t="s">
        <v>2</v>
      </c>
      <c r="F5166" s="18">
        <v>2174</v>
      </c>
      <c r="G5166" s="18">
        <v>68</v>
      </c>
      <c r="H5166" s="6" t="s">
        <v>3112</v>
      </c>
      <c r="I5166" s="1">
        <v>209</v>
      </c>
      <c r="J5166" s="1">
        <v>246</v>
      </c>
      <c r="K5166" s="1"/>
      <c r="L5166" t="str">
        <f t="shared" si="80"/>
        <v>http://www.badatelna.eu/reprodukce/?fondId=1073&amp;zaznamId=1108960&amp;reproId=3780292</v>
      </c>
      <c r="M5166">
        <f>VLOOKUP(F5166,Sheet2!$B$1:$E$19,2,FALSE)</f>
        <v>1073</v>
      </c>
      <c r="N5166">
        <f>VLOOKUP(F5166,Sheet2!$B$1:$E$19,3,FALSE)</f>
        <v>1108960</v>
      </c>
      <c r="O5166">
        <f>IF(G5166="Not available","",VLOOKUP(F5166,Sheet2!$B$1:$E$19,4,FALSE)+(G5166-1))</f>
        <v>3780292</v>
      </c>
    </row>
    <row r="5167" spans="1:15" s="3" customFormat="1" ht="15" customHeight="1" x14ac:dyDescent="0.25">
      <c r="A5167" s="18" t="s">
        <v>457</v>
      </c>
      <c r="B5167" s="18" t="s">
        <v>593</v>
      </c>
      <c r="C5167" s="5" t="s">
        <v>1696</v>
      </c>
      <c r="D5167" s="1" t="s">
        <v>545</v>
      </c>
      <c r="E5167" s="1" t="s">
        <v>2</v>
      </c>
      <c r="F5167" s="18">
        <v>2165</v>
      </c>
      <c r="G5167" s="18">
        <v>41</v>
      </c>
      <c r="H5167" s="5">
        <v>38</v>
      </c>
      <c r="I5167" s="1">
        <v>97</v>
      </c>
      <c r="J5167" s="4" t="s">
        <v>3271</v>
      </c>
      <c r="K5167" s="1"/>
      <c r="L5167" t="str">
        <f t="shared" si="80"/>
        <v>http://www.badatelna.eu/reprodukce/?fondId=1073&amp;zaznamId=1108952&amp;reproId=3778902</v>
      </c>
      <c r="M5167">
        <f>VLOOKUP(F5167,Sheet2!$B$1:$E$19,2,FALSE)</f>
        <v>1073</v>
      </c>
      <c r="N5167">
        <f>VLOOKUP(F5167,Sheet2!$B$1:$E$19,3,FALSE)</f>
        <v>1108952</v>
      </c>
      <c r="O5167">
        <f>IF(G5167="Not available","",VLOOKUP(F5167,Sheet2!$B$1:$E$19,4,FALSE)+(G5167-1))</f>
        <v>3778902</v>
      </c>
    </row>
    <row r="5168" spans="1:15" s="3" customFormat="1" ht="15" customHeight="1" x14ac:dyDescent="0.25">
      <c r="A5168" s="18" t="s">
        <v>457</v>
      </c>
      <c r="B5168" s="18" t="s">
        <v>593</v>
      </c>
      <c r="C5168" s="5" t="s">
        <v>1699</v>
      </c>
      <c r="D5168" s="1" t="s">
        <v>478</v>
      </c>
      <c r="E5168" s="1" t="s">
        <v>2</v>
      </c>
      <c r="F5168" s="18">
        <v>2165</v>
      </c>
      <c r="G5168" s="18">
        <v>44</v>
      </c>
      <c r="H5168" s="5">
        <v>41</v>
      </c>
      <c r="I5168" s="1">
        <v>97</v>
      </c>
      <c r="J5168" s="4" t="s">
        <v>3271</v>
      </c>
      <c r="K5168" s="1"/>
      <c r="L5168" t="str">
        <f t="shared" si="80"/>
        <v>http://www.badatelna.eu/reprodukce/?fondId=1073&amp;zaznamId=1108952&amp;reproId=3778905</v>
      </c>
      <c r="M5168">
        <f>VLOOKUP(F5168,Sheet2!$B$1:$E$19,2,FALSE)</f>
        <v>1073</v>
      </c>
      <c r="N5168">
        <f>VLOOKUP(F5168,Sheet2!$B$1:$E$19,3,FALSE)</f>
        <v>1108952</v>
      </c>
      <c r="O5168">
        <f>IF(G5168="Not available","",VLOOKUP(F5168,Sheet2!$B$1:$E$19,4,FALSE)+(G5168-1))</f>
        <v>3778905</v>
      </c>
    </row>
    <row r="5169" spans="1:15" s="3" customFormat="1" ht="15" customHeight="1" x14ac:dyDescent="0.25">
      <c r="A5169" s="18" t="s">
        <v>457</v>
      </c>
      <c r="B5169" s="18" t="s">
        <v>91</v>
      </c>
      <c r="C5169" s="5">
        <v>1863</v>
      </c>
      <c r="D5169" s="1"/>
      <c r="E5169" s="1" t="s">
        <v>939</v>
      </c>
      <c r="F5169" s="18">
        <v>999</v>
      </c>
      <c r="G5169" s="18">
        <v>45</v>
      </c>
      <c r="H5169" s="5">
        <v>43</v>
      </c>
      <c r="I5169" s="1">
        <v>79</v>
      </c>
      <c r="J5169" s="1">
        <v>112</v>
      </c>
      <c r="K5169" s="1"/>
      <c r="L5169" t="str">
        <f t="shared" si="80"/>
        <v>http://www.badatelna.eu/reprodukce/?fondId=241&amp;zaznamId=1133739&amp;reproId=3885774</v>
      </c>
      <c r="M5169">
        <f>VLOOKUP(F5169,Sheet2!$B$1:$E$19,2,FALSE)</f>
        <v>241</v>
      </c>
      <c r="N5169">
        <f>VLOOKUP(F5169,Sheet2!$B$1:$E$19,3,FALSE)</f>
        <v>1133739</v>
      </c>
      <c r="O5169">
        <f>IF(G5169="Not available","",VLOOKUP(F5169,Sheet2!$B$1:$E$19,4,FALSE)+(G5169-1))</f>
        <v>3885774</v>
      </c>
    </row>
    <row r="5170" spans="1:15" s="3" customFormat="1" ht="15" customHeight="1" x14ac:dyDescent="0.25">
      <c r="A5170" s="18" t="s">
        <v>457</v>
      </c>
      <c r="B5170" s="19" t="s">
        <v>892</v>
      </c>
      <c r="C5170" s="5">
        <v>1860</v>
      </c>
      <c r="D5170" s="1"/>
      <c r="E5170" s="1" t="s">
        <v>939</v>
      </c>
      <c r="F5170" s="18">
        <v>999</v>
      </c>
      <c r="G5170" s="18">
        <v>20</v>
      </c>
      <c r="H5170" s="5">
        <v>18</v>
      </c>
      <c r="I5170" s="1">
        <v>79</v>
      </c>
      <c r="J5170" s="1">
        <v>112</v>
      </c>
      <c r="K5170" s="1"/>
      <c r="L5170" t="str">
        <f t="shared" si="80"/>
        <v>http://www.badatelna.eu/reprodukce/?fondId=241&amp;zaznamId=1133739&amp;reproId=3885749</v>
      </c>
      <c r="M5170">
        <f>VLOOKUP(F5170,Sheet2!$B$1:$E$19,2,FALSE)</f>
        <v>241</v>
      </c>
      <c r="N5170">
        <f>VLOOKUP(F5170,Sheet2!$B$1:$E$19,3,FALSE)</f>
        <v>1133739</v>
      </c>
      <c r="O5170">
        <f>IF(G5170="Not available","",VLOOKUP(F5170,Sheet2!$B$1:$E$19,4,FALSE)+(G5170-1))</f>
        <v>3885749</v>
      </c>
    </row>
    <row r="5171" spans="1:15" s="3" customFormat="1" ht="15" customHeight="1" x14ac:dyDescent="0.25">
      <c r="A5171" s="18" t="s">
        <v>457</v>
      </c>
      <c r="B5171" s="18" t="s">
        <v>93</v>
      </c>
      <c r="C5171" s="5">
        <v>1801</v>
      </c>
      <c r="D5171" s="1"/>
      <c r="E5171" s="1" t="s">
        <v>2</v>
      </c>
      <c r="F5171" s="18">
        <v>2173</v>
      </c>
      <c r="G5171" s="18">
        <v>44</v>
      </c>
      <c r="H5171" s="5">
        <v>83</v>
      </c>
      <c r="I5171" s="1">
        <v>120</v>
      </c>
      <c r="J5171" s="1">
        <v>263</v>
      </c>
      <c r="K5171" s="1"/>
      <c r="L5171" t="str">
        <f t="shared" si="80"/>
        <v>http://www.badatelna.eu/reprodukce/?fondId=1073&amp;zaznamId=1108959&amp;reproId=3780037</v>
      </c>
      <c r="M5171">
        <f>VLOOKUP(F5171,Sheet2!$B$1:$E$19,2,FALSE)</f>
        <v>1073</v>
      </c>
      <c r="N5171">
        <f>VLOOKUP(F5171,Sheet2!$B$1:$E$19,3,FALSE)</f>
        <v>1108959</v>
      </c>
      <c r="O5171">
        <f>IF(G5171="Not available","",VLOOKUP(F5171,Sheet2!$B$1:$E$19,4,FALSE)+(G5171-1))</f>
        <v>3780037</v>
      </c>
    </row>
    <row r="5172" spans="1:15" s="3" customFormat="1" ht="15" customHeight="1" x14ac:dyDescent="0.25">
      <c r="A5172" s="18" t="s">
        <v>457</v>
      </c>
      <c r="B5172" s="18" t="s">
        <v>93</v>
      </c>
      <c r="C5172" s="5">
        <v>1809</v>
      </c>
      <c r="D5172" s="1"/>
      <c r="E5172" s="1" t="s">
        <v>2</v>
      </c>
      <c r="F5172" s="18">
        <v>2173</v>
      </c>
      <c r="G5172" s="18">
        <v>55</v>
      </c>
      <c r="H5172" s="5">
        <v>105</v>
      </c>
      <c r="I5172" s="1">
        <v>120</v>
      </c>
      <c r="J5172" s="1">
        <v>263</v>
      </c>
      <c r="K5172" s="1"/>
      <c r="L5172" t="str">
        <f t="shared" si="80"/>
        <v>http://www.badatelna.eu/reprodukce/?fondId=1073&amp;zaznamId=1108959&amp;reproId=3780048</v>
      </c>
      <c r="M5172">
        <f>VLOOKUP(F5172,Sheet2!$B$1:$E$19,2,FALSE)</f>
        <v>1073</v>
      </c>
      <c r="N5172">
        <f>VLOOKUP(F5172,Sheet2!$B$1:$E$19,3,FALSE)</f>
        <v>1108959</v>
      </c>
      <c r="O5172">
        <f>IF(G5172="Not available","",VLOOKUP(F5172,Sheet2!$B$1:$E$19,4,FALSE)+(G5172-1))</f>
        <v>3780048</v>
      </c>
    </row>
    <row r="5173" spans="1:15" s="3" customFormat="1" ht="15" customHeight="1" x14ac:dyDescent="0.25">
      <c r="A5173" s="19" t="s">
        <v>457</v>
      </c>
      <c r="B5173" s="19" t="s">
        <v>93</v>
      </c>
      <c r="C5173" s="14" t="s">
        <v>3116</v>
      </c>
      <c r="D5173" s="12" t="s">
        <v>50</v>
      </c>
      <c r="E5173" s="12" t="s">
        <v>2</v>
      </c>
      <c r="F5173" s="19">
        <v>2174</v>
      </c>
      <c r="G5173" s="18">
        <v>153</v>
      </c>
      <c r="H5173" s="14" t="s">
        <v>3117</v>
      </c>
      <c r="I5173" s="12">
        <v>209</v>
      </c>
      <c r="J5173" s="12">
        <v>246</v>
      </c>
      <c r="K5173" s="12"/>
      <c r="L5173" t="str">
        <f t="shared" si="80"/>
        <v>http://www.badatelna.eu/reprodukce/?fondId=1073&amp;zaznamId=1108960&amp;reproId=3780377</v>
      </c>
      <c r="M5173">
        <f>VLOOKUP(F5173,Sheet2!$B$1:$E$19,2,FALSE)</f>
        <v>1073</v>
      </c>
      <c r="N5173">
        <f>VLOOKUP(F5173,Sheet2!$B$1:$E$19,3,FALSE)</f>
        <v>1108960</v>
      </c>
      <c r="O5173">
        <f>IF(G5173="Not available","",VLOOKUP(F5173,Sheet2!$B$1:$E$19,4,FALSE)+(G5173-1))</f>
        <v>3780377</v>
      </c>
    </row>
    <row r="5174" spans="1:15" s="3" customFormat="1" ht="15" customHeight="1" x14ac:dyDescent="0.25">
      <c r="A5174" s="18" t="s">
        <v>457</v>
      </c>
      <c r="B5174" s="25"/>
      <c r="C5174" s="5">
        <v>1834</v>
      </c>
      <c r="D5174" s="1" t="s">
        <v>22</v>
      </c>
      <c r="E5174" s="1" t="s">
        <v>2</v>
      </c>
      <c r="F5174" s="18">
        <v>2174</v>
      </c>
      <c r="G5174" s="18">
        <v>80</v>
      </c>
      <c r="H5174" s="6" t="s">
        <v>3146</v>
      </c>
      <c r="I5174" s="1">
        <v>208</v>
      </c>
      <c r="J5174" s="1">
        <v>245</v>
      </c>
      <c r="K5174" s="1"/>
      <c r="L5174" t="str">
        <f t="shared" si="80"/>
        <v>http://www.badatelna.eu/reprodukce/?fondId=1073&amp;zaznamId=1108960&amp;reproId=3780304</v>
      </c>
      <c r="M5174">
        <f>VLOOKUP(F5174,Sheet2!$B$1:$E$19,2,FALSE)</f>
        <v>1073</v>
      </c>
      <c r="N5174">
        <f>VLOOKUP(F5174,Sheet2!$B$1:$E$19,3,FALSE)</f>
        <v>1108960</v>
      </c>
      <c r="O5174">
        <f>IF(G5174="Not available","",VLOOKUP(F5174,Sheet2!$B$1:$E$19,4,FALSE)+(G5174-1))</f>
        <v>3780304</v>
      </c>
    </row>
    <row r="5175" spans="1:15" s="3" customFormat="1" ht="15" customHeight="1" x14ac:dyDescent="0.25">
      <c r="A5175" s="18" t="s">
        <v>452</v>
      </c>
      <c r="B5175" s="18" t="s">
        <v>50</v>
      </c>
      <c r="C5175" s="5">
        <v>1812</v>
      </c>
      <c r="D5175" s="1"/>
      <c r="E5175" s="1" t="s">
        <v>2</v>
      </c>
      <c r="F5175" s="18">
        <v>2173</v>
      </c>
      <c r="G5175" s="18">
        <v>59</v>
      </c>
      <c r="H5175" s="5">
        <v>112</v>
      </c>
      <c r="I5175" s="1">
        <v>121</v>
      </c>
      <c r="J5175" s="1">
        <v>264</v>
      </c>
      <c r="K5175" s="1"/>
      <c r="L5175" t="str">
        <f t="shared" si="80"/>
        <v>http://www.badatelna.eu/reprodukce/?fondId=1073&amp;zaznamId=1108959&amp;reproId=3780052</v>
      </c>
      <c r="M5175">
        <f>VLOOKUP(F5175,Sheet2!$B$1:$E$19,2,FALSE)</f>
        <v>1073</v>
      </c>
      <c r="N5175">
        <f>VLOOKUP(F5175,Sheet2!$B$1:$E$19,3,FALSE)</f>
        <v>1108959</v>
      </c>
      <c r="O5175">
        <f>IF(G5175="Not available","",VLOOKUP(F5175,Sheet2!$B$1:$E$19,4,FALSE)+(G5175-1))</f>
        <v>3780052</v>
      </c>
    </row>
    <row r="5176" spans="1:15" s="3" customFormat="1" ht="15" customHeight="1" x14ac:dyDescent="0.25">
      <c r="A5176" s="18" t="s">
        <v>452</v>
      </c>
      <c r="B5176" s="18" t="s">
        <v>477</v>
      </c>
      <c r="C5176" s="5">
        <v>1858</v>
      </c>
      <c r="D5176" s="1"/>
      <c r="E5176" s="1" t="s">
        <v>939</v>
      </c>
      <c r="F5176" s="18">
        <v>999</v>
      </c>
      <c r="G5176" s="18">
        <v>7</v>
      </c>
      <c r="H5176" s="5">
        <v>5</v>
      </c>
      <c r="I5176" s="1">
        <v>79</v>
      </c>
      <c r="J5176" s="1">
        <v>112</v>
      </c>
      <c r="K5176" s="1"/>
      <c r="L5176" t="str">
        <f t="shared" si="80"/>
        <v>http://www.badatelna.eu/reprodukce/?fondId=241&amp;zaznamId=1133739&amp;reproId=3885736</v>
      </c>
      <c r="M5176">
        <f>VLOOKUP(F5176,Sheet2!$B$1:$E$19,2,FALSE)</f>
        <v>241</v>
      </c>
      <c r="N5176">
        <f>VLOOKUP(F5176,Sheet2!$B$1:$E$19,3,FALSE)</f>
        <v>1133739</v>
      </c>
      <c r="O5176">
        <f>IF(G5176="Not available","",VLOOKUP(F5176,Sheet2!$B$1:$E$19,4,FALSE)+(G5176-1))</f>
        <v>3885736</v>
      </c>
    </row>
    <row r="5177" spans="1:15" s="3" customFormat="1" ht="15" customHeight="1" x14ac:dyDescent="0.25">
      <c r="A5177" s="18" t="s">
        <v>452</v>
      </c>
      <c r="B5177" s="18" t="s">
        <v>274</v>
      </c>
      <c r="C5177" s="5">
        <v>1799</v>
      </c>
      <c r="D5177" s="1"/>
      <c r="E5177" s="1" t="s">
        <v>2</v>
      </c>
      <c r="F5177" s="18">
        <v>2173</v>
      </c>
      <c r="G5177" s="18">
        <v>41</v>
      </c>
      <c r="H5177" s="5">
        <v>77</v>
      </c>
      <c r="I5177" s="1">
        <v>120</v>
      </c>
      <c r="J5177" s="1">
        <v>263</v>
      </c>
      <c r="K5177" s="1"/>
      <c r="L5177" t="str">
        <f t="shared" si="80"/>
        <v>http://www.badatelna.eu/reprodukce/?fondId=1073&amp;zaznamId=1108959&amp;reproId=3780034</v>
      </c>
      <c r="M5177">
        <f>VLOOKUP(F5177,Sheet2!$B$1:$E$19,2,FALSE)</f>
        <v>1073</v>
      </c>
      <c r="N5177">
        <f>VLOOKUP(F5177,Sheet2!$B$1:$E$19,3,FALSE)</f>
        <v>1108959</v>
      </c>
      <c r="O5177">
        <f>IF(G5177="Not available","",VLOOKUP(F5177,Sheet2!$B$1:$E$19,4,FALSE)+(G5177-1))</f>
        <v>3780034</v>
      </c>
    </row>
    <row r="5178" spans="1:15" s="3" customFormat="1" ht="15" customHeight="1" x14ac:dyDescent="0.25">
      <c r="A5178" s="18" t="s">
        <v>452</v>
      </c>
      <c r="B5178" s="18" t="s">
        <v>92</v>
      </c>
      <c r="C5178" s="5">
        <v>1805</v>
      </c>
      <c r="D5178" s="1"/>
      <c r="E5178" s="1" t="s">
        <v>2</v>
      </c>
      <c r="F5178" s="18">
        <v>2173</v>
      </c>
      <c r="G5178" s="18">
        <v>50</v>
      </c>
      <c r="H5178" s="5">
        <v>94</v>
      </c>
      <c r="I5178" s="1">
        <v>120</v>
      </c>
      <c r="J5178" s="1">
        <v>263</v>
      </c>
      <c r="K5178" s="1"/>
      <c r="L5178" t="str">
        <f t="shared" si="80"/>
        <v>http://www.badatelna.eu/reprodukce/?fondId=1073&amp;zaznamId=1108959&amp;reproId=3780043</v>
      </c>
      <c r="M5178">
        <f>VLOOKUP(F5178,Sheet2!$B$1:$E$19,2,FALSE)</f>
        <v>1073</v>
      </c>
      <c r="N5178">
        <f>VLOOKUP(F5178,Sheet2!$B$1:$E$19,3,FALSE)</f>
        <v>1108959</v>
      </c>
      <c r="O5178">
        <f>IF(G5178="Not available","",VLOOKUP(F5178,Sheet2!$B$1:$E$19,4,FALSE)+(G5178-1))</f>
        <v>3780043</v>
      </c>
    </row>
    <row r="5179" spans="1:15" s="3" customFormat="1" ht="15" customHeight="1" x14ac:dyDescent="0.25">
      <c r="A5179" s="18" t="s">
        <v>452</v>
      </c>
      <c r="B5179" s="18" t="s">
        <v>979</v>
      </c>
      <c r="C5179" s="5">
        <v>1864</v>
      </c>
      <c r="D5179" s="1"/>
      <c r="E5179" s="1" t="s">
        <v>939</v>
      </c>
      <c r="F5179" s="18">
        <v>999</v>
      </c>
      <c r="G5179" s="18">
        <v>49</v>
      </c>
      <c r="H5179" s="5">
        <v>47</v>
      </c>
      <c r="I5179" s="1">
        <v>79</v>
      </c>
      <c r="J5179" s="1">
        <v>112</v>
      </c>
      <c r="K5179" s="1"/>
      <c r="L5179" t="str">
        <f t="shared" si="80"/>
        <v>http://www.badatelna.eu/reprodukce/?fondId=241&amp;zaznamId=1133739&amp;reproId=3885778</v>
      </c>
      <c r="M5179">
        <f>VLOOKUP(F5179,Sheet2!$B$1:$E$19,2,FALSE)</f>
        <v>241</v>
      </c>
      <c r="N5179">
        <f>VLOOKUP(F5179,Sheet2!$B$1:$E$19,3,FALSE)</f>
        <v>1133739</v>
      </c>
      <c r="O5179">
        <f>IF(G5179="Not available","",VLOOKUP(F5179,Sheet2!$B$1:$E$19,4,FALSE)+(G5179-1))</f>
        <v>3885778</v>
      </c>
    </row>
    <row r="5180" spans="1:15" s="3" customFormat="1" ht="15" customHeight="1" x14ac:dyDescent="0.25">
      <c r="A5180" s="18" t="s">
        <v>452</v>
      </c>
      <c r="B5180" s="18" t="s">
        <v>453</v>
      </c>
      <c r="C5180" s="5">
        <v>1796</v>
      </c>
      <c r="D5180" s="12" t="s">
        <v>268</v>
      </c>
      <c r="E5180" s="1" t="s">
        <v>2</v>
      </c>
      <c r="F5180" s="18">
        <v>2173</v>
      </c>
      <c r="G5180" s="18">
        <v>35</v>
      </c>
      <c r="H5180" s="5">
        <v>64</v>
      </c>
      <c r="I5180" s="1">
        <v>120</v>
      </c>
      <c r="J5180" s="1">
        <v>263</v>
      </c>
      <c r="K5180" s="1"/>
      <c r="L5180" t="str">
        <f t="shared" si="80"/>
        <v>http://www.badatelna.eu/reprodukce/?fondId=1073&amp;zaznamId=1108959&amp;reproId=3780028</v>
      </c>
      <c r="M5180">
        <f>VLOOKUP(F5180,Sheet2!$B$1:$E$19,2,FALSE)</f>
        <v>1073</v>
      </c>
      <c r="N5180">
        <f>VLOOKUP(F5180,Sheet2!$B$1:$E$19,3,FALSE)</f>
        <v>1108959</v>
      </c>
      <c r="O5180">
        <f>IF(G5180="Not available","",VLOOKUP(F5180,Sheet2!$B$1:$E$19,4,FALSE)+(G5180-1))</f>
        <v>3780028</v>
      </c>
    </row>
    <row r="5181" spans="1:15" s="3" customFormat="1" ht="15" customHeight="1" x14ac:dyDescent="0.25">
      <c r="A5181" s="18" t="s">
        <v>452</v>
      </c>
      <c r="B5181" s="18" t="s">
        <v>14</v>
      </c>
      <c r="C5181" s="5">
        <v>1791</v>
      </c>
      <c r="D5181" s="1" t="s">
        <v>182</v>
      </c>
      <c r="E5181" s="1" t="s">
        <v>2</v>
      </c>
      <c r="F5181" s="18">
        <v>2173</v>
      </c>
      <c r="G5181" s="18">
        <v>25</v>
      </c>
      <c r="H5181" s="5">
        <v>44</v>
      </c>
      <c r="I5181" s="1">
        <v>120</v>
      </c>
      <c r="J5181" s="1">
        <v>263</v>
      </c>
      <c r="K5181" s="1"/>
      <c r="L5181" t="str">
        <f t="shared" si="80"/>
        <v>http://www.badatelna.eu/reprodukce/?fondId=1073&amp;zaznamId=1108959&amp;reproId=3780018</v>
      </c>
      <c r="M5181">
        <f>VLOOKUP(F5181,Sheet2!$B$1:$E$19,2,FALSE)</f>
        <v>1073</v>
      </c>
      <c r="N5181">
        <f>VLOOKUP(F5181,Sheet2!$B$1:$E$19,3,FALSE)</f>
        <v>1108959</v>
      </c>
      <c r="O5181">
        <f>IF(G5181="Not available","",VLOOKUP(F5181,Sheet2!$B$1:$E$19,4,FALSE)+(G5181-1))</f>
        <v>3780018</v>
      </c>
    </row>
    <row r="5182" spans="1:15" s="3" customFormat="1" ht="15" customHeight="1" x14ac:dyDescent="0.25">
      <c r="A5182" s="19" t="s">
        <v>452</v>
      </c>
      <c r="B5182" s="18" t="s">
        <v>249</v>
      </c>
      <c r="C5182" s="5">
        <v>1789</v>
      </c>
      <c r="D5182" s="1" t="s">
        <v>182</v>
      </c>
      <c r="E5182" s="1" t="s">
        <v>2</v>
      </c>
      <c r="F5182" s="18">
        <v>2173</v>
      </c>
      <c r="G5182" s="18">
        <v>20</v>
      </c>
      <c r="H5182" s="5">
        <v>35</v>
      </c>
      <c r="I5182" s="1">
        <v>120</v>
      </c>
      <c r="J5182" s="1">
        <v>263</v>
      </c>
      <c r="K5182" s="1"/>
      <c r="L5182" t="str">
        <f t="shared" si="80"/>
        <v>http://www.badatelna.eu/reprodukce/?fondId=1073&amp;zaznamId=1108959&amp;reproId=3780013</v>
      </c>
      <c r="M5182">
        <f>VLOOKUP(F5182,Sheet2!$B$1:$E$19,2,FALSE)</f>
        <v>1073</v>
      </c>
      <c r="N5182">
        <f>VLOOKUP(F5182,Sheet2!$B$1:$E$19,3,FALSE)</f>
        <v>1108959</v>
      </c>
      <c r="O5182">
        <f>IF(G5182="Not available","",VLOOKUP(F5182,Sheet2!$B$1:$E$19,4,FALSE)+(G5182-1))</f>
        <v>3780013</v>
      </c>
    </row>
    <row r="5183" spans="1:15" s="3" customFormat="1" ht="15" customHeight="1" x14ac:dyDescent="0.25">
      <c r="A5183" s="19" t="s">
        <v>452</v>
      </c>
      <c r="B5183" s="18" t="s">
        <v>6</v>
      </c>
      <c r="C5183" s="5">
        <v>1787</v>
      </c>
      <c r="D5183" s="1" t="s">
        <v>182</v>
      </c>
      <c r="E5183" s="1" t="s">
        <v>2</v>
      </c>
      <c r="F5183" s="18">
        <v>2173</v>
      </c>
      <c r="G5183" s="18">
        <v>23</v>
      </c>
      <c r="H5183" s="5">
        <v>21</v>
      </c>
      <c r="I5183" s="1">
        <v>120</v>
      </c>
      <c r="J5183" s="1">
        <v>263</v>
      </c>
      <c r="K5183" s="1"/>
      <c r="L5183" t="str">
        <f t="shared" si="80"/>
        <v>http://www.badatelna.eu/reprodukce/?fondId=1073&amp;zaznamId=1108959&amp;reproId=3780016</v>
      </c>
      <c r="M5183">
        <f>VLOOKUP(F5183,Sheet2!$B$1:$E$19,2,FALSE)</f>
        <v>1073</v>
      </c>
      <c r="N5183">
        <f>VLOOKUP(F5183,Sheet2!$B$1:$E$19,3,FALSE)</f>
        <v>1108959</v>
      </c>
      <c r="O5183">
        <f>IF(G5183="Not available","",VLOOKUP(F5183,Sheet2!$B$1:$E$19,4,FALSE)+(G5183-1))</f>
        <v>3780016</v>
      </c>
    </row>
    <row r="5184" spans="1:15" s="3" customFormat="1" ht="15" customHeight="1" x14ac:dyDescent="0.25">
      <c r="A5184" s="18" t="s">
        <v>452</v>
      </c>
      <c r="B5184" s="18" t="s">
        <v>6</v>
      </c>
      <c r="C5184" s="5">
        <v>1811</v>
      </c>
      <c r="D5184" s="1"/>
      <c r="E5184" s="1" t="s">
        <v>2</v>
      </c>
      <c r="F5184" s="18">
        <v>2173</v>
      </c>
      <c r="G5184" s="18">
        <v>57</v>
      </c>
      <c r="H5184" s="5">
        <v>109</v>
      </c>
      <c r="I5184" s="1">
        <v>121</v>
      </c>
      <c r="J5184" s="1">
        <v>264</v>
      </c>
      <c r="K5184" s="1"/>
      <c r="L5184" t="str">
        <f t="shared" si="80"/>
        <v>http://www.badatelna.eu/reprodukce/?fondId=1073&amp;zaznamId=1108959&amp;reproId=3780050</v>
      </c>
      <c r="M5184">
        <f>VLOOKUP(F5184,Sheet2!$B$1:$E$19,2,FALSE)</f>
        <v>1073</v>
      </c>
      <c r="N5184">
        <f>VLOOKUP(F5184,Sheet2!$B$1:$E$19,3,FALSE)</f>
        <v>1108959</v>
      </c>
      <c r="O5184">
        <f>IF(G5184="Not available","",VLOOKUP(F5184,Sheet2!$B$1:$E$19,4,FALSE)+(G5184-1))</f>
        <v>3780050</v>
      </c>
    </row>
    <row r="5185" spans="1:15" s="3" customFormat="1" ht="15" customHeight="1" x14ac:dyDescent="0.25">
      <c r="A5185" s="18" t="s">
        <v>452</v>
      </c>
      <c r="B5185" s="18" t="s">
        <v>467</v>
      </c>
      <c r="C5185" s="5">
        <v>1833</v>
      </c>
      <c r="D5185" s="1" t="s">
        <v>86</v>
      </c>
      <c r="E5185" s="1" t="s">
        <v>2</v>
      </c>
      <c r="F5185" s="18">
        <v>2174</v>
      </c>
      <c r="G5185" s="18">
        <v>71</v>
      </c>
      <c r="H5185" s="6" t="s">
        <v>3139</v>
      </c>
      <c r="I5185" s="1">
        <v>208</v>
      </c>
      <c r="J5185" s="1">
        <v>245</v>
      </c>
      <c r="K5185" s="1"/>
      <c r="L5185" t="str">
        <f t="shared" si="80"/>
        <v>http://www.badatelna.eu/reprodukce/?fondId=1073&amp;zaznamId=1108960&amp;reproId=3780295</v>
      </c>
      <c r="M5185">
        <f>VLOOKUP(F5185,Sheet2!$B$1:$E$19,2,FALSE)</f>
        <v>1073</v>
      </c>
      <c r="N5185">
        <f>VLOOKUP(F5185,Sheet2!$B$1:$E$19,3,FALSE)</f>
        <v>1108960</v>
      </c>
      <c r="O5185">
        <f>IF(G5185="Not available","",VLOOKUP(F5185,Sheet2!$B$1:$E$19,4,FALSE)+(G5185-1))</f>
        <v>3780295</v>
      </c>
    </row>
    <row r="5186" spans="1:15" s="3" customFormat="1" ht="15" customHeight="1" x14ac:dyDescent="0.25">
      <c r="A5186" s="18" t="s">
        <v>452</v>
      </c>
      <c r="B5186" s="18" t="s">
        <v>885</v>
      </c>
      <c r="C5186" s="5" t="s">
        <v>1697</v>
      </c>
      <c r="D5186" s="1" t="s">
        <v>422</v>
      </c>
      <c r="E5186" s="1" t="s">
        <v>2</v>
      </c>
      <c r="F5186" s="18">
        <v>2165</v>
      </c>
      <c r="G5186" s="18">
        <v>42</v>
      </c>
      <c r="H5186" s="5">
        <v>39</v>
      </c>
      <c r="I5186" s="1">
        <v>97</v>
      </c>
      <c r="J5186" s="4" t="s">
        <v>3271</v>
      </c>
      <c r="K5186" s="1"/>
      <c r="L5186" t="str">
        <f t="shared" si="80"/>
        <v>http://www.badatelna.eu/reprodukce/?fondId=1073&amp;zaznamId=1108952&amp;reproId=3778903</v>
      </c>
      <c r="M5186">
        <f>VLOOKUP(F5186,Sheet2!$B$1:$E$19,2,FALSE)</f>
        <v>1073</v>
      </c>
      <c r="N5186">
        <f>VLOOKUP(F5186,Sheet2!$B$1:$E$19,3,FALSE)</f>
        <v>1108952</v>
      </c>
      <c r="O5186">
        <f>IF(G5186="Not available","",VLOOKUP(F5186,Sheet2!$B$1:$E$19,4,FALSE)+(G5186-1))</f>
        <v>3778903</v>
      </c>
    </row>
    <row r="5187" spans="1:15" s="3" customFormat="1" ht="15" customHeight="1" x14ac:dyDescent="0.25">
      <c r="A5187" s="18" t="s">
        <v>452</v>
      </c>
      <c r="B5187" s="18" t="s">
        <v>948</v>
      </c>
      <c r="C5187" s="5" t="s">
        <v>1706</v>
      </c>
      <c r="D5187" s="1" t="s">
        <v>422</v>
      </c>
      <c r="E5187" s="1" t="s">
        <v>2</v>
      </c>
      <c r="F5187" s="18">
        <v>2165</v>
      </c>
      <c r="G5187" s="18">
        <v>63</v>
      </c>
      <c r="H5187" s="5">
        <v>60</v>
      </c>
      <c r="I5187" s="1">
        <v>98</v>
      </c>
      <c r="J5187" s="4" t="s">
        <v>3271</v>
      </c>
      <c r="K5187" s="1"/>
      <c r="L5187" t="str">
        <f t="shared" ref="L5187:L5250" si="81">IF(G5187="Not available","","http://www.badatelna.eu/reprodukce/?fondId="&amp;M5187&amp;"&amp;zaznamId="&amp;N5187&amp;"&amp;reproId="&amp;O5187)</f>
        <v>http://www.badatelna.eu/reprodukce/?fondId=1073&amp;zaznamId=1108952&amp;reproId=3778924</v>
      </c>
      <c r="M5187">
        <f>VLOOKUP(F5187,Sheet2!$B$1:$E$19,2,FALSE)</f>
        <v>1073</v>
      </c>
      <c r="N5187">
        <f>VLOOKUP(F5187,Sheet2!$B$1:$E$19,3,FALSE)</f>
        <v>1108952</v>
      </c>
      <c r="O5187">
        <f>IF(G5187="Not available","",VLOOKUP(F5187,Sheet2!$B$1:$E$19,4,FALSE)+(G5187-1))</f>
        <v>3778924</v>
      </c>
    </row>
    <row r="5188" spans="1:15" s="3" customFormat="1" ht="15" customHeight="1" x14ac:dyDescent="0.25">
      <c r="A5188" s="18" t="s">
        <v>452</v>
      </c>
      <c r="B5188" s="19" t="s">
        <v>992</v>
      </c>
      <c r="C5188" s="5">
        <v>1862</v>
      </c>
      <c r="D5188" s="1"/>
      <c r="E5188" s="1" t="s">
        <v>939</v>
      </c>
      <c r="F5188" s="18">
        <v>999</v>
      </c>
      <c r="G5188" s="18">
        <v>37</v>
      </c>
      <c r="H5188" s="6" t="s">
        <v>2882</v>
      </c>
      <c r="I5188" s="1">
        <v>79</v>
      </c>
      <c r="J5188" s="1">
        <v>112</v>
      </c>
      <c r="K5188" s="1"/>
      <c r="L5188" t="str">
        <f t="shared" si="81"/>
        <v>http://www.badatelna.eu/reprodukce/?fondId=241&amp;zaznamId=1133739&amp;reproId=3885766</v>
      </c>
      <c r="M5188">
        <f>VLOOKUP(F5188,Sheet2!$B$1:$E$19,2,FALSE)</f>
        <v>241</v>
      </c>
      <c r="N5188">
        <f>VLOOKUP(F5188,Sheet2!$B$1:$E$19,3,FALSE)</f>
        <v>1133739</v>
      </c>
      <c r="O5188">
        <f>IF(G5188="Not available","",VLOOKUP(F5188,Sheet2!$B$1:$E$19,4,FALSE)+(G5188-1))</f>
        <v>3885766</v>
      </c>
    </row>
    <row r="5189" spans="1:15" s="3" customFormat="1" ht="15" customHeight="1" x14ac:dyDescent="0.25">
      <c r="A5189" s="18" t="s">
        <v>452</v>
      </c>
      <c r="B5189" s="18" t="s">
        <v>12</v>
      </c>
      <c r="C5189" s="5">
        <v>1860</v>
      </c>
      <c r="D5189" s="1"/>
      <c r="E5189" s="1" t="s">
        <v>939</v>
      </c>
      <c r="F5189" s="18">
        <v>999</v>
      </c>
      <c r="G5189" s="18">
        <v>19</v>
      </c>
      <c r="H5189" s="5">
        <v>17</v>
      </c>
      <c r="I5189" s="1">
        <v>79</v>
      </c>
      <c r="J5189" s="1">
        <v>112</v>
      </c>
      <c r="K5189" s="1"/>
      <c r="L5189" t="str">
        <f t="shared" si="81"/>
        <v>http://www.badatelna.eu/reprodukce/?fondId=241&amp;zaznamId=1133739&amp;reproId=3885748</v>
      </c>
      <c r="M5189">
        <f>VLOOKUP(F5189,Sheet2!$B$1:$E$19,2,FALSE)</f>
        <v>241</v>
      </c>
      <c r="N5189">
        <f>VLOOKUP(F5189,Sheet2!$B$1:$E$19,3,FALSE)</f>
        <v>1133739</v>
      </c>
      <c r="O5189">
        <f>IF(G5189="Not available","",VLOOKUP(F5189,Sheet2!$B$1:$E$19,4,FALSE)+(G5189-1))</f>
        <v>3885748</v>
      </c>
    </row>
    <row r="5190" spans="1:15" s="3" customFormat="1" ht="15" customHeight="1" x14ac:dyDescent="0.25">
      <c r="A5190" s="18" t="s">
        <v>452</v>
      </c>
      <c r="B5190" s="18" t="s">
        <v>51</v>
      </c>
      <c r="C5190" s="5">
        <v>1805</v>
      </c>
      <c r="D5190" s="1"/>
      <c r="E5190" s="1" t="s">
        <v>2</v>
      </c>
      <c r="F5190" s="18">
        <v>2173</v>
      </c>
      <c r="G5190" s="18">
        <v>49</v>
      </c>
      <c r="H5190" s="5">
        <v>93</v>
      </c>
      <c r="I5190" s="1">
        <v>120</v>
      </c>
      <c r="J5190" s="1">
        <v>263</v>
      </c>
      <c r="K5190" s="1"/>
      <c r="L5190" t="str">
        <f t="shared" si="81"/>
        <v>http://www.badatelna.eu/reprodukce/?fondId=1073&amp;zaznamId=1108959&amp;reproId=3780042</v>
      </c>
      <c r="M5190">
        <f>VLOOKUP(F5190,Sheet2!$B$1:$E$19,2,FALSE)</f>
        <v>1073</v>
      </c>
      <c r="N5190">
        <f>VLOOKUP(F5190,Sheet2!$B$1:$E$19,3,FALSE)</f>
        <v>1108959</v>
      </c>
      <c r="O5190">
        <f>IF(G5190="Not available","",VLOOKUP(F5190,Sheet2!$B$1:$E$19,4,FALSE)+(G5190-1))</f>
        <v>3780042</v>
      </c>
    </row>
    <row r="5191" spans="1:15" s="3" customFormat="1" ht="15" customHeight="1" x14ac:dyDescent="0.25">
      <c r="A5191" s="18" t="s">
        <v>452</v>
      </c>
      <c r="B5191" s="18" t="s">
        <v>169</v>
      </c>
      <c r="C5191" s="5">
        <v>1823</v>
      </c>
      <c r="D5191" s="1"/>
      <c r="E5191" s="1" t="s">
        <v>2</v>
      </c>
      <c r="F5191" s="18">
        <v>2173</v>
      </c>
      <c r="G5191" s="18">
        <v>74</v>
      </c>
      <c r="H5191" s="5">
        <v>141</v>
      </c>
      <c r="I5191" s="1">
        <v>121</v>
      </c>
      <c r="J5191" s="1">
        <v>264</v>
      </c>
      <c r="K5191" s="1"/>
      <c r="L5191" t="str">
        <f t="shared" si="81"/>
        <v>http://www.badatelna.eu/reprodukce/?fondId=1073&amp;zaznamId=1108959&amp;reproId=3780067</v>
      </c>
      <c r="M5191">
        <f>VLOOKUP(F5191,Sheet2!$B$1:$E$19,2,FALSE)</f>
        <v>1073</v>
      </c>
      <c r="N5191">
        <f>VLOOKUP(F5191,Sheet2!$B$1:$E$19,3,FALSE)</f>
        <v>1108959</v>
      </c>
      <c r="O5191">
        <f>IF(G5191="Not available","",VLOOKUP(F5191,Sheet2!$B$1:$E$19,4,FALSE)+(G5191-1))</f>
        <v>3780067</v>
      </c>
    </row>
    <row r="5192" spans="1:15" s="3" customFormat="1" ht="15" customHeight="1" x14ac:dyDescent="0.25">
      <c r="A5192" s="18" t="s">
        <v>452</v>
      </c>
      <c r="B5192" s="18" t="s">
        <v>56</v>
      </c>
      <c r="C5192" s="5">
        <v>1819</v>
      </c>
      <c r="D5192" s="1"/>
      <c r="E5192" s="1" t="s">
        <v>2</v>
      </c>
      <c r="F5192" s="18">
        <v>2173</v>
      </c>
      <c r="G5192" s="18">
        <v>69</v>
      </c>
      <c r="H5192" s="5">
        <v>130</v>
      </c>
      <c r="I5192" s="1">
        <v>121</v>
      </c>
      <c r="J5192" s="1">
        <v>264</v>
      </c>
      <c r="K5192" s="1"/>
      <c r="L5192" t="str">
        <f t="shared" si="81"/>
        <v>http://www.badatelna.eu/reprodukce/?fondId=1073&amp;zaznamId=1108959&amp;reproId=3780062</v>
      </c>
      <c r="M5192">
        <f>VLOOKUP(F5192,Sheet2!$B$1:$E$19,2,FALSE)</f>
        <v>1073</v>
      </c>
      <c r="N5192">
        <f>VLOOKUP(F5192,Sheet2!$B$1:$E$19,3,FALSE)</f>
        <v>1108959</v>
      </c>
      <c r="O5192">
        <f>IF(G5192="Not available","",VLOOKUP(F5192,Sheet2!$B$1:$E$19,4,FALSE)+(G5192-1))</f>
        <v>3780062</v>
      </c>
    </row>
    <row r="5193" spans="1:15" s="3" customFormat="1" ht="15" customHeight="1" x14ac:dyDescent="0.25">
      <c r="A5193" s="18" t="s">
        <v>452</v>
      </c>
      <c r="B5193" s="18" t="s">
        <v>30</v>
      </c>
      <c r="C5193" s="5">
        <v>1814</v>
      </c>
      <c r="D5193" s="1"/>
      <c r="E5193" s="1" t="s">
        <v>2</v>
      </c>
      <c r="F5193" s="18">
        <v>2173</v>
      </c>
      <c r="G5193" s="18">
        <v>62</v>
      </c>
      <c r="H5193" s="5">
        <v>119</v>
      </c>
      <c r="I5193" s="1">
        <v>121</v>
      </c>
      <c r="J5193" s="1">
        <v>264</v>
      </c>
      <c r="K5193" s="1"/>
      <c r="L5193" t="str">
        <f t="shared" si="81"/>
        <v>http://www.badatelna.eu/reprodukce/?fondId=1073&amp;zaznamId=1108959&amp;reproId=3780055</v>
      </c>
      <c r="M5193">
        <f>VLOOKUP(F5193,Sheet2!$B$1:$E$19,2,FALSE)</f>
        <v>1073</v>
      </c>
      <c r="N5193">
        <f>VLOOKUP(F5193,Sheet2!$B$1:$E$19,3,FALSE)</f>
        <v>1108959</v>
      </c>
      <c r="O5193">
        <f>IF(G5193="Not available","",VLOOKUP(F5193,Sheet2!$B$1:$E$19,4,FALSE)+(G5193-1))</f>
        <v>3780055</v>
      </c>
    </row>
    <row r="5194" spans="1:15" s="3" customFormat="1" ht="15" customHeight="1" x14ac:dyDescent="0.25">
      <c r="A5194" s="19" t="s">
        <v>452</v>
      </c>
      <c r="B5194" s="18" t="s">
        <v>49</v>
      </c>
      <c r="C5194" s="5">
        <v>1789</v>
      </c>
      <c r="D5194" s="1" t="s">
        <v>50</v>
      </c>
      <c r="E5194" s="1" t="s">
        <v>2</v>
      </c>
      <c r="F5194" s="18">
        <v>2173</v>
      </c>
      <c r="G5194" s="18">
        <v>21</v>
      </c>
      <c r="H5194" s="5">
        <v>37</v>
      </c>
      <c r="I5194" s="1">
        <v>120</v>
      </c>
      <c r="J5194" s="1">
        <v>263</v>
      </c>
      <c r="K5194" s="1"/>
      <c r="L5194" t="str">
        <f t="shared" si="81"/>
        <v>http://www.badatelna.eu/reprodukce/?fondId=1073&amp;zaznamId=1108959&amp;reproId=3780014</v>
      </c>
      <c r="M5194">
        <f>VLOOKUP(F5194,Sheet2!$B$1:$E$19,2,FALSE)</f>
        <v>1073</v>
      </c>
      <c r="N5194">
        <f>VLOOKUP(F5194,Sheet2!$B$1:$E$19,3,FALSE)</f>
        <v>1108959</v>
      </c>
      <c r="O5194">
        <f>IF(G5194="Not available","",VLOOKUP(F5194,Sheet2!$B$1:$E$19,4,FALSE)+(G5194-1))</f>
        <v>3780014</v>
      </c>
    </row>
    <row r="5195" spans="1:15" s="3" customFormat="1" ht="15" customHeight="1" x14ac:dyDescent="0.25">
      <c r="A5195" s="18" t="s">
        <v>452</v>
      </c>
      <c r="B5195" s="18" t="s">
        <v>310</v>
      </c>
      <c r="C5195" s="5">
        <v>1825</v>
      </c>
      <c r="D5195" s="1"/>
      <c r="E5195" s="1" t="s">
        <v>2</v>
      </c>
      <c r="F5195" s="18">
        <v>2173</v>
      </c>
      <c r="G5195" s="18">
        <v>77</v>
      </c>
      <c r="H5195" s="5">
        <v>146</v>
      </c>
      <c r="I5195" s="1">
        <v>121</v>
      </c>
      <c r="J5195" s="1">
        <v>264</v>
      </c>
      <c r="K5195" s="1"/>
      <c r="L5195" t="str">
        <f t="shared" si="81"/>
        <v>http://www.badatelna.eu/reprodukce/?fondId=1073&amp;zaznamId=1108959&amp;reproId=3780070</v>
      </c>
      <c r="M5195">
        <f>VLOOKUP(F5195,Sheet2!$B$1:$E$19,2,FALSE)</f>
        <v>1073</v>
      </c>
      <c r="N5195">
        <f>VLOOKUP(F5195,Sheet2!$B$1:$E$19,3,FALSE)</f>
        <v>1108959</v>
      </c>
      <c r="O5195">
        <f>IF(G5195="Not available","",VLOOKUP(F5195,Sheet2!$B$1:$E$19,4,FALSE)+(G5195-1))</f>
        <v>3780070</v>
      </c>
    </row>
    <row r="5196" spans="1:15" s="3" customFormat="1" ht="15" customHeight="1" x14ac:dyDescent="0.25">
      <c r="A5196" s="18" t="s">
        <v>452</v>
      </c>
      <c r="B5196" s="18" t="s">
        <v>182</v>
      </c>
      <c r="C5196" s="5">
        <v>1829</v>
      </c>
      <c r="D5196" s="1"/>
      <c r="E5196" s="1" t="s">
        <v>2</v>
      </c>
      <c r="F5196" s="18">
        <v>2173</v>
      </c>
      <c r="G5196" s="18">
        <v>82</v>
      </c>
      <c r="H5196" s="5">
        <v>156</v>
      </c>
      <c r="I5196" s="1">
        <v>121</v>
      </c>
      <c r="J5196" s="1">
        <v>264</v>
      </c>
      <c r="K5196" s="1"/>
      <c r="L5196" t="str">
        <f t="shared" si="81"/>
        <v>http://www.badatelna.eu/reprodukce/?fondId=1073&amp;zaznamId=1108959&amp;reproId=3780075</v>
      </c>
      <c r="M5196">
        <f>VLOOKUP(F5196,Sheet2!$B$1:$E$19,2,FALSE)</f>
        <v>1073</v>
      </c>
      <c r="N5196">
        <f>VLOOKUP(F5196,Sheet2!$B$1:$E$19,3,FALSE)</f>
        <v>1108959</v>
      </c>
      <c r="O5196">
        <f>IF(G5196="Not available","",VLOOKUP(F5196,Sheet2!$B$1:$E$19,4,FALSE)+(G5196-1))</f>
        <v>3780075</v>
      </c>
    </row>
    <row r="5197" spans="1:15" s="3" customFormat="1" ht="15" customHeight="1" x14ac:dyDescent="0.25">
      <c r="A5197" s="18" t="s">
        <v>452</v>
      </c>
      <c r="B5197" s="18" t="s">
        <v>13</v>
      </c>
      <c r="C5197" s="5">
        <v>1827</v>
      </c>
      <c r="D5197" s="1"/>
      <c r="E5197" s="1" t="s">
        <v>2</v>
      </c>
      <c r="F5197" s="18">
        <v>2173</v>
      </c>
      <c r="G5197" s="18">
        <v>79</v>
      </c>
      <c r="H5197" s="5">
        <v>151</v>
      </c>
      <c r="I5197" s="1">
        <v>121</v>
      </c>
      <c r="J5197" s="1">
        <v>264</v>
      </c>
      <c r="K5197" s="1"/>
      <c r="L5197" t="str">
        <f t="shared" si="81"/>
        <v>http://www.badatelna.eu/reprodukce/?fondId=1073&amp;zaznamId=1108959&amp;reproId=3780072</v>
      </c>
      <c r="M5197">
        <f>VLOOKUP(F5197,Sheet2!$B$1:$E$19,2,FALSE)</f>
        <v>1073</v>
      </c>
      <c r="N5197">
        <f>VLOOKUP(F5197,Sheet2!$B$1:$E$19,3,FALSE)</f>
        <v>1108959</v>
      </c>
      <c r="O5197">
        <f>IF(G5197="Not available","",VLOOKUP(F5197,Sheet2!$B$1:$E$19,4,FALSE)+(G5197-1))</f>
        <v>3780072</v>
      </c>
    </row>
    <row r="5198" spans="1:15" s="3" customFormat="1" ht="15" customHeight="1" x14ac:dyDescent="0.25">
      <c r="A5198" s="19" t="s">
        <v>452</v>
      </c>
      <c r="B5198" s="18" t="s">
        <v>143</v>
      </c>
      <c r="C5198" s="5">
        <v>1794</v>
      </c>
      <c r="D5198" s="4" t="s">
        <v>394</v>
      </c>
      <c r="E5198" s="1" t="s">
        <v>2</v>
      </c>
      <c r="F5198" s="18">
        <v>2173</v>
      </c>
      <c r="G5198" s="18">
        <v>32</v>
      </c>
      <c r="H5198" s="5">
        <v>58</v>
      </c>
      <c r="I5198" s="1">
        <v>120</v>
      </c>
      <c r="J5198" s="1">
        <v>263</v>
      </c>
      <c r="K5198" s="1"/>
      <c r="L5198" t="str">
        <f t="shared" si="81"/>
        <v>http://www.badatelna.eu/reprodukce/?fondId=1073&amp;zaznamId=1108959&amp;reproId=3780025</v>
      </c>
      <c r="M5198">
        <f>VLOOKUP(F5198,Sheet2!$B$1:$E$19,2,FALSE)</f>
        <v>1073</v>
      </c>
      <c r="N5198">
        <f>VLOOKUP(F5198,Sheet2!$B$1:$E$19,3,FALSE)</f>
        <v>1108959</v>
      </c>
      <c r="O5198">
        <f>IF(G5198="Not available","",VLOOKUP(F5198,Sheet2!$B$1:$E$19,4,FALSE)+(G5198-1))</f>
        <v>3780025</v>
      </c>
    </row>
    <row r="5199" spans="1:15" s="3" customFormat="1" ht="15" customHeight="1" x14ac:dyDescent="0.25">
      <c r="A5199" s="18" t="s">
        <v>452</v>
      </c>
      <c r="B5199" s="18" t="s">
        <v>143</v>
      </c>
      <c r="C5199" s="5" t="s">
        <v>1683</v>
      </c>
      <c r="D5199" s="1" t="s">
        <v>422</v>
      </c>
      <c r="E5199" s="1" t="s">
        <v>2</v>
      </c>
      <c r="F5199" s="18">
        <v>2165</v>
      </c>
      <c r="G5199" s="18">
        <v>16</v>
      </c>
      <c r="H5199" s="5">
        <v>13</v>
      </c>
      <c r="I5199" s="1">
        <v>97</v>
      </c>
      <c r="J5199" s="4" t="s">
        <v>3271</v>
      </c>
      <c r="K5199" s="1"/>
      <c r="L5199" t="str">
        <f t="shared" si="81"/>
        <v>http://www.badatelna.eu/reprodukce/?fondId=1073&amp;zaznamId=1108952&amp;reproId=3778877</v>
      </c>
      <c r="M5199">
        <f>VLOOKUP(F5199,Sheet2!$B$1:$E$19,2,FALSE)</f>
        <v>1073</v>
      </c>
      <c r="N5199">
        <f>VLOOKUP(F5199,Sheet2!$B$1:$E$19,3,FALSE)</f>
        <v>1108952</v>
      </c>
      <c r="O5199">
        <f>IF(G5199="Not available","",VLOOKUP(F5199,Sheet2!$B$1:$E$19,4,FALSE)+(G5199-1))</f>
        <v>3778877</v>
      </c>
    </row>
    <row r="5200" spans="1:15" s="3" customFormat="1" ht="15" customHeight="1" x14ac:dyDescent="0.25">
      <c r="A5200" s="18" t="s">
        <v>452</v>
      </c>
      <c r="B5200" s="18" t="s">
        <v>130</v>
      </c>
      <c r="C5200" s="5">
        <v>1821</v>
      </c>
      <c r="D5200" s="1"/>
      <c r="E5200" s="1" t="s">
        <v>2</v>
      </c>
      <c r="F5200" s="18">
        <v>2173</v>
      </c>
      <c r="G5200" s="18">
        <v>71</v>
      </c>
      <c r="H5200" s="5">
        <v>135</v>
      </c>
      <c r="I5200" s="1">
        <v>121</v>
      </c>
      <c r="J5200" s="1">
        <v>264</v>
      </c>
      <c r="K5200" s="1"/>
      <c r="L5200" t="str">
        <f t="shared" si="81"/>
        <v>http://www.badatelna.eu/reprodukce/?fondId=1073&amp;zaznamId=1108959&amp;reproId=3780064</v>
      </c>
      <c r="M5200">
        <f>VLOOKUP(F5200,Sheet2!$B$1:$E$19,2,FALSE)</f>
        <v>1073</v>
      </c>
      <c r="N5200">
        <f>VLOOKUP(F5200,Sheet2!$B$1:$E$19,3,FALSE)</f>
        <v>1108959</v>
      </c>
      <c r="O5200">
        <f>IF(G5200="Not available","",VLOOKUP(F5200,Sheet2!$B$1:$E$19,4,FALSE)+(G5200-1))</f>
        <v>3780064</v>
      </c>
    </row>
    <row r="5201" spans="1:15" s="3" customFormat="1" ht="15" customHeight="1" x14ac:dyDescent="0.25">
      <c r="A5201" s="18" t="s">
        <v>452</v>
      </c>
      <c r="B5201" s="18" t="s">
        <v>23</v>
      </c>
      <c r="C5201" s="5">
        <v>1816</v>
      </c>
      <c r="D5201" s="1"/>
      <c r="E5201" s="1" t="s">
        <v>2</v>
      </c>
      <c r="F5201" s="18">
        <v>2173</v>
      </c>
      <c r="G5201" s="18">
        <v>65</v>
      </c>
      <c r="H5201" s="5">
        <v>124</v>
      </c>
      <c r="I5201" s="1">
        <v>121</v>
      </c>
      <c r="J5201" s="1">
        <v>264</v>
      </c>
      <c r="K5201" s="1"/>
      <c r="L5201" t="str">
        <f t="shared" si="81"/>
        <v>http://www.badatelna.eu/reprodukce/?fondId=1073&amp;zaznamId=1108959&amp;reproId=3780058</v>
      </c>
      <c r="M5201">
        <f>VLOOKUP(F5201,Sheet2!$B$1:$E$19,2,FALSE)</f>
        <v>1073</v>
      </c>
      <c r="N5201">
        <f>VLOOKUP(F5201,Sheet2!$B$1:$E$19,3,FALSE)</f>
        <v>1108959</v>
      </c>
      <c r="O5201">
        <f>IF(G5201="Not available","",VLOOKUP(F5201,Sheet2!$B$1:$E$19,4,FALSE)+(G5201-1))</f>
        <v>3780058</v>
      </c>
    </row>
    <row r="5202" spans="1:15" s="3" customFormat="1" ht="15" customHeight="1" x14ac:dyDescent="0.25">
      <c r="A5202" s="18" t="s">
        <v>452</v>
      </c>
      <c r="B5202" s="18" t="s">
        <v>455</v>
      </c>
      <c r="C5202" s="5">
        <v>1797</v>
      </c>
      <c r="D5202" s="1" t="s">
        <v>182</v>
      </c>
      <c r="E5202" s="1" t="s">
        <v>2</v>
      </c>
      <c r="F5202" s="18">
        <v>2173</v>
      </c>
      <c r="G5202" s="18">
        <v>35</v>
      </c>
      <c r="H5202" s="5">
        <v>65</v>
      </c>
      <c r="I5202" s="1">
        <v>120</v>
      </c>
      <c r="J5202" s="1">
        <v>263</v>
      </c>
      <c r="K5202" s="1"/>
      <c r="L5202" t="str">
        <f t="shared" si="81"/>
        <v>http://www.badatelna.eu/reprodukce/?fondId=1073&amp;zaznamId=1108959&amp;reproId=3780028</v>
      </c>
      <c r="M5202">
        <f>VLOOKUP(F5202,Sheet2!$B$1:$E$19,2,FALSE)</f>
        <v>1073</v>
      </c>
      <c r="N5202">
        <f>VLOOKUP(F5202,Sheet2!$B$1:$E$19,3,FALSE)</f>
        <v>1108959</v>
      </c>
      <c r="O5202">
        <f>IF(G5202="Not available","",VLOOKUP(F5202,Sheet2!$B$1:$E$19,4,FALSE)+(G5202-1))</f>
        <v>3780028</v>
      </c>
    </row>
    <row r="5203" spans="1:15" s="3" customFormat="1" ht="15" customHeight="1" x14ac:dyDescent="0.25">
      <c r="A5203" s="19" t="s">
        <v>452</v>
      </c>
      <c r="B5203" s="18" t="s">
        <v>465</v>
      </c>
      <c r="C5203" s="5">
        <v>1831</v>
      </c>
      <c r="D5203" s="1" t="s">
        <v>6</v>
      </c>
      <c r="E5203" s="1" t="s">
        <v>2</v>
      </c>
      <c r="F5203" s="18">
        <v>2174</v>
      </c>
      <c r="G5203" s="18">
        <v>64</v>
      </c>
      <c r="H5203" s="6" t="s">
        <v>3108</v>
      </c>
      <c r="I5203" s="1">
        <v>208</v>
      </c>
      <c r="J5203" s="1">
        <v>245</v>
      </c>
      <c r="K5203" s="1"/>
      <c r="L5203" t="str">
        <f t="shared" si="81"/>
        <v>http://www.badatelna.eu/reprodukce/?fondId=1073&amp;zaznamId=1108960&amp;reproId=3780288</v>
      </c>
      <c r="M5203">
        <f>VLOOKUP(F5203,Sheet2!$B$1:$E$19,2,FALSE)</f>
        <v>1073</v>
      </c>
      <c r="N5203">
        <f>VLOOKUP(F5203,Sheet2!$B$1:$E$19,3,FALSE)</f>
        <v>1108960</v>
      </c>
      <c r="O5203">
        <f>IF(G5203="Not available","",VLOOKUP(F5203,Sheet2!$B$1:$E$19,4,FALSE)+(G5203-1))</f>
        <v>3780288</v>
      </c>
    </row>
    <row r="5204" spans="1:15" s="3" customFormat="1" ht="15" customHeight="1" x14ac:dyDescent="0.25">
      <c r="A5204" s="18" t="s">
        <v>458</v>
      </c>
      <c r="B5204" s="18" t="s">
        <v>162</v>
      </c>
      <c r="C5204" s="5">
        <v>1801</v>
      </c>
      <c r="D5204" s="1"/>
      <c r="E5204" s="1" t="s">
        <v>2</v>
      </c>
      <c r="F5204" s="18">
        <v>2173</v>
      </c>
      <c r="G5204" s="18">
        <v>43</v>
      </c>
      <c r="H5204" s="5">
        <v>80</v>
      </c>
      <c r="I5204" s="1">
        <v>120</v>
      </c>
      <c r="J5204" s="1">
        <v>263</v>
      </c>
      <c r="K5204" s="1"/>
      <c r="L5204" t="str">
        <f t="shared" si="81"/>
        <v>http://www.badatelna.eu/reprodukce/?fondId=1073&amp;zaznamId=1108959&amp;reproId=3780036</v>
      </c>
      <c r="M5204">
        <f>VLOOKUP(F5204,Sheet2!$B$1:$E$19,2,FALSE)</f>
        <v>1073</v>
      </c>
      <c r="N5204">
        <f>VLOOKUP(F5204,Sheet2!$B$1:$E$19,3,FALSE)</f>
        <v>1108959</v>
      </c>
      <c r="O5204">
        <f>IF(G5204="Not available","",VLOOKUP(F5204,Sheet2!$B$1:$E$19,4,FALSE)+(G5204-1))</f>
        <v>3780036</v>
      </c>
    </row>
    <row r="5205" spans="1:15" s="3" customFormat="1" ht="15" customHeight="1" x14ac:dyDescent="0.25">
      <c r="A5205" s="18" t="s">
        <v>509</v>
      </c>
      <c r="B5205" s="18" t="s">
        <v>100</v>
      </c>
      <c r="C5205" s="5">
        <v>1857</v>
      </c>
      <c r="D5205" s="1" t="s">
        <v>510</v>
      </c>
      <c r="E5205" s="1" t="s">
        <v>2</v>
      </c>
      <c r="F5205" s="18">
        <v>2164</v>
      </c>
      <c r="G5205" s="18">
        <v>53</v>
      </c>
      <c r="H5205" s="5">
        <v>51</v>
      </c>
      <c r="I5205" s="1">
        <v>143</v>
      </c>
      <c r="J5205" s="1">
        <v>246</v>
      </c>
      <c r="K5205" s="1"/>
      <c r="L5205" t="str">
        <f t="shared" si="81"/>
        <v>http://www.badatelna.eu/reprodukce/?fondId=1073&amp;zaznamId=1108951&amp;reproId=3778767</v>
      </c>
      <c r="M5205">
        <f>VLOOKUP(F5205,Sheet2!$B$1:$E$19,2,FALSE)</f>
        <v>1073</v>
      </c>
      <c r="N5205">
        <f>VLOOKUP(F5205,Sheet2!$B$1:$E$19,3,FALSE)</f>
        <v>1108951</v>
      </c>
      <c r="O5205">
        <f>IF(G5205="Not available","",VLOOKUP(F5205,Sheet2!$B$1:$E$19,4,FALSE)+(G5205-1))</f>
        <v>3778767</v>
      </c>
    </row>
    <row r="5206" spans="1:15" s="3" customFormat="1" ht="15" customHeight="1" x14ac:dyDescent="0.25">
      <c r="A5206" s="18" t="s">
        <v>1237</v>
      </c>
      <c r="B5206" s="18" t="s">
        <v>1968</v>
      </c>
      <c r="C5206" s="10" t="s">
        <v>2087</v>
      </c>
      <c r="D5206" s="3" t="s">
        <v>2794</v>
      </c>
      <c r="E5206" s="4" t="s">
        <v>2</v>
      </c>
      <c r="F5206" s="18">
        <v>2176</v>
      </c>
      <c r="G5206" s="18" t="s">
        <v>3271</v>
      </c>
      <c r="H5206" s="10" t="s">
        <v>2086</v>
      </c>
      <c r="I5206" s="3">
        <v>51</v>
      </c>
      <c r="J5206" s="4" t="s">
        <v>3271</v>
      </c>
      <c r="L5206" t="str">
        <f t="shared" si="81"/>
        <v/>
      </c>
      <c r="M5206">
        <f>VLOOKUP(F5206,Sheet2!$B$1:$E$19,2,FALSE)</f>
        <v>1073</v>
      </c>
      <c r="N5206">
        <f>VLOOKUP(F5206,Sheet2!$B$1:$E$19,3,FALSE)</f>
        <v>1108963</v>
      </c>
      <c r="O5206" t="str">
        <f>IF(G5206="Not available","",VLOOKUP(F5206,Sheet2!$B$1:$E$19,4,FALSE)+(G5206-1))</f>
        <v/>
      </c>
    </row>
    <row r="5207" spans="1:15" s="3" customFormat="1" ht="15" customHeight="1" x14ac:dyDescent="0.25">
      <c r="A5207" s="18" t="s">
        <v>1237</v>
      </c>
      <c r="B5207" s="18" t="s">
        <v>1051</v>
      </c>
      <c r="C5207" s="5" t="s">
        <v>1885</v>
      </c>
      <c r="D5207" s="1" t="s">
        <v>632</v>
      </c>
      <c r="E5207" s="1" t="s">
        <v>2</v>
      </c>
      <c r="F5207" s="18">
        <v>2165</v>
      </c>
      <c r="G5207" s="18">
        <v>262</v>
      </c>
      <c r="H5207" s="5">
        <v>3</v>
      </c>
      <c r="I5207" s="1">
        <v>266</v>
      </c>
      <c r="J5207" s="1">
        <v>240</v>
      </c>
      <c r="K5207" s="1"/>
      <c r="L5207" t="str">
        <f t="shared" si="81"/>
        <v>http://www.badatelna.eu/reprodukce/?fondId=1073&amp;zaznamId=1108952&amp;reproId=3779123</v>
      </c>
      <c r="M5207">
        <f>VLOOKUP(F5207,Sheet2!$B$1:$E$19,2,FALSE)</f>
        <v>1073</v>
      </c>
      <c r="N5207">
        <f>VLOOKUP(F5207,Sheet2!$B$1:$E$19,3,FALSE)</f>
        <v>1108952</v>
      </c>
      <c r="O5207">
        <f>IF(G5207="Not available","",VLOOKUP(F5207,Sheet2!$B$1:$E$19,4,FALSE)+(G5207-1))</f>
        <v>3779123</v>
      </c>
    </row>
    <row r="5208" spans="1:15" s="3" customFormat="1" ht="15" customHeight="1" x14ac:dyDescent="0.25">
      <c r="A5208" s="18" t="s">
        <v>545</v>
      </c>
      <c r="B5208" s="18" t="s">
        <v>1944</v>
      </c>
      <c r="C5208" s="10" t="s">
        <v>1969</v>
      </c>
      <c r="D5208" s="3" t="s">
        <v>2767</v>
      </c>
      <c r="E5208" s="4" t="s">
        <v>2</v>
      </c>
      <c r="F5208" s="18">
        <v>2176</v>
      </c>
      <c r="G5208" s="18" t="s">
        <v>3271</v>
      </c>
      <c r="H5208" s="10" t="s">
        <v>2094</v>
      </c>
      <c r="I5208" s="3">
        <v>50</v>
      </c>
      <c r="J5208" s="4" t="s">
        <v>3271</v>
      </c>
      <c r="K5208" s="1"/>
      <c r="L5208" t="str">
        <f t="shared" si="81"/>
        <v/>
      </c>
      <c r="M5208">
        <f>VLOOKUP(F5208,Sheet2!$B$1:$E$19,2,FALSE)</f>
        <v>1073</v>
      </c>
      <c r="N5208">
        <f>VLOOKUP(F5208,Sheet2!$B$1:$E$19,3,FALSE)</f>
        <v>1108963</v>
      </c>
      <c r="O5208" t="str">
        <f>IF(G5208="Not available","",VLOOKUP(F5208,Sheet2!$B$1:$E$19,4,FALSE)+(G5208-1))</f>
        <v/>
      </c>
    </row>
    <row r="5209" spans="1:15" s="3" customFormat="1" ht="15" customHeight="1" x14ac:dyDescent="0.25">
      <c r="A5209" s="18" t="s">
        <v>1245</v>
      </c>
      <c r="B5209" s="18" t="s">
        <v>2134</v>
      </c>
      <c r="C5209" s="10" t="s">
        <v>2093</v>
      </c>
      <c r="D5209" s="3" t="s">
        <v>2794</v>
      </c>
      <c r="E5209" s="4" t="s">
        <v>2</v>
      </c>
      <c r="F5209" s="18">
        <v>2176</v>
      </c>
      <c r="G5209" s="18" t="s">
        <v>3271</v>
      </c>
      <c r="H5209" s="10" t="s">
        <v>2311</v>
      </c>
      <c r="I5209" s="3">
        <v>51</v>
      </c>
      <c r="J5209" s="4" t="s">
        <v>3271</v>
      </c>
      <c r="L5209" t="str">
        <f t="shared" si="81"/>
        <v/>
      </c>
      <c r="M5209">
        <f>VLOOKUP(F5209,Sheet2!$B$1:$E$19,2,FALSE)</f>
        <v>1073</v>
      </c>
      <c r="N5209">
        <f>VLOOKUP(F5209,Sheet2!$B$1:$E$19,3,FALSE)</f>
        <v>1108963</v>
      </c>
      <c r="O5209" t="str">
        <f>IF(G5209="Not available","",VLOOKUP(F5209,Sheet2!$B$1:$E$19,4,FALSE)+(G5209-1))</f>
        <v/>
      </c>
    </row>
    <row r="5210" spans="1:15" s="3" customFormat="1" ht="15" customHeight="1" x14ac:dyDescent="0.25">
      <c r="A5210" s="18" t="s">
        <v>1245</v>
      </c>
      <c r="B5210" s="18" t="s">
        <v>917</v>
      </c>
      <c r="C5210" s="5" t="s">
        <v>1921</v>
      </c>
      <c r="D5210" s="1" t="s">
        <v>632</v>
      </c>
      <c r="E5210" s="1" t="s">
        <v>2</v>
      </c>
      <c r="F5210" s="18">
        <v>2165</v>
      </c>
      <c r="G5210" s="18">
        <v>277</v>
      </c>
      <c r="H5210" s="5">
        <v>3</v>
      </c>
      <c r="I5210" s="1">
        <v>279</v>
      </c>
      <c r="J5210" s="1">
        <v>253</v>
      </c>
      <c r="K5210" s="1"/>
      <c r="L5210" t="str">
        <f t="shared" si="81"/>
        <v>http://www.badatelna.eu/reprodukce/?fondId=1073&amp;zaznamId=1108952&amp;reproId=3779138</v>
      </c>
      <c r="M5210">
        <f>VLOOKUP(F5210,Sheet2!$B$1:$E$19,2,FALSE)</f>
        <v>1073</v>
      </c>
      <c r="N5210">
        <f>VLOOKUP(F5210,Sheet2!$B$1:$E$19,3,FALSE)</f>
        <v>1108952</v>
      </c>
      <c r="O5210">
        <f>IF(G5210="Not available","",VLOOKUP(F5210,Sheet2!$B$1:$E$19,4,FALSE)+(G5210-1))</f>
        <v>3779138</v>
      </c>
    </row>
    <row r="5211" spans="1:15" s="3" customFormat="1" ht="15" customHeight="1" x14ac:dyDescent="0.25">
      <c r="A5211" s="18" t="s">
        <v>1245</v>
      </c>
      <c r="B5211" s="18" t="s">
        <v>1121</v>
      </c>
      <c r="C5211" s="14" t="s">
        <v>2244</v>
      </c>
      <c r="D5211" s="4" t="s">
        <v>632</v>
      </c>
      <c r="E5211" s="1" t="s">
        <v>2</v>
      </c>
      <c r="F5211" s="18">
        <v>2165</v>
      </c>
      <c r="G5211" s="18">
        <v>297</v>
      </c>
      <c r="H5211" s="5">
        <v>1</v>
      </c>
      <c r="I5211" s="1">
        <v>301</v>
      </c>
      <c r="J5211" s="1">
        <v>274</v>
      </c>
      <c r="K5211" s="1"/>
      <c r="L5211" t="str">
        <f t="shared" si="81"/>
        <v>http://www.badatelna.eu/reprodukce/?fondId=1073&amp;zaznamId=1108952&amp;reproId=3779158</v>
      </c>
      <c r="M5211">
        <f>VLOOKUP(F5211,Sheet2!$B$1:$E$19,2,FALSE)</f>
        <v>1073</v>
      </c>
      <c r="N5211">
        <f>VLOOKUP(F5211,Sheet2!$B$1:$E$19,3,FALSE)</f>
        <v>1108952</v>
      </c>
      <c r="O5211">
        <f>IF(G5211="Not available","",VLOOKUP(F5211,Sheet2!$B$1:$E$19,4,FALSE)+(G5211-1))</f>
        <v>3779158</v>
      </c>
    </row>
    <row r="5212" spans="1:15" s="3" customFormat="1" ht="15" customHeight="1" x14ac:dyDescent="0.25">
      <c r="A5212" s="18" t="s">
        <v>1245</v>
      </c>
      <c r="B5212" s="18" t="s">
        <v>1121</v>
      </c>
      <c r="C5212" s="10" t="s">
        <v>2244</v>
      </c>
      <c r="D5212" s="3" t="s">
        <v>2794</v>
      </c>
      <c r="E5212" s="4" t="s">
        <v>2</v>
      </c>
      <c r="F5212" s="18">
        <v>2176</v>
      </c>
      <c r="G5212" s="18" t="s">
        <v>3271</v>
      </c>
      <c r="H5212" s="10" t="s">
        <v>2142</v>
      </c>
      <c r="I5212" s="3">
        <v>51</v>
      </c>
      <c r="J5212" s="4" t="s">
        <v>3271</v>
      </c>
      <c r="L5212" t="str">
        <f t="shared" si="81"/>
        <v/>
      </c>
      <c r="M5212">
        <f>VLOOKUP(F5212,Sheet2!$B$1:$E$19,2,FALSE)</f>
        <v>1073</v>
      </c>
      <c r="N5212">
        <f>VLOOKUP(F5212,Sheet2!$B$1:$E$19,3,FALSE)</f>
        <v>1108963</v>
      </c>
      <c r="O5212" t="str">
        <f>IF(G5212="Not available","",VLOOKUP(F5212,Sheet2!$B$1:$E$19,4,FALSE)+(G5212-1))</f>
        <v/>
      </c>
    </row>
    <row r="5213" spans="1:15" s="3" customFormat="1" ht="15" customHeight="1" x14ac:dyDescent="0.25">
      <c r="A5213" s="18" t="s">
        <v>2777</v>
      </c>
      <c r="B5213" s="18" t="s">
        <v>2189</v>
      </c>
      <c r="C5213" s="10" t="s">
        <v>2025</v>
      </c>
      <c r="D5213" s="3" t="s">
        <v>2039</v>
      </c>
      <c r="E5213" s="4" t="s">
        <v>2</v>
      </c>
      <c r="F5213" s="18">
        <v>2176</v>
      </c>
      <c r="G5213" s="18" t="s">
        <v>3271</v>
      </c>
      <c r="H5213" s="10" t="s">
        <v>2031</v>
      </c>
      <c r="I5213" s="3">
        <v>50</v>
      </c>
      <c r="J5213" s="4" t="s">
        <v>3271</v>
      </c>
      <c r="L5213" t="str">
        <f t="shared" si="81"/>
        <v/>
      </c>
      <c r="M5213">
        <f>VLOOKUP(F5213,Sheet2!$B$1:$E$19,2,FALSE)</f>
        <v>1073</v>
      </c>
      <c r="N5213">
        <f>VLOOKUP(F5213,Sheet2!$B$1:$E$19,3,FALSE)</f>
        <v>1108963</v>
      </c>
      <c r="O5213" t="str">
        <f>IF(G5213="Not available","",VLOOKUP(F5213,Sheet2!$B$1:$E$19,4,FALSE)+(G5213-1))</f>
        <v/>
      </c>
    </row>
    <row r="5214" spans="1:15" s="3" customFormat="1" ht="15" customHeight="1" x14ac:dyDescent="0.25">
      <c r="A5214" s="18" t="s">
        <v>449</v>
      </c>
      <c r="B5214" s="18" t="s">
        <v>439</v>
      </c>
      <c r="C5214" s="5">
        <v>1861</v>
      </c>
      <c r="D5214" s="1"/>
      <c r="E5214" s="1" t="s">
        <v>939</v>
      </c>
      <c r="F5214" s="18">
        <v>999</v>
      </c>
      <c r="G5214" s="18">
        <v>30</v>
      </c>
      <c r="H5214" s="5">
        <v>28</v>
      </c>
      <c r="I5214" s="1">
        <v>79</v>
      </c>
      <c r="J5214" s="1">
        <v>112</v>
      </c>
      <c r="K5214" s="1"/>
      <c r="L5214" t="str">
        <f t="shared" si="81"/>
        <v>http://www.badatelna.eu/reprodukce/?fondId=241&amp;zaznamId=1133739&amp;reproId=3885759</v>
      </c>
      <c r="M5214">
        <f>VLOOKUP(F5214,Sheet2!$B$1:$E$19,2,FALSE)</f>
        <v>241</v>
      </c>
      <c r="N5214">
        <f>VLOOKUP(F5214,Sheet2!$B$1:$E$19,3,FALSE)</f>
        <v>1133739</v>
      </c>
      <c r="O5214">
        <f>IF(G5214="Not available","",VLOOKUP(F5214,Sheet2!$B$1:$E$19,4,FALSE)+(G5214-1))</f>
        <v>3885759</v>
      </c>
    </row>
    <row r="5215" spans="1:15" s="3" customFormat="1" ht="15" customHeight="1" x14ac:dyDescent="0.25">
      <c r="A5215" s="18" t="s">
        <v>449</v>
      </c>
      <c r="B5215" s="18" t="s">
        <v>40</v>
      </c>
      <c r="C5215" s="5">
        <v>1827</v>
      </c>
      <c r="D5215" s="1"/>
      <c r="E5215" s="1" t="s">
        <v>2</v>
      </c>
      <c r="F5215" s="18">
        <v>2173</v>
      </c>
      <c r="G5215" s="18">
        <v>79</v>
      </c>
      <c r="H5215" s="5">
        <v>150</v>
      </c>
      <c r="I5215" s="1">
        <v>121</v>
      </c>
      <c r="J5215" s="1">
        <v>264</v>
      </c>
      <c r="K5215" s="1"/>
      <c r="L5215" t="str">
        <f t="shared" si="81"/>
        <v>http://www.badatelna.eu/reprodukce/?fondId=1073&amp;zaznamId=1108959&amp;reproId=3780072</v>
      </c>
      <c r="M5215">
        <f>VLOOKUP(F5215,Sheet2!$B$1:$E$19,2,FALSE)</f>
        <v>1073</v>
      </c>
      <c r="N5215">
        <f>VLOOKUP(F5215,Sheet2!$B$1:$E$19,3,FALSE)</f>
        <v>1108959</v>
      </c>
      <c r="O5215">
        <f>IF(G5215="Not available","",VLOOKUP(F5215,Sheet2!$B$1:$E$19,4,FALSE)+(G5215-1))</f>
        <v>3780072</v>
      </c>
    </row>
    <row r="5216" spans="1:15" s="3" customFormat="1" ht="15" customHeight="1" x14ac:dyDescent="0.25">
      <c r="A5216" s="18" t="s">
        <v>449</v>
      </c>
      <c r="B5216" s="18" t="s">
        <v>40</v>
      </c>
      <c r="C5216" s="5">
        <v>1857</v>
      </c>
      <c r="D5216" s="1" t="s">
        <v>504</v>
      </c>
      <c r="E5216" s="1" t="s">
        <v>2</v>
      </c>
      <c r="F5216" s="18">
        <v>2164</v>
      </c>
      <c r="G5216" s="18">
        <v>119</v>
      </c>
      <c r="H5216" s="5">
        <v>117</v>
      </c>
      <c r="I5216" s="1">
        <v>143</v>
      </c>
      <c r="J5216" s="1">
        <v>246</v>
      </c>
      <c r="K5216" s="1"/>
      <c r="L5216" t="str">
        <f t="shared" si="81"/>
        <v>http://www.badatelna.eu/reprodukce/?fondId=1073&amp;zaznamId=1108951&amp;reproId=3778833</v>
      </c>
      <c r="M5216">
        <f>VLOOKUP(F5216,Sheet2!$B$1:$E$19,2,FALSE)</f>
        <v>1073</v>
      </c>
      <c r="N5216">
        <f>VLOOKUP(F5216,Sheet2!$B$1:$E$19,3,FALSE)</f>
        <v>1108951</v>
      </c>
      <c r="O5216">
        <f>IF(G5216="Not available","",VLOOKUP(F5216,Sheet2!$B$1:$E$19,4,FALSE)+(G5216-1))</f>
        <v>3778833</v>
      </c>
    </row>
    <row r="5217" spans="1:15" s="3" customFormat="1" ht="15" customHeight="1" x14ac:dyDescent="0.25">
      <c r="A5217" s="18" t="s">
        <v>449</v>
      </c>
      <c r="B5217" s="18" t="s">
        <v>40</v>
      </c>
      <c r="C5217" s="5">
        <v>1859</v>
      </c>
      <c r="D5217" s="1"/>
      <c r="E5217" s="1" t="s">
        <v>939</v>
      </c>
      <c r="F5217" s="18">
        <v>999</v>
      </c>
      <c r="G5217" s="18">
        <v>15</v>
      </c>
      <c r="H5217" s="5">
        <v>13</v>
      </c>
      <c r="I5217" s="1">
        <v>79</v>
      </c>
      <c r="J5217" s="1">
        <v>112</v>
      </c>
      <c r="K5217" s="1"/>
      <c r="L5217" t="str">
        <f t="shared" si="81"/>
        <v>http://www.badatelna.eu/reprodukce/?fondId=241&amp;zaznamId=1133739&amp;reproId=3885744</v>
      </c>
      <c r="M5217">
        <f>VLOOKUP(F5217,Sheet2!$B$1:$E$19,2,FALSE)</f>
        <v>241</v>
      </c>
      <c r="N5217">
        <f>VLOOKUP(F5217,Sheet2!$B$1:$E$19,3,FALSE)</f>
        <v>1133739</v>
      </c>
      <c r="O5217">
        <f>IF(G5217="Not available","",VLOOKUP(F5217,Sheet2!$B$1:$E$19,4,FALSE)+(G5217-1))</f>
        <v>3885744</v>
      </c>
    </row>
    <row r="5218" spans="1:15" s="3" customFormat="1" ht="15" customHeight="1" x14ac:dyDescent="0.25">
      <c r="A5218" s="18" t="s">
        <v>449</v>
      </c>
      <c r="B5218" s="18" t="s">
        <v>448</v>
      </c>
      <c r="C5218" s="5">
        <v>1785</v>
      </c>
      <c r="D5218" s="1" t="s">
        <v>100</v>
      </c>
      <c r="E5218" s="1" t="s">
        <v>2</v>
      </c>
      <c r="F5218" s="18">
        <v>2173</v>
      </c>
      <c r="G5218" s="18">
        <v>10</v>
      </c>
      <c r="H5218" s="5">
        <v>14</v>
      </c>
      <c r="I5218" s="1">
        <v>120</v>
      </c>
      <c r="J5218" s="1">
        <v>263</v>
      </c>
      <c r="K5218" s="1"/>
      <c r="L5218" t="str">
        <f t="shared" si="81"/>
        <v>http://www.badatelna.eu/reprodukce/?fondId=1073&amp;zaznamId=1108959&amp;reproId=3780003</v>
      </c>
      <c r="M5218">
        <f>VLOOKUP(F5218,Sheet2!$B$1:$E$19,2,FALSE)</f>
        <v>1073</v>
      </c>
      <c r="N5218">
        <f>VLOOKUP(F5218,Sheet2!$B$1:$E$19,3,FALSE)</f>
        <v>1108959</v>
      </c>
      <c r="O5218">
        <f>IF(G5218="Not available","",VLOOKUP(F5218,Sheet2!$B$1:$E$19,4,FALSE)+(G5218-1))</f>
        <v>3780003</v>
      </c>
    </row>
    <row r="5219" spans="1:15" s="3" customFormat="1" ht="15" customHeight="1" x14ac:dyDescent="0.25">
      <c r="A5219" s="18" t="s">
        <v>449</v>
      </c>
      <c r="B5219" s="18" t="s">
        <v>26</v>
      </c>
      <c r="C5219" s="5">
        <v>1832</v>
      </c>
      <c r="D5219" s="1" t="s">
        <v>26</v>
      </c>
      <c r="E5219" s="1" t="s">
        <v>2</v>
      </c>
      <c r="F5219" s="18">
        <v>2174</v>
      </c>
      <c r="G5219" s="18">
        <v>69</v>
      </c>
      <c r="H5219" s="6" t="s">
        <v>3110</v>
      </c>
      <c r="I5219" s="1">
        <v>208</v>
      </c>
      <c r="J5219" s="1">
        <v>245</v>
      </c>
      <c r="K5219" s="1"/>
      <c r="L5219" t="str">
        <f t="shared" si="81"/>
        <v>http://www.badatelna.eu/reprodukce/?fondId=1073&amp;zaznamId=1108960&amp;reproId=3780293</v>
      </c>
      <c r="M5219">
        <f>VLOOKUP(F5219,Sheet2!$B$1:$E$19,2,FALSE)</f>
        <v>1073</v>
      </c>
      <c r="N5219">
        <f>VLOOKUP(F5219,Sheet2!$B$1:$E$19,3,FALSE)</f>
        <v>1108960</v>
      </c>
      <c r="O5219">
        <f>IF(G5219="Not available","",VLOOKUP(F5219,Sheet2!$B$1:$E$19,4,FALSE)+(G5219-1))</f>
        <v>3780293</v>
      </c>
    </row>
    <row r="5220" spans="1:15" s="3" customFormat="1" ht="15" customHeight="1" x14ac:dyDescent="0.25">
      <c r="A5220" s="18" t="s">
        <v>449</v>
      </c>
      <c r="B5220" s="18" t="s">
        <v>437</v>
      </c>
      <c r="C5220" s="5" t="s">
        <v>1694</v>
      </c>
      <c r="D5220" s="1" t="s">
        <v>1109</v>
      </c>
      <c r="E5220" s="1" t="s">
        <v>2</v>
      </c>
      <c r="F5220" s="18">
        <v>2165</v>
      </c>
      <c r="G5220" s="18">
        <v>38</v>
      </c>
      <c r="H5220" s="5">
        <v>35</v>
      </c>
      <c r="I5220" s="1">
        <v>97</v>
      </c>
      <c r="J5220" s="4" t="s">
        <v>3271</v>
      </c>
      <c r="K5220" s="1"/>
      <c r="L5220" t="str">
        <f t="shared" si="81"/>
        <v>http://www.badatelna.eu/reprodukce/?fondId=1073&amp;zaznamId=1108952&amp;reproId=3778899</v>
      </c>
      <c r="M5220">
        <f>VLOOKUP(F5220,Sheet2!$B$1:$E$19,2,FALSE)</f>
        <v>1073</v>
      </c>
      <c r="N5220">
        <f>VLOOKUP(F5220,Sheet2!$B$1:$E$19,3,FALSE)</f>
        <v>1108952</v>
      </c>
      <c r="O5220">
        <f>IF(G5220="Not available","",VLOOKUP(F5220,Sheet2!$B$1:$E$19,4,FALSE)+(G5220-1))</f>
        <v>3778899</v>
      </c>
    </row>
    <row r="5221" spans="1:15" s="3" customFormat="1" ht="15" customHeight="1" x14ac:dyDescent="0.25">
      <c r="A5221" s="18" t="s">
        <v>449</v>
      </c>
      <c r="B5221" s="18" t="s">
        <v>863</v>
      </c>
      <c r="C5221" s="5">
        <v>1864</v>
      </c>
      <c r="D5221" s="1"/>
      <c r="E5221" s="1" t="s">
        <v>939</v>
      </c>
      <c r="F5221" s="18">
        <v>999</v>
      </c>
      <c r="G5221" s="18">
        <v>50</v>
      </c>
      <c r="H5221" s="5">
        <v>48</v>
      </c>
      <c r="I5221" s="1">
        <v>79</v>
      </c>
      <c r="J5221" s="1">
        <v>112</v>
      </c>
      <c r="K5221" s="1"/>
      <c r="L5221" t="str">
        <f t="shared" si="81"/>
        <v>http://www.badatelna.eu/reprodukce/?fondId=241&amp;zaznamId=1133739&amp;reproId=3885779</v>
      </c>
      <c r="M5221">
        <f>VLOOKUP(F5221,Sheet2!$B$1:$E$19,2,FALSE)</f>
        <v>241</v>
      </c>
      <c r="N5221">
        <f>VLOOKUP(F5221,Sheet2!$B$1:$E$19,3,FALSE)</f>
        <v>1133739</v>
      </c>
      <c r="O5221">
        <f>IF(G5221="Not available","",VLOOKUP(F5221,Sheet2!$B$1:$E$19,4,FALSE)+(G5221-1))</f>
        <v>3885779</v>
      </c>
    </row>
    <row r="5222" spans="1:15" s="3" customFormat="1" ht="15" customHeight="1" x14ac:dyDescent="0.25">
      <c r="A5222" s="18" t="s">
        <v>449</v>
      </c>
      <c r="B5222" s="18" t="s">
        <v>503</v>
      </c>
      <c r="C5222" s="5">
        <v>1854</v>
      </c>
      <c r="D5222" s="1" t="s">
        <v>504</v>
      </c>
      <c r="E5222" s="1" t="s">
        <v>2</v>
      </c>
      <c r="F5222" s="18">
        <v>2164</v>
      </c>
      <c r="G5222" s="18">
        <v>99</v>
      </c>
      <c r="H5222" s="5">
        <v>97</v>
      </c>
      <c r="I5222" s="1">
        <v>143</v>
      </c>
      <c r="J5222" s="1">
        <v>246</v>
      </c>
      <c r="K5222" s="1"/>
      <c r="L5222" t="str">
        <f t="shared" si="81"/>
        <v>http://www.badatelna.eu/reprodukce/?fondId=1073&amp;zaznamId=1108951&amp;reproId=3778813</v>
      </c>
      <c r="M5222">
        <f>VLOOKUP(F5222,Sheet2!$B$1:$E$19,2,FALSE)</f>
        <v>1073</v>
      </c>
      <c r="N5222">
        <f>VLOOKUP(F5222,Sheet2!$B$1:$E$19,3,FALSE)</f>
        <v>1108951</v>
      </c>
      <c r="O5222">
        <f>IF(G5222="Not available","",VLOOKUP(F5222,Sheet2!$B$1:$E$19,4,FALSE)+(G5222-1))</f>
        <v>3778813</v>
      </c>
    </row>
    <row r="5223" spans="1:15" s="3" customFormat="1" ht="15" customHeight="1" x14ac:dyDescent="0.25">
      <c r="A5223" s="18" t="s">
        <v>449</v>
      </c>
      <c r="B5223" s="18" t="s">
        <v>56</v>
      </c>
      <c r="C5223" s="5">
        <v>1825</v>
      </c>
      <c r="D5223" s="1"/>
      <c r="E5223" s="1" t="s">
        <v>2</v>
      </c>
      <c r="F5223" s="18">
        <v>2173</v>
      </c>
      <c r="G5223" s="18">
        <v>76</v>
      </c>
      <c r="H5223" s="5">
        <v>145</v>
      </c>
      <c r="I5223" s="1">
        <v>121</v>
      </c>
      <c r="J5223" s="1">
        <v>264</v>
      </c>
      <c r="K5223" s="1"/>
      <c r="L5223" t="str">
        <f t="shared" si="81"/>
        <v>http://www.badatelna.eu/reprodukce/?fondId=1073&amp;zaznamId=1108959&amp;reproId=3780069</v>
      </c>
      <c r="M5223">
        <f>VLOOKUP(F5223,Sheet2!$B$1:$E$19,2,FALSE)</f>
        <v>1073</v>
      </c>
      <c r="N5223">
        <f>VLOOKUP(F5223,Sheet2!$B$1:$E$19,3,FALSE)</f>
        <v>1108959</v>
      </c>
      <c r="O5223">
        <f>IF(G5223="Not available","",VLOOKUP(F5223,Sheet2!$B$1:$E$19,4,FALSE)+(G5223-1))</f>
        <v>3780069</v>
      </c>
    </row>
    <row r="5224" spans="1:15" s="3" customFormat="1" ht="15" customHeight="1" x14ac:dyDescent="0.25">
      <c r="A5224" s="18" t="s">
        <v>449</v>
      </c>
      <c r="B5224" s="18" t="s">
        <v>434</v>
      </c>
      <c r="C5224" s="5">
        <v>1854</v>
      </c>
      <c r="D5224" s="1" t="s">
        <v>504</v>
      </c>
      <c r="E5224" s="1" t="s">
        <v>2</v>
      </c>
      <c r="F5224" s="18">
        <v>2164</v>
      </c>
      <c r="G5224" s="18">
        <v>108</v>
      </c>
      <c r="H5224" s="5">
        <v>106</v>
      </c>
      <c r="I5224" s="1">
        <v>143</v>
      </c>
      <c r="J5224" s="1">
        <v>246</v>
      </c>
      <c r="K5224" s="1"/>
      <c r="L5224" t="str">
        <f t="shared" si="81"/>
        <v>http://www.badatelna.eu/reprodukce/?fondId=1073&amp;zaznamId=1108951&amp;reproId=3778822</v>
      </c>
      <c r="M5224">
        <f>VLOOKUP(F5224,Sheet2!$B$1:$E$19,2,FALSE)</f>
        <v>1073</v>
      </c>
      <c r="N5224">
        <f>VLOOKUP(F5224,Sheet2!$B$1:$E$19,3,FALSE)</f>
        <v>1108951</v>
      </c>
      <c r="O5224">
        <f>IF(G5224="Not available","",VLOOKUP(F5224,Sheet2!$B$1:$E$19,4,FALSE)+(G5224-1))</f>
        <v>3778822</v>
      </c>
    </row>
    <row r="5225" spans="1:15" s="3" customFormat="1" ht="15" customHeight="1" x14ac:dyDescent="0.25">
      <c r="A5225" s="18" t="s">
        <v>449</v>
      </c>
      <c r="B5225" s="18" t="s">
        <v>434</v>
      </c>
      <c r="C5225" s="5" t="s">
        <v>1684</v>
      </c>
      <c r="D5225" s="1" t="s">
        <v>1109</v>
      </c>
      <c r="E5225" s="1" t="s">
        <v>2</v>
      </c>
      <c r="F5225" s="18">
        <v>2165</v>
      </c>
      <c r="G5225" s="18">
        <v>19</v>
      </c>
      <c r="H5225" s="5">
        <v>16</v>
      </c>
      <c r="I5225" s="1">
        <v>97</v>
      </c>
      <c r="J5225" s="4" t="s">
        <v>3271</v>
      </c>
      <c r="K5225" s="1"/>
      <c r="L5225" t="str">
        <f t="shared" si="81"/>
        <v>http://www.badatelna.eu/reprodukce/?fondId=1073&amp;zaznamId=1108952&amp;reproId=3778880</v>
      </c>
      <c r="M5225">
        <f>VLOOKUP(F5225,Sheet2!$B$1:$E$19,2,FALSE)</f>
        <v>1073</v>
      </c>
      <c r="N5225">
        <f>VLOOKUP(F5225,Sheet2!$B$1:$E$19,3,FALSE)</f>
        <v>1108952</v>
      </c>
      <c r="O5225">
        <f>IF(G5225="Not available","",VLOOKUP(F5225,Sheet2!$B$1:$E$19,4,FALSE)+(G5225-1))</f>
        <v>3778880</v>
      </c>
    </row>
    <row r="5226" spans="1:15" s="3" customFormat="1" ht="15" customHeight="1" x14ac:dyDescent="0.25">
      <c r="A5226" s="18" t="s">
        <v>449</v>
      </c>
      <c r="B5226" s="18" t="s">
        <v>464</v>
      </c>
      <c r="C5226" s="5">
        <v>1829</v>
      </c>
      <c r="D5226" s="1"/>
      <c r="E5226" s="1" t="s">
        <v>2</v>
      </c>
      <c r="F5226" s="18">
        <v>2173</v>
      </c>
      <c r="G5226" s="18">
        <v>81</v>
      </c>
      <c r="H5226" s="5">
        <v>155</v>
      </c>
      <c r="I5226" s="1">
        <v>121</v>
      </c>
      <c r="J5226" s="1">
        <v>264</v>
      </c>
      <c r="K5226" s="1"/>
      <c r="L5226" t="str">
        <f t="shared" si="81"/>
        <v>http://www.badatelna.eu/reprodukce/?fondId=1073&amp;zaznamId=1108959&amp;reproId=3780074</v>
      </c>
      <c r="M5226">
        <f>VLOOKUP(F5226,Sheet2!$B$1:$E$19,2,FALSE)</f>
        <v>1073</v>
      </c>
      <c r="N5226">
        <f>VLOOKUP(F5226,Sheet2!$B$1:$E$19,3,FALSE)</f>
        <v>1108959</v>
      </c>
      <c r="O5226">
        <f>IF(G5226="Not available","",VLOOKUP(F5226,Sheet2!$B$1:$E$19,4,FALSE)+(G5226-1))</f>
        <v>3780074</v>
      </c>
    </row>
    <row r="5227" spans="1:15" s="3" customFormat="1" ht="15" customHeight="1" x14ac:dyDescent="0.25">
      <c r="A5227" s="18" t="s">
        <v>449</v>
      </c>
      <c r="B5227" s="18" t="s">
        <v>398</v>
      </c>
      <c r="C5227" s="5" t="s">
        <v>1695</v>
      </c>
      <c r="D5227" s="1" t="s">
        <v>197</v>
      </c>
      <c r="E5227" s="1" t="s">
        <v>2</v>
      </c>
      <c r="F5227" s="18">
        <v>2165</v>
      </c>
      <c r="G5227" s="18">
        <v>40</v>
      </c>
      <c r="H5227" s="5">
        <v>37</v>
      </c>
      <c r="I5227" s="1">
        <v>97</v>
      </c>
      <c r="J5227" s="4" t="s">
        <v>3271</v>
      </c>
      <c r="K5227" s="1"/>
      <c r="L5227" t="str">
        <f t="shared" si="81"/>
        <v>http://www.badatelna.eu/reprodukce/?fondId=1073&amp;zaznamId=1108952&amp;reproId=3778901</v>
      </c>
      <c r="M5227">
        <f>VLOOKUP(F5227,Sheet2!$B$1:$E$19,2,FALSE)</f>
        <v>1073</v>
      </c>
      <c r="N5227">
        <f>VLOOKUP(F5227,Sheet2!$B$1:$E$19,3,FALSE)</f>
        <v>1108952</v>
      </c>
      <c r="O5227">
        <f>IF(G5227="Not available","",VLOOKUP(F5227,Sheet2!$B$1:$E$19,4,FALSE)+(G5227-1))</f>
        <v>3778901</v>
      </c>
    </row>
    <row r="5228" spans="1:15" s="3" customFormat="1" ht="15" customHeight="1" x14ac:dyDescent="0.25">
      <c r="A5228" s="18" t="s">
        <v>449</v>
      </c>
      <c r="B5228" s="18" t="s">
        <v>998</v>
      </c>
      <c r="C5228" s="5" t="s">
        <v>1703</v>
      </c>
      <c r="D5228" s="1" t="s">
        <v>1109</v>
      </c>
      <c r="E5228" s="1" t="s">
        <v>2</v>
      </c>
      <c r="F5228" s="18">
        <v>2165</v>
      </c>
      <c r="G5228" s="18">
        <v>53</v>
      </c>
      <c r="H5228" s="5">
        <v>50</v>
      </c>
      <c r="I5228" s="1">
        <v>98</v>
      </c>
      <c r="J5228" s="4" t="s">
        <v>3271</v>
      </c>
      <c r="K5228" s="1"/>
      <c r="L5228" t="str">
        <f t="shared" si="81"/>
        <v>http://www.badatelna.eu/reprodukce/?fondId=1073&amp;zaznamId=1108952&amp;reproId=3778914</v>
      </c>
      <c r="M5228">
        <f>VLOOKUP(F5228,Sheet2!$B$1:$E$19,2,FALSE)</f>
        <v>1073</v>
      </c>
      <c r="N5228">
        <f>VLOOKUP(F5228,Sheet2!$B$1:$E$19,3,FALSE)</f>
        <v>1108952</v>
      </c>
      <c r="O5228">
        <f>IF(G5228="Not available","",VLOOKUP(F5228,Sheet2!$B$1:$E$19,4,FALSE)+(G5228-1))</f>
        <v>3778914</v>
      </c>
    </row>
    <row r="5229" spans="1:15" s="3" customFormat="1" ht="15" customHeight="1" x14ac:dyDescent="0.25">
      <c r="A5229" s="18" t="s">
        <v>449</v>
      </c>
      <c r="B5229" s="18" t="s">
        <v>93</v>
      </c>
      <c r="C5229" s="5">
        <v>1826</v>
      </c>
      <c r="D5229" s="1"/>
      <c r="E5229" s="1" t="s">
        <v>2</v>
      </c>
      <c r="F5229" s="18">
        <v>2173</v>
      </c>
      <c r="G5229" s="18">
        <v>78</v>
      </c>
      <c r="H5229" s="5">
        <v>148</v>
      </c>
      <c r="I5229" s="1">
        <v>121</v>
      </c>
      <c r="J5229" s="1">
        <v>264</v>
      </c>
      <c r="K5229" s="1"/>
      <c r="L5229" t="str">
        <f t="shared" si="81"/>
        <v>http://www.badatelna.eu/reprodukce/?fondId=1073&amp;zaznamId=1108959&amp;reproId=3780071</v>
      </c>
      <c r="M5229">
        <f>VLOOKUP(F5229,Sheet2!$B$1:$E$19,2,FALSE)</f>
        <v>1073</v>
      </c>
      <c r="N5229">
        <f>VLOOKUP(F5229,Sheet2!$B$1:$E$19,3,FALSE)</f>
        <v>1108959</v>
      </c>
      <c r="O5229">
        <f>IF(G5229="Not available","",VLOOKUP(F5229,Sheet2!$B$1:$E$19,4,FALSE)+(G5229-1))</f>
        <v>3780071</v>
      </c>
    </row>
    <row r="5230" spans="1:15" s="3" customFormat="1" ht="15" customHeight="1" x14ac:dyDescent="0.25">
      <c r="A5230" s="18" t="s">
        <v>417</v>
      </c>
      <c r="B5230" s="18" t="s">
        <v>3273</v>
      </c>
      <c r="C5230" s="5"/>
      <c r="D5230" s="1"/>
      <c r="E5230" s="1"/>
      <c r="F5230" s="18"/>
      <c r="G5230" s="18"/>
      <c r="H5230" s="5"/>
      <c r="I5230" s="1"/>
      <c r="J5230" s="1"/>
      <c r="K5230" s="1"/>
      <c r="L5230" t="e">
        <f t="shared" si="81"/>
        <v>#N/A</v>
      </c>
      <c r="M5230" t="e">
        <f>VLOOKUP(F5230,Sheet2!$B$1:$E$19,2,FALSE)</f>
        <v>#N/A</v>
      </c>
      <c r="N5230" t="e">
        <f>VLOOKUP(F5230,Sheet2!$B$1:$E$19,3,FALSE)</f>
        <v>#N/A</v>
      </c>
      <c r="O5230" t="e">
        <f>IF(G5230="Not available","",VLOOKUP(F5230,Sheet2!$B$1:$E$19,4,FALSE)+(G5230-1))</f>
        <v>#N/A</v>
      </c>
    </row>
    <row r="5231" spans="1:15" s="3" customFormat="1" ht="15" customHeight="1" x14ac:dyDescent="0.25">
      <c r="A5231" s="18" t="s">
        <v>1110</v>
      </c>
      <c r="B5231" s="18" t="s">
        <v>506</v>
      </c>
      <c r="C5231" s="5" t="s">
        <v>1692</v>
      </c>
      <c r="D5231" s="1" t="s">
        <v>96</v>
      </c>
      <c r="E5231" s="1" t="s">
        <v>2</v>
      </c>
      <c r="F5231" s="18">
        <v>2165</v>
      </c>
      <c r="G5231" s="18">
        <v>35</v>
      </c>
      <c r="H5231" s="5">
        <v>32</v>
      </c>
      <c r="I5231" s="1">
        <v>97</v>
      </c>
      <c r="J5231" s="4" t="s">
        <v>3271</v>
      </c>
      <c r="K5231" s="1"/>
      <c r="L5231" t="str">
        <f t="shared" si="81"/>
        <v>http://www.badatelna.eu/reprodukce/?fondId=1073&amp;zaznamId=1108952&amp;reproId=3778896</v>
      </c>
      <c r="M5231">
        <f>VLOOKUP(F5231,Sheet2!$B$1:$E$19,2,FALSE)</f>
        <v>1073</v>
      </c>
      <c r="N5231">
        <f>VLOOKUP(F5231,Sheet2!$B$1:$E$19,3,FALSE)</f>
        <v>1108952</v>
      </c>
      <c r="O5231">
        <f>IF(G5231="Not available","",VLOOKUP(F5231,Sheet2!$B$1:$E$19,4,FALSE)+(G5231-1))</f>
        <v>3778896</v>
      </c>
    </row>
    <row r="5232" spans="1:15" s="3" customFormat="1" ht="15" customHeight="1" x14ac:dyDescent="0.25">
      <c r="A5232" s="18" t="s">
        <v>1110</v>
      </c>
      <c r="B5232" s="18" t="s">
        <v>432</v>
      </c>
      <c r="C5232" s="5" t="s">
        <v>1688</v>
      </c>
      <c r="D5232" s="1" t="s">
        <v>96</v>
      </c>
      <c r="E5232" s="1" t="s">
        <v>2</v>
      </c>
      <c r="F5232" s="18">
        <v>2165</v>
      </c>
      <c r="G5232" s="18">
        <v>21</v>
      </c>
      <c r="H5232" s="5">
        <v>18</v>
      </c>
      <c r="I5232" s="1">
        <v>97</v>
      </c>
      <c r="J5232" s="4" t="s">
        <v>3271</v>
      </c>
      <c r="K5232" s="1"/>
      <c r="L5232" t="str">
        <f t="shared" si="81"/>
        <v>http://www.badatelna.eu/reprodukce/?fondId=1073&amp;zaznamId=1108952&amp;reproId=3778882</v>
      </c>
      <c r="M5232">
        <f>VLOOKUP(F5232,Sheet2!$B$1:$E$19,2,FALSE)</f>
        <v>1073</v>
      </c>
      <c r="N5232">
        <f>VLOOKUP(F5232,Sheet2!$B$1:$E$19,3,FALSE)</f>
        <v>1108952</v>
      </c>
      <c r="O5232">
        <f>IF(G5232="Not available","",VLOOKUP(F5232,Sheet2!$B$1:$E$19,4,FALSE)+(G5232-1))</f>
        <v>3778882</v>
      </c>
    </row>
    <row r="5233" spans="1:15" s="3" customFormat="1" ht="15" customHeight="1" x14ac:dyDescent="0.25">
      <c r="A5233" s="19" t="s">
        <v>3070</v>
      </c>
      <c r="B5233" s="19" t="s">
        <v>3051</v>
      </c>
      <c r="C5233" s="5">
        <v>1785</v>
      </c>
      <c r="D5233" s="4" t="s">
        <v>3050</v>
      </c>
      <c r="E5233" s="1" t="s">
        <v>2</v>
      </c>
      <c r="F5233" s="18">
        <v>2173</v>
      </c>
      <c r="G5233" s="18">
        <v>9</v>
      </c>
      <c r="H5233" s="5">
        <v>13</v>
      </c>
      <c r="I5233" s="1">
        <v>120</v>
      </c>
      <c r="J5233" s="1">
        <v>263</v>
      </c>
      <c r="K5233" s="1"/>
      <c r="L5233" t="str">
        <f t="shared" si="81"/>
        <v>http://www.badatelna.eu/reprodukce/?fondId=1073&amp;zaznamId=1108959&amp;reproId=3780002</v>
      </c>
      <c r="M5233">
        <f>VLOOKUP(F5233,Sheet2!$B$1:$E$19,2,FALSE)</f>
        <v>1073</v>
      </c>
      <c r="N5233">
        <f>VLOOKUP(F5233,Sheet2!$B$1:$E$19,3,FALSE)</f>
        <v>1108959</v>
      </c>
      <c r="O5233">
        <f>IF(G5233="Not available","",VLOOKUP(F5233,Sheet2!$B$1:$E$19,4,FALSE)+(G5233-1))</f>
        <v>3780002</v>
      </c>
    </row>
    <row r="5234" spans="1:15" s="3" customFormat="1" ht="15" customHeight="1" x14ac:dyDescent="0.25">
      <c r="A5234" s="18" t="s">
        <v>446</v>
      </c>
      <c r="B5234" s="18" t="s">
        <v>477</v>
      </c>
      <c r="C5234" s="5">
        <v>1841</v>
      </c>
      <c r="D5234" s="1" t="s">
        <v>480</v>
      </c>
      <c r="E5234" s="1" t="s">
        <v>2</v>
      </c>
      <c r="F5234" s="18">
        <v>2174</v>
      </c>
      <c r="G5234" s="18">
        <v>117</v>
      </c>
      <c r="H5234" s="6" t="s">
        <v>3185</v>
      </c>
      <c r="I5234" s="1">
        <v>208</v>
      </c>
      <c r="J5234" s="1">
        <v>245</v>
      </c>
      <c r="K5234" s="1"/>
      <c r="L5234" t="str">
        <f t="shared" si="81"/>
        <v>http://www.badatelna.eu/reprodukce/?fondId=1073&amp;zaznamId=1108960&amp;reproId=3780341</v>
      </c>
      <c r="M5234">
        <f>VLOOKUP(F5234,Sheet2!$B$1:$E$19,2,FALSE)</f>
        <v>1073</v>
      </c>
      <c r="N5234">
        <f>VLOOKUP(F5234,Sheet2!$B$1:$E$19,3,FALSE)</f>
        <v>1108960</v>
      </c>
      <c r="O5234">
        <f>IF(G5234="Not available","",VLOOKUP(F5234,Sheet2!$B$1:$E$19,4,FALSE)+(G5234-1))</f>
        <v>3780341</v>
      </c>
    </row>
    <row r="5235" spans="1:15" s="3" customFormat="1" ht="15" customHeight="1" x14ac:dyDescent="0.25">
      <c r="A5235" s="18" t="s">
        <v>446</v>
      </c>
      <c r="B5235" s="18" t="s">
        <v>92</v>
      </c>
      <c r="C5235" s="5">
        <v>1805</v>
      </c>
      <c r="D5235" s="1"/>
      <c r="E5235" s="1" t="s">
        <v>2</v>
      </c>
      <c r="F5235" s="18">
        <v>2173</v>
      </c>
      <c r="G5235" s="18">
        <v>48</v>
      </c>
      <c r="H5235" s="5">
        <v>91</v>
      </c>
      <c r="I5235" s="1">
        <v>120</v>
      </c>
      <c r="J5235" s="1">
        <v>263</v>
      </c>
      <c r="K5235" s="1"/>
      <c r="L5235" t="str">
        <f t="shared" si="81"/>
        <v>http://www.badatelna.eu/reprodukce/?fondId=1073&amp;zaznamId=1108959&amp;reproId=3780041</v>
      </c>
      <c r="M5235">
        <f>VLOOKUP(F5235,Sheet2!$B$1:$E$19,2,FALSE)</f>
        <v>1073</v>
      </c>
      <c r="N5235">
        <f>VLOOKUP(F5235,Sheet2!$B$1:$E$19,3,FALSE)</f>
        <v>1108959</v>
      </c>
      <c r="O5235">
        <f>IF(G5235="Not available","",VLOOKUP(F5235,Sheet2!$B$1:$E$19,4,FALSE)+(G5235-1))</f>
        <v>3780041</v>
      </c>
    </row>
    <row r="5236" spans="1:15" s="3" customFormat="1" ht="15" customHeight="1" x14ac:dyDescent="0.25">
      <c r="A5236" s="18" t="s">
        <v>446</v>
      </c>
      <c r="B5236" s="18" t="s">
        <v>162</v>
      </c>
      <c r="C5236" s="5">
        <v>1817</v>
      </c>
      <c r="D5236" s="1"/>
      <c r="E5236" s="1" t="s">
        <v>2</v>
      </c>
      <c r="F5236" s="18">
        <v>2173</v>
      </c>
      <c r="G5236" s="18">
        <v>66</v>
      </c>
      <c r="H5236" s="5">
        <v>127</v>
      </c>
      <c r="I5236" s="1">
        <v>121</v>
      </c>
      <c r="J5236" s="1">
        <v>264</v>
      </c>
      <c r="K5236" s="1"/>
      <c r="L5236" t="str">
        <f t="shared" si="81"/>
        <v>http://www.badatelna.eu/reprodukce/?fondId=1073&amp;zaznamId=1108959&amp;reproId=3780059</v>
      </c>
      <c r="M5236">
        <f>VLOOKUP(F5236,Sheet2!$B$1:$E$19,2,FALSE)</f>
        <v>1073</v>
      </c>
      <c r="N5236">
        <f>VLOOKUP(F5236,Sheet2!$B$1:$E$19,3,FALSE)</f>
        <v>1108959</v>
      </c>
      <c r="O5236">
        <f>IF(G5236="Not available","",VLOOKUP(F5236,Sheet2!$B$1:$E$19,4,FALSE)+(G5236-1))</f>
        <v>3780059</v>
      </c>
    </row>
    <row r="5237" spans="1:15" s="3" customFormat="1" ht="15" customHeight="1" x14ac:dyDescent="0.25">
      <c r="A5237" s="18" t="s">
        <v>446</v>
      </c>
      <c r="B5237" s="18" t="s">
        <v>162</v>
      </c>
      <c r="C5237" s="5">
        <v>1828</v>
      </c>
      <c r="D5237" s="1"/>
      <c r="E5237" s="1" t="s">
        <v>2</v>
      </c>
      <c r="F5237" s="18">
        <v>2173</v>
      </c>
      <c r="G5237" s="18">
        <v>81</v>
      </c>
      <c r="H5237" s="5">
        <v>154</v>
      </c>
      <c r="I5237" s="1">
        <v>121</v>
      </c>
      <c r="J5237" s="1">
        <v>264</v>
      </c>
      <c r="K5237" s="1"/>
      <c r="L5237" t="str">
        <f t="shared" si="81"/>
        <v>http://www.badatelna.eu/reprodukce/?fondId=1073&amp;zaznamId=1108959&amp;reproId=3780074</v>
      </c>
      <c r="M5237">
        <f>VLOOKUP(F5237,Sheet2!$B$1:$E$19,2,FALSE)</f>
        <v>1073</v>
      </c>
      <c r="N5237">
        <f>VLOOKUP(F5237,Sheet2!$B$1:$E$19,3,FALSE)</f>
        <v>1108959</v>
      </c>
      <c r="O5237">
        <f>IF(G5237="Not available","",VLOOKUP(F5237,Sheet2!$B$1:$E$19,4,FALSE)+(G5237-1))</f>
        <v>3780074</v>
      </c>
    </row>
    <row r="5238" spans="1:15" s="3" customFormat="1" ht="15" customHeight="1" x14ac:dyDescent="0.25">
      <c r="A5238" s="18" t="s">
        <v>446</v>
      </c>
      <c r="B5238" s="18" t="s">
        <v>482</v>
      </c>
      <c r="C5238" s="5">
        <v>1843</v>
      </c>
      <c r="D5238" s="1" t="s">
        <v>83</v>
      </c>
      <c r="E5238" s="1" t="s">
        <v>2</v>
      </c>
      <c r="F5238" s="18">
        <v>2174</v>
      </c>
      <c r="G5238" s="18">
        <v>137</v>
      </c>
      <c r="H5238" s="6" t="s">
        <v>3209</v>
      </c>
      <c r="I5238" s="1">
        <v>209</v>
      </c>
      <c r="J5238" s="1">
        <v>246</v>
      </c>
      <c r="K5238" s="1"/>
      <c r="L5238" t="str">
        <f t="shared" si="81"/>
        <v>http://www.badatelna.eu/reprodukce/?fondId=1073&amp;zaznamId=1108960&amp;reproId=3780361</v>
      </c>
      <c r="M5238">
        <f>VLOOKUP(F5238,Sheet2!$B$1:$E$19,2,FALSE)</f>
        <v>1073</v>
      </c>
      <c r="N5238">
        <f>VLOOKUP(F5238,Sheet2!$B$1:$E$19,3,FALSE)</f>
        <v>1108960</v>
      </c>
      <c r="O5238">
        <f>IF(G5238="Not available","",VLOOKUP(F5238,Sheet2!$B$1:$E$19,4,FALSE)+(G5238-1))</f>
        <v>3780361</v>
      </c>
    </row>
    <row r="5239" spans="1:15" s="3" customFormat="1" ht="15" customHeight="1" x14ac:dyDescent="0.25">
      <c r="A5239" s="18" t="s">
        <v>446</v>
      </c>
      <c r="B5239" s="18" t="s">
        <v>6</v>
      </c>
      <c r="C5239" s="5">
        <v>1788</v>
      </c>
      <c r="D5239" s="1" t="s">
        <v>10</v>
      </c>
      <c r="E5239" s="1" t="s">
        <v>2</v>
      </c>
      <c r="F5239" s="18">
        <v>2173</v>
      </c>
      <c r="G5239" s="18">
        <v>17</v>
      </c>
      <c r="H5239" s="5">
        <v>28</v>
      </c>
      <c r="I5239" s="1">
        <v>120</v>
      </c>
      <c r="J5239" s="1">
        <v>263</v>
      </c>
      <c r="K5239" s="1"/>
      <c r="L5239" t="str">
        <f t="shared" si="81"/>
        <v>http://www.badatelna.eu/reprodukce/?fondId=1073&amp;zaznamId=1108959&amp;reproId=3780010</v>
      </c>
      <c r="M5239">
        <f>VLOOKUP(F5239,Sheet2!$B$1:$E$19,2,FALSE)</f>
        <v>1073</v>
      </c>
      <c r="N5239">
        <f>VLOOKUP(F5239,Sheet2!$B$1:$E$19,3,FALSE)</f>
        <v>1108959</v>
      </c>
      <c r="O5239">
        <f>IF(G5239="Not available","",VLOOKUP(F5239,Sheet2!$B$1:$E$19,4,FALSE)+(G5239-1))</f>
        <v>3780010</v>
      </c>
    </row>
    <row r="5240" spans="1:15" s="3" customFormat="1" ht="15" customHeight="1" x14ac:dyDescent="0.25">
      <c r="A5240" s="18" t="s">
        <v>446</v>
      </c>
      <c r="B5240" s="18" t="s">
        <v>6</v>
      </c>
      <c r="C5240" s="5">
        <v>1799</v>
      </c>
      <c r="D5240" s="1"/>
      <c r="E5240" s="1" t="s">
        <v>2</v>
      </c>
      <c r="F5240" s="18">
        <v>2173</v>
      </c>
      <c r="G5240" s="18">
        <v>41</v>
      </c>
      <c r="H5240" s="5">
        <v>76</v>
      </c>
      <c r="I5240" s="1">
        <v>120</v>
      </c>
      <c r="J5240" s="1">
        <v>263</v>
      </c>
      <c r="K5240" s="1"/>
      <c r="L5240" t="str">
        <f t="shared" si="81"/>
        <v>http://www.badatelna.eu/reprodukce/?fondId=1073&amp;zaznamId=1108959&amp;reproId=3780034</v>
      </c>
      <c r="M5240">
        <f>VLOOKUP(F5240,Sheet2!$B$1:$E$19,2,FALSE)</f>
        <v>1073</v>
      </c>
      <c r="N5240">
        <f>VLOOKUP(F5240,Sheet2!$B$1:$E$19,3,FALSE)</f>
        <v>1108959</v>
      </c>
      <c r="O5240">
        <f>IF(G5240="Not available","",VLOOKUP(F5240,Sheet2!$B$1:$E$19,4,FALSE)+(G5240-1))</f>
        <v>3780034</v>
      </c>
    </row>
    <row r="5241" spans="1:15" s="3" customFormat="1" ht="15" customHeight="1" x14ac:dyDescent="0.25">
      <c r="A5241" s="18" t="s">
        <v>446</v>
      </c>
      <c r="B5241" s="18" t="s">
        <v>490</v>
      </c>
      <c r="C5241" s="5">
        <v>1849</v>
      </c>
      <c r="D5241" s="1" t="s">
        <v>138</v>
      </c>
      <c r="E5241" s="1" t="s">
        <v>2</v>
      </c>
      <c r="F5241" s="18">
        <v>2164</v>
      </c>
      <c r="G5241" s="18">
        <v>54</v>
      </c>
      <c r="H5241" s="5">
        <v>52</v>
      </c>
      <c r="I5241" s="1">
        <v>143</v>
      </c>
      <c r="J5241" s="1">
        <v>246</v>
      </c>
      <c r="K5241" s="1"/>
      <c r="L5241" t="str">
        <f t="shared" si="81"/>
        <v>http://www.badatelna.eu/reprodukce/?fondId=1073&amp;zaznamId=1108951&amp;reproId=3778768</v>
      </c>
      <c r="M5241">
        <f>VLOOKUP(F5241,Sheet2!$B$1:$E$19,2,FALSE)</f>
        <v>1073</v>
      </c>
      <c r="N5241">
        <f>VLOOKUP(F5241,Sheet2!$B$1:$E$19,3,FALSE)</f>
        <v>1108951</v>
      </c>
      <c r="O5241">
        <f>IF(G5241="Not available","",VLOOKUP(F5241,Sheet2!$B$1:$E$19,4,FALSE)+(G5241-1))</f>
        <v>3778768</v>
      </c>
    </row>
    <row r="5242" spans="1:15" s="3" customFormat="1" ht="15" customHeight="1" x14ac:dyDescent="0.25">
      <c r="A5242" s="18" t="s">
        <v>446</v>
      </c>
      <c r="B5242" s="18" t="s">
        <v>59</v>
      </c>
      <c r="C5242" s="5">
        <v>1835</v>
      </c>
      <c r="D5242" s="1" t="s">
        <v>83</v>
      </c>
      <c r="E5242" s="1" t="s">
        <v>2</v>
      </c>
      <c r="F5242" s="18">
        <v>2174</v>
      </c>
      <c r="G5242" s="18">
        <v>84</v>
      </c>
      <c r="H5242" s="6" t="s">
        <v>3150</v>
      </c>
      <c r="I5242" s="1">
        <v>208</v>
      </c>
      <c r="J5242" s="1">
        <v>245</v>
      </c>
      <c r="K5242" s="1"/>
      <c r="L5242" t="str">
        <f t="shared" si="81"/>
        <v>http://www.badatelna.eu/reprodukce/?fondId=1073&amp;zaznamId=1108960&amp;reproId=3780308</v>
      </c>
      <c r="M5242">
        <f>VLOOKUP(F5242,Sheet2!$B$1:$E$19,2,FALSE)</f>
        <v>1073</v>
      </c>
      <c r="N5242">
        <f>VLOOKUP(F5242,Sheet2!$B$1:$E$19,3,FALSE)</f>
        <v>1108960</v>
      </c>
      <c r="O5242">
        <f>IF(G5242="Not available","",VLOOKUP(F5242,Sheet2!$B$1:$E$19,4,FALSE)+(G5242-1))</f>
        <v>3780308</v>
      </c>
    </row>
    <row r="5243" spans="1:15" s="3" customFormat="1" ht="15" customHeight="1" x14ac:dyDescent="0.25">
      <c r="A5243" s="18" t="s">
        <v>446</v>
      </c>
      <c r="B5243" s="19" t="s">
        <v>3052</v>
      </c>
      <c r="C5243" s="5">
        <v>1798</v>
      </c>
      <c r="D5243" s="1" t="s">
        <v>15</v>
      </c>
      <c r="E5243" s="1" t="s">
        <v>2</v>
      </c>
      <c r="F5243" s="18">
        <v>2173</v>
      </c>
      <c r="G5243" s="18">
        <v>37</v>
      </c>
      <c r="H5243" s="5">
        <v>68</v>
      </c>
      <c r="I5243" s="1">
        <v>120</v>
      </c>
      <c r="J5243" s="1">
        <v>263</v>
      </c>
      <c r="K5243" s="1"/>
      <c r="L5243" t="str">
        <f t="shared" si="81"/>
        <v>http://www.badatelna.eu/reprodukce/?fondId=1073&amp;zaznamId=1108959&amp;reproId=3780030</v>
      </c>
      <c r="M5243">
        <f>VLOOKUP(F5243,Sheet2!$B$1:$E$19,2,FALSE)</f>
        <v>1073</v>
      </c>
      <c r="N5243">
        <f>VLOOKUP(F5243,Sheet2!$B$1:$E$19,3,FALSE)</f>
        <v>1108959</v>
      </c>
      <c r="O5243">
        <f>IF(G5243="Not available","",VLOOKUP(F5243,Sheet2!$B$1:$E$19,4,FALSE)+(G5243-1))</f>
        <v>3780030</v>
      </c>
    </row>
    <row r="5244" spans="1:15" s="3" customFormat="1" ht="15" customHeight="1" x14ac:dyDescent="0.25">
      <c r="A5244" s="18" t="s">
        <v>446</v>
      </c>
      <c r="B5244" s="18" t="s">
        <v>181</v>
      </c>
      <c r="C5244" s="5">
        <v>1856</v>
      </c>
      <c r="D5244" s="1" t="s">
        <v>138</v>
      </c>
      <c r="E5244" s="1" t="s">
        <v>2</v>
      </c>
      <c r="F5244" s="18">
        <v>2164</v>
      </c>
      <c r="G5244" s="18">
        <v>112</v>
      </c>
      <c r="H5244" s="5">
        <v>110</v>
      </c>
      <c r="I5244" s="1">
        <v>143</v>
      </c>
      <c r="J5244" s="1">
        <v>246</v>
      </c>
      <c r="K5244" s="1"/>
      <c r="L5244" t="str">
        <f t="shared" si="81"/>
        <v>http://www.badatelna.eu/reprodukce/?fondId=1073&amp;zaznamId=1108951&amp;reproId=3778826</v>
      </c>
      <c r="M5244">
        <f>VLOOKUP(F5244,Sheet2!$B$1:$E$19,2,FALSE)</f>
        <v>1073</v>
      </c>
      <c r="N5244">
        <f>VLOOKUP(F5244,Sheet2!$B$1:$E$19,3,FALSE)</f>
        <v>1108951</v>
      </c>
      <c r="O5244">
        <f>IF(G5244="Not available","",VLOOKUP(F5244,Sheet2!$B$1:$E$19,4,FALSE)+(G5244-1))</f>
        <v>3778826</v>
      </c>
    </row>
    <row r="5245" spans="1:15" s="3" customFormat="1" ht="15" customHeight="1" x14ac:dyDescent="0.25">
      <c r="A5245" s="18" t="s">
        <v>446</v>
      </c>
      <c r="B5245" s="18" t="s">
        <v>494</v>
      </c>
      <c r="C5245" s="5">
        <v>1848</v>
      </c>
      <c r="D5245" s="1" t="s">
        <v>489</v>
      </c>
      <c r="E5245" s="1" t="s">
        <v>2</v>
      </c>
      <c r="F5245" s="18">
        <v>2164</v>
      </c>
      <c r="G5245" s="18">
        <v>39</v>
      </c>
      <c r="H5245" s="5">
        <v>37</v>
      </c>
      <c r="I5245" s="1">
        <v>143</v>
      </c>
      <c r="J5245" s="1">
        <v>246</v>
      </c>
      <c r="K5245" s="1"/>
      <c r="L5245" t="str">
        <f t="shared" si="81"/>
        <v>http://www.badatelna.eu/reprodukce/?fondId=1073&amp;zaznamId=1108951&amp;reproId=3778753</v>
      </c>
      <c r="M5245">
        <f>VLOOKUP(F5245,Sheet2!$B$1:$E$19,2,FALSE)</f>
        <v>1073</v>
      </c>
      <c r="N5245">
        <f>VLOOKUP(F5245,Sheet2!$B$1:$E$19,3,FALSE)</f>
        <v>1108951</v>
      </c>
      <c r="O5245">
        <f>IF(G5245="Not available","",VLOOKUP(F5245,Sheet2!$B$1:$E$19,4,FALSE)+(G5245-1))</f>
        <v>3778753</v>
      </c>
    </row>
    <row r="5246" spans="1:15" s="3" customFormat="1" ht="15" customHeight="1" x14ac:dyDescent="0.25">
      <c r="A5246" s="18" t="s">
        <v>446</v>
      </c>
      <c r="B5246" s="18" t="s">
        <v>484</v>
      </c>
      <c r="C5246" s="5">
        <v>1849</v>
      </c>
      <c r="D5246" s="1" t="s">
        <v>83</v>
      </c>
      <c r="E5246" s="1" t="s">
        <v>2</v>
      </c>
      <c r="F5246" s="18">
        <v>2164</v>
      </c>
      <c r="G5246" s="18">
        <v>52</v>
      </c>
      <c r="H5246" s="5">
        <v>50</v>
      </c>
      <c r="I5246" s="1">
        <v>143</v>
      </c>
      <c r="J5246" s="1">
        <v>246</v>
      </c>
      <c r="K5246" s="1"/>
      <c r="L5246" t="str">
        <f t="shared" si="81"/>
        <v>http://www.badatelna.eu/reprodukce/?fondId=1073&amp;zaznamId=1108951&amp;reproId=3778766</v>
      </c>
      <c r="M5246">
        <f>VLOOKUP(F5246,Sheet2!$B$1:$E$19,2,FALSE)</f>
        <v>1073</v>
      </c>
      <c r="N5246">
        <f>VLOOKUP(F5246,Sheet2!$B$1:$E$19,3,FALSE)</f>
        <v>1108951</v>
      </c>
      <c r="O5246">
        <f>IF(G5246="Not available","",VLOOKUP(F5246,Sheet2!$B$1:$E$19,4,FALSE)+(G5246-1))</f>
        <v>3778766</v>
      </c>
    </row>
    <row r="5247" spans="1:15" s="3" customFormat="1" ht="15" customHeight="1" x14ac:dyDescent="0.25">
      <c r="A5247" s="18" t="s">
        <v>446</v>
      </c>
      <c r="B5247" s="19" t="s">
        <v>264</v>
      </c>
      <c r="C5247" s="5">
        <v>1816</v>
      </c>
      <c r="D5247" s="1"/>
      <c r="E5247" s="1" t="s">
        <v>2</v>
      </c>
      <c r="F5247" s="18">
        <v>2173</v>
      </c>
      <c r="G5247" s="18">
        <v>66</v>
      </c>
      <c r="H5247" s="5">
        <v>126</v>
      </c>
      <c r="I5247" s="1">
        <v>121</v>
      </c>
      <c r="J5247" s="1">
        <v>264</v>
      </c>
      <c r="K5247" s="1"/>
      <c r="L5247" t="str">
        <f t="shared" si="81"/>
        <v>http://www.badatelna.eu/reprodukce/?fondId=1073&amp;zaznamId=1108959&amp;reproId=3780059</v>
      </c>
      <c r="M5247">
        <f>VLOOKUP(F5247,Sheet2!$B$1:$E$19,2,FALSE)</f>
        <v>1073</v>
      </c>
      <c r="N5247">
        <f>VLOOKUP(F5247,Sheet2!$B$1:$E$19,3,FALSE)</f>
        <v>1108959</v>
      </c>
      <c r="O5247">
        <f>IF(G5247="Not available","",VLOOKUP(F5247,Sheet2!$B$1:$E$19,4,FALSE)+(G5247-1))</f>
        <v>3780059</v>
      </c>
    </row>
    <row r="5248" spans="1:15" s="3" customFormat="1" ht="15" customHeight="1" x14ac:dyDescent="0.25">
      <c r="A5248" s="18" t="s">
        <v>446</v>
      </c>
      <c r="B5248" s="19" t="s">
        <v>933</v>
      </c>
      <c r="C5248" s="5">
        <v>1859</v>
      </c>
      <c r="D5248" s="1"/>
      <c r="E5248" s="1" t="s">
        <v>939</v>
      </c>
      <c r="F5248" s="18">
        <v>999</v>
      </c>
      <c r="G5248" s="18">
        <v>16</v>
      </c>
      <c r="H5248" s="5">
        <v>14</v>
      </c>
      <c r="I5248" s="1">
        <v>79</v>
      </c>
      <c r="J5248" s="1">
        <v>112</v>
      </c>
      <c r="K5248" s="1"/>
      <c r="L5248" t="str">
        <f t="shared" si="81"/>
        <v>http://www.badatelna.eu/reprodukce/?fondId=241&amp;zaznamId=1133739&amp;reproId=3885745</v>
      </c>
      <c r="M5248">
        <f>VLOOKUP(F5248,Sheet2!$B$1:$E$19,2,FALSE)</f>
        <v>241</v>
      </c>
      <c r="N5248">
        <f>VLOOKUP(F5248,Sheet2!$B$1:$E$19,3,FALSE)</f>
        <v>1133739</v>
      </c>
      <c r="O5248">
        <f>IF(G5248="Not available","",VLOOKUP(F5248,Sheet2!$B$1:$E$19,4,FALSE)+(G5248-1))</f>
        <v>3885745</v>
      </c>
    </row>
    <row r="5249" spans="1:15" s="3" customFormat="1" ht="15" customHeight="1" x14ac:dyDescent="0.25">
      <c r="A5249" s="18" t="s">
        <v>446</v>
      </c>
      <c r="B5249" s="18" t="s">
        <v>498</v>
      </c>
      <c r="C5249" s="5">
        <v>1851</v>
      </c>
      <c r="D5249" s="1" t="s">
        <v>138</v>
      </c>
      <c r="E5249" s="1" t="s">
        <v>2</v>
      </c>
      <c r="F5249" s="18">
        <v>2164</v>
      </c>
      <c r="G5249" s="18">
        <v>77</v>
      </c>
      <c r="H5249" s="5">
        <v>75</v>
      </c>
      <c r="I5249" s="1">
        <v>143</v>
      </c>
      <c r="J5249" s="1">
        <v>246</v>
      </c>
      <c r="K5249" s="1"/>
      <c r="L5249" t="str">
        <f t="shared" si="81"/>
        <v>http://www.badatelna.eu/reprodukce/?fondId=1073&amp;zaznamId=1108951&amp;reproId=3778791</v>
      </c>
      <c r="M5249">
        <f>VLOOKUP(F5249,Sheet2!$B$1:$E$19,2,FALSE)</f>
        <v>1073</v>
      </c>
      <c r="N5249">
        <f>VLOOKUP(F5249,Sheet2!$B$1:$E$19,3,FALSE)</f>
        <v>1108951</v>
      </c>
      <c r="O5249">
        <f>IF(G5249="Not available","",VLOOKUP(F5249,Sheet2!$B$1:$E$19,4,FALSE)+(G5249-1))</f>
        <v>3778791</v>
      </c>
    </row>
    <row r="5250" spans="1:15" s="3" customFormat="1" ht="15" customHeight="1" x14ac:dyDescent="0.25">
      <c r="A5250" s="18" t="s">
        <v>446</v>
      </c>
      <c r="B5250" s="18" t="s">
        <v>12</v>
      </c>
      <c r="C5250" s="5">
        <v>1813</v>
      </c>
      <c r="D5250" s="1"/>
      <c r="E5250" s="1" t="s">
        <v>2</v>
      </c>
      <c r="F5250" s="18">
        <v>2173</v>
      </c>
      <c r="G5250" s="18">
        <v>60</v>
      </c>
      <c r="H5250" s="5">
        <v>115</v>
      </c>
      <c r="I5250" s="1">
        <v>121</v>
      </c>
      <c r="J5250" s="1">
        <v>264</v>
      </c>
      <c r="K5250" s="1"/>
      <c r="L5250" t="str">
        <f t="shared" si="81"/>
        <v>http://www.badatelna.eu/reprodukce/?fondId=1073&amp;zaznamId=1108959&amp;reproId=3780053</v>
      </c>
      <c r="M5250">
        <f>VLOOKUP(F5250,Sheet2!$B$1:$E$19,2,FALSE)</f>
        <v>1073</v>
      </c>
      <c r="N5250">
        <f>VLOOKUP(F5250,Sheet2!$B$1:$E$19,3,FALSE)</f>
        <v>1108959</v>
      </c>
      <c r="O5250">
        <f>IF(G5250="Not available","",VLOOKUP(F5250,Sheet2!$B$1:$E$19,4,FALSE)+(G5250-1))</f>
        <v>3780053</v>
      </c>
    </row>
    <row r="5251" spans="1:15" s="3" customFormat="1" ht="15" customHeight="1" x14ac:dyDescent="0.25">
      <c r="A5251" s="18" t="s">
        <v>446</v>
      </c>
      <c r="B5251" s="18" t="s">
        <v>505</v>
      </c>
      <c r="C5251" s="5">
        <v>1854</v>
      </c>
      <c r="D5251" s="1" t="s">
        <v>138</v>
      </c>
      <c r="E5251" s="1" t="s">
        <v>2</v>
      </c>
      <c r="F5251" s="18">
        <v>2164</v>
      </c>
      <c r="G5251" s="18">
        <v>103</v>
      </c>
      <c r="H5251" s="5">
        <v>101</v>
      </c>
      <c r="I5251" s="1">
        <v>143</v>
      </c>
      <c r="J5251" s="1">
        <v>246</v>
      </c>
      <c r="K5251" s="1"/>
      <c r="L5251" t="str">
        <f t="shared" ref="L5251:L5301" si="82">IF(G5251="Not available","","http://www.badatelna.eu/reprodukce/?fondId="&amp;M5251&amp;"&amp;zaznamId="&amp;N5251&amp;"&amp;reproId="&amp;O5251)</f>
        <v>http://www.badatelna.eu/reprodukce/?fondId=1073&amp;zaznamId=1108951&amp;reproId=3778817</v>
      </c>
      <c r="M5251">
        <f>VLOOKUP(F5251,Sheet2!$B$1:$E$19,2,FALSE)</f>
        <v>1073</v>
      </c>
      <c r="N5251">
        <f>VLOOKUP(F5251,Sheet2!$B$1:$E$19,3,FALSE)</f>
        <v>1108951</v>
      </c>
      <c r="O5251">
        <f>IF(G5251="Not available","",VLOOKUP(F5251,Sheet2!$B$1:$E$19,4,FALSE)+(G5251-1))</f>
        <v>3778817</v>
      </c>
    </row>
    <row r="5252" spans="1:15" s="3" customFormat="1" ht="15" customHeight="1" x14ac:dyDescent="0.25">
      <c r="A5252" s="18" t="s">
        <v>446</v>
      </c>
      <c r="B5252" s="18" t="s">
        <v>472</v>
      </c>
      <c r="C5252" s="5">
        <v>1838</v>
      </c>
      <c r="D5252" s="1" t="s">
        <v>83</v>
      </c>
      <c r="E5252" s="1" t="s">
        <v>2</v>
      </c>
      <c r="F5252" s="18">
        <v>2174</v>
      </c>
      <c r="G5252" s="18">
        <v>98</v>
      </c>
      <c r="H5252" s="16" t="s">
        <v>3166</v>
      </c>
      <c r="I5252" s="1">
        <v>208</v>
      </c>
      <c r="J5252" s="1">
        <v>245</v>
      </c>
      <c r="K5252" s="1"/>
      <c r="L5252" t="str">
        <f t="shared" si="82"/>
        <v>http://www.badatelna.eu/reprodukce/?fondId=1073&amp;zaznamId=1108960&amp;reproId=3780322</v>
      </c>
      <c r="M5252">
        <f>VLOOKUP(F5252,Sheet2!$B$1:$E$19,2,FALSE)</f>
        <v>1073</v>
      </c>
      <c r="N5252">
        <f>VLOOKUP(F5252,Sheet2!$B$1:$E$19,3,FALSE)</f>
        <v>1108960</v>
      </c>
      <c r="O5252">
        <f>IF(G5252="Not available","",VLOOKUP(F5252,Sheet2!$B$1:$E$19,4,FALSE)+(G5252-1))</f>
        <v>3780322</v>
      </c>
    </row>
    <row r="5253" spans="1:15" s="3" customFormat="1" ht="15" customHeight="1" x14ac:dyDescent="0.25">
      <c r="A5253" s="18" t="s">
        <v>446</v>
      </c>
      <c r="B5253" s="18" t="s">
        <v>138</v>
      </c>
      <c r="C5253" s="5">
        <v>1814</v>
      </c>
      <c r="D5253" s="1"/>
      <c r="E5253" s="1" t="s">
        <v>2</v>
      </c>
      <c r="F5253" s="18">
        <v>2173</v>
      </c>
      <c r="G5253" s="18">
        <v>63</v>
      </c>
      <c r="H5253" s="5">
        <v>120</v>
      </c>
      <c r="I5253" s="1">
        <v>121</v>
      </c>
      <c r="J5253" s="1">
        <v>264</v>
      </c>
      <c r="K5253" s="1"/>
      <c r="L5253" t="str">
        <f t="shared" si="82"/>
        <v>http://www.badatelna.eu/reprodukce/?fondId=1073&amp;zaznamId=1108959&amp;reproId=3780056</v>
      </c>
      <c r="M5253">
        <f>VLOOKUP(F5253,Sheet2!$B$1:$E$19,2,FALSE)</f>
        <v>1073</v>
      </c>
      <c r="N5253">
        <f>VLOOKUP(F5253,Sheet2!$B$1:$E$19,3,FALSE)</f>
        <v>1108959</v>
      </c>
      <c r="O5253">
        <f>IF(G5253="Not available","",VLOOKUP(F5253,Sheet2!$B$1:$E$19,4,FALSE)+(G5253-1))</f>
        <v>3780056</v>
      </c>
    </row>
    <row r="5254" spans="1:15" s="3" customFormat="1" ht="15" customHeight="1" x14ac:dyDescent="0.25">
      <c r="A5254" s="18" t="s">
        <v>446</v>
      </c>
      <c r="B5254" s="18" t="s">
        <v>26</v>
      </c>
      <c r="C5254" s="5">
        <v>1822</v>
      </c>
      <c r="D5254" s="1"/>
      <c r="E5254" s="1" t="s">
        <v>2</v>
      </c>
      <c r="F5254" s="18">
        <v>2173</v>
      </c>
      <c r="G5254" s="18">
        <v>73</v>
      </c>
      <c r="H5254" s="5">
        <v>138</v>
      </c>
      <c r="I5254" s="1">
        <v>121</v>
      </c>
      <c r="J5254" s="1">
        <v>264</v>
      </c>
      <c r="K5254" s="1"/>
      <c r="L5254" t="str">
        <f t="shared" si="82"/>
        <v>http://www.badatelna.eu/reprodukce/?fondId=1073&amp;zaznamId=1108959&amp;reproId=3780066</v>
      </c>
      <c r="M5254">
        <f>VLOOKUP(F5254,Sheet2!$B$1:$E$19,2,FALSE)</f>
        <v>1073</v>
      </c>
      <c r="N5254">
        <f>VLOOKUP(F5254,Sheet2!$B$1:$E$19,3,FALSE)</f>
        <v>1108959</v>
      </c>
      <c r="O5254">
        <f>IF(G5254="Not available","",VLOOKUP(F5254,Sheet2!$B$1:$E$19,4,FALSE)+(G5254-1))</f>
        <v>3780066</v>
      </c>
    </row>
    <row r="5255" spans="1:15" s="3" customFormat="1" ht="15" customHeight="1" x14ac:dyDescent="0.25">
      <c r="A5255" s="18" t="s">
        <v>446</v>
      </c>
      <c r="B5255" s="18" t="s">
        <v>26</v>
      </c>
      <c r="C5255" s="5">
        <v>1844</v>
      </c>
      <c r="D5255" s="1" t="s">
        <v>182</v>
      </c>
      <c r="E5255" s="1" t="s">
        <v>2</v>
      </c>
      <c r="F5255" s="18">
        <v>2174</v>
      </c>
      <c r="G5255" s="21">
        <v>144</v>
      </c>
      <c r="H5255" s="14" t="s">
        <v>3211</v>
      </c>
      <c r="I5255" s="1">
        <v>209</v>
      </c>
      <c r="J5255" s="1">
        <v>246</v>
      </c>
      <c r="K5255" s="1"/>
      <c r="L5255" t="str">
        <f t="shared" si="82"/>
        <v>http://www.badatelna.eu/reprodukce/?fondId=1073&amp;zaznamId=1108960&amp;reproId=3780368</v>
      </c>
      <c r="M5255">
        <f>VLOOKUP(F5255,Sheet2!$B$1:$E$19,2,FALSE)</f>
        <v>1073</v>
      </c>
      <c r="N5255">
        <f>VLOOKUP(F5255,Sheet2!$B$1:$E$19,3,FALSE)</f>
        <v>1108960</v>
      </c>
      <c r="O5255">
        <f>IF(G5255="Not available","",VLOOKUP(F5255,Sheet2!$B$1:$E$19,4,FALSE)+(G5255-1))</f>
        <v>3780368</v>
      </c>
    </row>
    <row r="5256" spans="1:15" s="3" customFormat="1" ht="15" customHeight="1" x14ac:dyDescent="0.25">
      <c r="A5256" s="18" t="s">
        <v>446</v>
      </c>
      <c r="B5256" s="18" t="s">
        <v>26</v>
      </c>
      <c r="C5256" s="5">
        <v>1851</v>
      </c>
      <c r="D5256" s="1" t="s">
        <v>489</v>
      </c>
      <c r="E5256" s="1" t="s">
        <v>2</v>
      </c>
      <c r="F5256" s="18">
        <v>2164</v>
      </c>
      <c r="G5256" s="18">
        <v>71</v>
      </c>
      <c r="H5256" s="5">
        <v>69</v>
      </c>
      <c r="I5256" s="1">
        <v>143</v>
      </c>
      <c r="J5256" s="1">
        <v>246</v>
      </c>
      <c r="K5256" s="1"/>
      <c r="L5256" t="str">
        <f t="shared" si="82"/>
        <v>http://www.badatelna.eu/reprodukce/?fondId=1073&amp;zaznamId=1108951&amp;reproId=3778785</v>
      </c>
      <c r="M5256">
        <f>VLOOKUP(F5256,Sheet2!$B$1:$E$19,2,FALSE)</f>
        <v>1073</v>
      </c>
      <c r="N5256">
        <f>VLOOKUP(F5256,Sheet2!$B$1:$E$19,3,FALSE)</f>
        <v>1108951</v>
      </c>
      <c r="O5256">
        <f>IF(G5256="Not available","",VLOOKUP(F5256,Sheet2!$B$1:$E$19,4,FALSE)+(G5256-1))</f>
        <v>3778785</v>
      </c>
    </row>
    <row r="5257" spans="1:15" s="3" customFormat="1" ht="15" customHeight="1" x14ac:dyDescent="0.25">
      <c r="A5257" s="18" t="s">
        <v>446</v>
      </c>
      <c r="B5257" s="18" t="s">
        <v>4</v>
      </c>
      <c r="C5257" s="5">
        <v>1820</v>
      </c>
      <c r="D5257" s="1"/>
      <c r="E5257" s="1" t="s">
        <v>2</v>
      </c>
      <c r="F5257" s="18">
        <v>2173</v>
      </c>
      <c r="G5257" s="18">
        <v>71</v>
      </c>
      <c r="H5257" s="5">
        <v>134</v>
      </c>
      <c r="I5257" s="1">
        <v>121</v>
      </c>
      <c r="J5257" s="1">
        <v>264</v>
      </c>
      <c r="K5257" s="1"/>
      <c r="L5257" t="str">
        <f t="shared" si="82"/>
        <v>http://www.badatelna.eu/reprodukce/?fondId=1073&amp;zaznamId=1108959&amp;reproId=3780064</v>
      </c>
      <c r="M5257">
        <f>VLOOKUP(F5257,Sheet2!$B$1:$E$19,2,FALSE)</f>
        <v>1073</v>
      </c>
      <c r="N5257">
        <f>VLOOKUP(F5257,Sheet2!$B$1:$E$19,3,FALSE)</f>
        <v>1108959</v>
      </c>
      <c r="O5257">
        <f>IF(G5257="Not available","",VLOOKUP(F5257,Sheet2!$B$1:$E$19,4,FALSE)+(G5257-1))</f>
        <v>3780064</v>
      </c>
    </row>
    <row r="5258" spans="1:15" s="3" customFormat="1" ht="15" customHeight="1" x14ac:dyDescent="0.25">
      <c r="A5258" s="18" t="s">
        <v>446</v>
      </c>
      <c r="B5258" s="18" t="s">
        <v>137</v>
      </c>
      <c r="C5258" s="5">
        <v>1814</v>
      </c>
      <c r="D5258" s="1"/>
      <c r="E5258" s="1" t="s">
        <v>2</v>
      </c>
      <c r="F5258" s="18">
        <v>2173</v>
      </c>
      <c r="G5258" s="18">
        <v>63</v>
      </c>
      <c r="H5258" s="5">
        <v>121</v>
      </c>
      <c r="I5258" s="1">
        <v>121</v>
      </c>
      <c r="J5258" s="1">
        <v>264</v>
      </c>
      <c r="K5258" s="1"/>
      <c r="L5258" t="str">
        <f t="shared" si="82"/>
        <v>http://www.badatelna.eu/reprodukce/?fondId=1073&amp;zaznamId=1108959&amp;reproId=3780056</v>
      </c>
      <c r="M5258">
        <f>VLOOKUP(F5258,Sheet2!$B$1:$E$19,2,FALSE)</f>
        <v>1073</v>
      </c>
      <c r="N5258">
        <f>VLOOKUP(F5258,Sheet2!$B$1:$E$19,3,FALSE)</f>
        <v>1108959</v>
      </c>
      <c r="O5258">
        <f>IF(G5258="Not available","",VLOOKUP(F5258,Sheet2!$B$1:$E$19,4,FALSE)+(G5258-1))</f>
        <v>3780056</v>
      </c>
    </row>
    <row r="5259" spans="1:15" s="3" customFormat="1" ht="15" customHeight="1" x14ac:dyDescent="0.25">
      <c r="A5259" s="18" t="s">
        <v>446</v>
      </c>
      <c r="B5259" s="18" t="s">
        <v>447</v>
      </c>
      <c r="C5259" s="5">
        <v>1784</v>
      </c>
      <c r="D5259" s="1" t="s">
        <v>38</v>
      </c>
      <c r="E5259" s="1" t="s">
        <v>2</v>
      </c>
      <c r="F5259" s="18">
        <v>2173</v>
      </c>
      <c r="G5259" s="18">
        <v>5</v>
      </c>
      <c r="H5259" s="5">
        <v>4</v>
      </c>
      <c r="I5259" s="1">
        <v>120</v>
      </c>
      <c r="J5259" s="1">
        <v>263</v>
      </c>
      <c r="K5259" s="1"/>
      <c r="L5259" t="str">
        <f t="shared" si="82"/>
        <v>http://www.badatelna.eu/reprodukce/?fondId=1073&amp;zaznamId=1108959&amp;reproId=3779998</v>
      </c>
      <c r="M5259">
        <f>VLOOKUP(F5259,Sheet2!$B$1:$E$19,2,FALSE)</f>
        <v>1073</v>
      </c>
      <c r="N5259">
        <f>VLOOKUP(F5259,Sheet2!$B$1:$E$19,3,FALSE)</f>
        <v>1108959</v>
      </c>
      <c r="O5259">
        <f>IF(G5259="Not available","",VLOOKUP(F5259,Sheet2!$B$1:$E$19,4,FALSE)+(G5259-1))</f>
        <v>3779998</v>
      </c>
    </row>
    <row r="5260" spans="1:15" s="3" customFormat="1" ht="15" customHeight="1" x14ac:dyDescent="0.25">
      <c r="A5260" s="18" t="s">
        <v>446</v>
      </c>
      <c r="B5260" s="18" t="s">
        <v>506</v>
      </c>
      <c r="C5260" s="5">
        <v>1856</v>
      </c>
      <c r="D5260" s="1" t="s">
        <v>489</v>
      </c>
      <c r="E5260" s="1" t="s">
        <v>2</v>
      </c>
      <c r="F5260" s="18">
        <v>2164</v>
      </c>
      <c r="G5260" s="18">
        <v>111</v>
      </c>
      <c r="H5260" s="5">
        <v>109</v>
      </c>
      <c r="I5260" s="1">
        <v>143</v>
      </c>
      <c r="J5260" s="1">
        <v>246</v>
      </c>
      <c r="K5260" s="1"/>
      <c r="L5260" t="str">
        <f t="shared" si="82"/>
        <v>http://www.badatelna.eu/reprodukce/?fondId=1073&amp;zaznamId=1108951&amp;reproId=3778825</v>
      </c>
      <c r="M5260">
        <f>VLOOKUP(F5260,Sheet2!$B$1:$E$19,2,FALSE)</f>
        <v>1073</v>
      </c>
      <c r="N5260">
        <f>VLOOKUP(F5260,Sheet2!$B$1:$E$19,3,FALSE)</f>
        <v>1108951</v>
      </c>
      <c r="O5260">
        <f>IF(G5260="Not available","",VLOOKUP(F5260,Sheet2!$B$1:$E$19,4,FALSE)+(G5260-1))</f>
        <v>3778825</v>
      </c>
    </row>
    <row r="5261" spans="1:15" s="3" customFormat="1" ht="15" customHeight="1" x14ac:dyDescent="0.25">
      <c r="A5261" s="18" t="s">
        <v>446</v>
      </c>
      <c r="B5261" s="18" t="s">
        <v>479</v>
      </c>
      <c r="C5261" s="5">
        <v>1841</v>
      </c>
      <c r="D5261" s="1" t="s">
        <v>81</v>
      </c>
      <c r="E5261" s="1" t="s">
        <v>2</v>
      </c>
      <c r="F5261" s="18">
        <v>2174</v>
      </c>
      <c r="G5261" s="18">
        <v>118</v>
      </c>
      <c r="H5261" s="6" t="s">
        <v>3187</v>
      </c>
      <c r="I5261" s="1">
        <v>208</v>
      </c>
      <c r="J5261" s="1">
        <v>245</v>
      </c>
      <c r="K5261" s="1"/>
      <c r="L5261" t="str">
        <f t="shared" si="82"/>
        <v>http://www.badatelna.eu/reprodukce/?fondId=1073&amp;zaznamId=1108960&amp;reproId=3780342</v>
      </c>
      <c r="M5261">
        <f>VLOOKUP(F5261,Sheet2!$B$1:$E$19,2,FALSE)</f>
        <v>1073</v>
      </c>
      <c r="N5261">
        <f>VLOOKUP(F5261,Sheet2!$B$1:$E$19,3,FALSE)</f>
        <v>1108960</v>
      </c>
      <c r="O5261">
        <f>IF(G5261="Not available","",VLOOKUP(F5261,Sheet2!$B$1:$E$19,4,FALSE)+(G5261-1))</f>
        <v>3780342</v>
      </c>
    </row>
    <row r="5262" spans="1:15" s="3" customFormat="1" ht="15" customHeight="1" x14ac:dyDescent="0.25">
      <c r="A5262" s="18" t="s">
        <v>446</v>
      </c>
      <c r="B5262" s="18" t="s">
        <v>488</v>
      </c>
      <c r="C5262" s="5">
        <v>1845</v>
      </c>
      <c r="D5262" s="1" t="s">
        <v>489</v>
      </c>
      <c r="E5262" s="1" t="s">
        <v>2</v>
      </c>
      <c r="F5262" s="18">
        <v>2174</v>
      </c>
      <c r="G5262" s="18">
        <v>155</v>
      </c>
      <c r="H5262" s="6" t="s">
        <v>3221</v>
      </c>
      <c r="I5262" s="1">
        <v>209</v>
      </c>
      <c r="J5262" s="1">
        <v>246</v>
      </c>
      <c r="K5262" s="1"/>
      <c r="L5262" t="str">
        <f t="shared" si="82"/>
        <v>http://www.badatelna.eu/reprodukce/?fondId=1073&amp;zaznamId=1108960&amp;reproId=3780379</v>
      </c>
      <c r="M5262">
        <f>VLOOKUP(F5262,Sheet2!$B$1:$E$19,2,FALSE)</f>
        <v>1073</v>
      </c>
      <c r="N5262">
        <f>VLOOKUP(F5262,Sheet2!$B$1:$E$19,3,FALSE)</f>
        <v>1108960</v>
      </c>
      <c r="O5262">
        <f>IF(G5262="Not available","",VLOOKUP(F5262,Sheet2!$B$1:$E$19,4,FALSE)+(G5262-1))</f>
        <v>3780379</v>
      </c>
    </row>
    <row r="5263" spans="1:15" s="3" customFormat="1" ht="15" customHeight="1" x14ac:dyDescent="0.25">
      <c r="A5263" s="18" t="s">
        <v>446</v>
      </c>
      <c r="B5263" s="18" t="s">
        <v>19</v>
      </c>
      <c r="C5263" s="5">
        <v>1820</v>
      </c>
      <c r="D5263" s="1"/>
      <c r="E5263" s="1" t="s">
        <v>2</v>
      </c>
      <c r="F5263" s="18">
        <v>2173</v>
      </c>
      <c r="G5263" s="18">
        <v>71</v>
      </c>
      <c r="H5263" s="5">
        <v>134</v>
      </c>
      <c r="I5263" s="1">
        <v>121</v>
      </c>
      <c r="J5263" s="1">
        <v>264</v>
      </c>
      <c r="K5263" s="1"/>
      <c r="L5263" t="str">
        <f t="shared" si="82"/>
        <v>http://www.badatelna.eu/reprodukce/?fondId=1073&amp;zaznamId=1108959&amp;reproId=3780064</v>
      </c>
      <c r="M5263">
        <f>VLOOKUP(F5263,Sheet2!$B$1:$E$19,2,FALSE)</f>
        <v>1073</v>
      </c>
      <c r="N5263">
        <f>VLOOKUP(F5263,Sheet2!$B$1:$E$19,3,FALSE)</f>
        <v>1108959</v>
      </c>
      <c r="O5263">
        <f>IF(G5263="Not available","",VLOOKUP(F5263,Sheet2!$B$1:$E$19,4,FALSE)+(G5263-1))</f>
        <v>3780064</v>
      </c>
    </row>
    <row r="5264" spans="1:15" s="3" customFormat="1" ht="15" customHeight="1" x14ac:dyDescent="0.25">
      <c r="A5264" s="18" t="s">
        <v>446</v>
      </c>
      <c r="B5264" s="18" t="s">
        <v>25</v>
      </c>
      <c r="C5264" s="5">
        <v>1825</v>
      </c>
      <c r="D5264" s="1"/>
      <c r="E5264" s="1" t="s">
        <v>2</v>
      </c>
      <c r="F5264" s="18">
        <v>2173</v>
      </c>
      <c r="G5264" s="18">
        <v>76</v>
      </c>
      <c r="H5264" s="5">
        <v>145</v>
      </c>
      <c r="I5264" s="1">
        <v>121</v>
      </c>
      <c r="J5264" s="1">
        <v>264</v>
      </c>
      <c r="K5264" s="1"/>
      <c r="L5264" t="str">
        <f t="shared" si="82"/>
        <v>http://www.badatelna.eu/reprodukce/?fondId=1073&amp;zaznamId=1108959&amp;reproId=3780069</v>
      </c>
      <c r="M5264">
        <f>VLOOKUP(F5264,Sheet2!$B$1:$E$19,2,FALSE)</f>
        <v>1073</v>
      </c>
      <c r="N5264">
        <f>VLOOKUP(F5264,Sheet2!$B$1:$E$19,3,FALSE)</f>
        <v>1108959</v>
      </c>
      <c r="O5264">
        <f>IF(G5264="Not available","",VLOOKUP(F5264,Sheet2!$B$1:$E$19,4,FALSE)+(G5264-1))</f>
        <v>3780069</v>
      </c>
    </row>
    <row r="5265" spans="1:15" s="3" customFormat="1" ht="15" customHeight="1" x14ac:dyDescent="0.25">
      <c r="A5265" s="18" t="s">
        <v>446</v>
      </c>
      <c r="B5265" s="18" t="s">
        <v>21</v>
      </c>
      <c r="C5265" s="5">
        <v>1829</v>
      </c>
      <c r="D5265" s="1"/>
      <c r="E5265" s="1" t="s">
        <v>2</v>
      </c>
      <c r="F5265" s="18">
        <v>2173</v>
      </c>
      <c r="G5265" s="18">
        <v>82</v>
      </c>
      <c r="H5265" s="5">
        <v>156</v>
      </c>
      <c r="I5265" s="1">
        <v>121</v>
      </c>
      <c r="J5265" s="1">
        <v>264</v>
      </c>
      <c r="K5265" s="1"/>
      <c r="L5265" t="str">
        <f t="shared" si="82"/>
        <v>http://www.badatelna.eu/reprodukce/?fondId=1073&amp;zaznamId=1108959&amp;reproId=3780075</v>
      </c>
      <c r="M5265">
        <f>VLOOKUP(F5265,Sheet2!$B$1:$E$19,2,FALSE)</f>
        <v>1073</v>
      </c>
      <c r="N5265">
        <f>VLOOKUP(F5265,Sheet2!$B$1:$E$19,3,FALSE)</f>
        <v>1108959</v>
      </c>
      <c r="O5265">
        <f>IF(G5265="Not available","",VLOOKUP(F5265,Sheet2!$B$1:$E$19,4,FALSE)+(G5265-1))</f>
        <v>3780075</v>
      </c>
    </row>
    <row r="5266" spans="1:15" s="3" customFormat="1" ht="15" customHeight="1" x14ac:dyDescent="0.25">
      <c r="A5266" s="18" t="s">
        <v>446</v>
      </c>
      <c r="B5266" s="18" t="s">
        <v>182</v>
      </c>
      <c r="C5266" s="5">
        <v>1809</v>
      </c>
      <c r="D5266" s="1"/>
      <c r="E5266" s="1" t="s">
        <v>2</v>
      </c>
      <c r="F5266" s="18">
        <v>2173</v>
      </c>
      <c r="G5266" s="18">
        <v>55</v>
      </c>
      <c r="H5266" s="5">
        <v>104</v>
      </c>
      <c r="I5266" s="1">
        <v>120</v>
      </c>
      <c r="J5266" s="1">
        <v>263</v>
      </c>
      <c r="K5266" s="1"/>
      <c r="L5266" t="str">
        <f t="shared" si="82"/>
        <v>http://www.badatelna.eu/reprodukce/?fondId=1073&amp;zaznamId=1108959&amp;reproId=3780048</v>
      </c>
      <c r="M5266">
        <f>VLOOKUP(F5266,Sheet2!$B$1:$E$19,2,FALSE)</f>
        <v>1073</v>
      </c>
      <c r="N5266">
        <f>VLOOKUP(F5266,Sheet2!$B$1:$E$19,3,FALSE)</f>
        <v>1108959</v>
      </c>
      <c r="O5266">
        <f>IF(G5266="Not available","",VLOOKUP(F5266,Sheet2!$B$1:$E$19,4,FALSE)+(G5266-1))</f>
        <v>3780048</v>
      </c>
    </row>
    <row r="5267" spans="1:15" s="3" customFormat="1" ht="15" customHeight="1" x14ac:dyDescent="0.25">
      <c r="A5267" s="18" t="s">
        <v>446</v>
      </c>
      <c r="B5267" s="18" t="s">
        <v>476</v>
      </c>
      <c r="C5267" s="5">
        <v>1841</v>
      </c>
      <c r="D5267" s="1" t="s">
        <v>6</v>
      </c>
      <c r="E5267" s="1" t="s">
        <v>2</v>
      </c>
      <c r="F5267" s="18">
        <v>2174</v>
      </c>
      <c r="G5267" s="18">
        <v>116</v>
      </c>
      <c r="H5267" s="6" t="s">
        <v>3186</v>
      </c>
      <c r="I5267" s="1">
        <v>208</v>
      </c>
      <c r="J5267" s="1">
        <v>245</v>
      </c>
      <c r="K5267" s="1"/>
      <c r="L5267" t="str">
        <f t="shared" si="82"/>
        <v>http://www.badatelna.eu/reprodukce/?fondId=1073&amp;zaznamId=1108960&amp;reproId=3780340</v>
      </c>
      <c r="M5267">
        <f>VLOOKUP(F5267,Sheet2!$B$1:$E$19,2,FALSE)</f>
        <v>1073</v>
      </c>
      <c r="N5267">
        <f>VLOOKUP(F5267,Sheet2!$B$1:$E$19,3,FALSE)</f>
        <v>1108960</v>
      </c>
      <c r="O5267">
        <f>IF(G5267="Not available","",VLOOKUP(F5267,Sheet2!$B$1:$E$19,4,FALSE)+(G5267-1))</f>
        <v>3780340</v>
      </c>
    </row>
    <row r="5268" spans="1:15" s="3" customFormat="1" ht="15" customHeight="1" x14ac:dyDescent="0.25">
      <c r="A5268" s="18" t="s">
        <v>446</v>
      </c>
      <c r="B5268" s="18" t="s">
        <v>18</v>
      </c>
      <c r="C5268" s="5">
        <v>1802</v>
      </c>
      <c r="D5268" s="1"/>
      <c r="E5268" s="1" t="s">
        <v>2</v>
      </c>
      <c r="F5268" s="18">
        <v>2173</v>
      </c>
      <c r="G5268" s="18">
        <v>44</v>
      </c>
      <c r="H5268" s="5">
        <v>83</v>
      </c>
      <c r="I5268" s="1">
        <v>120</v>
      </c>
      <c r="J5268" s="1">
        <v>263</v>
      </c>
      <c r="K5268" s="1"/>
      <c r="L5268" t="str">
        <f t="shared" si="82"/>
        <v>http://www.badatelna.eu/reprodukce/?fondId=1073&amp;zaznamId=1108959&amp;reproId=3780037</v>
      </c>
      <c r="M5268">
        <f>VLOOKUP(F5268,Sheet2!$B$1:$E$19,2,FALSE)</f>
        <v>1073</v>
      </c>
      <c r="N5268">
        <f>VLOOKUP(F5268,Sheet2!$B$1:$E$19,3,FALSE)</f>
        <v>1108959</v>
      </c>
      <c r="O5268">
        <f>IF(G5268="Not available","",VLOOKUP(F5268,Sheet2!$B$1:$E$19,4,FALSE)+(G5268-1))</f>
        <v>3780037</v>
      </c>
    </row>
    <row r="5269" spans="1:15" s="3" customFormat="1" ht="15" customHeight="1" x14ac:dyDescent="0.25">
      <c r="A5269" s="18" t="s">
        <v>446</v>
      </c>
      <c r="B5269" s="18" t="s">
        <v>145</v>
      </c>
      <c r="C5269" s="5">
        <v>1832</v>
      </c>
      <c r="D5269" s="1" t="s">
        <v>468</v>
      </c>
      <c r="E5269" s="1" t="s">
        <v>2</v>
      </c>
      <c r="F5269" s="18">
        <v>2174</v>
      </c>
      <c r="G5269" s="21">
        <v>66</v>
      </c>
      <c r="H5269" s="6" t="s">
        <v>3133</v>
      </c>
      <c r="I5269" s="1">
        <v>208</v>
      </c>
      <c r="J5269" s="1">
        <v>245</v>
      </c>
      <c r="K5269" s="1"/>
      <c r="L5269" t="str">
        <f t="shared" si="82"/>
        <v>http://www.badatelna.eu/reprodukce/?fondId=1073&amp;zaznamId=1108960&amp;reproId=3780290</v>
      </c>
      <c r="M5269">
        <f>VLOOKUP(F5269,Sheet2!$B$1:$E$19,2,FALSE)</f>
        <v>1073</v>
      </c>
      <c r="N5269">
        <f>VLOOKUP(F5269,Sheet2!$B$1:$E$19,3,FALSE)</f>
        <v>1108960</v>
      </c>
      <c r="O5269">
        <f>IF(G5269="Not available","",VLOOKUP(F5269,Sheet2!$B$1:$E$19,4,FALSE)+(G5269-1))</f>
        <v>3780290</v>
      </c>
    </row>
    <row r="5270" spans="1:15" s="3" customFormat="1" ht="15" customHeight="1" x14ac:dyDescent="0.25">
      <c r="A5270" s="18" t="s">
        <v>446</v>
      </c>
      <c r="B5270" s="18" t="s">
        <v>145</v>
      </c>
      <c r="C5270" s="5">
        <v>1846</v>
      </c>
      <c r="D5270" s="1" t="s">
        <v>83</v>
      </c>
      <c r="E5270" s="1" t="s">
        <v>2</v>
      </c>
      <c r="F5270" s="18">
        <v>2174</v>
      </c>
      <c r="G5270" s="18">
        <v>165</v>
      </c>
      <c r="H5270" s="6" t="s">
        <v>3233</v>
      </c>
      <c r="I5270" s="1">
        <v>209</v>
      </c>
      <c r="J5270" s="1">
        <v>246</v>
      </c>
      <c r="K5270" s="1"/>
      <c r="L5270" t="str">
        <f t="shared" si="82"/>
        <v>http://www.badatelna.eu/reprodukce/?fondId=1073&amp;zaznamId=1108960&amp;reproId=3780389</v>
      </c>
      <c r="M5270">
        <f>VLOOKUP(F5270,Sheet2!$B$1:$E$19,2,FALSE)</f>
        <v>1073</v>
      </c>
      <c r="N5270">
        <f>VLOOKUP(F5270,Sheet2!$B$1:$E$19,3,FALSE)</f>
        <v>1108960</v>
      </c>
      <c r="O5270">
        <f>IF(G5270="Not available","",VLOOKUP(F5270,Sheet2!$B$1:$E$19,4,FALSE)+(G5270-1))</f>
        <v>3780389</v>
      </c>
    </row>
    <row r="5271" spans="1:15" s="3" customFormat="1" ht="15" customHeight="1" x14ac:dyDescent="0.25">
      <c r="A5271" s="18" t="s">
        <v>446</v>
      </c>
      <c r="B5271" s="18" t="s">
        <v>23</v>
      </c>
      <c r="C5271" s="5">
        <v>1818</v>
      </c>
      <c r="D5271" s="1"/>
      <c r="E5271" s="1" t="s">
        <v>2</v>
      </c>
      <c r="F5271" s="18">
        <v>2173</v>
      </c>
      <c r="G5271" s="18">
        <v>68</v>
      </c>
      <c r="H5271" s="5">
        <v>129</v>
      </c>
      <c r="I5271" s="1">
        <v>121</v>
      </c>
      <c r="J5271" s="1">
        <v>264</v>
      </c>
      <c r="K5271" s="1"/>
      <c r="L5271" t="str">
        <f t="shared" si="82"/>
        <v>http://www.badatelna.eu/reprodukce/?fondId=1073&amp;zaznamId=1108959&amp;reproId=3780061</v>
      </c>
      <c r="M5271">
        <f>VLOOKUP(F5271,Sheet2!$B$1:$E$19,2,FALSE)</f>
        <v>1073</v>
      </c>
      <c r="N5271">
        <f>VLOOKUP(F5271,Sheet2!$B$1:$E$19,3,FALSE)</f>
        <v>1108959</v>
      </c>
      <c r="O5271">
        <f>IF(G5271="Not available","",VLOOKUP(F5271,Sheet2!$B$1:$E$19,4,FALSE)+(G5271-1))</f>
        <v>3780061</v>
      </c>
    </row>
    <row r="5272" spans="1:15" s="3" customFormat="1" ht="15" customHeight="1" x14ac:dyDescent="0.25">
      <c r="A5272" s="18" t="s">
        <v>446</v>
      </c>
      <c r="B5272" s="18" t="s">
        <v>38</v>
      </c>
      <c r="C5272" s="5">
        <v>1806</v>
      </c>
      <c r="D5272" s="1"/>
      <c r="E5272" s="1" t="s">
        <v>2</v>
      </c>
      <c r="F5272" s="18">
        <v>2173</v>
      </c>
      <c r="G5272" s="18">
        <v>51</v>
      </c>
      <c r="H5272" s="5">
        <v>97</v>
      </c>
      <c r="I5272" s="1">
        <v>120</v>
      </c>
      <c r="J5272" s="1">
        <v>263</v>
      </c>
      <c r="K5272" s="1"/>
      <c r="L5272" t="str">
        <f t="shared" si="82"/>
        <v>http://www.badatelna.eu/reprodukce/?fondId=1073&amp;zaznamId=1108959&amp;reproId=3780044</v>
      </c>
      <c r="M5272">
        <f>VLOOKUP(F5272,Sheet2!$B$1:$E$19,2,FALSE)</f>
        <v>1073</v>
      </c>
      <c r="N5272">
        <f>VLOOKUP(F5272,Sheet2!$B$1:$E$19,3,FALSE)</f>
        <v>1108959</v>
      </c>
      <c r="O5272">
        <f>IF(G5272="Not available","",VLOOKUP(F5272,Sheet2!$B$1:$E$19,4,FALSE)+(G5272-1))</f>
        <v>3780044</v>
      </c>
    </row>
    <row r="5273" spans="1:15" s="3" customFormat="1" ht="15" customHeight="1" x14ac:dyDescent="0.25">
      <c r="A5273" s="18" t="s">
        <v>446</v>
      </c>
      <c r="B5273" s="18" t="s">
        <v>304</v>
      </c>
      <c r="C5273" s="5">
        <v>1853</v>
      </c>
      <c r="D5273" s="1" t="s">
        <v>489</v>
      </c>
      <c r="E5273" s="1" t="s">
        <v>2</v>
      </c>
      <c r="F5273" s="18">
        <v>2164</v>
      </c>
      <c r="G5273" s="18">
        <v>88</v>
      </c>
      <c r="H5273" s="5">
        <v>86</v>
      </c>
      <c r="I5273" s="1">
        <v>143</v>
      </c>
      <c r="J5273" s="1">
        <v>246</v>
      </c>
      <c r="K5273" s="1"/>
      <c r="L5273" t="str">
        <f t="shared" si="82"/>
        <v>http://www.badatelna.eu/reprodukce/?fondId=1073&amp;zaznamId=1108951&amp;reproId=3778802</v>
      </c>
      <c r="M5273">
        <f>VLOOKUP(F5273,Sheet2!$B$1:$E$19,2,FALSE)</f>
        <v>1073</v>
      </c>
      <c r="N5273">
        <f>VLOOKUP(F5273,Sheet2!$B$1:$E$19,3,FALSE)</f>
        <v>1108951</v>
      </c>
      <c r="O5273">
        <f>IF(G5273="Not available","",VLOOKUP(F5273,Sheet2!$B$1:$E$19,4,FALSE)+(G5273-1))</f>
        <v>3778802</v>
      </c>
    </row>
    <row r="5274" spans="1:15" s="3" customFormat="1" ht="15" customHeight="1" x14ac:dyDescent="0.25">
      <c r="A5274" s="18" t="s">
        <v>446</v>
      </c>
      <c r="B5274" s="18" t="s">
        <v>3348</v>
      </c>
      <c r="C5274" s="5">
        <v>1829</v>
      </c>
      <c r="D5274" s="1"/>
      <c r="E5274" s="1" t="s">
        <v>2</v>
      </c>
      <c r="F5274" s="18">
        <v>2173</v>
      </c>
      <c r="G5274" s="18">
        <v>84</v>
      </c>
      <c r="H5274" s="5">
        <v>158</v>
      </c>
      <c r="I5274" s="1">
        <v>121</v>
      </c>
      <c r="J5274" s="1">
        <v>264</v>
      </c>
      <c r="K5274" s="1"/>
      <c r="L5274" t="str">
        <f t="shared" si="82"/>
        <v>http://www.badatelna.eu/reprodukce/?fondId=1073&amp;zaznamId=1108959&amp;reproId=3780077</v>
      </c>
      <c r="M5274">
        <f>VLOOKUP(F5274,Sheet2!$B$1:$E$19,2,FALSE)</f>
        <v>1073</v>
      </c>
      <c r="N5274">
        <f>VLOOKUP(F5274,Sheet2!$B$1:$E$19,3,FALSE)</f>
        <v>1108959</v>
      </c>
      <c r="O5274">
        <f>IF(G5274="Not available","",VLOOKUP(F5274,Sheet2!$B$1:$E$19,4,FALSE)+(G5274-1))</f>
        <v>3780077</v>
      </c>
    </row>
    <row r="5275" spans="1:15" s="3" customFormat="1" ht="15" customHeight="1" x14ac:dyDescent="0.25">
      <c r="A5275" s="18" t="s">
        <v>446</v>
      </c>
      <c r="B5275" s="18" t="s">
        <v>76</v>
      </c>
      <c r="C5275" s="5">
        <v>1851</v>
      </c>
      <c r="D5275" s="1" t="s">
        <v>83</v>
      </c>
      <c r="E5275" s="1" t="s">
        <v>2</v>
      </c>
      <c r="F5275" s="18">
        <v>2164</v>
      </c>
      <c r="G5275" s="18">
        <v>78</v>
      </c>
      <c r="H5275" s="5">
        <v>76</v>
      </c>
      <c r="I5275" s="1">
        <v>143</v>
      </c>
      <c r="J5275" s="1">
        <v>246</v>
      </c>
      <c r="K5275" s="1"/>
      <c r="L5275" t="str">
        <f t="shared" si="82"/>
        <v>http://www.badatelna.eu/reprodukce/?fondId=1073&amp;zaznamId=1108951&amp;reproId=3778792</v>
      </c>
      <c r="M5275">
        <f>VLOOKUP(F5275,Sheet2!$B$1:$E$19,2,FALSE)</f>
        <v>1073</v>
      </c>
      <c r="N5275">
        <f>VLOOKUP(F5275,Sheet2!$B$1:$E$19,3,FALSE)</f>
        <v>1108951</v>
      </c>
      <c r="O5275">
        <f>IF(G5275="Not available","",VLOOKUP(F5275,Sheet2!$B$1:$E$19,4,FALSE)+(G5275-1))</f>
        <v>3778792</v>
      </c>
    </row>
    <row r="5276" spans="1:15" s="3" customFormat="1" ht="15" customHeight="1" x14ac:dyDescent="0.25">
      <c r="A5276" s="18" t="s">
        <v>93</v>
      </c>
      <c r="B5276" s="18" t="s">
        <v>87</v>
      </c>
      <c r="C5276" s="5">
        <v>1799</v>
      </c>
      <c r="D5276" s="1" t="s">
        <v>12</v>
      </c>
      <c r="E5276" s="1" t="s">
        <v>2</v>
      </c>
      <c r="F5276" s="18">
        <v>2173</v>
      </c>
      <c r="G5276" s="18">
        <v>39</v>
      </c>
      <c r="H5276" s="5">
        <v>72</v>
      </c>
      <c r="I5276" s="1">
        <v>120</v>
      </c>
      <c r="J5276" s="1">
        <v>263</v>
      </c>
      <c r="K5276" s="1"/>
      <c r="L5276" t="str">
        <f t="shared" si="82"/>
        <v>http://www.badatelna.eu/reprodukce/?fondId=1073&amp;zaznamId=1108959&amp;reproId=3780032</v>
      </c>
      <c r="M5276">
        <f>VLOOKUP(F5276,Sheet2!$B$1:$E$19,2,FALSE)</f>
        <v>1073</v>
      </c>
      <c r="N5276">
        <f>VLOOKUP(F5276,Sheet2!$B$1:$E$19,3,FALSE)</f>
        <v>1108959</v>
      </c>
      <c r="O5276">
        <f>IF(G5276="Not available","",VLOOKUP(F5276,Sheet2!$B$1:$E$19,4,FALSE)+(G5276-1))</f>
        <v>3780032</v>
      </c>
    </row>
    <row r="5277" spans="1:15" s="3" customFormat="1" ht="15" customHeight="1" x14ac:dyDescent="0.25">
      <c r="A5277" s="18" t="s">
        <v>93</v>
      </c>
      <c r="B5277" s="18" t="s">
        <v>87</v>
      </c>
      <c r="C5277" s="5">
        <v>1833</v>
      </c>
      <c r="D5277" s="1" t="s">
        <v>16</v>
      </c>
      <c r="E5277" s="1" t="s">
        <v>2</v>
      </c>
      <c r="F5277" s="18">
        <v>2174</v>
      </c>
      <c r="G5277" s="18">
        <v>72</v>
      </c>
      <c r="H5277" s="6" t="s">
        <v>3137</v>
      </c>
      <c r="I5277" s="1">
        <v>208</v>
      </c>
      <c r="J5277" s="1">
        <v>245</v>
      </c>
      <c r="K5277" s="1"/>
      <c r="L5277" t="str">
        <f t="shared" si="82"/>
        <v>http://www.badatelna.eu/reprodukce/?fondId=1073&amp;zaznamId=1108960&amp;reproId=3780296</v>
      </c>
      <c r="M5277">
        <f>VLOOKUP(F5277,Sheet2!$B$1:$E$19,2,FALSE)</f>
        <v>1073</v>
      </c>
      <c r="N5277">
        <f>VLOOKUP(F5277,Sheet2!$B$1:$E$19,3,FALSE)</f>
        <v>1108960</v>
      </c>
      <c r="O5277">
        <f>IF(G5277="Not available","",VLOOKUP(F5277,Sheet2!$B$1:$E$19,4,FALSE)+(G5277-1))</f>
        <v>3780296</v>
      </c>
    </row>
    <row r="5278" spans="1:15" s="3" customFormat="1" ht="15" customHeight="1" x14ac:dyDescent="0.25">
      <c r="A5278" s="18" t="s">
        <v>93</v>
      </c>
      <c r="B5278" s="18" t="s">
        <v>466</v>
      </c>
      <c r="C5278" s="5">
        <v>1831</v>
      </c>
      <c r="D5278" s="1"/>
      <c r="E5278" s="1" t="s">
        <v>2</v>
      </c>
      <c r="F5278" s="18">
        <v>2174</v>
      </c>
      <c r="G5278" s="18">
        <v>63</v>
      </c>
      <c r="H5278" s="6" t="s">
        <v>3107</v>
      </c>
      <c r="I5278" s="1">
        <v>208</v>
      </c>
      <c r="J5278" s="1">
        <v>245</v>
      </c>
      <c r="K5278" s="1"/>
      <c r="L5278" t="str">
        <f t="shared" si="82"/>
        <v>http://www.badatelna.eu/reprodukce/?fondId=1073&amp;zaznamId=1108960&amp;reproId=3780287</v>
      </c>
      <c r="M5278">
        <f>VLOOKUP(F5278,Sheet2!$B$1:$E$19,2,FALSE)</f>
        <v>1073</v>
      </c>
      <c r="N5278">
        <f>VLOOKUP(F5278,Sheet2!$B$1:$E$19,3,FALSE)</f>
        <v>1108960</v>
      </c>
      <c r="O5278">
        <f>IF(G5278="Not available","",VLOOKUP(F5278,Sheet2!$B$1:$E$19,4,FALSE)+(G5278-1))</f>
        <v>3780287</v>
      </c>
    </row>
    <row r="5279" spans="1:15" s="3" customFormat="1" ht="15" customHeight="1" x14ac:dyDescent="0.25">
      <c r="A5279" s="18" t="s">
        <v>93</v>
      </c>
      <c r="B5279" s="18" t="s">
        <v>428</v>
      </c>
      <c r="C5279" s="5">
        <v>1837</v>
      </c>
      <c r="D5279" s="1" t="s">
        <v>16</v>
      </c>
      <c r="E5279" s="1" t="s">
        <v>2</v>
      </c>
      <c r="F5279" s="18">
        <v>2174</v>
      </c>
      <c r="G5279" s="18">
        <v>96</v>
      </c>
      <c r="H5279" s="6" t="s">
        <v>3164</v>
      </c>
      <c r="I5279" s="1">
        <v>208</v>
      </c>
      <c r="J5279" s="1">
        <v>245</v>
      </c>
      <c r="K5279" s="1"/>
      <c r="L5279" t="str">
        <f t="shared" si="82"/>
        <v>http://www.badatelna.eu/reprodukce/?fondId=1073&amp;zaznamId=1108960&amp;reproId=3780320</v>
      </c>
      <c r="M5279">
        <f>VLOOKUP(F5279,Sheet2!$B$1:$E$19,2,FALSE)</f>
        <v>1073</v>
      </c>
      <c r="N5279">
        <f>VLOOKUP(F5279,Sheet2!$B$1:$E$19,3,FALSE)</f>
        <v>1108960</v>
      </c>
      <c r="O5279">
        <f>IF(G5279="Not available","",VLOOKUP(F5279,Sheet2!$B$1:$E$19,4,FALSE)+(G5279-1))</f>
        <v>3780320</v>
      </c>
    </row>
    <row r="5280" spans="1:15" s="3" customFormat="1" ht="15" customHeight="1" x14ac:dyDescent="0.25">
      <c r="A5280" s="18" t="s">
        <v>93</v>
      </c>
      <c r="B5280" s="18" t="s">
        <v>12</v>
      </c>
      <c r="C5280" s="5">
        <v>1843</v>
      </c>
      <c r="D5280" s="1" t="s">
        <v>16</v>
      </c>
      <c r="E5280" s="1" t="s">
        <v>2</v>
      </c>
      <c r="F5280" s="18">
        <v>2174</v>
      </c>
      <c r="G5280" s="18">
        <v>136</v>
      </c>
      <c r="H5280" s="6" t="s">
        <v>3202</v>
      </c>
      <c r="I5280" s="1">
        <v>209</v>
      </c>
      <c r="J5280" s="1">
        <v>246</v>
      </c>
      <c r="K5280" s="1"/>
      <c r="L5280" t="str">
        <f t="shared" si="82"/>
        <v>http://www.badatelna.eu/reprodukce/?fondId=1073&amp;zaznamId=1108960&amp;reproId=3780360</v>
      </c>
      <c r="M5280">
        <f>VLOOKUP(F5280,Sheet2!$B$1:$E$19,2,FALSE)</f>
        <v>1073</v>
      </c>
      <c r="N5280">
        <f>VLOOKUP(F5280,Sheet2!$B$1:$E$19,3,FALSE)</f>
        <v>1108960</v>
      </c>
      <c r="O5280">
        <f>IF(G5280="Not available","",VLOOKUP(F5280,Sheet2!$B$1:$E$19,4,FALSE)+(G5280-1))</f>
        <v>3780360</v>
      </c>
    </row>
    <row r="5281" spans="1:15" s="3" customFormat="1" ht="15" customHeight="1" x14ac:dyDescent="0.25">
      <c r="A5281" s="18" t="s">
        <v>93</v>
      </c>
      <c r="B5281" s="18" t="s">
        <v>456</v>
      </c>
      <c r="C5281" s="5">
        <v>1797</v>
      </c>
      <c r="D5281" s="1" t="s">
        <v>12</v>
      </c>
      <c r="E5281" s="1" t="s">
        <v>2</v>
      </c>
      <c r="F5281" s="18">
        <v>2173</v>
      </c>
      <c r="G5281" s="18">
        <v>35</v>
      </c>
      <c r="H5281" s="5">
        <v>65</v>
      </c>
      <c r="I5281" s="1">
        <v>120</v>
      </c>
      <c r="J5281" s="1">
        <v>263</v>
      </c>
      <c r="K5281" s="1"/>
      <c r="L5281" t="str">
        <f t="shared" si="82"/>
        <v>http://www.badatelna.eu/reprodukce/?fondId=1073&amp;zaznamId=1108959&amp;reproId=3780028</v>
      </c>
      <c r="M5281">
        <f>VLOOKUP(F5281,Sheet2!$B$1:$E$19,2,FALSE)</f>
        <v>1073</v>
      </c>
      <c r="N5281">
        <f>VLOOKUP(F5281,Sheet2!$B$1:$E$19,3,FALSE)</f>
        <v>1108959</v>
      </c>
      <c r="O5281">
        <f>IF(G5281="Not available","",VLOOKUP(F5281,Sheet2!$B$1:$E$19,4,FALSE)+(G5281-1))</f>
        <v>3780028</v>
      </c>
    </row>
    <row r="5282" spans="1:15" s="3" customFormat="1" ht="15" customHeight="1" x14ac:dyDescent="0.25">
      <c r="A5282" s="18" t="s">
        <v>93</v>
      </c>
      <c r="B5282" s="18" t="s">
        <v>310</v>
      </c>
      <c r="C5282" s="5">
        <v>1827</v>
      </c>
      <c r="D5282" s="1"/>
      <c r="E5282" s="1" t="s">
        <v>2</v>
      </c>
      <c r="F5282" s="18">
        <v>2173</v>
      </c>
      <c r="G5282" s="18">
        <v>81</v>
      </c>
      <c r="H5282" s="5">
        <v>154</v>
      </c>
      <c r="I5282" s="1">
        <v>121</v>
      </c>
      <c r="J5282" s="1">
        <v>264</v>
      </c>
      <c r="K5282" s="1"/>
      <c r="L5282" t="str">
        <f t="shared" si="82"/>
        <v>http://www.badatelna.eu/reprodukce/?fondId=1073&amp;zaznamId=1108959&amp;reproId=3780074</v>
      </c>
      <c r="M5282">
        <f>VLOOKUP(F5282,Sheet2!$B$1:$E$19,2,FALSE)</f>
        <v>1073</v>
      </c>
      <c r="N5282">
        <f>VLOOKUP(F5282,Sheet2!$B$1:$E$19,3,FALSE)</f>
        <v>1108959</v>
      </c>
      <c r="O5282">
        <f>IF(G5282="Not available","",VLOOKUP(F5282,Sheet2!$B$1:$E$19,4,FALSE)+(G5282-1))</f>
        <v>3780074</v>
      </c>
    </row>
    <row r="5283" spans="1:15" s="3" customFormat="1" ht="15" customHeight="1" x14ac:dyDescent="0.25">
      <c r="A5283" s="18" t="s">
        <v>93</v>
      </c>
      <c r="B5283" s="18" t="s">
        <v>115</v>
      </c>
      <c r="C5283" s="5">
        <v>1829</v>
      </c>
      <c r="D5283" s="1"/>
      <c r="E5283" s="1" t="s">
        <v>2</v>
      </c>
      <c r="F5283" s="18">
        <v>2173</v>
      </c>
      <c r="G5283" s="18">
        <v>82</v>
      </c>
      <c r="H5283" s="5">
        <v>156</v>
      </c>
      <c r="I5283" s="1">
        <v>121</v>
      </c>
      <c r="J5283" s="1">
        <v>264</v>
      </c>
      <c r="K5283" s="1"/>
      <c r="L5283" t="str">
        <f t="shared" si="82"/>
        <v>http://www.badatelna.eu/reprodukce/?fondId=1073&amp;zaznamId=1108959&amp;reproId=3780075</v>
      </c>
      <c r="M5283">
        <f>VLOOKUP(F5283,Sheet2!$B$1:$E$19,2,FALSE)</f>
        <v>1073</v>
      </c>
      <c r="N5283">
        <f>VLOOKUP(F5283,Sheet2!$B$1:$E$19,3,FALSE)</f>
        <v>1108959</v>
      </c>
      <c r="O5283">
        <f>IF(G5283="Not available","",VLOOKUP(F5283,Sheet2!$B$1:$E$19,4,FALSE)+(G5283-1))</f>
        <v>3780075</v>
      </c>
    </row>
    <row r="5284" spans="1:15" s="3" customFormat="1" ht="15" customHeight="1" x14ac:dyDescent="0.25">
      <c r="A5284" s="18" t="s">
        <v>93</v>
      </c>
      <c r="B5284" s="19" t="s">
        <v>3053</v>
      </c>
      <c r="C5284" s="5">
        <v>1802</v>
      </c>
      <c r="D5284" s="1"/>
      <c r="E5284" s="1" t="s">
        <v>2</v>
      </c>
      <c r="F5284" s="18">
        <v>2173</v>
      </c>
      <c r="G5284" s="18">
        <v>46</v>
      </c>
      <c r="H5284" s="5">
        <v>86</v>
      </c>
      <c r="I5284" s="1">
        <v>120</v>
      </c>
      <c r="J5284" s="1">
        <v>263</v>
      </c>
      <c r="K5284" s="1"/>
      <c r="L5284" t="str">
        <f t="shared" si="82"/>
        <v>http://www.badatelna.eu/reprodukce/?fondId=1073&amp;zaznamId=1108959&amp;reproId=3780039</v>
      </c>
      <c r="M5284">
        <f>VLOOKUP(F5284,Sheet2!$B$1:$E$19,2,FALSE)</f>
        <v>1073</v>
      </c>
      <c r="N5284">
        <f>VLOOKUP(F5284,Sheet2!$B$1:$E$19,3,FALSE)</f>
        <v>1108959</v>
      </c>
      <c r="O5284">
        <f>IF(G5284="Not available","",VLOOKUP(F5284,Sheet2!$B$1:$E$19,4,FALSE)+(G5284-1))</f>
        <v>3780039</v>
      </c>
    </row>
    <row r="5285" spans="1:15" s="3" customFormat="1" ht="15" customHeight="1" x14ac:dyDescent="0.25">
      <c r="A5285" s="18" t="s">
        <v>93</v>
      </c>
      <c r="B5285" s="18" t="s">
        <v>143</v>
      </c>
      <c r="C5285" s="5">
        <v>1834</v>
      </c>
      <c r="D5285" s="1" t="s">
        <v>16</v>
      </c>
      <c r="E5285" s="1" t="s">
        <v>2</v>
      </c>
      <c r="F5285" s="18">
        <v>2174</v>
      </c>
      <c r="G5285" s="18">
        <v>74</v>
      </c>
      <c r="H5285" s="6" t="s">
        <v>3136</v>
      </c>
      <c r="I5285" s="1">
        <v>208</v>
      </c>
      <c r="J5285" s="1">
        <v>245</v>
      </c>
      <c r="K5285" s="1"/>
      <c r="L5285" t="str">
        <f t="shared" si="82"/>
        <v>http://www.badatelna.eu/reprodukce/?fondId=1073&amp;zaznamId=1108960&amp;reproId=3780298</v>
      </c>
      <c r="M5285">
        <f>VLOOKUP(F5285,Sheet2!$B$1:$E$19,2,FALSE)</f>
        <v>1073</v>
      </c>
      <c r="N5285">
        <f>VLOOKUP(F5285,Sheet2!$B$1:$E$19,3,FALSE)</f>
        <v>1108960</v>
      </c>
      <c r="O5285">
        <f>IF(G5285="Not available","",VLOOKUP(F5285,Sheet2!$B$1:$E$19,4,FALSE)+(G5285-1))</f>
        <v>3780298</v>
      </c>
    </row>
    <row r="5286" spans="1:15" s="3" customFormat="1" ht="15" customHeight="1" x14ac:dyDescent="0.25">
      <c r="A5286" s="18" t="s">
        <v>93</v>
      </c>
      <c r="B5286" s="18" t="s">
        <v>475</v>
      </c>
      <c r="C5286" s="5">
        <v>1840</v>
      </c>
      <c r="D5286" s="1" t="s">
        <v>16</v>
      </c>
      <c r="E5286" s="1" t="s">
        <v>2</v>
      </c>
      <c r="F5286" s="18">
        <v>2174</v>
      </c>
      <c r="G5286" s="21">
        <v>110</v>
      </c>
      <c r="H5286" s="6" t="s">
        <v>3178</v>
      </c>
      <c r="I5286" s="1">
        <v>208</v>
      </c>
      <c r="J5286" s="1">
        <v>245</v>
      </c>
      <c r="K5286" s="1"/>
      <c r="L5286" t="str">
        <f t="shared" si="82"/>
        <v>http://www.badatelna.eu/reprodukce/?fondId=1073&amp;zaznamId=1108960&amp;reproId=3780334</v>
      </c>
      <c r="M5286">
        <f>VLOOKUP(F5286,Sheet2!$B$1:$E$19,2,FALSE)</f>
        <v>1073</v>
      </c>
      <c r="N5286">
        <f>VLOOKUP(F5286,Sheet2!$B$1:$E$19,3,FALSE)</f>
        <v>1108960</v>
      </c>
      <c r="O5286">
        <f>IF(G5286="Not available","",VLOOKUP(F5286,Sheet2!$B$1:$E$19,4,FALSE)+(G5286-1))</f>
        <v>3780334</v>
      </c>
    </row>
    <row r="5287" spans="1:15" s="3" customFormat="1" ht="15" customHeight="1" x14ac:dyDescent="0.25">
      <c r="A5287" s="19" t="s">
        <v>93</v>
      </c>
      <c r="B5287" s="18" t="s">
        <v>23</v>
      </c>
      <c r="C5287" s="5">
        <v>1806</v>
      </c>
      <c r="D5287" s="1"/>
      <c r="E5287" s="1" t="s">
        <v>2</v>
      </c>
      <c r="F5287" s="18">
        <v>2173</v>
      </c>
      <c r="G5287" s="18">
        <v>52</v>
      </c>
      <c r="H5287" s="5">
        <v>98</v>
      </c>
      <c r="I5287" s="1">
        <v>120</v>
      </c>
      <c r="J5287" s="1">
        <v>263</v>
      </c>
      <c r="K5287" s="1"/>
      <c r="L5287" t="str">
        <f t="shared" si="82"/>
        <v>http://www.badatelna.eu/reprodukce/?fondId=1073&amp;zaznamId=1108959&amp;reproId=3780045</v>
      </c>
      <c r="M5287">
        <f>VLOOKUP(F5287,Sheet2!$B$1:$E$19,2,FALSE)</f>
        <v>1073</v>
      </c>
      <c r="N5287">
        <f>VLOOKUP(F5287,Sheet2!$B$1:$E$19,3,FALSE)</f>
        <v>1108959</v>
      </c>
      <c r="O5287">
        <f>IF(G5287="Not available","",VLOOKUP(F5287,Sheet2!$B$1:$E$19,4,FALSE)+(G5287-1))</f>
        <v>3780045</v>
      </c>
    </row>
    <row r="5288" spans="1:15" s="3" customFormat="1" ht="15" customHeight="1" x14ac:dyDescent="0.25">
      <c r="A5288" s="19" t="s">
        <v>3079</v>
      </c>
      <c r="B5288" s="18" t="s">
        <v>3054</v>
      </c>
      <c r="C5288" s="5">
        <v>1787</v>
      </c>
      <c r="D5288" s="4" t="s">
        <v>3055</v>
      </c>
      <c r="E5288" s="1" t="s">
        <v>2</v>
      </c>
      <c r="F5288" s="18">
        <v>2173</v>
      </c>
      <c r="G5288" s="18">
        <v>15</v>
      </c>
      <c r="H5288" s="5">
        <v>24</v>
      </c>
      <c r="I5288" s="1">
        <v>120</v>
      </c>
      <c r="J5288" s="1">
        <v>263</v>
      </c>
      <c r="K5288" s="1"/>
      <c r="L5288" t="str">
        <f t="shared" si="82"/>
        <v>http://www.badatelna.eu/reprodukce/?fondId=1073&amp;zaznamId=1108959&amp;reproId=3780008</v>
      </c>
      <c r="M5288">
        <f>VLOOKUP(F5288,Sheet2!$B$1:$E$19,2,FALSE)</f>
        <v>1073</v>
      </c>
      <c r="N5288">
        <f>VLOOKUP(F5288,Sheet2!$B$1:$E$19,3,FALSE)</f>
        <v>1108959</v>
      </c>
      <c r="O5288">
        <f>IF(G5288="Not available","",VLOOKUP(F5288,Sheet2!$B$1:$E$19,4,FALSE)+(G5288-1))</f>
        <v>3780008</v>
      </c>
    </row>
    <row r="5289" spans="1:15" s="3" customFormat="1" ht="15" customHeight="1" x14ac:dyDescent="0.25">
      <c r="A5289" s="19" t="s">
        <v>454</v>
      </c>
      <c r="B5289" s="18" t="s">
        <v>50</v>
      </c>
      <c r="C5289" s="5">
        <v>1824</v>
      </c>
      <c r="D5289" s="1"/>
      <c r="E5289" s="1" t="s">
        <v>2</v>
      </c>
      <c r="F5289" s="18">
        <v>2173</v>
      </c>
      <c r="G5289" s="18">
        <v>75</v>
      </c>
      <c r="H5289" s="5">
        <v>142</v>
      </c>
      <c r="I5289" s="1">
        <v>121</v>
      </c>
      <c r="J5289" s="1">
        <v>264</v>
      </c>
      <c r="K5289" s="1"/>
      <c r="L5289" t="str">
        <f t="shared" si="82"/>
        <v>http://www.badatelna.eu/reprodukce/?fondId=1073&amp;zaznamId=1108959&amp;reproId=3780068</v>
      </c>
      <c r="M5289">
        <f>VLOOKUP(F5289,Sheet2!$B$1:$E$19,2,FALSE)</f>
        <v>1073</v>
      </c>
      <c r="N5289">
        <f>VLOOKUP(F5289,Sheet2!$B$1:$E$19,3,FALSE)</f>
        <v>1108959</v>
      </c>
      <c r="O5289">
        <f>IF(G5289="Not available","",VLOOKUP(F5289,Sheet2!$B$1:$E$19,4,FALSE)+(G5289-1))</f>
        <v>3780068</v>
      </c>
    </row>
    <row r="5290" spans="1:15" s="3" customFormat="1" ht="15" customHeight="1" x14ac:dyDescent="0.25">
      <c r="A5290" s="19" t="s">
        <v>454</v>
      </c>
      <c r="B5290" s="18" t="s">
        <v>59</v>
      </c>
      <c r="C5290" s="5">
        <v>1789</v>
      </c>
      <c r="D5290" s="1" t="s">
        <v>4</v>
      </c>
      <c r="E5290" s="1" t="s">
        <v>2</v>
      </c>
      <c r="F5290" s="18">
        <v>2173</v>
      </c>
      <c r="G5290" s="18">
        <v>20</v>
      </c>
      <c r="H5290" s="5">
        <v>35</v>
      </c>
      <c r="I5290" s="1">
        <v>120</v>
      </c>
      <c r="J5290" s="1">
        <v>263</v>
      </c>
      <c r="K5290" s="1"/>
      <c r="L5290" t="str">
        <f t="shared" si="82"/>
        <v>http://www.badatelna.eu/reprodukce/?fondId=1073&amp;zaznamId=1108959&amp;reproId=3780013</v>
      </c>
      <c r="M5290">
        <f>VLOOKUP(F5290,Sheet2!$B$1:$E$19,2,FALSE)</f>
        <v>1073</v>
      </c>
      <c r="N5290">
        <f>VLOOKUP(F5290,Sheet2!$B$1:$E$19,3,FALSE)</f>
        <v>1108959</v>
      </c>
      <c r="O5290">
        <f>IF(G5290="Not available","",VLOOKUP(F5290,Sheet2!$B$1:$E$19,4,FALSE)+(G5290-1))</f>
        <v>3780013</v>
      </c>
    </row>
    <row r="5291" spans="1:15" s="3" customFormat="1" ht="15" customHeight="1" x14ac:dyDescent="0.25">
      <c r="A5291" s="18" t="s">
        <v>454</v>
      </c>
      <c r="B5291" s="18" t="s">
        <v>13</v>
      </c>
      <c r="C5291" s="5">
        <v>1796</v>
      </c>
      <c r="D5291" s="1"/>
      <c r="E5291" s="1" t="s">
        <v>2</v>
      </c>
      <c r="F5291" s="18">
        <v>2173</v>
      </c>
      <c r="G5291" s="18">
        <v>34</v>
      </c>
      <c r="H5291" s="5">
        <v>62</v>
      </c>
      <c r="I5291" s="1">
        <v>120</v>
      </c>
      <c r="J5291" s="1">
        <v>263</v>
      </c>
      <c r="K5291" s="1"/>
      <c r="L5291" t="str">
        <f t="shared" si="82"/>
        <v>http://www.badatelna.eu/reprodukce/?fondId=1073&amp;zaznamId=1108959&amp;reproId=3780027</v>
      </c>
      <c r="M5291">
        <f>VLOOKUP(F5291,Sheet2!$B$1:$E$19,2,FALSE)</f>
        <v>1073</v>
      </c>
      <c r="N5291">
        <f>VLOOKUP(F5291,Sheet2!$B$1:$E$19,3,FALSE)</f>
        <v>1108959</v>
      </c>
      <c r="O5291">
        <f>IF(G5291="Not available","",VLOOKUP(F5291,Sheet2!$B$1:$E$19,4,FALSE)+(G5291-1))</f>
        <v>3780027</v>
      </c>
    </row>
    <row r="5292" spans="1:15" s="3" customFormat="1" ht="15" customHeight="1" x14ac:dyDescent="0.25">
      <c r="A5292" s="18" t="s">
        <v>980</v>
      </c>
      <c r="B5292" s="18" t="s">
        <v>981</v>
      </c>
      <c r="C5292" s="6" t="s">
        <v>2594</v>
      </c>
      <c r="D5292" s="1"/>
      <c r="E5292" s="1" t="s">
        <v>939</v>
      </c>
      <c r="F5292" s="18">
        <v>999</v>
      </c>
      <c r="G5292" s="18">
        <v>57</v>
      </c>
      <c r="H5292" s="5">
        <v>55</v>
      </c>
      <c r="I5292" s="1">
        <v>79</v>
      </c>
      <c r="J5292" s="1">
        <v>112</v>
      </c>
      <c r="K5292" s="1"/>
      <c r="L5292" t="str">
        <f t="shared" si="82"/>
        <v>http://www.badatelna.eu/reprodukce/?fondId=241&amp;zaznamId=1133739&amp;reproId=3885786</v>
      </c>
      <c r="M5292">
        <f>VLOOKUP(F5292,Sheet2!$B$1:$E$19,2,FALSE)</f>
        <v>241</v>
      </c>
      <c r="N5292">
        <f>VLOOKUP(F5292,Sheet2!$B$1:$E$19,3,FALSE)</f>
        <v>1133739</v>
      </c>
      <c r="O5292">
        <f>IF(G5292="Not available","",VLOOKUP(F5292,Sheet2!$B$1:$E$19,4,FALSE)+(G5292-1))</f>
        <v>3885786</v>
      </c>
    </row>
    <row r="5293" spans="1:15" s="3" customFormat="1" ht="15" customHeight="1" x14ac:dyDescent="0.25">
      <c r="A5293" s="18" t="s">
        <v>980</v>
      </c>
      <c r="B5293" s="18" t="s">
        <v>981</v>
      </c>
      <c r="C5293" s="5" t="s">
        <v>1679</v>
      </c>
      <c r="D5293" s="1" t="s">
        <v>432</v>
      </c>
      <c r="E5293" s="1" t="s">
        <v>2</v>
      </c>
      <c r="F5293" s="18">
        <v>2165</v>
      </c>
      <c r="G5293" s="18">
        <v>11</v>
      </c>
      <c r="H5293" s="5">
        <v>8</v>
      </c>
      <c r="I5293" s="1">
        <v>97</v>
      </c>
      <c r="J5293" s="4" t="s">
        <v>3271</v>
      </c>
      <c r="K5293" s="1"/>
      <c r="L5293" t="str">
        <f t="shared" si="82"/>
        <v>http://www.badatelna.eu/reprodukce/?fondId=1073&amp;zaznamId=1108952&amp;reproId=3778872</v>
      </c>
      <c r="M5293">
        <f>VLOOKUP(F5293,Sheet2!$B$1:$E$19,2,FALSE)</f>
        <v>1073</v>
      </c>
      <c r="N5293">
        <f>VLOOKUP(F5293,Sheet2!$B$1:$E$19,3,FALSE)</f>
        <v>1108952</v>
      </c>
      <c r="O5293">
        <f>IF(G5293="Not available","",VLOOKUP(F5293,Sheet2!$B$1:$E$19,4,FALSE)+(G5293-1))</f>
        <v>3778872</v>
      </c>
    </row>
    <row r="5294" spans="1:15" s="3" customFormat="1" ht="15" customHeight="1" x14ac:dyDescent="0.25">
      <c r="A5294" s="18" t="s">
        <v>1111</v>
      </c>
      <c r="B5294" s="18" t="s">
        <v>1977</v>
      </c>
      <c r="C5294" s="10" t="s">
        <v>1987</v>
      </c>
      <c r="D5294" s="3" t="s">
        <v>2816</v>
      </c>
      <c r="E5294" s="4" t="s">
        <v>2</v>
      </c>
      <c r="F5294" s="18">
        <v>2176</v>
      </c>
      <c r="G5294" s="18" t="s">
        <v>3271</v>
      </c>
      <c r="H5294" s="10" t="s">
        <v>2083</v>
      </c>
      <c r="I5294" s="3">
        <v>53</v>
      </c>
      <c r="J5294" s="4" t="s">
        <v>3271</v>
      </c>
      <c r="K5294" s="1"/>
      <c r="L5294" t="str">
        <f t="shared" si="82"/>
        <v/>
      </c>
      <c r="M5294">
        <f>VLOOKUP(F5294,Sheet2!$B$1:$E$19,2,FALSE)</f>
        <v>1073</v>
      </c>
      <c r="N5294">
        <f>VLOOKUP(F5294,Sheet2!$B$1:$E$19,3,FALSE)</f>
        <v>1108963</v>
      </c>
      <c r="O5294" t="str">
        <f>IF(G5294="Not available","",VLOOKUP(F5294,Sheet2!$B$1:$E$19,4,FALSE)+(G5294-1))</f>
        <v/>
      </c>
    </row>
    <row r="5295" spans="1:15" s="3" customFormat="1" ht="15" customHeight="1" x14ac:dyDescent="0.25">
      <c r="A5295" s="18" t="s">
        <v>1111</v>
      </c>
      <c r="B5295" s="18" t="s">
        <v>123</v>
      </c>
      <c r="C5295" s="5" t="s">
        <v>1708</v>
      </c>
      <c r="D5295" s="1" t="s">
        <v>6</v>
      </c>
      <c r="E5295" s="1" t="s">
        <v>2</v>
      </c>
      <c r="F5295" s="18">
        <v>2165</v>
      </c>
      <c r="G5295" s="18">
        <v>45</v>
      </c>
      <c r="H5295" s="5">
        <v>42</v>
      </c>
      <c r="I5295" s="1">
        <v>99</v>
      </c>
      <c r="J5295" s="4" t="s">
        <v>3271</v>
      </c>
      <c r="K5295" s="1"/>
      <c r="L5295" t="str">
        <f t="shared" si="82"/>
        <v>http://www.badatelna.eu/reprodukce/?fondId=1073&amp;zaznamId=1108952&amp;reproId=3778906</v>
      </c>
      <c r="M5295">
        <f>VLOOKUP(F5295,Sheet2!$B$1:$E$19,2,FALSE)</f>
        <v>1073</v>
      </c>
      <c r="N5295">
        <f>VLOOKUP(F5295,Sheet2!$B$1:$E$19,3,FALSE)</f>
        <v>1108952</v>
      </c>
      <c r="O5295">
        <f>IF(G5295="Not available","",VLOOKUP(F5295,Sheet2!$B$1:$E$19,4,FALSE)+(G5295-1))</f>
        <v>3778906</v>
      </c>
    </row>
    <row r="5296" spans="1:15" s="3" customFormat="1" ht="15" customHeight="1" x14ac:dyDescent="0.25">
      <c r="A5296" s="18" t="s">
        <v>1111</v>
      </c>
      <c r="B5296" s="18" t="s">
        <v>436</v>
      </c>
      <c r="C5296" s="5">
        <v>1882</v>
      </c>
      <c r="D5296" s="1" t="s">
        <v>6</v>
      </c>
      <c r="E5296" s="1" t="s">
        <v>2</v>
      </c>
      <c r="F5296" s="18">
        <v>2165</v>
      </c>
      <c r="G5296" s="18">
        <v>181</v>
      </c>
      <c r="H5296" s="5">
        <v>5</v>
      </c>
      <c r="I5296" s="1">
        <v>183</v>
      </c>
      <c r="J5296" s="1">
        <v>160</v>
      </c>
      <c r="K5296" s="1"/>
      <c r="L5296" t="str">
        <f t="shared" si="82"/>
        <v>http://www.badatelna.eu/reprodukce/?fondId=1073&amp;zaznamId=1108952&amp;reproId=3779042</v>
      </c>
      <c r="M5296">
        <f>VLOOKUP(F5296,Sheet2!$B$1:$E$19,2,FALSE)</f>
        <v>1073</v>
      </c>
      <c r="N5296">
        <f>VLOOKUP(F5296,Sheet2!$B$1:$E$19,3,FALSE)</f>
        <v>1108952</v>
      </c>
      <c r="O5296">
        <f>IF(G5296="Not available","",VLOOKUP(F5296,Sheet2!$B$1:$E$19,4,FALSE)+(G5296-1))</f>
        <v>3779042</v>
      </c>
    </row>
    <row r="5297" spans="1:15" s="3" customFormat="1" ht="15" customHeight="1" x14ac:dyDescent="0.25">
      <c r="A5297" s="18" t="s">
        <v>1111</v>
      </c>
      <c r="B5297" s="18" t="s">
        <v>2173</v>
      </c>
      <c r="C5297" s="10" t="s">
        <v>1285</v>
      </c>
      <c r="D5297" s="3" t="s">
        <v>2817</v>
      </c>
      <c r="E5297" s="4" t="s">
        <v>2</v>
      </c>
      <c r="F5297" s="18">
        <v>2176</v>
      </c>
      <c r="G5297" s="18" t="s">
        <v>3271</v>
      </c>
      <c r="H5297" s="10" t="s">
        <v>2319</v>
      </c>
      <c r="I5297" s="3">
        <v>53</v>
      </c>
      <c r="J5297" s="4" t="s">
        <v>3271</v>
      </c>
      <c r="L5297" t="str">
        <f t="shared" si="82"/>
        <v/>
      </c>
      <c r="M5297">
        <f>VLOOKUP(F5297,Sheet2!$B$1:$E$19,2,FALSE)</f>
        <v>1073</v>
      </c>
      <c r="N5297">
        <f>VLOOKUP(F5297,Sheet2!$B$1:$E$19,3,FALSE)</f>
        <v>1108963</v>
      </c>
      <c r="O5297" t="str">
        <f>IF(G5297="Not available","",VLOOKUP(F5297,Sheet2!$B$1:$E$19,4,FALSE)+(G5297-1))</f>
        <v/>
      </c>
    </row>
    <row r="5298" spans="1:15" s="3" customFormat="1" ht="15" customHeight="1" x14ac:dyDescent="0.25">
      <c r="A5298" s="18" t="s">
        <v>1111</v>
      </c>
      <c r="B5298" s="18" t="s">
        <v>845</v>
      </c>
      <c r="C5298" s="5" t="s">
        <v>1710</v>
      </c>
      <c r="D5298" s="1" t="s">
        <v>6</v>
      </c>
      <c r="E5298" s="1" t="s">
        <v>2</v>
      </c>
      <c r="F5298" s="18">
        <v>2165</v>
      </c>
      <c r="G5298" s="18">
        <v>61</v>
      </c>
      <c r="H5298" s="5">
        <v>58</v>
      </c>
      <c r="I5298" s="1">
        <v>99</v>
      </c>
      <c r="J5298" s="4" t="s">
        <v>3271</v>
      </c>
      <c r="K5298" s="1"/>
      <c r="L5298" t="str">
        <f t="shared" si="82"/>
        <v>http://www.badatelna.eu/reprodukce/?fondId=1073&amp;zaznamId=1108952&amp;reproId=3778922</v>
      </c>
      <c r="M5298">
        <f>VLOOKUP(F5298,Sheet2!$B$1:$E$19,2,FALSE)</f>
        <v>1073</v>
      </c>
      <c r="N5298">
        <f>VLOOKUP(F5298,Sheet2!$B$1:$E$19,3,FALSE)</f>
        <v>1108952</v>
      </c>
      <c r="O5298">
        <f>IF(G5298="Not available","",VLOOKUP(F5298,Sheet2!$B$1:$E$19,4,FALSE)+(G5298-1))</f>
        <v>3778922</v>
      </c>
    </row>
    <row r="5299" spans="1:15" s="3" customFormat="1" ht="15" customHeight="1" x14ac:dyDescent="0.25">
      <c r="A5299" s="18" t="s">
        <v>1111</v>
      </c>
      <c r="B5299" s="18" t="s">
        <v>542</v>
      </c>
      <c r="C5299" s="5" t="s">
        <v>1709</v>
      </c>
      <c r="D5299" s="1" t="s">
        <v>6</v>
      </c>
      <c r="E5299" s="1" t="s">
        <v>2</v>
      </c>
      <c r="F5299" s="18">
        <v>2165</v>
      </c>
      <c r="G5299" s="18">
        <v>51</v>
      </c>
      <c r="H5299" s="5">
        <v>48</v>
      </c>
      <c r="I5299" s="1">
        <v>99</v>
      </c>
      <c r="J5299" s="4" t="s">
        <v>3271</v>
      </c>
      <c r="K5299" s="1"/>
      <c r="L5299" t="str">
        <f t="shared" si="82"/>
        <v>http://www.badatelna.eu/reprodukce/?fondId=1073&amp;zaznamId=1108952&amp;reproId=3778912</v>
      </c>
      <c r="M5299">
        <f>VLOOKUP(F5299,Sheet2!$B$1:$E$19,2,FALSE)</f>
        <v>1073</v>
      </c>
      <c r="N5299">
        <f>VLOOKUP(F5299,Sheet2!$B$1:$E$19,3,FALSE)</f>
        <v>1108952</v>
      </c>
      <c r="O5299">
        <f>IF(G5299="Not available","",VLOOKUP(F5299,Sheet2!$B$1:$E$19,4,FALSE)+(G5299-1))</f>
        <v>3778912</v>
      </c>
    </row>
    <row r="5300" spans="1:15" s="3" customFormat="1" ht="15" customHeight="1" x14ac:dyDescent="0.25">
      <c r="A5300" s="18" t="s">
        <v>3357</v>
      </c>
      <c r="B5300" s="18" t="s">
        <v>3356</v>
      </c>
      <c r="C5300" s="6"/>
      <c r="D5300" s="4"/>
      <c r="E5300" s="1"/>
      <c r="F5300" s="18"/>
      <c r="G5300" s="18"/>
      <c r="H5300" s="5"/>
      <c r="I5300" s="1"/>
      <c r="J5300" s="4"/>
      <c r="K5300" s="1"/>
      <c r="L5300" t="e">
        <f t="shared" si="82"/>
        <v>#N/A</v>
      </c>
      <c r="M5300" t="e">
        <f>VLOOKUP(F5300,Sheet2!$B$1:$E$19,2,FALSE)</f>
        <v>#N/A</v>
      </c>
      <c r="N5300" t="e">
        <f>VLOOKUP(F5300,Sheet2!$B$1:$E$19,3,FALSE)</f>
        <v>#N/A</v>
      </c>
      <c r="O5300" t="e">
        <f>IF(G5300="Not available","",VLOOKUP(F5300,Sheet2!$B$1:$E$19,4,FALSE)+(G5300-1))</f>
        <v>#N/A</v>
      </c>
    </row>
    <row r="5301" spans="1:15" s="3" customFormat="1" ht="15" customHeight="1" x14ac:dyDescent="0.25">
      <c r="A5301" s="18" t="s">
        <v>795</v>
      </c>
      <c r="B5301" s="18" t="s">
        <v>3274</v>
      </c>
      <c r="C5301" s="5"/>
      <c r="D5301" s="1"/>
      <c r="E5301" s="1"/>
      <c r="F5301" s="18"/>
      <c r="G5301" s="18"/>
      <c r="H5301" s="5"/>
      <c r="I5301" s="1"/>
      <c r="J5301" s="1"/>
      <c r="K5301" s="1"/>
      <c r="L5301" t="e">
        <f t="shared" si="82"/>
        <v>#N/A</v>
      </c>
      <c r="M5301" t="e">
        <f>VLOOKUP(F5301,Sheet2!$B$1:$E$19,2,FALSE)</f>
        <v>#N/A</v>
      </c>
      <c r="N5301" t="e">
        <f>VLOOKUP(F5301,Sheet2!$B$1:$E$19,3,FALSE)</f>
        <v>#N/A</v>
      </c>
      <c r="O5301" t="e">
        <f>IF(G5301="Not available","",VLOOKUP(F5301,Sheet2!$B$1:$E$19,4,FALSE)+(G5301-1))</f>
        <v>#N/A</v>
      </c>
    </row>
    <row r="5302" spans="1:15" s="3" customFormat="1" ht="15" customHeight="1" x14ac:dyDescent="0.25">
      <c r="A5302" s="18"/>
      <c r="B5302" s="18"/>
      <c r="C5302" s="5"/>
      <c r="D5302" s="1"/>
      <c r="E5302" s="1"/>
      <c r="F5302" s="18"/>
      <c r="G5302" s="18"/>
      <c r="H5302" s="5"/>
      <c r="I5302" s="1"/>
      <c r="J5302" s="1"/>
      <c r="K5302" s="1"/>
      <c r="L5302"/>
      <c r="M5302"/>
      <c r="N5302"/>
      <c r="O5302"/>
    </row>
    <row r="5303" spans="1:15" s="3" customFormat="1" ht="15" customHeight="1" x14ac:dyDescent="0.25">
      <c r="A5303" s="18"/>
      <c r="B5303" s="18"/>
      <c r="C5303" s="5"/>
      <c r="D5303" s="1"/>
      <c r="E5303" s="1"/>
      <c r="F5303" s="18"/>
      <c r="G5303" s="18"/>
      <c r="H5303" s="5"/>
      <c r="I5303" s="1"/>
      <c r="J5303" s="1"/>
      <c r="K5303" s="1"/>
      <c r="L5303"/>
      <c r="M5303"/>
      <c r="N5303"/>
      <c r="O5303"/>
    </row>
    <row r="5304" spans="1:15" s="3" customFormat="1" ht="15" customHeight="1" x14ac:dyDescent="0.25">
      <c r="A5304" s="18"/>
      <c r="B5304" s="18"/>
      <c r="C5304" s="5"/>
      <c r="D5304" s="1"/>
      <c r="E5304" s="1"/>
      <c r="F5304" s="18"/>
      <c r="G5304" s="18"/>
      <c r="H5304" s="5"/>
      <c r="I5304" s="1"/>
      <c r="J5304" s="1"/>
      <c r="K5304" s="1"/>
      <c r="L5304"/>
      <c r="M5304"/>
      <c r="N5304"/>
      <c r="O5304"/>
    </row>
    <row r="5305" spans="1:15" s="3" customFormat="1" ht="15" customHeight="1" x14ac:dyDescent="0.25">
      <c r="A5305" s="18"/>
      <c r="B5305" s="18"/>
      <c r="C5305" s="13"/>
      <c r="D5305" s="1"/>
      <c r="E5305" s="1"/>
      <c r="F5305" s="18"/>
      <c r="G5305" s="18"/>
      <c r="H5305" s="5"/>
      <c r="I5305" s="1"/>
      <c r="J5305" s="1"/>
      <c r="K5305" s="1"/>
      <c r="L5305"/>
      <c r="M5305"/>
      <c r="N5305"/>
      <c r="O5305"/>
    </row>
  </sheetData>
  <autoFilter ref="A1:O5301"/>
  <phoneticPr fontId="4" type="noConversion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B1" sqref="B1:F19"/>
    </sheetView>
  </sheetViews>
  <sheetFormatPr defaultRowHeight="15" x14ac:dyDescent="0.2"/>
  <cols>
    <col min="1" max="1" width="72.33203125" bestFit="1" customWidth="1"/>
    <col min="3" max="3" width="5" bestFit="1" customWidth="1"/>
  </cols>
  <sheetData>
    <row r="1" spans="1:6" x14ac:dyDescent="0.2">
      <c r="B1" t="s">
        <v>3371</v>
      </c>
      <c r="C1" t="s">
        <v>3374</v>
      </c>
      <c r="D1" t="s">
        <v>3372</v>
      </c>
      <c r="E1" t="s">
        <v>3373</v>
      </c>
      <c r="F1" t="s">
        <v>3370</v>
      </c>
    </row>
    <row r="2" spans="1:6" x14ac:dyDescent="0.2">
      <c r="A2" s="29" t="s">
        <v>3369</v>
      </c>
      <c r="B2">
        <v>995</v>
      </c>
      <c r="C2">
        <v>241</v>
      </c>
      <c r="D2">
        <v>1133735</v>
      </c>
      <c r="E2">
        <v>3885429</v>
      </c>
      <c r="F2">
        <v>1</v>
      </c>
    </row>
    <row r="3" spans="1:6" x14ac:dyDescent="0.2">
      <c r="B3">
        <v>996</v>
      </c>
      <c r="C3">
        <v>241</v>
      </c>
      <c r="D3">
        <v>1133736</v>
      </c>
      <c r="E3">
        <v>3885569</v>
      </c>
      <c r="F3">
        <v>1</v>
      </c>
    </row>
    <row r="4" spans="1:6" x14ac:dyDescent="0.2">
      <c r="B4">
        <v>997</v>
      </c>
      <c r="C4">
        <v>241</v>
      </c>
      <c r="D4">
        <v>1133737</v>
      </c>
      <c r="E4">
        <v>3885619</v>
      </c>
      <c r="F4">
        <v>1</v>
      </c>
    </row>
    <row r="5" spans="1:6" x14ac:dyDescent="0.2">
      <c r="B5">
        <v>998</v>
      </c>
      <c r="C5">
        <v>241</v>
      </c>
      <c r="D5">
        <v>1133738</v>
      </c>
      <c r="E5">
        <v>3885647</v>
      </c>
      <c r="F5">
        <v>1</v>
      </c>
    </row>
    <row r="6" spans="1:6" x14ac:dyDescent="0.2">
      <c r="B6">
        <v>999</v>
      </c>
      <c r="C6">
        <v>241</v>
      </c>
      <c r="D6">
        <v>1133739</v>
      </c>
      <c r="E6">
        <v>3885730</v>
      </c>
      <c r="F6">
        <v>1</v>
      </c>
    </row>
    <row r="7" spans="1:6" x14ac:dyDescent="0.2">
      <c r="B7">
        <v>2164</v>
      </c>
      <c r="C7">
        <v>1073</v>
      </c>
      <c r="D7">
        <v>1108951</v>
      </c>
      <c r="E7">
        <v>3778715</v>
      </c>
      <c r="F7">
        <v>1</v>
      </c>
    </row>
    <row r="8" spans="1:6" x14ac:dyDescent="0.2">
      <c r="B8">
        <v>2165</v>
      </c>
      <c r="C8">
        <v>1073</v>
      </c>
      <c r="D8">
        <v>1108952</v>
      </c>
      <c r="E8">
        <v>3778862</v>
      </c>
      <c r="F8">
        <v>1</v>
      </c>
    </row>
    <row r="9" spans="1:6" x14ac:dyDescent="0.2">
      <c r="B9">
        <v>2166</v>
      </c>
      <c r="C9">
        <v>1073</v>
      </c>
      <c r="D9">
        <v>1108953</v>
      </c>
      <c r="E9">
        <v>3779225</v>
      </c>
      <c r="F9">
        <v>1</v>
      </c>
    </row>
    <row r="10" spans="1:6" x14ac:dyDescent="0.2">
      <c r="B10">
        <v>2167</v>
      </c>
      <c r="C10">
        <v>1073</v>
      </c>
      <c r="D10">
        <v>1108954</v>
      </c>
      <c r="E10">
        <v>3779284</v>
      </c>
      <c r="F10">
        <v>1</v>
      </c>
    </row>
    <row r="11" spans="1:6" x14ac:dyDescent="0.2">
      <c r="B11">
        <v>2168</v>
      </c>
      <c r="C11">
        <v>1073</v>
      </c>
      <c r="D11">
        <v>1108955</v>
      </c>
      <c r="E11">
        <v>3779305</v>
      </c>
      <c r="F11">
        <v>1</v>
      </c>
    </row>
    <row r="12" spans="1:6" x14ac:dyDescent="0.2">
      <c r="B12">
        <v>2169</v>
      </c>
      <c r="C12">
        <v>1073</v>
      </c>
      <c r="D12">
        <v>1110078</v>
      </c>
      <c r="E12">
        <v>3830578</v>
      </c>
      <c r="F12">
        <v>1</v>
      </c>
    </row>
    <row r="13" spans="1:6" x14ac:dyDescent="0.2">
      <c r="B13">
        <v>2170</v>
      </c>
      <c r="C13">
        <v>1073</v>
      </c>
      <c r="D13">
        <v>1108956</v>
      </c>
      <c r="E13">
        <v>3779593</v>
      </c>
      <c r="F13">
        <v>1</v>
      </c>
    </row>
    <row r="14" spans="1:6" x14ac:dyDescent="0.2">
      <c r="B14">
        <v>2171</v>
      </c>
      <c r="C14">
        <v>1073</v>
      </c>
      <c r="D14">
        <v>1108957</v>
      </c>
      <c r="E14">
        <v>3779668</v>
      </c>
      <c r="F14">
        <v>1</v>
      </c>
    </row>
    <row r="15" spans="1:6" x14ac:dyDescent="0.2">
      <c r="B15">
        <v>2172</v>
      </c>
      <c r="C15">
        <v>1073</v>
      </c>
      <c r="D15">
        <v>1108958</v>
      </c>
      <c r="E15">
        <v>3779742</v>
      </c>
      <c r="F15">
        <v>1</v>
      </c>
    </row>
    <row r="16" spans="1:6" x14ac:dyDescent="0.2">
      <c r="B16">
        <v>2173</v>
      </c>
      <c r="C16">
        <v>1073</v>
      </c>
      <c r="D16">
        <v>1108959</v>
      </c>
      <c r="E16">
        <v>3779994</v>
      </c>
      <c r="F16">
        <v>1</v>
      </c>
    </row>
    <row r="17" spans="2:6" x14ac:dyDescent="0.2">
      <c r="B17">
        <v>2174</v>
      </c>
      <c r="C17">
        <v>1073</v>
      </c>
      <c r="D17">
        <v>1108960</v>
      </c>
      <c r="E17">
        <v>3780225</v>
      </c>
      <c r="F17">
        <v>1</v>
      </c>
    </row>
    <row r="18" spans="2:6" x14ac:dyDescent="0.2">
      <c r="B18">
        <v>2175</v>
      </c>
      <c r="C18">
        <v>1073</v>
      </c>
      <c r="D18">
        <v>1108961</v>
      </c>
      <c r="E18">
        <v>3780514</v>
      </c>
      <c r="F18">
        <v>1</v>
      </c>
    </row>
    <row r="19" spans="2:6" x14ac:dyDescent="0.2">
      <c r="B19">
        <v>2176</v>
      </c>
      <c r="C19">
        <v>1073</v>
      </c>
      <c r="D19">
        <v>1108963</v>
      </c>
      <c r="E19">
        <v>3780562</v>
      </c>
      <c r="F19">
        <v>1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cp:lastPrinted>2014-03-23T02:41:24Z</cp:lastPrinted>
  <dcterms:created xsi:type="dcterms:W3CDTF">2013-12-06T15:44:21Z</dcterms:created>
  <dcterms:modified xsi:type="dcterms:W3CDTF">2014-08-12T17:29:04Z</dcterms:modified>
</cp:coreProperties>
</file>